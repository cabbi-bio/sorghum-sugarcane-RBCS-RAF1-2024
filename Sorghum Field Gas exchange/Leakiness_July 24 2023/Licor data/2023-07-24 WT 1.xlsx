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B\Documents\CABBI\Sorghum field 2023\leakiness July 24\2023-07-24 tdl leakiness\"/>
    </mc:Choice>
  </mc:AlternateContent>
  <bookViews>
    <workbookView xWindow="240" yWindow="15" windowWidth="16095" windowHeight="9660"/>
  </bookViews>
  <sheets>
    <sheet name="Measurements" sheetId="1" r:id="rId1"/>
    <sheet name="Remarks" sheetId="2" r:id="rId2"/>
  </sheets>
  <calcPr calcId="162913"/>
</workbook>
</file>

<file path=xl/calcChain.xml><?xml version="1.0" encoding="utf-8"?>
<calcChain xmlns="http://schemas.openxmlformats.org/spreadsheetml/2006/main">
  <c r="AN226" i="1" l="1"/>
  <c r="AM226" i="1"/>
  <c r="AK226" i="1"/>
  <c r="AL226" i="1" s="1"/>
  <c r="AJ226" i="1"/>
  <c r="AH226" i="1"/>
  <c r="Z226" i="1"/>
  <c r="Y226" i="1"/>
  <c r="X226" i="1"/>
  <c r="Q226" i="1"/>
  <c r="O226" i="1"/>
  <c r="AN225" i="1"/>
  <c r="T225" i="1" s="1"/>
  <c r="AM225" i="1"/>
  <c r="AK225" i="1"/>
  <c r="AJ225" i="1"/>
  <c r="AH225" i="1"/>
  <c r="L225" i="1" s="1"/>
  <c r="Z225" i="1"/>
  <c r="Y225" i="1"/>
  <c r="X225" i="1"/>
  <c r="Q225" i="1"/>
  <c r="O225" i="1"/>
  <c r="AN224" i="1"/>
  <c r="AM224" i="1"/>
  <c r="AL224" i="1"/>
  <c r="AK224" i="1"/>
  <c r="AJ224" i="1"/>
  <c r="AH224" i="1" s="1"/>
  <c r="K224" i="1" s="1"/>
  <c r="Z224" i="1"/>
  <c r="X224" i="1" s="1"/>
  <c r="Y224" i="1"/>
  <c r="T224" i="1"/>
  <c r="Q224" i="1"/>
  <c r="L224" i="1"/>
  <c r="AN223" i="1"/>
  <c r="AM223" i="1"/>
  <c r="AK223" i="1"/>
  <c r="AL223" i="1" s="1"/>
  <c r="AJ223" i="1"/>
  <c r="AH223" i="1" s="1"/>
  <c r="Z223" i="1"/>
  <c r="Y223" i="1"/>
  <c r="X223" i="1" s="1"/>
  <c r="Q223" i="1"/>
  <c r="AN222" i="1"/>
  <c r="AM222" i="1"/>
  <c r="AK222" i="1"/>
  <c r="AL222" i="1" s="1"/>
  <c r="AJ222" i="1"/>
  <c r="AH222" i="1"/>
  <c r="Z222" i="1"/>
  <c r="Y222" i="1"/>
  <c r="X222" i="1"/>
  <c r="Q222" i="1"/>
  <c r="O222" i="1"/>
  <c r="AN221" i="1"/>
  <c r="AM221" i="1"/>
  <c r="AK221" i="1"/>
  <c r="AL221" i="1" s="1"/>
  <c r="AJ221" i="1"/>
  <c r="AI221" i="1"/>
  <c r="AH221" i="1"/>
  <c r="L221" i="1" s="1"/>
  <c r="Z221" i="1"/>
  <c r="Y221" i="1"/>
  <c r="X221" i="1" s="1"/>
  <c r="Q221" i="1"/>
  <c r="O221" i="1"/>
  <c r="K221" i="1"/>
  <c r="J221" i="1"/>
  <c r="I221" i="1"/>
  <c r="AB221" i="1" s="1"/>
  <c r="AN220" i="1"/>
  <c r="AM220" i="1"/>
  <c r="AK220" i="1"/>
  <c r="AL220" i="1" s="1"/>
  <c r="AJ220" i="1"/>
  <c r="AI220" i="1"/>
  <c r="AH220" i="1"/>
  <c r="J220" i="1" s="1"/>
  <c r="I220" i="1" s="1"/>
  <c r="AB220" i="1"/>
  <c r="Z220" i="1"/>
  <c r="Y220" i="1"/>
  <c r="X220" i="1" s="1"/>
  <c r="T220" i="1"/>
  <c r="Q220" i="1"/>
  <c r="O220" i="1"/>
  <c r="L220" i="1"/>
  <c r="K220" i="1"/>
  <c r="AN219" i="1"/>
  <c r="AM219" i="1"/>
  <c r="AK219" i="1"/>
  <c r="AL219" i="1" s="1"/>
  <c r="AJ219" i="1"/>
  <c r="AH219" i="1" s="1"/>
  <c r="AI219" i="1"/>
  <c r="Z219" i="1"/>
  <c r="Y219" i="1"/>
  <c r="X219" i="1" s="1"/>
  <c r="Q219" i="1"/>
  <c r="AN218" i="1"/>
  <c r="AM218" i="1"/>
  <c r="AK218" i="1"/>
  <c r="AL218" i="1" s="1"/>
  <c r="AJ218" i="1"/>
  <c r="AH218" i="1"/>
  <c r="Z218" i="1"/>
  <c r="Y218" i="1"/>
  <c r="X218" i="1"/>
  <c r="Q218" i="1"/>
  <c r="AN217" i="1"/>
  <c r="AM217" i="1"/>
  <c r="AK217" i="1"/>
  <c r="AL217" i="1" s="1"/>
  <c r="AJ217" i="1"/>
  <c r="AH217" i="1" s="1"/>
  <c r="Z217" i="1"/>
  <c r="Y217" i="1"/>
  <c r="X217" i="1" s="1"/>
  <c r="Q217" i="1"/>
  <c r="AN216" i="1"/>
  <c r="AM216" i="1"/>
  <c r="AL216" i="1"/>
  <c r="AK216" i="1"/>
  <c r="AJ216" i="1"/>
  <c r="AI216" i="1"/>
  <c r="AH216" i="1"/>
  <c r="J216" i="1" s="1"/>
  <c r="I216" i="1" s="1"/>
  <c r="AB216" i="1"/>
  <c r="Z216" i="1"/>
  <c r="Y216" i="1"/>
  <c r="X216" i="1" s="1"/>
  <c r="T216" i="1"/>
  <c r="Q216" i="1"/>
  <c r="O216" i="1"/>
  <c r="L216" i="1"/>
  <c r="K216" i="1"/>
  <c r="AN215" i="1"/>
  <c r="AM215" i="1"/>
  <c r="AK215" i="1"/>
  <c r="AL215" i="1" s="1"/>
  <c r="AJ215" i="1"/>
  <c r="AH215" i="1" s="1"/>
  <c r="AI215" i="1" s="1"/>
  <c r="Z215" i="1"/>
  <c r="Y215" i="1"/>
  <c r="X215" i="1" s="1"/>
  <c r="Q215" i="1"/>
  <c r="J215" i="1"/>
  <c r="I215" i="1" s="1"/>
  <c r="AN214" i="1"/>
  <c r="AM214" i="1"/>
  <c r="AK214" i="1"/>
  <c r="AL214" i="1" s="1"/>
  <c r="AJ214" i="1"/>
  <c r="AH214" i="1"/>
  <c r="Z214" i="1"/>
  <c r="Y214" i="1"/>
  <c r="X214" i="1"/>
  <c r="Q214" i="1"/>
  <c r="O214" i="1"/>
  <c r="AN213" i="1"/>
  <c r="AM213" i="1"/>
  <c r="AK213" i="1"/>
  <c r="AJ213" i="1"/>
  <c r="AH213" i="1" s="1"/>
  <c r="Z213" i="1"/>
  <c r="Y213" i="1"/>
  <c r="X213" i="1" s="1"/>
  <c r="Q213" i="1"/>
  <c r="AN212" i="1"/>
  <c r="AM212" i="1"/>
  <c r="AK212" i="1"/>
  <c r="AL212" i="1" s="1"/>
  <c r="AJ212" i="1"/>
  <c r="AI212" i="1"/>
  <c r="AH212" i="1"/>
  <c r="J212" i="1" s="1"/>
  <c r="I212" i="1" s="1"/>
  <c r="AB212" i="1" s="1"/>
  <c r="Z212" i="1"/>
  <c r="Y212" i="1"/>
  <c r="X212" i="1" s="1"/>
  <c r="T212" i="1"/>
  <c r="Q212" i="1"/>
  <c r="O212" i="1"/>
  <c r="L212" i="1"/>
  <c r="K212" i="1"/>
  <c r="AN211" i="1"/>
  <c r="AM211" i="1"/>
  <c r="AK211" i="1"/>
  <c r="AL211" i="1" s="1"/>
  <c r="AJ211" i="1"/>
  <c r="AH211" i="1" s="1"/>
  <c r="Z211" i="1"/>
  <c r="Y211" i="1"/>
  <c r="Q211" i="1"/>
  <c r="AN210" i="1"/>
  <c r="AM210" i="1"/>
  <c r="AK210" i="1"/>
  <c r="AL210" i="1" s="1"/>
  <c r="AJ210" i="1"/>
  <c r="AH210" i="1"/>
  <c r="Z210" i="1"/>
  <c r="Y210" i="1"/>
  <c r="X210" i="1"/>
  <c r="Q210" i="1"/>
  <c r="O210" i="1"/>
  <c r="AN209" i="1"/>
  <c r="AM209" i="1"/>
  <c r="AK209" i="1"/>
  <c r="AL209" i="1" s="1"/>
  <c r="AJ209" i="1"/>
  <c r="AH209" i="1" s="1"/>
  <c r="Z209" i="1"/>
  <c r="Y209" i="1"/>
  <c r="X209" i="1" s="1"/>
  <c r="Q209" i="1"/>
  <c r="AN208" i="1"/>
  <c r="AM208" i="1"/>
  <c r="AK208" i="1"/>
  <c r="AL208" i="1" s="1"/>
  <c r="AJ208" i="1"/>
  <c r="AI208" i="1"/>
  <c r="AH208" i="1"/>
  <c r="J208" i="1" s="1"/>
  <c r="I208" i="1" s="1"/>
  <c r="Z208" i="1"/>
  <c r="Y208" i="1"/>
  <c r="X208" i="1" s="1"/>
  <c r="T208" i="1"/>
  <c r="Q208" i="1"/>
  <c r="O208" i="1"/>
  <c r="L208" i="1"/>
  <c r="K208" i="1"/>
  <c r="AN207" i="1"/>
  <c r="AM207" i="1"/>
  <c r="AK207" i="1"/>
  <c r="AL207" i="1" s="1"/>
  <c r="AJ207" i="1"/>
  <c r="AH207" i="1" s="1"/>
  <c r="AI207" i="1"/>
  <c r="Z207" i="1"/>
  <c r="Y207" i="1"/>
  <c r="Q207" i="1"/>
  <c r="AN206" i="1"/>
  <c r="AM206" i="1"/>
  <c r="AK206" i="1"/>
  <c r="AL206" i="1" s="1"/>
  <c r="AJ206" i="1"/>
  <c r="AH206" i="1"/>
  <c r="Z206" i="1"/>
  <c r="Y206" i="1"/>
  <c r="X206" i="1"/>
  <c r="Q206" i="1"/>
  <c r="O206" i="1"/>
  <c r="AN205" i="1"/>
  <c r="AM205" i="1"/>
  <c r="AK205" i="1"/>
  <c r="AJ205" i="1"/>
  <c r="AH205" i="1" s="1"/>
  <c r="Z205" i="1"/>
  <c r="Y205" i="1"/>
  <c r="X205" i="1" s="1"/>
  <c r="Q205" i="1"/>
  <c r="AN204" i="1"/>
  <c r="AM204" i="1"/>
  <c r="AK204" i="1"/>
  <c r="AJ204" i="1"/>
  <c r="AI204" i="1"/>
  <c r="AH204" i="1"/>
  <c r="J204" i="1" s="1"/>
  <c r="Z204" i="1"/>
  <c r="Y204" i="1"/>
  <c r="X204" i="1" s="1"/>
  <c r="Q204" i="1"/>
  <c r="O204" i="1"/>
  <c r="L204" i="1"/>
  <c r="K204" i="1"/>
  <c r="I204" i="1"/>
  <c r="AN203" i="1"/>
  <c r="AM203" i="1"/>
  <c r="AK203" i="1"/>
  <c r="AJ203" i="1"/>
  <c r="AH203" i="1" s="1"/>
  <c r="L203" i="1" s="1"/>
  <c r="AI203" i="1"/>
  <c r="Z203" i="1"/>
  <c r="Y203" i="1"/>
  <c r="Q203" i="1"/>
  <c r="O203" i="1"/>
  <c r="K203" i="1"/>
  <c r="AN202" i="1"/>
  <c r="AM202" i="1"/>
  <c r="AK202" i="1"/>
  <c r="AJ202" i="1"/>
  <c r="AH202" i="1"/>
  <c r="AI202" i="1" s="1"/>
  <c r="Z202" i="1"/>
  <c r="Y202" i="1"/>
  <c r="X202" i="1" s="1"/>
  <c r="Q202" i="1"/>
  <c r="O202" i="1"/>
  <c r="K202" i="1"/>
  <c r="AN201" i="1"/>
  <c r="AM201" i="1"/>
  <c r="AK201" i="1"/>
  <c r="AJ201" i="1"/>
  <c r="AH201" i="1" s="1"/>
  <c r="AI201" i="1" s="1"/>
  <c r="Z201" i="1"/>
  <c r="Y201" i="1"/>
  <c r="X201" i="1" s="1"/>
  <c r="Q201" i="1"/>
  <c r="K201" i="1"/>
  <c r="AN200" i="1"/>
  <c r="AM200" i="1"/>
  <c r="AL200" i="1" s="1"/>
  <c r="AK200" i="1"/>
  <c r="AJ200" i="1"/>
  <c r="AI200" i="1"/>
  <c r="AH200" i="1"/>
  <c r="J200" i="1" s="1"/>
  <c r="AB200" i="1"/>
  <c r="Z200" i="1"/>
  <c r="Y200" i="1"/>
  <c r="X200" i="1" s="1"/>
  <c r="T200" i="1"/>
  <c r="Q200" i="1"/>
  <c r="O200" i="1"/>
  <c r="L200" i="1"/>
  <c r="K200" i="1"/>
  <c r="I200" i="1"/>
  <c r="AN199" i="1"/>
  <c r="AM199" i="1"/>
  <c r="AK199" i="1"/>
  <c r="AJ199" i="1"/>
  <c r="AH199" i="1" s="1"/>
  <c r="L199" i="1" s="1"/>
  <c r="Z199" i="1"/>
  <c r="Y199" i="1"/>
  <c r="X199" i="1" s="1"/>
  <c r="Q199" i="1"/>
  <c r="O199" i="1"/>
  <c r="AN198" i="1"/>
  <c r="AM198" i="1"/>
  <c r="AK198" i="1"/>
  <c r="T198" i="1" s="1"/>
  <c r="AJ198" i="1"/>
  <c r="AI198" i="1"/>
  <c r="AH198" i="1"/>
  <c r="J198" i="1" s="1"/>
  <c r="Z198" i="1"/>
  <c r="Y198" i="1"/>
  <c r="X198" i="1" s="1"/>
  <c r="Q198" i="1"/>
  <c r="O198" i="1"/>
  <c r="L198" i="1"/>
  <c r="K198" i="1"/>
  <c r="I198" i="1"/>
  <c r="AN197" i="1"/>
  <c r="AM197" i="1"/>
  <c r="AK197" i="1"/>
  <c r="AL197" i="1" s="1"/>
  <c r="AJ197" i="1"/>
  <c r="AH197" i="1" s="1"/>
  <c r="Z197" i="1"/>
  <c r="X197" i="1" s="1"/>
  <c r="Y197" i="1"/>
  <c r="Q197" i="1"/>
  <c r="AN196" i="1"/>
  <c r="AM196" i="1"/>
  <c r="AL196" i="1" s="1"/>
  <c r="AK196" i="1"/>
  <c r="AJ196" i="1"/>
  <c r="AH196" i="1"/>
  <c r="J196" i="1" s="1"/>
  <c r="I196" i="1" s="1"/>
  <c r="AB196" i="1"/>
  <c r="Z196" i="1"/>
  <c r="Y196" i="1"/>
  <c r="X196" i="1"/>
  <c r="T196" i="1"/>
  <c r="Q196" i="1"/>
  <c r="L196" i="1"/>
  <c r="AN195" i="1"/>
  <c r="AM195" i="1"/>
  <c r="AK195" i="1"/>
  <c r="AJ195" i="1"/>
  <c r="AH195" i="1" s="1"/>
  <c r="Z195" i="1"/>
  <c r="Y195" i="1"/>
  <c r="X195" i="1" s="1"/>
  <c r="Q195" i="1"/>
  <c r="J195" i="1"/>
  <c r="I195" i="1" s="1"/>
  <c r="AB195" i="1" s="1"/>
  <c r="AN194" i="1"/>
  <c r="AM194" i="1"/>
  <c r="AL194" i="1"/>
  <c r="AK194" i="1"/>
  <c r="AJ194" i="1"/>
  <c r="AI194" i="1"/>
  <c r="AH194" i="1"/>
  <c r="Z194" i="1"/>
  <c r="Y194" i="1"/>
  <c r="X194" i="1"/>
  <c r="T194" i="1"/>
  <c r="Q194" i="1"/>
  <c r="AN193" i="1"/>
  <c r="AM193" i="1"/>
  <c r="AK193" i="1"/>
  <c r="AL193" i="1" s="1"/>
  <c r="AJ193" i="1"/>
  <c r="AH193" i="1" s="1"/>
  <c r="Z193" i="1"/>
  <c r="X193" i="1" s="1"/>
  <c r="Y193" i="1"/>
  <c r="Q193" i="1"/>
  <c r="O193" i="1"/>
  <c r="AN192" i="1"/>
  <c r="AM192" i="1"/>
  <c r="AL192" i="1" s="1"/>
  <c r="AK192" i="1"/>
  <c r="AJ192" i="1"/>
  <c r="AH192" i="1"/>
  <c r="J192" i="1" s="1"/>
  <c r="I192" i="1" s="1"/>
  <c r="AB192" i="1"/>
  <c r="Z192" i="1"/>
  <c r="Y192" i="1"/>
  <c r="X192" i="1"/>
  <c r="T192" i="1"/>
  <c r="Q192" i="1"/>
  <c r="L192" i="1"/>
  <c r="AN191" i="1"/>
  <c r="AM191" i="1"/>
  <c r="AK191" i="1"/>
  <c r="AJ191" i="1"/>
  <c r="AH191" i="1" s="1"/>
  <c r="Z191" i="1"/>
  <c r="Y191" i="1"/>
  <c r="X191" i="1" s="1"/>
  <c r="Q191" i="1"/>
  <c r="J191" i="1"/>
  <c r="I191" i="1" s="1"/>
  <c r="AB191" i="1" s="1"/>
  <c r="AN190" i="1"/>
  <c r="AM190" i="1"/>
  <c r="AL190" i="1"/>
  <c r="AK190" i="1"/>
  <c r="AJ190" i="1"/>
  <c r="AI190" i="1"/>
  <c r="AH190" i="1"/>
  <c r="Z190" i="1"/>
  <c r="Y190" i="1"/>
  <c r="X190" i="1" s="1"/>
  <c r="T190" i="1"/>
  <c r="Q190" i="1"/>
  <c r="AN189" i="1"/>
  <c r="AM189" i="1"/>
  <c r="AK189" i="1"/>
  <c r="AL189" i="1" s="1"/>
  <c r="AJ189" i="1"/>
  <c r="AH189" i="1" s="1"/>
  <c r="Z189" i="1"/>
  <c r="Y189" i="1"/>
  <c r="X189" i="1" s="1"/>
  <c r="Q189" i="1"/>
  <c r="O189" i="1"/>
  <c r="AN188" i="1"/>
  <c r="AM188" i="1"/>
  <c r="AL188" i="1" s="1"/>
  <c r="AK188" i="1"/>
  <c r="AJ188" i="1"/>
  <c r="AH188" i="1"/>
  <c r="J188" i="1" s="1"/>
  <c r="I188" i="1" s="1"/>
  <c r="AB188" i="1"/>
  <c r="Z188" i="1"/>
  <c r="Y188" i="1"/>
  <c r="X188" i="1"/>
  <c r="T188" i="1"/>
  <c r="Q188" i="1"/>
  <c r="L188" i="1"/>
  <c r="AN187" i="1"/>
  <c r="AM187" i="1"/>
  <c r="AK187" i="1"/>
  <c r="AJ187" i="1"/>
  <c r="AH187" i="1" s="1"/>
  <c r="Z187" i="1"/>
  <c r="Y187" i="1"/>
  <c r="Q187" i="1"/>
  <c r="K187" i="1"/>
  <c r="J187" i="1"/>
  <c r="I187" i="1" s="1"/>
  <c r="AB187" i="1" s="1"/>
  <c r="AN186" i="1"/>
  <c r="AM186" i="1"/>
  <c r="AL186" i="1" s="1"/>
  <c r="AK186" i="1"/>
  <c r="AJ186" i="1"/>
  <c r="AH186" i="1"/>
  <c r="Z186" i="1"/>
  <c r="Y186" i="1"/>
  <c r="X186" i="1" s="1"/>
  <c r="T186" i="1"/>
  <c r="Q186" i="1"/>
  <c r="AN185" i="1"/>
  <c r="AM185" i="1"/>
  <c r="AK185" i="1"/>
  <c r="AL185" i="1" s="1"/>
  <c r="AJ185" i="1"/>
  <c r="AH185" i="1" s="1"/>
  <c r="Z185" i="1"/>
  <c r="Y185" i="1"/>
  <c r="X185" i="1" s="1"/>
  <c r="Q185" i="1"/>
  <c r="O185" i="1"/>
  <c r="AN184" i="1"/>
  <c r="AM184" i="1"/>
  <c r="AL184" i="1"/>
  <c r="AK184" i="1"/>
  <c r="AJ184" i="1"/>
  <c r="AI184" i="1"/>
  <c r="AH184" i="1"/>
  <c r="J184" i="1" s="1"/>
  <c r="I184" i="1" s="1"/>
  <c r="AB184" i="1"/>
  <c r="Z184" i="1"/>
  <c r="Y184" i="1"/>
  <c r="X184" i="1" s="1"/>
  <c r="U184" i="1"/>
  <c r="V184" i="1" s="1"/>
  <c r="T184" i="1"/>
  <c r="Q184" i="1"/>
  <c r="L184" i="1"/>
  <c r="AN183" i="1"/>
  <c r="AM183" i="1"/>
  <c r="AK183" i="1"/>
  <c r="AJ183" i="1"/>
  <c r="AH183" i="1" s="1"/>
  <c r="Z183" i="1"/>
  <c r="Y183" i="1"/>
  <c r="Q183" i="1"/>
  <c r="AN182" i="1"/>
  <c r="AM182" i="1"/>
  <c r="AL182" i="1" s="1"/>
  <c r="AK182" i="1"/>
  <c r="AJ182" i="1"/>
  <c r="AH182" i="1"/>
  <c r="Z182" i="1"/>
  <c r="Y182" i="1"/>
  <c r="X182" i="1" s="1"/>
  <c r="T182" i="1"/>
  <c r="Q182" i="1"/>
  <c r="AN181" i="1"/>
  <c r="AM181" i="1"/>
  <c r="AK181" i="1"/>
  <c r="AJ181" i="1"/>
  <c r="AH181" i="1" s="1"/>
  <c r="K181" i="1" s="1"/>
  <c r="Z181" i="1"/>
  <c r="Y181" i="1"/>
  <c r="X181" i="1" s="1"/>
  <c r="Q181" i="1"/>
  <c r="O181" i="1"/>
  <c r="AN180" i="1"/>
  <c r="AM180" i="1"/>
  <c r="AL180" i="1" s="1"/>
  <c r="AK180" i="1"/>
  <c r="AJ180" i="1"/>
  <c r="AI180" i="1"/>
  <c r="AH180" i="1"/>
  <c r="Z180" i="1"/>
  <c r="Y180" i="1"/>
  <c r="X180" i="1"/>
  <c r="T180" i="1"/>
  <c r="Q180" i="1"/>
  <c r="L180" i="1"/>
  <c r="AN179" i="1"/>
  <c r="AM179" i="1"/>
  <c r="AK179" i="1"/>
  <c r="AJ179" i="1"/>
  <c r="AH179" i="1" s="1"/>
  <c r="Z179" i="1"/>
  <c r="Y179" i="1"/>
  <c r="X179" i="1" s="1"/>
  <c r="Q179" i="1"/>
  <c r="O179" i="1"/>
  <c r="K179" i="1"/>
  <c r="AN178" i="1"/>
  <c r="AM178" i="1"/>
  <c r="AK178" i="1"/>
  <c r="AL178" i="1" s="1"/>
  <c r="AJ178" i="1"/>
  <c r="AI178" i="1"/>
  <c r="AH178" i="1"/>
  <c r="O178" i="1" s="1"/>
  <c r="Z178" i="1"/>
  <c r="Y178" i="1"/>
  <c r="X178" i="1"/>
  <c r="Q178" i="1"/>
  <c r="L178" i="1"/>
  <c r="K178" i="1"/>
  <c r="J178" i="1"/>
  <c r="I178" i="1" s="1"/>
  <c r="AN177" i="1"/>
  <c r="AM177" i="1"/>
  <c r="AK177" i="1"/>
  <c r="AJ177" i="1"/>
  <c r="AI177" i="1"/>
  <c r="AH177" i="1"/>
  <c r="Z177" i="1"/>
  <c r="Y177" i="1"/>
  <c r="X177" i="1"/>
  <c r="Q177" i="1"/>
  <c r="AN176" i="1"/>
  <c r="AM176" i="1"/>
  <c r="AL176" i="1"/>
  <c r="AK176" i="1"/>
  <c r="AJ176" i="1"/>
  <c r="AH176" i="1" s="1"/>
  <c r="Z176" i="1"/>
  <c r="Y176" i="1"/>
  <c r="X176" i="1" s="1"/>
  <c r="T176" i="1"/>
  <c r="Q176" i="1"/>
  <c r="L176" i="1"/>
  <c r="K176" i="1"/>
  <c r="AN175" i="1"/>
  <c r="AM175" i="1"/>
  <c r="AK175" i="1"/>
  <c r="AL175" i="1" s="1"/>
  <c r="AJ175" i="1"/>
  <c r="AH175" i="1" s="1"/>
  <c r="AI175" i="1" s="1"/>
  <c r="Z175" i="1"/>
  <c r="Y175" i="1"/>
  <c r="X175" i="1" s="1"/>
  <c r="Q175" i="1"/>
  <c r="J175" i="1"/>
  <c r="I175" i="1" s="1"/>
  <c r="AN174" i="1"/>
  <c r="AM174" i="1"/>
  <c r="AK174" i="1"/>
  <c r="AL174" i="1" s="1"/>
  <c r="AJ174" i="1"/>
  <c r="AH174" i="1"/>
  <c r="Z174" i="1"/>
  <c r="Y174" i="1"/>
  <c r="X174" i="1"/>
  <c r="Q174" i="1"/>
  <c r="O174" i="1"/>
  <c r="AN173" i="1"/>
  <c r="T173" i="1" s="1"/>
  <c r="AM173" i="1"/>
  <c r="AL173" i="1" s="1"/>
  <c r="AK173" i="1"/>
  <c r="AJ173" i="1"/>
  <c r="AI173" i="1"/>
  <c r="AH173" i="1"/>
  <c r="J173" i="1" s="1"/>
  <c r="I173" i="1" s="1"/>
  <c r="Z173" i="1"/>
  <c r="Y173" i="1"/>
  <c r="X173" i="1" s="1"/>
  <c r="Q173" i="1"/>
  <c r="O173" i="1"/>
  <c r="L173" i="1"/>
  <c r="K173" i="1"/>
  <c r="AN172" i="1"/>
  <c r="AM172" i="1"/>
  <c r="AK172" i="1"/>
  <c r="AL172" i="1" s="1"/>
  <c r="AJ172" i="1"/>
  <c r="AH172" i="1" s="1"/>
  <c r="Z172" i="1"/>
  <c r="Y172" i="1"/>
  <c r="X172" i="1" s="1"/>
  <c r="T172" i="1"/>
  <c r="Q172" i="1"/>
  <c r="L172" i="1"/>
  <c r="K172" i="1"/>
  <c r="AN171" i="1"/>
  <c r="AM171" i="1"/>
  <c r="AK171" i="1"/>
  <c r="AL171" i="1" s="1"/>
  <c r="AJ171" i="1"/>
  <c r="AH171" i="1" s="1"/>
  <c r="AI171" i="1" s="1"/>
  <c r="Z171" i="1"/>
  <c r="Y171" i="1"/>
  <c r="X171" i="1" s="1"/>
  <c r="Q171" i="1"/>
  <c r="J171" i="1"/>
  <c r="I171" i="1" s="1"/>
  <c r="AN170" i="1"/>
  <c r="AM170" i="1"/>
  <c r="AK170" i="1"/>
  <c r="AL170" i="1" s="1"/>
  <c r="AJ170" i="1"/>
  <c r="AH170" i="1"/>
  <c r="Z170" i="1"/>
  <c r="Y170" i="1"/>
  <c r="X170" i="1"/>
  <c r="Q170" i="1"/>
  <c r="O170" i="1"/>
  <c r="AN169" i="1"/>
  <c r="AM169" i="1"/>
  <c r="AK169" i="1"/>
  <c r="AJ169" i="1"/>
  <c r="AI169" i="1"/>
  <c r="AH169" i="1"/>
  <c r="Z169" i="1"/>
  <c r="Y169" i="1"/>
  <c r="X169" i="1" s="1"/>
  <c r="Q169" i="1"/>
  <c r="O169" i="1"/>
  <c r="L169" i="1"/>
  <c r="K169" i="1"/>
  <c r="J169" i="1"/>
  <c r="I169" i="1"/>
  <c r="AN168" i="1"/>
  <c r="AM168" i="1"/>
  <c r="AK168" i="1"/>
  <c r="T168" i="1" s="1"/>
  <c r="AJ168" i="1"/>
  <c r="AH168" i="1" s="1"/>
  <c r="Z168" i="1"/>
  <c r="Y168" i="1"/>
  <c r="X168" i="1" s="1"/>
  <c r="Q168" i="1"/>
  <c r="L168" i="1"/>
  <c r="K168" i="1"/>
  <c r="AN167" i="1"/>
  <c r="AM167" i="1"/>
  <c r="AK167" i="1"/>
  <c r="AL167" i="1" s="1"/>
  <c r="AJ167" i="1"/>
  <c r="AH167" i="1" s="1"/>
  <c r="AI167" i="1"/>
  <c r="Z167" i="1"/>
  <c r="Y167" i="1"/>
  <c r="Q167" i="1"/>
  <c r="J167" i="1"/>
  <c r="I167" i="1" s="1"/>
  <c r="AB167" i="1" s="1"/>
  <c r="AN166" i="1"/>
  <c r="AM166" i="1"/>
  <c r="AK166" i="1"/>
  <c r="AL166" i="1" s="1"/>
  <c r="AJ166" i="1"/>
  <c r="AI166" i="1"/>
  <c r="AH166" i="1"/>
  <c r="Z166" i="1"/>
  <c r="Y166" i="1"/>
  <c r="X166" i="1"/>
  <c r="Q166" i="1"/>
  <c r="O166" i="1"/>
  <c r="AN165" i="1"/>
  <c r="AM165" i="1"/>
  <c r="AK165" i="1"/>
  <c r="AL165" i="1" s="1"/>
  <c r="AJ165" i="1"/>
  <c r="AH165" i="1" s="1"/>
  <c r="Z165" i="1"/>
  <c r="Y165" i="1"/>
  <c r="X165" i="1" s="1"/>
  <c r="Q165" i="1"/>
  <c r="O165" i="1"/>
  <c r="AN164" i="1"/>
  <c r="AM164" i="1"/>
  <c r="AK164" i="1"/>
  <c r="AL164" i="1" s="1"/>
  <c r="AJ164" i="1"/>
  <c r="AI164" i="1"/>
  <c r="AH164" i="1"/>
  <c r="Z164" i="1"/>
  <c r="Y164" i="1"/>
  <c r="X164" i="1" s="1"/>
  <c r="T164" i="1"/>
  <c r="Q164" i="1"/>
  <c r="O164" i="1"/>
  <c r="L164" i="1"/>
  <c r="K164" i="1"/>
  <c r="J164" i="1"/>
  <c r="I164" i="1"/>
  <c r="AN163" i="1"/>
  <c r="AM163" i="1"/>
  <c r="AK163" i="1"/>
  <c r="AJ163" i="1"/>
  <c r="AH163" i="1" s="1"/>
  <c r="L163" i="1" s="1"/>
  <c r="Z163" i="1"/>
  <c r="Y163" i="1"/>
  <c r="Q163" i="1"/>
  <c r="O163" i="1"/>
  <c r="K163" i="1"/>
  <c r="AN162" i="1"/>
  <c r="AM162" i="1"/>
  <c r="AK162" i="1"/>
  <c r="AJ162" i="1"/>
  <c r="AI162" i="1"/>
  <c r="AH162" i="1"/>
  <c r="Z162" i="1"/>
  <c r="Y162" i="1"/>
  <c r="X162" i="1"/>
  <c r="Q162" i="1"/>
  <c r="O162" i="1"/>
  <c r="K162" i="1"/>
  <c r="AN161" i="1"/>
  <c r="AM161" i="1"/>
  <c r="AK161" i="1"/>
  <c r="AJ161" i="1"/>
  <c r="AH161" i="1" s="1"/>
  <c r="AI161" i="1"/>
  <c r="Z161" i="1"/>
  <c r="Y161" i="1"/>
  <c r="X161" i="1" s="1"/>
  <c r="Q161" i="1"/>
  <c r="O161" i="1"/>
  <c r="K161" i="1"/>
  <c r="AN160" i="1"/>
  <c r="AM160" i="1"/>
  <c r="AL160" i="1" s="1"/>
  <c r="AK160" i="1"/>
  <c r="AJ160" i="1"/>
  <c r="AI160" i="1"/>
  <c r="AH160" i="1"/>
  <c r="AB160" i="1"/>
  <c r="Z160" i="1"/>
  <c r="Y160" i="1"/>
  <c r="X160" i="1" s="1"/>
  <c r="T160" i="1"/>
  <c r="Q160" i="1"/>
  <c r="O160" i="1"/>
  <c r="L160" i="1"/>
  <c r="K160" i="1"/>
  <c r="J160" i="1"/>
  <c r="I160" i="1"/>
  <c r="AN159" i="1"/>
  <c r="AM159" i="1"/>
  <c r="AK159" i="1"/>
  <c r="AJ159" i="1"/>
  <c r="AH159" i="1" s="1"/>
  <c r="L159" i="1" s="1"/>
  <c r="Z159" i="1"/>
  <c r="Y159" i="1"/>
  <c r="X159" i="1" s="1"/>
  <c r="Q159" i="1"/>
  <c r="O159" i="1"/>
  <c r="K159" i="1"/>
  <c r="J159" i="1"/>
  <c r="I159" i="1" s="1"/>
  <c r="AN158" i="1"/>
  <c r="AM158" i="1"/>
  <c r="AK158" i="1"/>
  <c r="AJ158" i="1"/>
  <c r="AH158" i="1"/>
  <c r="Z158" i="1"/>
  <c r="Y158" i="1"/>
  <c r="X158" i="1"/>
  <c r="Q158" i="1"/>
  <c r="AN157" i="1"/>
  <c r="AM157" i="1"/>
  <c r="AK157" i="1"/>
  <c r="AJ157" i="1"/>
  <c r="AH157" i="1" s="1"/>
  <c r="K157" i="1" s="1"/>
  <c r="Z157" i="1"/>
  <c r="Y157" i="1"/>
  <c r="X157" i="1" s="1"/>
  <c r="T157" i="1"/>
  <c r="Q157" i="1"/>
  <c r="O157" i="1"/>
  <c r="L157" i="1"/>
  <c r="AN156" i="1"/>
  <c r="AM156" i="1"/>
  <c r="AK156" i="1"/>
  <c r="AJ156" i="1"/>
  <c r="AH156" i="1" s="1"/>
  <c r="Z156" i="1"/>
  <c r="Y156" i="1"/>
  <c r="X156" i="1" s="1"/>
  <c r="Q156" i="1"/>
  <c r="K156" i="1"/>
  <c r="AN155" i="1"/>
  <c r="AM155" i="1"/>
  <c r="AK155" i="1"/>
  <c r="AL155" i="1" s="1"/>
  <c r="AJ155" i="1"/>
  <c r="AH155" i="1" s="1"/>
  <c r="AI155" i="1" s="1"/>
  <c r="Z155" i="1"/>
  <c r="Y155" i="1"/>
  <c r="X155" i="1" s="1"/>
  <c r="Q155" i="1"/>
  <c r="AN154" i="1"/>
  <c r="AM154" i="1"/>
  <c r="AK154" i="1"/>
  <c r="AL154" i="1" s="1"/>
  <c r="AJ154" i="1"/>
  <c r="AI154" i="1"/>
  <c r="AH154" i="1"/>
  <c r="L154" i="1" s="1"/>
  <c r="Z154" i="1"/>
  <c r="Y154" i="1"/>
  <c r="X154" i="1" s="1"/>
  <c r="Q154" i="1"/>
  <c r="O154" i="1"/>
  <c r="K154" i="1"/>
  <c r="AN153" i="1"/>
  <c r="T153" i="1" s="1"/>
  <c r="AM153" i="1"/>
  <c r="AK153" i="1"/>
  <c r="AJ153" i="1"/>
  <c r="AI153" i="1"/>
  <c r="AH153" i="1"/>
  <c r="J153" i="1" s="1"/>
  <c r="I153" i="1" s="1"/>
  <c r="Z153" i="1"/>
  <c r="Y153" i="1"/>
  <c r="X153" i="1" s="1"/>
  <c r="Q153" i="1"/>
  <c r="O153" i="1"/>
  <c r="L153" i="1"/>
  <c r="K153" i="1"/>
  <c r="AN152" i="1"/>
  <c r="AM152" i="1"/>
  <c r="AK152" i="1"/>
  <c r="AJ152" i="1"/>
  <c r="AH152" i="1" s="1"/>
  <c r="Z152" i="1"/>
  <c r="Y152" i="1"/>
  <c r="X152" i="1" s="1"/>
  <c r="Q152" i="1"/>
  <c r="K152" i="1"/>
  <c r="AN151" i="1"/>
  <c r="AM151" i="1"/>
  <c r="AK151" i="1"/>
  <c r="AL151" i="1" s="1"/>
  <c r="AJ151" i="1"/>
  <c r="AH151" i="1" s="1"/>
  <c r="AI151" i="1"/>
  <c r="Z151" i="1"/>
  <c r="Y151" i="1"/>
  <c r="X151" i="1" s="1"/>
  <c r="Q151" i="1"/>
  <c r="AN150" i="1"/>
  <c r="AM150" i="1"/>
  <c r="AK150" i="1"/>
  <c r="AL150" i="1" s="1"/>
  <c r="AJ150" i="1"/>
  <c r="AI150" i="1"/>
  <c r="AH150" i="1"/>
  <c r="L150" i="1" s="1"/>
  <c r="Z150" i="1"/>
  <c r="Y150" i="1"/>
  <c r="X150" i="1" s="1"/>
  <c r="Q150" i="1"/>
  <c r="O150" i="1"/>
  <c r="K150" i="1"/>
  <c r="AN149" i="1"/>
  <c r="AM149" i="1"/>
  <c r="AK149" i="1"/>
  <c r="AJ149" i="1"/>
  <c r="AI149" i="1"/>
  <c r="AH149" i="1"/>
  <c r="J149" i="1" s="1"/>
  <c r="I149" i="1" s="1"/>
  <c r="Z149" i="1"/>
  <c r="Y149" i="1"/>
  <c r="X149" i="1" s="1"/>
  <c r="Q149" i="1"/>
  <c r="O149" i="1"/>
  <c r="L149" i="1"/>
  <c r="K149" i="1"/>
  <c r="AN148" i="1"/>
  <c r="AM148" i="1"/>
  <c r="AK148" i="1"/>
  <c r="AJ148" i="1"/>
  <c r="AH148" i="1" s="1"/>
  <c r="Z148" i="1"/>
  <c r="Y148" i="1"/>
  <c r="X148" i="1" s="1"/>
  <c r="Q148" i="1"/>
  <c r="K148" i="1"/>
  <c r="AN147" i="1"/>
  <c r="AM147" i="1"/>
  <c r="AK147" i="1"/>
  <c r="AL147" i="1" s="1"/>
  <c r="AJ147" i="1"/>
  <c r="AH147" i="1" s="1"/>
  <c r="AI147" i="1"/>
  <c r="Z147" i="1"/>
  <c r="Y147" i="1"/>
  <c r="X147" i="1" s="1"/>
  <c r="Q147" i="1"/>
  <c r="AN146" i="1"/>
  <c r="AM146" i="1"/>
  <c r="AK146" i="1"/>
  <c r="AL146" i="1" s="1"/>
  <c r="AJ146" i="1"/>
  <c r="AI146" i="1"/>
  <c r="AH146" i="1"/>
  <c r="L146" i="1" s="1"/>
  <c r="Z146" i="1"/>
  <c r="Y146" i="1"/>
  <c r="X146" i="1" s="1"/>
  <c r="Q146" i="1"/>
  <c r="O146" i="1"/>
  <c r="K146" i="1"/>
  <c r="AN145" i="1"/>
  <c r="AM145" i="1"/>
  <c r="AK145" i="1"/>
  <c r="AL145" i="1" s="1"/>
  <c r="AJ145" i="1"/>
  <c r="AI145" i="1"/>
  <c r="AH145" i="1"/>
  <c r="J145" i="1" s="1"/>
  <c r="Z145" i="1"/>
  <c r="Y145" i="1"/>
  <c r="X145" i="1" s="1"/>
  <c r="Q145" i="1"/>
  <c r="O145" i="1"/>
  <c r="L145" i="1"/>
  <c r="K145" i="1"/>
  <c r="I145" i="1"/>
  <c r="AN144" i="1"/>
  <c r="AM144" i="1"/>
  <c r="AK144" i="1"/>
  <c r="AJ144" i="1"/>
  <c r="AH144" i="1" s="1"/>
  <c r="Z144" i="1"/>
  <c r="Y144" i="1"/>
  <c r="X144" i="1" s="1"/>
  <c r="Q144" i="1"/>
  <c r="O144" i="1"/>
  <c r="AN143" i="1"/>
  <c r="AM143" i="1"/>
  <c r="AK143" i="1"/>
  <c r="AL143" i="1" s="1"/>
  <c r="AJ143" i="1"/>
  <c r="AH143" i="1" s="1"/>
  <c r="AI143" i="1"/>
  <c r="Z143" i="1"/>
  <c r="Y143" i="1"/>
  <c r="X143" i="1" s="1"/>
  <c r="Q143" i="1"/>
  <c r="K143" i="1"/>
  <c r="AN142" i="1"/>
  <c r="AM142" i="1"/>
  <c r="AK142" i="1"/>
  <c r="AJ142" i="1"/>
  <c r="AI142" i="1"/>
  <c r="AH142" i="1"/>
  <c r="L142" i="1" s="1"/>
  <c r="Z142" i="1"/>
  <c r="Y142" i="1"/>
  <c r="X142" i="1" s="1"/>
  <c r="Q142" i="1"/>
  <c r="O142" i="1"/>
  <c r="K142" i="1"/>
  <c r="AN141" i="1"/>
  <c r="AM141" i="1"/>
  <c r="AK141" i="1"/>
  <c r="AJ141" i="1"/>
  <c r="AI141" i="1"/>
  <c r="AH141" i="1"/>
  <c r="J141" i="1" s="1"/>
  <c r="I141" i="1" s="1"/>
  <c r="Z141" i="1"/>
  <c r="Y141" i="1"/>
  <c r="X141" i="1" s="1"/>
  <c r="Q141" i="1"/>
  <c r="O141" i="1"/>
  <c r="L141" i="1"/>
  <c r="K141" i="1"/>
  <c r="AN140" i="1"/>
  <c r="AM140" i="1"/>
  <c r="AK140" i="1"/>
  <c r="AJ140" i="1"/>
  <c r="AH140" i="1" s="1"/>
  <c r="AI140" i="1"/>
  <c r="Z140" i="1"/>
  <c r="Y140" i="1"/>
  <c r="X140" i="1" s="1"/>
  <c r="Q140" i="1"/>
  <c r="AN139" i="1"/>
  <c r="AM139" i="1"/>
  <c r="AK139" i="1"/>
  <c r="AJ139" i="1"/>
  <c r="AH139" i="1" s="1"/>
  <c r="L139" i="1" s="1"/>
  <c r="Z139" i="1"/>
  <c r="Y139" i="1"/>
  <c r="X139" i="1" s="1"/>
  <c r="Q139" i="1"/>
  <c r="K139" i="1"/>
  <c r="J139" i="1"/>
  <c r="I139" i="1" s="1"/>
  <c r="AN138" i="1"/>
  <c r="AM138" i="1"/>
  <c r="AK138" i="1"/>
  <c r="AJ138" i="1"/>
  <c r="AH138" i="1"/>
  <c r="Z138" i="1"/>
  <c r="Y138" i="1"/>
  <c r="X138" i="1" s="1"/>
  <c r="Q138" i="1"/>
  <c r="AN137" i="1"/>
  <c r="AM137" i="1"/>
  <c r="AK137" i="1"/>
  <c r="AJ137" i="1"/>
  <c r="AI137" i="1"/>
  <c r="AH137" i="1"/>
  <c r="J137" i="1" s="1"/>
  <c r="I137" i="1" s="1"/>
  <c r="Z137" i="1"/>
  <c r="Y137" i="1"/>
  <c r="X137" i="1" s="1"/>
  <c r="Q137" i="1"/>
  <c r="O137" i="1"/>
  <c r="L137" i="1"/>
  <c r="K137" i="1"/>
  <c r="AN136" i="1"/>
  <c r="AM136" i="1"/>
  <c r="AL136" i="1"/>
  <c r="AK136" i="1"/>
  <c r="T136" i="1" s="1"/>
  <c r="AJ136" i="1"/>
  <c r="AH136" i="1" s="1"/>
  <c r="AI136" i="1" s="1"/>
  <c r="Z136" i="1"/>
  <c r="Y136" i="1"/>
  <c r="Q136" i="1"/>
  <c r="O136" i="1"/>
  <c r="L136" i="1"/>
  <c r="K136" i="1"/>
  <c r="J136" i="1"/>
  <c r="I136" i="1"/>
  <c r="AB136" i="1" s="1"/>
  <c r="AN135" i="1"/>
  <c r="AM135" i="1"/>
  <c r="AL135" i="1" s="1"/>
  <c r="AK135" i="1"/>
  <c r="AJ135" i="1"/>
  <c r="AH135" i="1" s="1"/>
  <c r="Z135" i="1"/>
  <c r="Y135" i="1"/>
  <c r="X135" i="1" s="1"/>
  <c r="T135" i="1"/>
  <c r="Q135" i="1"/>
  <c r="AN134" i="1"/>
  <c r="AM134" i="1"/>
  <c r="AK134" i="1"/>
  <c r="AJ134" i="1"/>
  <c r="AH134" i="1"/>
  <c r="Z134" i="1"/>
  <c r="Y134" i="1"/>
  <c r="X134" i="1"/>
  <c r="Q134" i="1"/>
  <c r="AN133" i="1"/>
  <c r="AM133" i="1"/>
  <c r="AL133" i="1"/>
  <c r="AK133" i="1"/>
  <c r="AJ133" i="1"/>
  <c r="AH133" i="1"/>
  <c r="J133" i="1" s="1"/>
  <c r="I133" i="1" s="1"/>
  <c r="AB133" i="1"/>
  <c r="Z133" i="1"/>
  <c r="Y133" i="1"/>
  <c r="X133" i="1"/>
  <c r="T133" i="1"/>
  <c r="Q133" i="1"/>
  <c r="L133" i="1"/>
  <c r="K133" i="1"/>
  <c r="AN132" i="1"/>
  <c r="AM132" i="1"/>
  <c r="AK132" i="1"/>
  <c r="AL132" i="1" s="1"/>
  <c r="AJ132" i="1"/>
  <c r="AH132" i="1" s="1"/>
  <c r="J132" i="1" s="1"/>
  <c r="I132" i="1" s="1"/>
  <c r="Z132" i="1"/>
  <c r="Y132" i="1"/>
  <c r="Q132" i="1"/>
  <c r="AN131" i="1"/>
  <c r="AM131" i="1"/>
  <c r="AL131" i="1"/>
  <c r="AK131" i="1"/>
  <c r="AJ131" i="1"/>
  <c r="AH131" i="1"/>
  <c r="Z131" i="1"/>
  <c r="Y131" i="1"/>
  <c r="X131" i="1"/>
  <c r="T131" i="1"/>
  <c r="Q131" i="1"/>
  <c r="AN130" i="1"/>
  <c r="AM130" i="1"/>
  <c r="AK130" i="1"/>
  <c r="AL130" i="1" s="1"/>
  <c r="AJ130" i="1"/>
  <c r="AH130" i="1" s="1"/>
  <c r="Z130" i="1"/>
  <c r="Y130" i="1"/>
  <c r="X130" i="1" s="1"/>
  <c r="Q130" i="1"/>
  <c r="AN129" i="1"/>
  <c r="AM129" i="1"/>
  <c r="AL129" i="1"/>
  <c r="AK129" i="1"/>
  <c r="AJ129" i="1"/>
  <c r="AH129" i="1"/>
  <c r="J129" i="1" s="1"/>
  <c r="I129" i="1" s="1"/>
  <c r="AB129" i="1" s="1"/>
  <c r="Z129" i="1"/>
  <c r="Y129" i="1"/>
  <c r="X129" i="1"/>
  <c r="T129" i="1"/>
  <c r="Q129" i="1"/>
  <c r="L129" i="1"/>
  <c r="K129" i="1"/>
  <c r="AN128" i="1"/>
  <c r="AM128" i="1"/>
  <c r="AK128" i="1"/>
  <c r="AL128" i="1" s="1"/>
  <c r="AJ128" i="1"/>
  <c r="AH128" i="1" s="1"/>
  <c r="Z128" i="1"/>
  <c r="Y128" i="1"/>
  <c r="Q128" i="1"/>
  <c r="AN127" i="1"/>
  <c r="AM127" i="1"/>
  <c r="AL127" i="1"/>
  <c r="AK127" i="1"/>
  <c r="AJ127" i="1"/>
  <c r="AH127" i="1"/>
  <c r="Z127" i="1"/>
  <c r="Y127" i="1"/>
  <c r="X127" i="1"/>
  <c r="T127" i="1"/>
  <c r="Q127" i="1"/>
  <c r="AN126" i="1"/>
  <c r="AM126" i="1"/>
  <c r="AK126" i="1"/>
  <c r="AL126" i="1" s="1"/>
  <c r="AJ126" i="1"/>
  <c r="AH126" i="1" s="1"/>
  <c r="Z126" i="1"/>
  <c r="Y126" i="1"/>
  <c r="X126" i="1" s="1"/>
  <c r="Q126" i="1"/>
  <c r="AN125" i="1"/>
  <c r="AM125" i="1"/>
  <c r="AL125" i="1"/>
  <c r="AK125" i="1"/>
  <c r="AJ125" i="1"/>
  <c r="AH125" i="1"/>
  <c r="J125" i="1" s="1"/>
  <c r="I125" i="1" s="1"/>
  <c r="Z125" i="1"/>
  <c r="Y125" i="1"/>
  <c r="X125" i="1"/>
  <c r="T125" i="1"/>
  <c r="Q125" i="1"/>
  <c r="L125" i="1"/>
  <c r="K125" i="1"/>
  <c r="AN124" i="1"/>
  <c r="AM124" i="1"/>
  <c r="AK124" i="1"/>
  <c r="AL124" i="1" s="1"/>
  <c r="AJ124" i="1"/>
  <c r="AH124" i="1" s="1"/>
  <c r="J124" i="1" s="1"/>
  <c r="I124" i="1" s="1"/>
  <c r="Z124" i="1"/>
  <c r="Y124" i="1"/>
  <c r="X124" i="1" s="1"/>
  <c r="Q124" i="1"/>
  <c r="AN123" i="1"/>
  <c r="AM123" i="1"/>
  <c r="AL123" i="1"/>
  <c r="AK123" i="1"/>
  <c r="AJ123" i="1"/>
  <c r="AH123" i="1"/>
  <c r="Z123" i="1"/>
  <c r="Y123" i="1"/>
  <c r="X123" i="1"/>
  <c r="T123" i="1"/>
  <c r="Q123" i="1"/>
  <c r="AN122" i="1"/>
  <c r="AM122" i="1"/>
  <c r="AK122" i="1"/>
  <c r="AL122" i="1" s="1"/>
  <c r="AJ122" i="1"/>
  <c r="AH122" i="1" s="1"/>
  <c r="Z122" i="1"/>
  <c r="Y122" i="1"/>
  <c r="X122" i="1" s="1"/>
  <c r="Q122" i="1"/>
  <c r="O122" i="1"/>
  <c r="AN121" i="1"/>
  <c r="AM121" i="1"/>
  <c r="AL121" i="1" s="1"/>
  <c r="AK121" i="1"/>
  <c r="AJ121" i="1"/>
  <c r="AH121" i="1"/>
  <c r="J121" i="1" s="1"/>
  <c r="I121" i="1" s="1"/>
  <c r="AB121" i="1"/>
  <c r="Z121" i="1"/>
  <c r="Y121" i="1"/>
  <c r="X121" i="1"/>
  <c r="T121" i="1"/>
  <c r="Q121" i="1"/>
  <c r="L121" i="1"/>
  <c r="K121" i="1"/>
  <c r="AN120" i="1"/>
  <c r="AM120" i="1"/>
  <c r="AK120" i="1"/>
  <c r="AJ120" i="1"/>
  <c r="AH120" i="1" s="1"/>
  <c r="K120" i="1" s="1"/>
  <c r="Z120" i="1"/>
  <c r="Y120" i="1"/>
  <c r="Q120" i="1"/>
  <c r="AN119" i="1"/>
  <c r="AM119" i="1"/>
  <c r="AL119" i="1"/>
  <c r="AK119" i="1"/>
  <c r="AJ119" i="1"/>
  <c r="AI119" i="1"/>
  <c r="AH119" i="1"/>
  <c r="Z119" i="1"/>
  <c r="Y119" i="1"/>
  <c r="X119" i="1"/>
  <c r="T119" i="1"/>
  <c r="Q119" i="1"/>
  <c r="O119" i="1"/>
  <c r="AN118" i="1"/>
  <c r="AM118" i="1"/>
  <c r="AK118" i="1"/>
  <c r="AJ118" i="1"/>
  <c r="AH118" i="1" s="1"/>
  <c r="O118" i="1" s="1"/>
  <c r="Z118" i="1"/>
  <c r="Y118" i="1"/>
  <c r="X118" i="1" s="1"/>
  <c r="Q118" i="1"/>
  <c r="AN117" i="1"/>
  <c r="AM117" i="1"/>
  <c r="AK117" i="1"/>
  <c r="AL117" i="1" s="1"/>
  <c r="AJ117" i="1"/>
  <c r="AH117" i="1"/>
  <c r="Z117" i="1"/>
  <c r="Y117" i="1"/>
  <c r="X117" i="1"/>
  <c r="Q117" i="1"/>
  <c r="L117" i="1"/>
  <c r="K117" i="1"/>
  <c r="AN116" i="1"/>
  <c r="AM116" i="1"/>
  <c r="AK116" i="1"/>
  <c r="AJ116" i="1"/>
  <c r="AH116" i="1" s="1"/>
  <c r="AI116" i="1" s="1"/>
  <c r="Z116" i="1"/>
  <c r="Y116" i="1"/>
  <c r="X116" i="1" s="1"/>
  <c r="Q116" i="1"/>
  <c r="AN115" i="1"/>
  <c r="AM115" i="1"/>
  <c r="AL115" i="1"/>
  <c r="AK115" i="1"/>
  <c r="AJ115" i="1"/>
  <c r="AH115" i="1"/>
  <c r="J115" i="1" s="1"/>
  <c r="Z115" i="1"/>
  <c r="Y115" i="1"/>
  <c r="X115" i="1" s="1"/>
  <c r="T115" i="1"/>
  <c r="Q115" i="1"/>
  <c r="K115" i="1"/>
  <c r="I115" i="1"/>
  <c r="AN114" i="1"/>
  <c r="AM114" i="1"/>
  <c r="AK114" i="1"/>
  <c r="AJ114" i="1"/>
  <c r="AH114" i="1" s="1"/>
  <c r="L114" i="1" s="1"/>
  <c r="Z114" i="1"/>
  <c r="Y114" i="1"/>
  <c r="Q114" i="1"/>
  <c r="O114" i="1"/>
  <c r="AN113" i="1"/>
  <c r="AM113" i="1"/>
  <c r="AL113" i="1"/>
  <c r="AK113" i="1"/>
  <c r="AJ113" i="1"/>
  <c r="AI113" i="1"/>
  <c r="AH113" i="1"/>
  <c r="J113" i="1" s="1"/>
  <c r="Z113" i="1"/>
  <c r="Y113" i="1"/>
  <c r="X113" i="1" s="1"/>
  <c r="T113" i="1"/>
  <c r="Q113" i="1"/>
  <c r="O113" i="1"/>
  <c r="L113" i="1"/>
  <c r="K113" i="1"/>
  <c r="I113" i="1"/>
  <c r="AN112" i="1"/>
  <c r="AM112" i="1"/>
  <c r="AK112" i="1"/>
  <c r="AJ112" i="1"/>
  <c r="AH112" i="1" s="1"/>
  <c r="AI112" i="1" s="1"/>
  <c r="Z112" i="1"/>
  <c r="Y112" i="1"/>
  <c r="T112" i="1"/>
  <c r="Q112" i="1"/>
  <c r="O112" i="1"/>
  <c r="L112" i="1"/>
  <c r="K112" i="1"/>
  <c r="AN111" i="1"/>
  <c r="AM111" i="1"/>
  <c r="AK111" i="1"/>
  <c r="AL111" i="1" s="1"/>
  <c r="AJ111" i="1"/>
  <c r="AH111" i="1" s="1"/>
  <c r="AI111" i="1"/>
  <c r="Z111" i="1"/>
  <c r="Y111" i="1"/>
  <c r="X111" i="1" s="1"/>
  <c r="T111" i="1"/>
  <c r="Q111" i="1"/>
  <c r="O111" i="1"/>
  <c r="AN110" i="1"/>
  <c r="AM110" i="1"/>
  <c r="AL110" i="1" s="1"/>
  <c r="AK110" i="1"/>
  <c r="AJ110" i="1"/>
  <c r="AH110" i="1"/>
  <c r="K110" i="1" s="1"/>
  <c r="Z110" i="1"/>
  <c r="Y110" i="1"/>
  <c r="X110" i="1"/>
  <c r="T110" i="1"/>
  <c r="Q110" i="1"/>
  <c r="O110" i="1"/>
  <c r="L110" i="1"/>
  <c r="AN109" i="1"/>
  <c r="AM109" i="1"/>
  <c r="AK109" i="1"/>
  <c r="AJ109" i="1"/>
  <c r="AH109" i="1" s="1"/>
  <c r="Z109" i="1"/>
  <c r="Y109" i="1"/>
  <c r="X109" i="1" s="1"/>
  <c r="Q109" i="1"/>
  <c r="AN108" i="1"/>
  <c r="AM108" i="1"/>
  <c r="AK108" i="1"/>
  <c r="AJ108" i="1"/>
  <c r="AI108" i="1"/>
  <c r="AH108" i="1"/>
  <c r="Z108" i="1"/>
  <c r="Y108" i="1"/>
  <c r="X108" i="1"/>
  <c r="Q108" i="1"/>
  <c r="K108" i="1"/>
  <c r="AN107" i="1"/>
  <c r="AM107" i="1"/>
  <c r="AK107" i="1"/>
  <c r="AL107" i="1" s="1"/>
  <c r="AJ107" i="1"/>
  <c r="AH107" i="1" s="1"/>
  <c r="AI107" i="1"/>
  <c r="Z107" i="1"/>
  <c r="Y107" i="1"/>
  <c r="X107" i="1" s="1"/>
  <c r="Q107" i="1"/>
  <c r="O107" i="1"/>
  <c r="AN106" i="1"/>
  <c r="AM106" i="1"/>
  <c r="AL106" i="1" s="1"/>
  <c r="AK106" i="1"/>
  <c r="AJ106" i="1"/>
  <c r="AH106" i="1"/>
  <c r="K106" i="1" s="1"/>
  <c r="Z106" i="1"/>
  <c r="Y106" i="1"/>
  <c r="X106" i="1"/>
  <c r="T106" i="1"/>
  <c r="Q106" i="1"/>
  <c r="O106" i="1"/>
  <c r="L106" i="1"/>
  <c r="AN105" i="1"/>
  <c r="AM105" i="1"/>
  <c r="AK105" i="1"/>
  <c r="AJ105" i="1"/>
  <c r="AH105" i="1" s="1"/>
  <c r="Z105" i="1"/>
  <c r="Y105" i="1"/>
  <c r="Q105" i="1"/>
  <c r="AN104" i="1"/>
  <c r="AM104" i="1"/>
  <c r="AK104" i="1"/>
  <c r="AJ104" i="1"/>
  <c r="AI104" i="1"/>
  <c r="AH104" i="1"/>
  <c r="Z104" i="1"/>
  <c r="Y104" i="1"/>
  <c r="X104" i="1"/>
  <c r="Q104" i="1"/>
  <c r="K104" i="1"/>
  <c r="AN103" i="1"/>
  <c r="AM103" i="1"/>
  <c r="AK103" i="1"/>
  <c r="AL103" i="1" s="1"/>
  <c r="AJ103" i="1"/>
  <c r="AH103" i="1" s="1"/>
  <c r="AI103" i="1"/>
  <c r="Z103" i="1"/>
  <c r="Y103" i="1"/>
  <c r="X103" i="1" s="1"/>
  <c r="Q103" i="1"/>
  <c r="O103" i="1"/>
  <c r="AN102" i="1"/>
  <c r="AM102" i="1"/>
  <c r="AL102" i="1" s="1"/>
  <c r="AK102" i="1"/>
  <c r="AJ102" i="1"/>
  <c r="AH102" i="1"/>
  <c r="K102" i="1" s="1"/>
  <c r="Z102" i="1"/>
  <c r="Y102" i="1"/>
  <c r="X102" i="1"/>
  <c r="T102" i="1"/>
  <c r="Q102" i="1"/>
  <c r="O102" i="1"/>
  <c r="L102" i="1"/>
  <c r="AN101" i="1"/>
  <c r="AM101" i="1"/>
  <c r="AK101" i="1"/>
  <c r="AJ101" i="1"/>
  <c r="AH101" i="1" s="1"/>
  <c r="Z101" i="1"/>
  <c r="Y101" i="1"/>
  <c r="Q101" i="1"/>
  <c r="AN100" i="1"/>
  <c r="AM100" i="1"/>
  <c r="AK100" i="1"/>
  <c r="AJ100" i="1"/>
  <c r="AI100" i="1"/>
  <c r="AH100" i="1"/>
  <c r="Z100" i="1"/>
  <c r="Y100" i="1"/>
  <c r="X100" i="1"/>
  <c r="Q100" i="1"/>
  <c r="K100" i="1"/>
  <c r="AN99" i="1"/>
  <c r="AM99" i="1"/>
  <c r="AK99" i="1"/>
  <c r="AL99" i="1" s="1"/>
  <c r="AJ99" i="1"/>
  <c r="AH99" i="1" s="1"/>
  <c r="AI99" i="1"/>
  <c r="Z99" i="1"/>
  <c r="Y99" i="1"/>
  <c r="X99" i="1" s="1"/>
  <c r="Q99" i="1"/>
  <c r="O99" i="1"/>
  <c r="AN98" i="1"/>
  <c r="AM98" i="1"/>
  <c r="AL98" i="1" s="1"/>
  <c r="AK98" i="1"/>
  <c r="AJ98" i="1"/>
  <c r="AH98" i="1"/>
  <c r="K98" i="1" s="1"/>
  <c r="Z98" i="1"/>
  <c r="Y98" i="1"/>
  <c r="X98" i="1"/>
  <c r="T98" i="1"/>
  <c r="Q98" i="1"/>
  <c r="O98" i="1"/>
  <c r="L98" i="1"/>
  <c r="AN97" i="1"/>
  <c r="AM97" i="1"/>
  <c r="AK97" i="1"/>
  <c r="AJ97" i="1"/>
  <c r="AH97" i="1" s="1"/>
  <c r="Z97" i="1"/>
  <c r="Y97" i="1"/>
  <c r="Q97" i="1"/>
  <c r="AN96" i="1"/>
  <c r="AM96" i="1"/>
  <c r="AK96" i="1"/>
  <c r="AL96" i="1" s="1"/>
  <c r="AJ96" i="1"/>
  <c r="AI96" i="1"/>
  <c r="AH96" i="1"/>
  <c r="Z96" i="1"/>
  <c r="Y96" i="1"/>
  <c r="X96" i="1"/>
  <c r="T96" i="1"/>
  <c r="Q96" i="1"/>
  <c r="K96" i="1"/>
  <c r="AN95" i="1"/>
  <c r="AM95" i="1"/>
  <c r="AK95" i="1"/>
  <c r="AL95" i="1" s="1"/>
  <c r="AJ95" i="1"/>
  <c r="AH95" i="1" s="1"/>
  <c r="Z95" i="1"/>
  <c r="Y95" i="1"/>
  <c r="X95" i="1" s="1"/>
  <c r="Q95" i="1"/>
  <c r="AN94" i="1"/>
  <c r="AM94" i="1"/>
  <c r="AL94" i="1"/>
  <c r="AK94" i="1"/>
  <c r="AJ94" i="1"/>
  <c r="AH94" i="1"/>
  <c r="Z94" i="1"/>
  <c r="Y94" i="1"/>
  <c r="X94" i="1"/>
  <c r="T94" i="1"/>
  <c r="Q94" i="1"/>
  <c r="O94" i="1"/>
  <c r="L94" i="1"/>
  <c r="AN93" i="1"/>
  <c r="AM93" i="1"/>
  <c r="AK93" i="1"/>
  <c r="AJ93" i="1"/>
  <c r="AH93" i="1" s="1"/>
  <c r="Z93" i="1"/>
  <c r="Y93" i="1"/>
  <c r="Q93" i="1"/>
  <c r="J93" i="1"/>
  <c r="I93" i="1" s="1"/>
  <c r="AB93" i="1" s="1"/>
  <c r="AN92" i="1"/>
  <c r="AM92" i="1"/>
  <c r="AK92" i="1"/>
  <c r="AL92" i="1" s="1"/>
  <c r="AJ92" i="1"/>
  <c r="AI92" i="1"/>
  <c r="AH92" i="1"/>
  <c r="Z92" i="1"/>
  <c r="Y92" i="1"/>
  <c r="X92" i="1"/>
  <c r="T92" i="1"/>
  <c r="Q92" i="1"/>
  <c r="L92" i="1"/>
  <c r="K92" i="1"/>
  <c r="AN91" i="1"/>
  <c r="AM91" i="1"/>
  <c r="AK91" i="1"/>
  <c r="AL91" i="1" s="1"/>
  <c r="AJ91" i="1"/>
  <c r="AH91" i="1" s="1"/>
  <c r="O91" i="1" s="1"/>
  <c r="AI91" i="1"/>
  <c r="Z91" i="1"/>
  <c r="Y91" i="1"/>
  <c r="X91" i="1" s="1"/>
  <c r="Q91" i="1"/>
  <c r="J91" i="1"/>
  <c r="I91" i="1"/>
  <c r="AB91" i="1" s="1"/>
  <c r="AN90" i="1"/>
  <c r="AM90" i="1"/>
  <c r="AL90" i="1" s="1"/>
  <c r="AK90" i="1"/>
  <c r="AJ90" i="1"/>
  <c r="AH90" i="1"/>
  <c r="Z90" i="1"/>
  <c r="Y90" i="1"/>
  <c r="X90" i="1"/>
  <c r="T90" i="1"/>
  <c r="Q90" i="1"/>
  <c r="O90" i="1"/>
  <c r="L90" i="1"/>
  <c r="AN89" i="1"/>
  <c r="AM89" i="1"/>
  <c r="AK89" i="1"/>
  <c r="AJ89" i="1"/>
  <c r="AH89" i="1" s="1"/>
  <c r="Z89" i="1"/>
  <c r="Y89" i="1"/>
  <c r="Q89" i="1"/>
  <c r="AN88" i="1"/>
  <c r="AM88" i="1"/>
  <c r="AL88" i="1"/>
  <c r="AK88" i="1"/>
  <c r="T88" i="1" s="1"/>
  <c r="AJ88" i="1"/>
  <c r="AI88" i="1"/>
  <c r="AH88" i="1"/>
  <c r="Z88" i="1"/>
  <c r="Y88" i="1"/>
  <c r="X88" i="1" s="1"/>
  <c r="Q88" i="1"/>
  <c r="L88" i="1"/>
  <c r="K88" i="1"/>
  <c r="AN87" i="1"/>
  <c r="AM87" i="1"/>
  <c r="AK87" i="1"/>
  <c r="AL87" i="1" s="1"/>
  <c r="AJ87" i="1"/>
  <c r="AH87" i="1" s="1"/>
  <c r="AI87" i="1" s="1"/>
  <c r="Z87" i="1"/>
  <c r="Y87" i="1"/>
  <c r="Q87" i="1"/>
  <c r="O87" i="1"/>
  <c r="J87" i="1"/>
  <c r="I87" i="1" s="1"/>
  <c r="AN86" i="1"/>
  <c r="AM86" i="1"/>
  <c r="AK86" i="1"/>
  <c r="AJ86" i="1"/>
  <c r="AH86" i="1"/>
  <c r="Z86" i="1"/>
  <c r="Y86" i="1"/>
  <c r="X86" i="1"/>
  <c r="Q86" i="1"/>
  <c r="O86" i="1"/>
  <c r="L86" i="1"/>
  <c r="K86" i="1"/>
  <c r="AN85" i="1"/>
  <c r="AM85" i="1"/>
  <c r="AK85" i="1"/>
  <c r="AJ85" i="1"/>
  <c r="AH85" i="1" s="1"/>
  <c r="AI85" i="1"/>
  <c r="Z85" i="1"/>
  <c r="Y85" i="1"/>
  <c r="Q85" i="1"/>
  <c r="AN84" i="1"/>
  <c r="AM84" i="1"/>
  <c r="AK84" i="1"/>
  <c r="AL84" i="1" s="1"/>
  <c r="AJ84" i="1"/>
  <c r="AH84" i="1"/>
  <c r="J84" i="1" s="1"/>
  <c r="I84" i="1" s="1"/>
  <c r="AB84" i="1"/>
  <c r="Z84" i="1"/>
  <c r="Y84" i="1"/>
  <c r="X84" i="1" s="1"/>
  <c r="Q84" i="1"/>
  <c r="L84" i="1"/>
  <c r="AN83" i="1"/>
  <c r="AM83" i="1"/>
  <c r="AK83" i="1"/>
  <c r="AL83" i="1" s="1"/>
  <c r="AJ83" i="1"/>
  <c r="AH83" i="1" s="1"/>
  <c r="Z83" i="1"/>
  <c r="Y83" i="1"/>
  <c r="X83" i="1" s="1"/>
  <c r="Q83" i="1"/>
  <c r="J83" i="1"/>
  <c r="I83" i="1" s="1"/>
  <c r="AN82" i="1"/>
  <c r="AM82" i="1"/>
  <c r="AL82" i="1" s="1"/>
  <c r="AK82" i="1"/>
  <c r="AJ82" i="1"/>
  <c r="AH82" i="1"/>
  <c r="Z82" i="1"/>
  <c r="Y82" i="1"/>
  <c r="X82" i="1"/>
  <c r="T82" i="1"/>
  <c r="Q82" i="1"/>
  <c r="O82" i="1"/>
  <c r="AN81" i="1"/>
  <c r="AM81" i="1"/>
  <c r="AK81" i="1"/>
  <c r="T81" i="1" s="1"/>
  <c r="AJ81" i="1"/>
  <c r="AH81" i="1" s="1"/>
  <c r="Z81" i="1"/>
  <c r="Y81" i="1"/>
  <c r="X81" i="1" s="1"/>
  <c r="Q81" i="1"/>
  <c r="O81" i="1"/>
  <c r="AN80" i="1"/>
  <c r="AM80" i="1"/>
  <c r="AL80" i="1" s="1"/>
  <c r="AK80" i="1"/>
  <c r="AJ80" i="1"/>
  <c r="AH80" i="1" s="1"/>
  <c r="Z80" i="1"/>
  <c r="Y80" i="1"/>
  <c r="X80" i="1" s="1"/>
  <c r="T80" i="1"/>
  <c r="Q80" i="1"/>
  <c r="AN79" i="1"/>
  <c r="AM79" i="1"/>
  <c r="AK79" i="1"/>
  <c r="AJ79" i="1"/>
  <c r="AH79" i="1"/>
  <c r="AI79" i="1" s="1"/>
  <c r="Z79" i="1"/>
  <c r="Y79" i="1"/>
  <c r="X79" i="1"/>
  <c r="Q79" i="1"/>
  <c r="L79" i="1"/>
  <c r="K79" i="1"/>
  <c r="AN78" i="1"/>
  <c r="AM78" i="1"/>
  <c r="AK78" i="1"/>
  <c r="AL78" i="1" s="1"/>
  <c r="AJ78" i="1"/>
  <c r="AH78" i="1" s="1"/>
  <c r="AI78" i="1" s="1"/>
  <c r="Z78" i="1"/>
  <c r="Y78" i="1"/>
  <c r="X78" i="1" s="1"/>
  <c r="Q78" i="1"/>
  <c r="AN77" i="1"/>
  <c r="AM77" i="1"/>
  <c r="AL77" i="1"/>
  <c r="AK77" i="1"/>
  <c r="AJ77" i="1"/>
  <c r="AH77" i="1"/>
  <c r="L77" i="1" s="1"/>
  <c r="Z77" i="1"/>
  <c r="Y77" i="1"/>
  <c r="X77" i="1"/>
  <c r="T77" i="1"/>
  <c r="Q77" i="1"/>
  <c r="O77" i="1"/>
  <c r="AN76" i="1"/>
  <c r="T76" i="1" s="1"/>
  <c r="AM76" i="1"/>
  <c r="AL76" i="1" s="1"/>
  <c r="AK76" i="1"/>
  <c r="AJ76" i="1"/>
  <c r="AH76" i="1" s="1"/>
  <c r="Z76" i="1"/>
  <c r="Y76" i="1"/>
  <c r="X76" i="1" s="1"/>
  <c r="Q76" i="1"/>
  <c r="AN75" i="1"/>
  <c r="AM75" i="1"/>
  <c r="AK75" i="1"/>
  <c r="AJ75" i="1"/>
  <c r="AH75" i="1"/>
  <c r="AI75" i="1" s="1"/>
  <c r="Z75" i="1"/>
  <c r="Y75" i="1"/>
  <c r="X75" i="1"/>
  <c r="Q75" i="1"/>
  <c r="L75" i="1"/>
  <c r="K75" i="1"/>
  <c r="AN74" i="1"/>
  <c r="AM74" i="1"/>
  <c r="AK74" i="1"/>
  <c r="AL74" i="1" s="1"/>
  <c r="AJ74" i="1"/>
  <c r="AH74" i="1" s="1"/>
  <c r="AI74" i="1" s="1"/>
  <c r="Z74" i="1"/>
  <c r="Y74" i="1"/>
  <c r="X74" i="1" s="1"/>
  <c r="Q74" i="1"/>
  <c r="AN73" i="1"/>
  <c r="AM73" i="1"/>
  <c r="AL73" i="1"/>
  <c r="AK73" i="1"/>
  <c r="AJ73" i="1"/>
  <c r="AH73" i="1"/>
  <c r="L73" i="1" s="1"/>
  <c r="Z73" i="1"/>
  <c r="Y73" i="1"/>
  <c r="X73" i="1"/>
  <c r="T73" i="1"/>
  <c r="Q73" i="1"/>
  <c r="O73" i="1"/>
  <c r="AN72" i="1"/>
  <c r="T72" i="1" s="1"/>
  <c r="AM72" i="1"/>
  <c r="AL72" i="1" s="1"/>
  <c r="AK72" i="1"/>
  <c r="AJ72" i="1"/>
  <c r="AH72" i="1" s="1"/>
  <c r="Z72" i="1"/>
  <c r="Y72" i="1"/>
  <c r="X72" i="1" s="1"/>
  <c r="Q72" i="1"/>
  <c r="AN71" i="1"/>
  <c r="AM71" i="1"/>
  <c r="AK71" i="1"/>
  <c r="AJ71" i="1"/>
  <c r="AH71" i="1"/>
  <c r="AI71" i="1" s="1"/>
  <c r="Z71" i="1"/>
  <c r="Y71" i="1"/>
  <c r="X71" i="1"/>
  <c r="Q71" i="1"/>
  <c r="L71" i="1"/>
  <c r="K71" i="1"/>
  <c r="AN70" i="1"/>
  <c r="AM70" i="1"/>
  <c r="AK70" i="1"/>
  <c r="AL70" i="1" s="1"/>
  <c r="AJ70" i="1"/>
  <c r="AH70" i="1" s="1"/>
  <c r="AI70" i="1" s="1"/>
  <c r="Z70" i="1"/>
  <c r="Y70" i="1"/>
  <c r="X70" i="1" s="1"/>
  <c r="Q70" i="1"/>
  <c r="AN69" i="1"/>
  <c r="AM69" i="1"/>
  <c r="AL69" i="1"/>
  <c r="AK69" i="1"/>
  <c r="AJ69" i="1"/>
  <c r="AH69" i="1"/>
  <c r="L69" i="1" s="1"/>
  <c r="Z69" i="1"/>
  <c r="Y69" i="1"/>
  <c r="X69" i="1"/>
  <c r="T69" i="1"/>
  <c r="Q69" i="1"/>
  <c r="O69" i="1"/>
  <c r="AN68" i="1"/>
  <c r="T68" i="1" s="1"/>
  <c r="AM68" i="1"/>
  <c r="AL68" i="1" s="1"/>
  <c r="AK68" i="1"/>
  <c r="AJ68" i="1"/>
  <c r="AH68" i="1" s="1"/>
  <c r="Z68" i="1"/>
  <c r="Y68" i="1"/>
  <c r="X68" i="1" s="1"/>
  <c r="Q68" i="1"/>
  <c r="AN67" i="1"/>
  <c r="AM67" i="1"/>
  <c r="AK67" i="1"/>
  <c r="AJ67" i="1"/>
  <c r="AH67" i="1"/>
  <c r="AI67" i="1" s="1"/>
  <c r="Z67" i="1"/>
  <c r="Y67" i="1"/>
  <c r="X67" i="1"/>
  <c r="Q67" i="1"/>
  <c r="L67" i="1"/>
  <c r="K67" i="1"/>
  <c r="AN66" i="1"/>
  <c r="AM66" i="1"/>
  <c r="AK66" i="1"/>
  <c r="AL66" i="1" s="1"/>
  <c r="AJ66" i="1"/>
  <c r="AH66" i="1" s="1"/>
  <c r="AI66" i="1"/>
  <c r="Z66" i="1"/>
  <c r="Y66" i="1"/>
  <c r="X66" i="1" s="1"/>
  <c r="Q66" i="1"/>
  <c r="AN65" i="1"/>
  <c r="AM65" i="1"/>
  <c r="AL65" i="1"/>
  <c r="AK65" i="1"/>
  <c r="AJ65" i="1"/>
  <c r="AH65" i="1"/>
  <c r="L65" i="1" s="1"/>
  <c r="Z65" i="1"/>
  <c r="Y65" i="1"/>
  <c r="X65" i="1"/>
  <c r="T65" i="1"/>
  <c r="Q65" i="1"/>
  <c r="O65" i="1"/>
  <c r="AN64" i="1"/>
  <c r="T64" i="1" s="1"/>
  <c r="AM64" i="1"/>
  <c r="AL64" i="1" s="1"/>
  <c r="AK64" i="1"/>
  <c r="AJ64" i="1"/>
  <c r="AH64" i="1" s="1"/>
  <c r="Z64" i="1"/>
  <c r="Y64" i="1"/>
  <c r="X64" i="1" s="1"/>
  <c r="Q64" i="1"/>
  <c r="AN63" i="1"/>
  <c r="AM63" i="1"/>
  <c r="AK63" i="1"/>
  <c r="AJ63" i="1"/>
  <c r="AH63" i="1"/>
  <c r="AI63" i="1" s="1"/>
  <c r="Z63" i="1"/>
  <c r="Y63" i="1"/>
  <c r="X63" i="1"/>
  <c r="Q63" i="1"/>
  <c r="L63" i="1"/>
  <c r="K63" i="1"/>
  <c r="AN62" i="1"/>
  <c r="AM62" i="1"/>
  <c r="AK62" i="1"/>
  <c r="AL62" i="1" s="1"/>
  <c r="AJ62" i="1"/>
  <c r="AH62" i="1" s="1"/>
  <c r="AI62" i="1" s="1"/>
  <c r="Z62" i="1"/>
  <c r="Y62" i="1"/>
  <c r="X62" i="1" s="1"/>
  <c r="Q62" i="1"/>
  <c r="AN61" i="1"/>
  <c r="AM61" i="1"/>
  <c r="AL61" i="1"/>
  <c r="AK61" i="1"/>
  <c r="AJ61" i="1"/>
  <c r="AH61" i="1"/>
  <c r="L61" i="1" s="1"/>
  <c r="Z61" i="1"/>
  <c r="Y61" i="1"/>
  <c r="X61" i="1"/>
  <c r="T61" i="1"/>
  <c r="Q61" i="1"/>
  <c r="O61" i="1"/>
  <c r="AN60" i="1"/>
  <c r="T60" i="1" s="1"/>
  <c r="AM60" i="1"/>
  <c r="AL60" i="1" s="1"/>
  <c r="AK60" i="1"/>
  <c r="AJ60" i="1"/>
  <c r="AH60" i="1" s="1"/>
  <c r="Z60" i="1"/>
  <c r="Y60" i="1"/>
  <c r="X60" i="1" s="1"/>
  <c r="Q60" i="1"/>
  <c r="AN59" i="1"/>
  <c r="AM59" i="1"/>
  <c r="AK59" i="1"/>
  <c r="AJ59" i="1"/>
  <c r="AH59" i="1"/>
  <c r="AI59" i="1" s="1"/>
  <c r="Z59" i="1"/>
  <c r="Y59" i="1"/>
  <c r="X59" i="1"/>
  <c r="Q59" i="1"/>
  <c r="L59" i="1"/>
  <c r="K59" i="1"/>
  <c r="AN58" i="1"/>
  <c r="AM58" i="1"/>
  <c r="AK58" i="1"/>
  <c r="AL58" i="1" s="1"/>
  <c r="AJ58" i="1"/>
  <c r="AH58" i="1" s="1"/>
  <c r="AI58" i="1" s="1"/>
  <c r="Z58" i="1"/>
  <c r="Y58" i="1"/>
  <c r="X58" i="1" s="1"/>
  <c r="Q58" i="1"/>
  <c r="AN57" i="1"/>
  <c r="AM57" i="1"/>
  <c r="AL57" i="1"/>
  <c r="AK57" i="1"/>
  <c r="AJ57" i="1"/>
  <c r="AH57" i="1"/>
  <c r="Z57" i="1"/>
  <c r="Y57" i="1"/>
  <c r="X57" i="1"/>
  <c r="T57" i="1"/>
  <c r="Q57" i="1"/>
  <c r="O57" i="1"/>
  <c r="AN56" i="1"/>
  <c r="AM56" i="1"/>
  <c r="AK56" i="1"/>
  <c r="AJ56" i="1"/>
  <c r="AH56" i="1" s="1"/>
  <c r="J56" i="1" s="1"/>
  <c r="I56" i="1" s="1"/>
  <c r="Z56" i="1"/>
  <c r="Y56" i="1"/>
  <c r="X56" i="1" s="1"/>
  <c r="Q56" i="1"/>
  <c r="AN55" i="1"/>
  <c r="AM55" i="1"/>
  <c r="AL55" i="1"/>
  <c r="AK55" i="1"/>
  <c r="AJ55" i="1"/>
  <c r="AH55" i="1"/>
  <c r="L55" i="1" s="1"/>
  <c r="Z55" i="1"/>
  <c r="Y55" i="1"/>
  <c r="X55" i="1"/>
  <c r="T55" i="1"/>
  <c r="Q55" i="1"/>
  <c r="AN54" i="1"/>
  <c r="AM54" i="1"/>
  <c r="AK54" i="1"/>
  <c r="AL54" i="1" s="1"/>
  <c r="AJ54" i="1"/>
  <c r="AH54" i="1" s="1"/>
  <c r="AI54" i="1" s="1"/>
  <c r="Z54" i="1"/>
  <c r="Y54" i="1"/>
  <c r="X54" i="1" s="1"/>
  <c r="Q54" i="1"/>
  <c r="AN53" i="1"/>
  <c r="AM53" i="1"/>
  <c r="AL53" i="1"/>
  <c r="AK53" i="1"/>
  <c r="AJ53" i="1"/>
  <c r="AI53" i="1"/>
  <c r="AH53" i="1"/>
  <c r="Z53" i="1"/>
  <c r="Y53" i="1"/>
  <c r="X53" i="1" s="1"/>
  <c r="T53" i="1"/>
  <c r="Q53" i="1"/>
  <c r="O53" i="1"/>
  <c r="L53" i="1"/>
  <c r="AN52" i="1"/>
  <c r="AM52" i="1"/>
  <c r="AK52" i="1"/>
  <c r="AJ52" i="1"/>
  <c r="AH52" i="1" s="1"/>
  <c r="AI52" i="1" s="1"/>
  <c r="Z52" i="1"/>
  <c r="Y52" i="1"/>
  <c r="X52" i="1" s="1"/>
  <c r="Q52" i="1"/>
  <c r="O52" i="1"/>
  <c r="J52" i="1"/>
  <c r="I52" i="1" s="1"/>
  <c r="AN51" i="1"/>
  <c r="AM51" i="1"/>
  <c r="AK51" i="1"/>
  <c r="T51" i="1" s="1"/>
  <c r="AJ51" i="1"/>
  <c r="AH51" i="1"/>
  <c r="K51" i="1" s="1"/>
  <c r="Z51" i="1"/>
  <c r="Y51" i="1"/>
  <c r="X51" i="1"/>
  <c r="Q51" i="1"/>
  <c r="O51" i="1"/>
  <c r="L51" i="1"/>
  <c r="AN50" i="1"/>
  <c r="AM50" i="1"/>
  <c r="AK50" i="1"/>
  <c r="AJ50" i="1"/>
  <c r="AH50" i="1" s="1"/>
  <c r="L50" i="1" s="1"/>
  <c r="Z50" i="1"/>
  <c r="Y50" i="1"/>
  <c r="Q50" i="1"/>
  <c r="AN49" i="1"/>
  <c r="AM49" i="1"/>
  <c r="AL49" i="1"/>
  <c r="AK49" i="1"/>
  <c r="T49" i="1" s="1"/>
  <c r="AJ49" i="1"/>
  <c r="AH49" i="1"/>
  <c r="L49" i="1" s="1"/>
  <c r="Z49" i="1"/>
  <c r="Y49" i="1"/>
  <c r="X49" i="1" s="1"/>
  <c r="Q49" i="1"/>
  <c r="AN48" i="1"/>
  <c r="T48" i="1" s="1"/>
  <c r="AM48" i="1"/>
  <c r="AL48" i="1"/>
  <c r="AK48" i="1"/>
  <c r="AJ48" i="1"/>
  <c r="AH48" i="1"/>
  <c r="J48" i="1" s="1"/>
  <c r="I48" i="1" s="1"/>
  <c r="Z48" i="1"/>
  <c r="Y48" i="1"/>
  <c r="X48" i="1"/>
  <c r="Q48" i="1"/>
  <c r="L48" i="1"/>
  <c r="K48" i="1"/>
  <c r="AN47" i="1"/>
  <c r="AM47" i="1"/>
  <c r="AL47" i="1"/>
  <c r="AK47" i="1"/>
  <c r="AJ47" i="1"/>
  <c r="AH47" i="1" s="1"/>
  <c r="Z47" i="1"/>
  <c r="Y47" i="1"/>
  <c r="X47" i="1" s="1"/>
  <c r="T47" i="1"/>
  <c r="Q47" i="1"/>
  <c r="AN46" i="1"/>
  <c r="AM46" i="1"/>
  <c r="AL46" i="1"/>
  <c r="AK46" i="1"/>
  <c r="AJ46" i="1"/>
  <c r="AH46" i="1" s="1"/>
  <c r="Z46" i="1"/>
  <c r="X46" i="1" s="1"/>
  <c r="Y46" i="1"/>
  <c r="T46" i="1"/>
  <c r="Q46" i="1"/>
  <c r="AN45" i="1"/>
  <c r="AM45" i="1"/>
  <c r="AK45" i="1"/>
  <c r="AL45" i="1" s="1"/>
  <c r="AJ45" i="1"/>
  <c r="AH45" i="1"/>
  <c r="L45" i="1" s="1"/>
  <c r="Z45" i="1"/>
  <c r="Y45" i="1"/>
  <c r="X45" i="1"/>
  <c r="Q45" i="1"/>
  <c r="AN44" i="1"/>
  <c r="T44" i="1" s="1"/>
  <c r="AM44" i="1"/>
  <c r="AK44" i="1"/>
  <c r="AL44" i="1" s="1"/>
  <c r="AJ44" i="1"/>
  <c r="AH44" i="1"/>
  <c r="J44" i="1" s="1"/>
  <c r="I44" i="1" s="1"/>
  <c r="Z44" i="1"/>
  <c r="Y44" i="1"/>
  <c r="X44" i="1"/>
  <c r="Q44" i="1"/>
  <c r="L44" i="1"/>
  <c r="K44" i="1"/>
  <c r="AN43" i="1"/>
  <c r="AM43" i="1"/>
  <c r="AL43" i="1"/>
  <c r="AK43" i="1"/>
  <c r="AJ43" i="1"/>
  <c r="AH43" i="1" s="1"/>
  <c r="Z43" i="1"/>
  <c r="Y43" i="1"/>
  <c r="X43" i="1" s="1"/>
  <c r="T43" i="1"/>
  <c r="Q43" i="1"/>
  <c r="AN42" i="1"/>
  <c r="AM42" i="1"/>
  <c r="AL42" i="1"/>
  <c r="AK42" i="1"/>
  <c r="AJ42" i="1"/>
  <c r="AH42" i="1" s="1"/>
  <c r="Z42" i="1"/>
  <c r="X42" i="1" s="1"/>
  <c r="Y42" i="1"/>
  <c r="T42" i="1"/>
  <c r="Q42" i="1"/>
  <c r="AN41" i="1"/>
  <c r="AM41" i="1"/>
  <c r="AK41" i="1"/>
  <c r="AL41" i="1" s="1"/>
  <c r="AJ41" i="1"/>
  <c r="AH41" i="1"/>
  <c r="L41" i="1" s="1"/>
  <c r="Z41" i="1"/>
  <c r="Y41" i="1"/>
  <c r="X41" i="1"/>
  <c r="Q41" i="1"/>
  <c r="AN40" i="1"/>
  <c r="AM40" i="1"/>
  <c r="AK40" i="1"/>
  <c r="AL40" i="1" s="1"/>
  <c r="AJ40" i="1"/>
  <c r="AH40" i="1"/>
  <c r="J40" i="1" s="1"/>
  <c r="I40" i="1" s="1"/>
  <c r="Z40" i="1"/>
  <c r="Y40" i="1"/>
  <c r="X40" i="1"/>
  <c r="Q40" i="1"/>
  <c r="L40" i="1"/>
  <c r="K40" i="1"/>
  <c r="AN39" i="1"/>
  <c r="AM39" i="1"/>
  <c r="AL39" i="1"/>
  <c r="AK39" i="1"/>
  <c r="AJ39" i="1"/>
  <c r="AH39" i="1" s="1"/>
  <c r="Z39" i="1"/>
  <c r="Y39" i="1"/>
  <c r="X39" i="1" s="1"/>
  <c r="T39" i="1"/>
  <c r="Q39" i="1"/>
  <c r="AN38" i="1"/>
  <c r="AM38" i="1"/>
  <c r="AL38" i="1"/>
  <c r="AK38" i="1"/>
  <c r="AJ38" i="1"/>
  <c r="AH38" i="1" s="1"/>
  <c r="Z38" i="1"/>
  <c r="X38" i="1" s="1"/>
  <c r="Y38" i="1"/>
  <c r="T38" i="1"/>
  <c r="Q38" i="1"/>
  <c r="AN37" i="1"/>
  <c r="AM37" i="1"/>
  <c r="AK37" i="1"/>
  <c r="AL37" i="1" s="1"/>
  <c r="AJ37" i="1"/>
  <c r="AH37" i="1"/>
  <c r="L37" i="1" s="1"/>
  <c r="Z37" i="1"/>
  <c r="Y37" i="1"/>
  <c r="X37" i="1"/>
  <c r="Q37" i="1"/>
  <c r="AN36" i="1"/>
  <c r="AM36" i="1"/>
  <c r="AK36" i="1"/>
  <c r="AL36" i="1" s="1"/>
  <c r="AJ36" i="1"/>
  <c r="AH36" i="1"/>
  <c r="J36" i="1" s="1"/>
  <c r="I36" i="1" s="1"/>
  <c r="Z36" i="1"/>
  <c r="Y36" i="1"/>
  <c r="X36" i="1"/>
  <c r="Q36" i="1"/>
  <c r="L36" i="1"/>
  <c r="K36" i="1"/>
  <c r="AN35" i="1"/>
  <c r="AM35" i="1"/>
  <c r="AL35" i="1"/>
  <c r="AK35" i="1"/>
  <c r="AJ35" i="1"/>
  <c r="AH35" i="1" s="1"/>
  <c r="Z35" i="1"/>
  <c r="Y35" i="1"/>
  <c r="X35" i="1" s="1"/>
  <c r="T35" i="1"/>
  <c r="Q35" i="1"/>
  <c r="AN34" i="1"/>
  <c r="AM34" i="1"/>
  <c r="AL34" i="1" s="1"/>
  <c r="AK34" i="1"/>
  <c r="AJ34" i="1"/>
  <c r="AH34" i="1" s="1"/>
  <c r="Z34" i="1"/>
  <c r="X34" i="1" s="1"/>
  <c r="Y34" i="1"/>
  <c r="T34" i="1"/>
  <c r="Q34" i="1"/>
  <c r="AN33" i="1"/>
  <c r="AM33" i="1"/>
  <c r="AK33" i="1"/>
  <c r="AL33" i="1" s="1"/>
  <c r="AJ33" i="1"/>
  <c r="AH33" i="1"/>
  <c r="L33" i="1" s="1"/>
  <c r="Z33" i="1"/>
  <c r="Y33" i="1"/>
  <c r="X33" i="1"/>
  <c r="Q33" i="1"/>
  <c r="AN32" i="1"/>
  <c r="AM32" i="1"/>
  <c r="AK32" i="1"/>
  <c r="AL32" i="1" s="1"/>
  <c r="AJ32" i="1"/>
  <c r="AH32" i="1"/>
  <c r="J32" i="1" s="1"/>
  <c r="I32" i="1" s="1"/>
  <c r="Z32" i="1"/>
  <c r="Y32" i="1"/>
  <c r="X32" i="1" s="1"/>
  <c r="Q32" i="1"/>
  <c r="O32" i="1"/>
  <c r="L32" i="1"/>
  <c r="K32" i="1"/>
  <c r="AN31" i="1"/>
  <c r="AM31" i="1"/>
  <c r="AL31" i="1"/>
  <c r="AK31" i="1"/>
  <c r="AJ31" i="1"/>
  <c r="AH31" i="1" s="1"/>
  <c r="Z31" i="1"/>
  <c r="Y31" i="1"/>
  <c r="X31" i="1" s="1"/>
  <c r="T31" i="1"/>
  <c r="Q31" i="1"/>
  <c r="AN30" i="1"/>
  <c r="AM30" i="1"/>
  <c r="AK30" i="1"/>
  <c r="AL30" i="1" s="1"/>
  <c r="AJ30" i="1"/>
  <c r="AH30" i="1" s="1"/>
  <c r="Z30" i="1"/>
  <c r="X30" i="1" s="1"/>
  <c r="Y30" i="1"/>
  <c r="Q30" i="1"/>
  <c r="AN29" i="1"/>
  <c r="AM29" i="1"/>
  <c r="AK29" i="1"/>
  <c r="AL29" i="1" s="1"/>
  <c r="AJ29" i="1"/>
  <c r="AH29" i="1"/>
  <c r="L29" i="1" s="1"/>
  <c r="Z29" i="1"/>
  <c r="Y29" i="1"/>
  <c r="X29" i="1"/>
  <c r="Q29" i="1"/>
  <c r="AN28" i="1"/>
  <c r="AM28" i="1"/>
  <c r="AK28" i="1"/>
  <c r="AL28" i="1" s="1"/>
  <c r="AJ28" i="1"/>
  <c r="AI28" i="1"/>
  <c r="AH28" i="1"/>
  <c r="J28" i="1" s="1"/>
  <c r="I28" i="1" s="1"/>
  <c r="Z28" i="1"/>
  <c r="Y28" i="1"/>
  <c r="X28" i="1" s="1"/>
  <c r="Q28" i="1"/>
  <c r="O28" i="1"/>
  <c r="L28" i="1"/>
  <c r="K28" i="1"/>
  <c r="AN27" i="1"/>
  <c r="AM27" i="1"/>
  <c r="AL27" i="1"/>
  <c r="AK27" i="1"/>
  <c r="AJ27" i="1"/>
  <c r="AH27" i="1" s="1"/>
  <c r="Z27" i="1"/>
  <c r="Y27" i="1"/>
  <c r="X27" i="1" s="1"/>
  <c r="T27" i="1"/>
  <c r="Q27" i="1"/>
  <c r="AN26" i="1"/>
  <c r="AM26" i="1"/>
  <c r="AK26" i="1"/>
  <c r="AL26" i="1" s="1"/>
  <c r="AJ26" i="1"/>
  <c r="AH26" i="1" s="1"/>
  <c r="Z26" i="1"/>
  <c r="X26" i="1" s="1"/>
  <c r="Y26" i="1"/>
  <c r="Q26" i="1"/>
  <c r="AN25" i="1"/>
  <c r="AM25" i="1"/>
  <c r="AK25" i="1"/>
  <c r="AL25" i="1" s="1"/>
  <c r="AJ25" i="1"/>
  <c r="AH25" i="1"/>
  <c r="L25" i="1" s="1"/>
  <c r="Z25" i="1"/>
  <c r="Y25" i="1"/>
  <c r="X25" i="1"/>
  <c r="Q25" i="1"/>
  <c r="AN24" i="1"/>
  <c r="AM24" i="1"/>
  <c r="AK24" i="1"/>
  <c r="AL24" i="1" s="1"/>
  <c r="AJ24" i="1"/>
  <c r="AI24" i="1"/>
  <c r="AH24" i="1"/>
  <c r="J24" i="1" s="1"/>
  <c r="I24" i="1" s="1"/>
  <c r="Z24" i="1"/>
  <c r="Y24" i="1"/>
  <c r="X24" i="1" s="1"/>
  <c r="Q24" i="1"/>
  <c r="O24" i="1"/>
  <c r="L24" i="1"/>
  <c r="K24" i="1"/>
  <c r="AN23" i="1"/>
  <c r="AM23" i="1"/>
  <c r="AL23" i="1"/>
  <c r="AK23" i="1"/>
  <c r="AJ23" i="1"/>
  <c r="AH23" i="1" s="1"/>
  <c r="Z23" i="1"/>
  <c r="Y23" i="1"/>
  <c r="X23" i="1" s="1"/>
  <c r="T23" i="1"/>
  <c r="Q23" i="1"/>
  <c r="AN22" i="1"/>
  <c r="AM22" i="1"/>
  <c r="AK22" i="1"/>
  <c r="AL22" i="1" s="1"/>
  <c r="AJ22" i="1"/>
  <c r="AH22" i="1" s="1"/>
  <c r="Z22" i="1"/>
  <c r="X22" i="1" s="1"/>
  <c r="Y22" i="1"/>
  <c r="Q22" i="1"/>
  <c r="AN21" i="1"/>
  <c r="AM21" i="1"/>
  <c r="AK21" i="1"/>
  <c r="AL21" i="1" s="1"/>
  <c r="AJ21" i="1"/>
  <c r="AH21" i="1"/>
  <c r="L21" i="1" s="1"/>
  <c r="Z21" i="1"/>
  <c r="Y21" i="1"/>
  <c r="X21" i="1"/>
  <c r="Q21" i="1"/>
  <c r="AN20" i="1"/>
  <c r="AM20" i="1"/>
  <c r="AK20" i="1"/>
  <c r="AL20" i="1" s="1"/>
  <c r="AJ20" i="1"/>
  <c r="AI20" i="1"/>
  <c r="AH20" i="1"/>
  <c r="J20" i="1" s="1"/>
  <c r="I20" i="1" s="1"/>
  <c r="Z20" i="1"/>
  <c r="Y20" i="1"/>
  <c r="X20" i="1" s="1"/>
  <c r="Q20" i="1"/>
  <c r="O20" i="1"/>
  <c r="L20" i="1"/>
  <c r="K20" i="1"/>
  <c r="AN19" i="1"/>
  <c r="AM19" i="1"/>
  <c r="AL19" i="1"/>
  <c r="AK19" i="1"/>
  <c r="AJ19" i="1"/>
  <c r="AH19" i="1" s="1"/>
  <c r="Z19" i="1"/>
  <c r="Y19" i="1"/>
  <c r="X19" i="1" s="1"/>
  <c r="T19" i="1"/>
  <c r="Q19" i="1"/>
  <c r="AN18" i="1"/>
  <c r="AM18" i="1"/>
  <c r="AK18" i="1"/>
  <c r="AL18" i="1" s="1"/>
  <c r="AJ18" i="1"/>
  <c r="AH18" i="1" s="1"/>
  <c r="Z18" i="1"/>
  <c r="X18" i="1" s="1"/>
  <c r="Y18" i="1"/>
  <c r="Q18" i="1"/>
  <c r="AN17" i="1"/>
  <c r="AM17" i="1"/>
  <c r="AK17" i="1"/>
  <c r="AL17" i="1" s="1"/>
  <c r="AJ17" i="1"/>
  <c r="AH17" i="1"/>
  <c r="L17" i="1" s="1"/>
  <c r="Z17" i="1"/>
  <c r="Y17" i="1"/>
  <c r="X17" i="1"/>
  <c r="Q17" i="1"/>
  <c r="O26" i="1" l="1"/>
  <c r="L26" i="1"/>
  <c r="J26" i="1"/>
  <c r="I26" i="1" s="1"/>
  <c r="K26" i="1"/>
  <c r="AI26" i="1"/>
  <c r="J27" i="1"/>
  <c r="I27" i="1" s="1"/>
  <c r="AI27" i="1"/>
  <c r="L27" i="1"/>
  <c r="O27" i="1"/>
  <c r="K27" i="1"/>
  <c r="AB32" i="1"/>
  <c r="J39" i="1"/>
  <c r="I39" i="1" s="1"/>
  <c r="AI39" i="1"/>
  <c r="O39" i="1"/>
  <c r="K39" i="1"/>
  <c r="L39" i="1"/>
  <c r="U46" i="1"/>
  <c r="V46" i="1" s="1"/>
  <c r="AB52" i="1"/>
  <c r="U64" i="1"/>
  <c r="V64" i="1" s="1"/>
  <c r="AB20" i="1"/>
  <c r="O34" i="1"/>
  <c r="J34" i="1"/>
  <c r="I34" i="1" s="1"/>
  <c r="L34" i="1"/>
  <c r="K34" i="1"/>
  <c r="AI34" i="1"/>
  <c r="J35" i="1"/>
  <c r="I35" i="1" s="1"/>
  <c r="AI35" i="1"/>
  <c r="O35" i="1"/>
  <c r="K35" i="1"/>
  <c r="L35" i="1"/>
  <c r="AB44" i="1"/>
  <c r="R44" i="1"/>
  <c r="P44" i="1" s="1"/>
  <c r="S44" i="1" s="1"/>
  <c r="M44" i="1" s="1"/>
  <c r="N44" i="1" s="1"/>
  <c r="O22" i="1"/>
  <c r="J22" i="1"/>
  <c r="I22" i="1" s="1"/>
  <c r="L22" i="1"/>
  <c r="K22" i="1"/>
  <c r="AI22" i="1"/>
  <c r="J23" i="1"/>
  <c r="I23" i="1" s="1"/>
  <c r="L23" i="1"/>
  <c r="AI23" i="1"/>
  <c r="O23" i="1"/>
  <c r="K23" i="1"/>
  <c r="AB28" i="1"/>
  <c r="AB40" i="1"/>
  <c r="O46" i="1"/>
  <c r="J46" i="1"/>
  <c r="I46" i="1" s="1"/>
  <c r="L46" i="1"/>
  <c r="K46" i="1"/>
  <c r="AI46" i="1"/>
  <c r="AB56" i="1"/>
  <c r="U38" i="1"/>
  <c r="V38" i="1" s="1"/>
  <c r="J47" i="1"/>
  <c r="I47" i="1" s="1"/>
  <c r="AI47" i="1"/>
  <c r="O47" i="1"/>
  <c r="K47" i="1"/>
  <c r="L47" i="1"/>
  <c r="U48" i="1"/>
  <c r="V48" i="1" s="1"/>
  <c r="AC48" i="1" s="1"/>
  <c r="O30" i="1"/>
  <c r="J30" i="1"/>
  <c r="I30" i="1" s="1"/>
  <c r="L30" i="1"/>
  <c r="K30" i="1"/>
  <c r="AI30" i="1"/>
  <c r="J31" i="1"/>
  <c r="I31" i="1" s="1"/>
  <c r="U31" i="1" s="1"/>
  <c r="V31" i="1" s="1"/>
  <c r="AI31" i="1"/>
  <c r="O31" i="1"/>
  <c r="L31" i="1"/>
  <c r="K31" i="1"/>
  <c r="AB36" i="1"/>
  <c r="O42" i="1"/>
  <c r="L42" i="1"/>
  <c r="K42" i="1"/>
  <c r="J42" i="1"/>
  <c r="I42" i="1" s="1"/>
  <c r="AI42" i="1"/>
  <c r="U44" i="1"/>
  <c r="V44" i="1" s="1"/>
  <c r="O18" i="1"/>
  <c r="L18" i="1"/>
  <c r="K18" i="1"/>
  <c r="J18" i="1"/>
  <c r="I18" i="1" s="1"/>
  <c r="AI18" i="1"/>
  <c r="J19" i="1"/>
  <c r="I19" i="1" s="1"/>
  <c r="AI19" i="1"/>
  <c r="L19" i="1"/>
  <c r="O19" i="1"/>
  <c r="K19" i="1"/>
  <c r="AB24" i="1"/>
  <c r="J43" i="1"/>
  <c r="I43" i="1" s="1"/>
  <c r="AI43" i="1"/>
  <c r="L43" i="1"/>
  <c r="O43" i="1"/>
  <c r="K43" i="1"/>
  <c r="O38" i="1"/>
  <c r="J38" i="1"/>
  <c r="I38" i="1" s="1"/>
  <c r="L38" i="1"/>
  <c r="K38" i="1"/>
  <c r="AI38" i="1"/>
  <c r="AB48" i="1"/>
  <c r="R48" i="1"/>
  <c r="P48" i="1" s="1"/>
  <c r="S48" i="1" s="1"/>
  <c r="M48" i="1" s="1"/>
  <c r="N48" i="1" s="1"/>
  <c r="O17" i="1"/>
  <c r="O21" i="1"/>
  <c r="O25" i="1"/>
  <c r="O29" i="1"/>
  <c r="O33" i="1"/>
  <c r="O37" i="1"/>
  <c r="O41" i="1"/>
  <c r="O45" i="1"/>
  <c r="O49" i="1"/>
  <c r="AI49" i="1"/>
  <c r="K50" i="1"/>
  <c r="AI50" i="1"/>
  <c r="AL56" i="1"/>
  <c r="K72" i="1"/>
  <c r="J72" i="1"/>
  <c r="I72" i="1" s="1"/>
  <c r="AI72" i="1"/>
  <c r="O72" i="1"/>
  <c r="L72" i="1"/>
  <c r="L95" i="1"/>
  <c r="K95" i="1"/>
  <c r="O95" i="1"/>
  <c r="J95" i="1"/>
  <c r="I95" i="1" s="1"/>
  <c r="AI95" i="1"/>
  <c r="AI17" i="1"/>
  <c r="U19" i="1"/>
  <c r="V19" i="1" s="1"/>
  <c r="AI21" i="1"/>
  <c r="U23" i="1"/>
  <c r="V23" i="1" s="1"/>
  <c r="AC23" i="1" s="1"/>
  <c r="AI25" i="1"/>
  <c r="U27" i="1"/>
  <c r="V27" i="1" s="1"/>
  <c r="AI29" i="1"/>
  <c r="AI33" i="1"/>
  <c r="U35" i="1"/>
  <c r="V35" i="1" s="1"/>
  <c r="O36" i="1"/>
  <c r="AI37" i="1"/>
  <c r="U39" i="1"/>
  <c r="V39" i="1" s="1"/>
  <c r="AC39" i="1" s="1"/>
  <c r="O40" i="1"/>
  <c r="AI41" i="1"/>
  <c r="U43" i="1"/>
  <c r="V43" i="1" s="1"/>
  <c r="O44" i="1"/>
  <c r="AI45" i="1"/>
  <c r="U47" i="1"/>
  <c r="V47" i="1" s="1"/>
  <c r="O48" i="1"/>
  <c r="X50" i="1"/>
  <c r="AL50" i="1"/>
  <c r="T50" i="1"/>
  <c r="AL51" i="1"/>
  <c r="K68" i="1"/>
  <c r="J68" i="1"/>
  <c r="I68" i="1" s="1"/>
  <c r="AI68" i="1"/>
  <c r="O68" i="1"/>
  <c r="L68" i="1"/>
  <c r="AI105" i="1"/>
  <c r="O105" i="1"/>
  <c r="L105" i="1"/>
  <c r="K105" i="1"/>
  <c r="J105" i="1"/>
  <c r="I105" i="1" s="1"/>
  <c r="AB125" i="1"/>
  <c r="O70" i="1"/>
  <c r="L70" i="1"/>
  <c r="K70" i="1"/>
  <c r="J70" i="1"/>
  <c r="I70" i="1" s="1"/>
  <c r="J17" i="1"/>
  <c r="I17" i="1" s="1"/>
  <c r="T18" i="1"/>
  <c r="J21" i="1"/>
  <c r="I21" i="1" s="1"/>
  <c r="T22" i="1"/>
  <c r="J25" i="1"/>
  <c r="I25" i="1" s="1"/>
  <c r="T26" i="1"/>
  <c r="J29" i="1"/>
  <c r="I29" i="1" s="1"/>
  <c r="T30" i="1"/>
  <c r="J33" i="1"/>
  <c r="I33" i="1" s="1"/>
  <c r="J37" i="1"/>
  <c r="I37" i="1" s="1"/>
  <c r="J41" i="1"/>
  <c r="I41" i="1" s="1"/>
  <c r="J45" i="1"/>
  <c r="I45" i="1" s="1"/>
  <c r="J49" i="1"/>
  <c r="I49" i="1" s="1"/>
  <c r="U49" i="1" s="1"/>
  <c r="V49" i="1" s="1"/>
  <c r="O50" i="1"/>
  <c r="K55" i="1"/>
  <c r="AL63" i="1"/>
  <c r="T63" i="1"/>
  <c r="O66" i="1"/>
  <c r="L66" i="1"/>
  <c r="K66" i="1"/>
  <c r="J66" i="1"/>
  <c r="I66" i="1" s="1"/>
  <c r="AL79" i="1"/>
  <c r="T79" i="1"/>
  <c r="U90" i="1"/>
  <c r="V90" i="1" s="1"/>
  <c r="K17" i="1"/>
  <c r="K21" i="1"/>
  <c r="K25" i="1"/>
  <c r="K29" i="1"/>
  <c r="AI32" i="1"/>
  <c r="K33" i="1"/>
  <c r="AI36" i="1"/>
  <c r="K37" i="1"/>
  <c r="AI40" i="1"/>
  <c r="K41" i="1"/>
  <c r="AI44" i="1"/>
  <c r="K45" i="1"/>
  <c r="AI48" i="1"/>
  <c r="K49" i="1"/>
  <c r="L57" i="1"/>
  <c r="K57" i="1"/>
  <c r="J57" i="1"/>
  <c r="I57" i="1" s="1"/>
  <c r="AI57" i="1"/>
  <c r="K64" i="1"/>
  <c r="J64" i="1"/>
  <c r="I64" i="1" s="1"/>
  <c r="AI64" i="1"/>
  <c r="O64" i="1"/>
  <c r="L64" i="1"/>
  <c r="U72" i="1"/>
  <c r="V72" i="1" s="1"/>
  <c r="T86" i="1"/>
  <c r="AL86" i="1"/>
  <c r="AI97" i="1"/>
  <c r="O97" i="1"/>
  <c r="L97" i="1"/>
  <c r="K97" i="1"/>
  <c r="J97" i="1"/>
  <c r="I97" i="1" s="1"/>
  <c r="T17" i="1"/>
  <c r="T21" i="1"/>
  <c r="T25" i="1"/>
  <c r="T29" i="1"/>
  <c r="T33" i="1"/>
  <c r="T37" i="1"/>
  <c r="T41" i="1"/>
  <c r="T45" i="1"/>
  <c r="K52" i="1"/>
  <c r="L52" i="1"/>
  <c r="K53" i="1"/>
  <c r="J53" i="1"/>
  <c r="I53" i="1" s="1"/>
  <c r="J54" i="1"/>
  <c r="I54" i="1" s="1"/>
  <c r="AL59" i="1"/>
  <c r="T59" i="1"/>
  <c r="O62" i="1"/>
  <c r="L62" i="1"/>
  <c r="K62" i="1"/>
  <c r="J62" i="1"/>
  <c r="I62" i="1" s="1"/>
  <c r="AL75" i="1"/>
  <c r="T75" i="1"/>
  <c r="O78" i="1"/>
  <c r="L78" i="1"/>
  <c r="K78" i="1"/>
  <c r="J78" i="1"/>
  <c r="I78" i="1" s="1"/>
  <c r="K80" i="1"/>
  <c r="J80" i="1"/>
  <c r="I80" i="1" s="1"/>
  <c r="AI80" i="1"/>
  <c r="O80" i="1"/>
  <c r="L80" i="1"/>
  <c r="L81" i="1"/>
  <c r="K81" i="1"/>
  <c r="J81" i="1"/>
  <c r="I81" i="1" s="1"/>
  <c r="U81" i="1" s="1"/>
  <c r="V81" i="1" s="1"/>
  <c r="AI81" i="1"/>
  <c r="AI109" i="1"/>
  <c r="O109" i="1"/>
  <c r="L109" i="1"/>
  <c r="K109" i="1"/>
  <c r="J109" i="1"/>
  <c r="I109" i="1" s="1"/>
  <c r="AL52" i="1"/>
  <c r="K54" i="1"/>
  <c r="AI55" i="1"/>
  <c r="O55" i="1"/>
  <c r="J55" i="1"/>
  <c r="I55" i="1" s="1"/>
  <c r="U57" i="1"/>
  <c r="V57" i="1" s="1"/>
  <c r="AC57" i="1" s="1"/>
  <c r="K60" i="1"/>
  <c r="J60" i="1"/>
  <c r="I60" i="1" s="1"/>
  <c r="AI60" i="1"/>
  <c r="O60" i="1"/>
  <c r="L60" i="1"/>
  <c r="K76" i="1"/>
  <c r="J76" i="1"/>
  <c r="I76" i="1" s="1"/>
  <c r="U76" i="1" s="1"/>
  <c r="V76" i="1" s="1"/>
  <c r="AI76" i="1"/>
  <c r="O76" i="1"/>
  <c r="L76" i="1"/>
  <c r="U102" i="1"/>
  <c r="V102" i="1" s="1"/>
  <c r="AL67" i="1"/>
  <c r="T67" i="1"/>
  <c r="T20" i="1"/>
  <c r="T24" i="1"/>
  <c r="T28" i="1"/>
  <c r="T32" i="1"/>
  <c r="T36" i="1"/>
  <c r="T40" i="1"/>
  <c r="J50" i="1"/>
  <c r="I50" i="1" s="1"/>
  <c r="AI51" i="1"/>
  <c r="J51" i="1"/>
  <c r="I51" i="1" s="1"/>
  <c r="U51" i="1" s="1"/>
  <c r="V51" i="1" s="1"/>
  <c r="O54" i="1"/>
  <c r="L54" i="1"/>
  <c r="K56" i="1"/>
  <c r="AI56" i="1"/>
  <c r="O56" i="1"/>
  <c r="L56" i="1"/>
  <c r="O58" i="1"/>
  <c r="L58" i="1"/>
  <c r="K58" i="1"/>
  <c r="J58" i="1"/>
  <c r="I58" i="1" s="1"/>
  <c r="AL71" i="1"/>
  <c r="T71" i="1"/>
  <c r="O74" i="1"/>
  <c r="L74" i="1"/>
  <c r="K74" i="1"/>
  <c r="J74" i="1"/>
  <c r="I74" i="1" s="1"/>
  <c r="AB83" i="1"/>
  <c r="AB87" i="1"/>
  <c r="AI101" i="1"/>
  <c r="O101" i="1"/>
  <c r="L101" i="1"/>
  <c r="K101" i="1"/>
  <c r="J101" i="1"/>
  <c r="I101" i="1" s="1"/>
  <c r="T52" i="1"/>
  <c r="T56" i="1"/>
  <c r="J59" i="1"/>
  <c r="I59" i="1" s="1"/>
  <c r="J63" i="1"/>
  <c r="I63" i="1" s="1"/>
  <c r="J67" i="1"/>
  <c r="I67" i="1" s="1"/>
  <c r="J71" i="1"/>
  <c r="I71" i="1" s="1"/>
  <c r="J75" i="1"/>
  <c r="I75" i="1" s="1"/>
  <c r="J79" i="1"/>
  <c r="I79" i="1" s="1"/>
  <c r="L83" i="1"/>
  <c r="K83" i="1"/>
  <c r="O96" i="1"/>
  <c r="J96" i="1"/>
  <c r="I96" i="1" s="1"/>
  <c r="O100" i="1"/>
  <c r="L100" i="1"/>
  <c r="J100" i="1"/>
  <c r="I100" i="1" s="1"/>
  <c r="O104" i="1"/>
  <c r="L104" i="1"/>
  <c r="J104" i="1"/>
  <c r="I104" i="1" s="1"/>
  <c r="O108" i="1"/>
  <c r="L108" i="1"/>
  <c r="J108" i="1"/>
  <c r="I108" i="1" s="1"/>
  <c r="J82" i="1"/>
  <c r="I82" i="1" s="1"/>
  <c r="AI82" i="1"/>
  <c r="O85" i="1"/>
  <c r="L85" i="1"/>
  <c r="AI89" i="1"/>
  <c r="O89" i="1"/>
  <c r="L89" i="1"/>
  <c r="AL97" i="1"/>
  <c r="T97" i="1"/>
  <c r="AL101" i="1"/>
  <c r="T101" i="1"/>
  <c r="AL105" i="1"/>
  <c r="T105" i="1"/>
  <c r="AL109" i="1"/>
  <c r="T109" i="1"/>
  <c r="R113" i="1"/>
  <c r="P113" i="1" s="1"/>
  <c r="S113" i="1" s="1"/>
  <c r="M113" i="1" s="1"/>
  <c r="N113" i="1" s="1"/>
  <c r="AB113" i="1"/>
  <c r="AI61" i="1"/>
  <c r="AI65" i="1"/>
  <c r="AI69" i="1"/>
  <c r="AI73" i="1"/>
  <c r="AI77" i="1"/>
  <c r="AL81" i="1"/>
  <c r="T84" i="1"/>
  <c r="J85" i="1"/>
  <c r="I85" i="1" s="1"/>
  <c r="AL85" i="1"/>
  <c r="T85" i="1"/>
  <c r="AL89" i="1"/>
  <c r="T89" i="1"/>
  <c r="L99" i="1"/>
  <c r="K99" i="1"/>
  <c r="J99" i="1"/>
  <c r="I99" i="1" s="1"/>
  <c r="AL100" i="1"/>
  <c r="T100" i="1"/>
  <c r="L103" i="1"/>
  <c r="K103" i="1"/>
  <c r="J103" i="1"/>
  <c r="I103" i="1" s="1"/>
  <c r="AL104" i="1"/>
  <c r="T104" i="1"/>
  <c r="L107" i="1"/>
  <c r="K107" i="1"/>
  <c r="J107" i="1"/>
  <c r="I107" i="1" s="1"/>
  <c r="AL108" i="1"/>
  <c r="T108" i="1"/>
  <c r="AL139" i="1"/>
  <c r="T139" i="1"/>
  <c r="T54" i="1"/>
  <c r="T58" i="1"/>
  <c r="J61" i="1"/>
  <c r="I61" i="1" s="1"/>
  <c r="U61" i="1" s="1"/>
  <c r="V61" i="1" s="1"/>
  <c r="T62" i="1"/>
  <c r="J65" i="1"/>
  <c r="I65" i="1" s="1"/>
  <c r="U65" i="1" s="1"/>
  <c r="V65" i="1" s="1"/>
  <c r="T66" i="1"/>
  <c r="J69" i="1"/>
  <c r="I69" i="1" s="1"/>
  <c r="U69" i="1" s="1"/>
  <c r="V69" i="1" s="1"/>
  <c r="T70" i="1"/>
  <c r="J73" i="1"/>
  <c r="I73" i="1" s="1"/>
  <c r="T74" i="1"/>
  <c r="J77" i="1"/>
  <c r="I77" i="1" s="1"/>
  <c r="T78" i="1"/>
  <c r="O83" i="1"/>
  <c r="AI84" i="1"/>
  <c r="K85" i="1"/>
  <c r="X85" i="1"/>
  <c r="J89" i="1"/>
  <c r="I89" i="1" s="1"/>
  <c r="K90" i="1"/>
  <c r="J90" i="1"/>
  <c r="I90" i="1" s="1"/>
  <c r="AI90" i="1"/>
  <c r="AI93" i="1"/>
  <c r="O93" i="1"/>
  <c r="L93" i="1"/>
  <c r="AB115" i="1"/>
  <c r="O59" i="1"/>
  <c r="K61" i="1"/>
  <c r="O63" i="1"/>
  <c r="K65" i="1"/>
  <c r="O67" i="1"/>
  <c r="K69" i="1"/>
  <c r="O71" i="1"/>
  <c r="K73" i="1"/>
  <c r="O75" i="1"/>
  <c r="K77" i="1"/>
  <c r="O79" i="1"/>
  <c r="K84" i="1"/>
  <c r="L87" i="1"/>
  <c r="K87" i="1"/>
  <c r="O88" i="1"/>
  <c r="J88" i="1"/>
  <c r="I88" i="1" s="1"/>
  <c r="U88" i="1" s="1"/>
  <c r="V88" i="1" s="1"/>
  <c r="K89" i="1"/>
  <c r="X89" i="1"/>
  <c r="AL93" i="1"/>
  <c r="T93" i="1"/>
  <c r="X97" i="1"/>
  <c r="X101" i="1"/>
  <c r="X105" i="1"/>
  <c r="U121" i="1"/>
  <c r="V121" i="1" s="1"/>
  <c r="U129" i="1"/>
  <c r="V129" i="1" s="1"/>
  <c r="AB132" i="1"/>
  <c r="K82" i="1"/>
  <c r="K94" i="1"/>
  <c r="J94" i="1"/>
  <c r="I94" i="1" s="1"/>
  <c r="AI94" i="1"/>
  <c r="O120" i="1"/>
  <c r="L120" i="1"/>
  <c r="AI120" i="1"/>
  <c r="J120" i="1"/>
  <c r="I120" i="1" s="1"/>
  <c r="AB124" i="1"/>
  <c r="L82" i="1"/>
  <c r="AI83" i="1"/>
  <c r="O84" i="1"/>
  <c r="J86" i="1"/>
  <c r="I86" i="1" s="1"/>
  <c r="AI86" i="1"/>
  <c r="X87" i="1"/>
  <c r="L91" i="1"/>
  <c r="K91" i="1"/>
  <c r="O92" i="1"/>
  <c r="J92" i="1"/>
  <c r="I92" i="1" s="1"/>
  <c r="K93" i="1"/>
  <c r="X93" i="1"/>
  <c r="L96" i="1"/>
  <c r="L111" i="1"/>
  <c r="K111" i="1"/>
  <c r="J111" i="1"/>
  <c r="I111" i="1" s="1"/>
  <c r="U113" i="1"/>
  <c r="V113" i="1" s="1"/>
  <c r="U115" i="1"/>
  <c r="V115" i="1" s="1"/>
  <c r="J112" i="1"/>
  <c r="I112" i="1" s="1"/>
  <c r="T117" i="1"/>
  <c r="J117" i="1"/>
  <c r="I117" i="1" s="1"/>
  <c r="AI117" i="1"/>
  <c r="O117" i="1"/>
  <c r="L119" i="1"/>
  <c r="K119" i="1"/>
  <c r="J119" i="1"/>
  <c r="I119" i="1" s="1"/>
  <c r="R121" i="1"/>
  <c r="P121" i="1" s="1"/>
  <c r="S121" i="1" s="1"/>
  <c r="M121" i="1" s="1"/>
  <c r="N121" i="1" s="1"/>
  <c r="X128" i="1"/>
  <c r="J116" i="1"/>
  <c r="I116" i="1" s="1"/>
  <c r="L118" i="1"/>
  <c r="K118" i="1"/>
  <c r="J118" i="1"/>
  <c r="I118" i="1" s="1"/>
  <c r="AI118" i="1"/>
  <c r="U119" i="1"/>
  <c r="V119" i="1" s="1"/>
  <c r="AC119" i="1" s="1"/>
  <c r="AL120" i="1"/>
  <c r="T120" i="1"/>
  <c r="L123" i="1"/>
  <c r="K123" i="1"/>
  <c r="J123" i="1"/>
  <c r="I123" i="1" s="1"/>
  <c r="AI123" i="1"/>
  <c r="O123" i="1"/>
  <c r="O128" i="1"/>
  <c r="L128" i="1"/>
  <c r="K128" i="1"/>
  <c r="AI128" i="1"/>
  <c r="L130" i="1"/>
  <c r="K130" i="1"/>
  <c r="J130" i="1"/>
  <c r="I130" i="1" s="1"/>
  <c r="AI130" i="1"/>
  <c r="O130" i="1"/>
  <c r="AI135" i="1"/>
  <c r="O135" i="1"/>
  <c r="L135" i="1"/>
  <c r="J135" i="1"/>
  <c r="I135" i="1" s="1"/>
  <c r="AB137" i="1"/>
  <c r="AB139" i="1"/>
  <c r="AI98" i="1"/>
  <c r="AI102" i="1"/>
  <c r="AI106" i="1"/>
  <c r="AI110" i="1"/>
  <c r="J114" i="1"/>
  <c r="I114" i="1" s="1"/>
  <c r="L115" i="1"/>
  <c r="AI115" i="1"/>
  <c r="K116" i="1"/>
  <c r="AL118" i="1"/>
  <c r="T83" i="1"/>
  <c r="T87" i="1"/>
  <c r="T91" i="1"/>
  <c r="T95" i="1"/>
  <c r="J98" i="1"/>
  <c r="I98" i="1" s="1"/>
  <c r="T99" i="1"/>
  <c r="J102" i="1"/>
  <c r="I102" i="1" s="1"/>
  <c r="T103" i="1"/>
  <c r="J106" i="1"/>
  <c r="I106" i="1" s="1"/>
  <c r="U106" i="1" s="1"/>
  <c r="V106" i="1" s="1"/>
  <c r="T107" i="1"/>
  <c r="J110" i="1"/>
  <c r="I110" i="1" s="1"/>
  <c r="K114" i="1"/>
  <c r="AI114" i="1"/>
  <c r="U125" i="1"/>
  <c r="V125" i="1" s="1"/>
  <c r="R125" i="1" s="1"/>
  <c r="P125" i="1" s="1"/>
  <c r="S125" i="1" s="1"/>
  <c r="M125" i="1" s="1"/>
  <c r="N125" i="1" s="1"/>
  <c r="L131" i="1"/>
  <c r="K131" i="1"/>
  <c r="J131" i="1"/>
  <c r="I131" i="1" s="1"/>
  <c r="AI131" i="1"/>
  <c r="O131" i="1"/>
  <c r="K135" i="1"/>
  <c r="X112" i="1"/>
  <c r="O115" i="1"/>
  <c r="X120" i="1"/>
  <c r="O124" i="1"/>
  <c r="L124" i="1"/>
  <c r="K124" i="1"/>
  <c r="AI124" i="1"/>
  <c r="L126" i="1"/>
  <c r="K126" i="1"/>
  <c r="J126" i="1"/>
  <c r="I126" i="1" s="1"/>
  <c r="AI126" i="1"/>
  <c r="O126" i="1"/>
  <c r="J128" i="1"/>
  <c r="I128" i="1" s="1"/>
  <c r="X132" i="1"/>
  <c r="AB141" i="1"/>
  <c r="AL144" i="1"/>
  <c r="T144" i="1"/>
  <c r="U153" i="1"/>
  <c r="V153" i="1" s="1"/>
  <c r="R153" i="1" s="1"/>
  <c r="P153" i="1" s="1"/>
  <c r="S153" i="1" s="1"/>
  <c r="M153" i="1" s="1"/>
  <c r="N153" i="1" s="1"/>
  <c r="AL112" i="1"/>
  <c r="X114" i="1"/>
  <c r="AL114" i="1"/>
  <c r="T114" i="1"/>
  <c r="O116" i="1"/>
  <c r="L116" i="1"/>
  <c r="U123" i="1"/>
  <c r="V123" i="1" s="1"/>
  <c r="U133" i="1"/>
  <c r="V133" i="1" s="1"/>
  <c r="AL148" i="1"/>
  <c r="T148" i="1"/>
  <c r="AC115" i="1"/>
  <c r="AL116" i="1"/>
  <c r="T116" i="1"/>
  <c r="L122" i="1"/>
  <c r="K122" i="1"/>
  <c r="J122" i="1"/>
  <c r="I122" i="1" s="1"/>
  <c r="AI122" i="1"/>
  <c r="L127" i="1"/>
  <c r="K127" i="1"/>
  <c r="J127" i="1"/>
  <c r="I127" i="1" s="1"/>
  <c r="U127" i="1" s="1"/>
  <c r="V127" i="1" s="1"/>
  <c r="AI127" i="1"/>
  <c r="O127" i="1"/>
  <c r="O132" i="1"/>
  <c r="L132" i="1"/>
  <c r="K132" i="1"/>
  <c r="AI132" i="1"/>
  <c r="L134" i="1"/>
  <c r="K134" i="1"/>
  <c r="J134" i="1"/>
  <c r="I134" i="1" s="1"/>
  <c r="AI134" i="1"/>
  <c r="O134" i="1"/>
  <c r="U136" i="1"/>
  <c r="V136" i="1" s="1"/>
  <c r="AC136" i="1" s="1"/>
  <c r="X136" i="1"/>
  <c r="AL137" i="1"/>
  <c r="T137" i="1"/>
  <c r="AI144" i="1"/>
  <c r="L144" i="1"/>
  <c r="J144" i="1"/>
  <c r="I144" i="1" s="1"/>
  <c r="AI148" i="1"/>
  <c r="O148" i="1"/>
  <c r="L148" i="1"/>
  <c r="J148" i="1"/>
  <c r="I148" i="1" s="1"/>
  <c r="AL149" i="1"/>
  <c r="AL152" i="1"/>
  <c r="T152" i="1"/>
  <c r="R136" i="1"/>
  <c r="P136" i="1" s="1"/>
  <c r="S136" i="1" s="1"/>
  <c r="M136" i="1" s="1"/>
  <c r="N136" i="1" s="1"/>
  <c r="L138" i="1"/>
  <c r="J138" i="1"/>
  <c r="I138" i="1" s="1"/>
  <c r="L140" i="1"/>
  <c r="J140" i="1"/>
  <c r="I140" i="1" s="1"/>
  <c r="AB159" i="1"/>
  <c r="U160" i="1"/>
  <c r="V160" i="1" s="1"/>
  <c r="R160" i="1" s="1"/>
  <c r="P160" i="1" s="1"/>
  <c r="S160" i="1" s="1"/>
  <c r="M160" i="1" s="1"/>
  <c r="N160" i="1" s="1"/>
  <c r="L186" i="1"/>
  <c r="K186" i="1"/>
  <c r="J186" i="1"/>
  <c r="I186" i="1" s="1"/>
  <c r="O186" i="1"/>
  <c r="AI186" i="1"/>
  <c r="T124" i="1"/>
  <c r="T128" i="1"/>
  <c r="T132" i="1"/>
  <c r="AI138" i="1"/>
  <c r="AL140" i="1"/>
  <c r="T140" i="1"/>
  <c r="O143" i="1"/>
  <c r="L143" i="1"/>
  <c r="J143" i="1"/>
  <c r="I143" i="1" s="1"/>
  <c r="O121" i="1"/>
  <c r="O125" i="1"/>
  <c r="O129" i="1"/>
  <c r="O133" i="1"/>
  <c r="AL134" i="1"/>
  <c r="T134" i="1"/>
  <c r="K138" i="1"/>
  <c r="O139" i="1"/>
  <c r="AB145" i="1"/>
  <c r="AB153" i="1"/>
  <c r="O155" i="1"/>
  <c r="L155" i="1"/>
  <c r="K155" i="1"/>
  <c r="J155" i="1"/>
  <c r="I155" i="1" s="1"/>
  <c r="U164" i="1"/>
  <c r="V164" i="1" s="1"/>
  <c r="L183" i="1"/>
  <c r="AI183" i="1"/>
  <c r="J183" i="1"/>
  <c r="I183" i="1" s="1"/>
  <c r="O183" i="1"/>
  <c r="K183" i="1"/>
  <c r="O211" i="1"/>
  <c r="L211" i="1"/>
  <c r="K211" i="1"/>
  <c r="J211" i="1"/>
  <c r="I211" i="1" s="1"/>
  <c r="AI211" i="1"/>
  <c r="AL138" i="1"/>
  <c r="T138" i="1"/>
  <c r="K140" i="1"/>
  <c r="AB149" i="1"/>
  <c r="O151" i="1"/>
  <c r="L151" i="1"/>
  <c r="K151" i="1"/>
  <c r="J151" i="1"/>
  <c r="I151" i="1" s="1"/>
  <c r="J158" i="1"/>
  <c r="I158" i="1" s="1"/>
  <c r="O158" i="1"/>
  <c r="L158" i="1"/>
  <c r="AI158" i="1"/>
  <c r="K158" i="1"/>
  <c r="AI121" i="1"/>
  <c r="AI125" i="1"/>
  <c r="AI129" i="1"/>
  <c r="AI133" i="1"/>
  <c r="O138" i="1"/>
  <c r="O147" i="1"/>
  <c r="L147" i="1"/>
  <c r="K147" i="1"/>
  <c r="J147" i="1"/>
  <c r="I147" i="1" s="1"/>
  <c r="AI156" i="1"/>
  <c r="O156" i="1"/>
  <c r="L156" i="1"/>
  <c r="J156" i="1"/>
  <c r="I156" i="1" s="1"/>
  <c r="R164" i="1"/>
  <c r="P164" i="1" s="1"/>
  <c r="S164" i="1" s="1"/>
  <c r="M164" i="1" s="1"/>
  <c r="N164" i="1" s="1"/>
  <c r="AB164" i="1"/>
  <c r="AB171" i="1"/>
  <c r="AB175" i="1"/>
  <c r="T118" i="1"/>
  <c r="T122" i="1"/>
  <c r="T126" i="1"/>
  <c r="T130" i="1"/>
  <c r="AI139" i="1"/>
  <c r="O140" i="1"/>
  <c r="AL141" i="1"/>
  <c r="T141" i="1"/>
  <c r="AL142" i="1"/>
  <c r="T142" i="1"/>
  <c r="K144" i="1"/>
  <c r="AI152" i="1"/>
  <c r="O152" i="1"/>
  <c r="L152" i="1"/>
  <c r="J152" i="1"/>
  <c r="I152" i="1" s="1"/>
  <c r="AL153" i="1"/>
  <c r="AL156" i="1"/>
  <c r="T156" i="1"/>
  <c r="T145" i="1"/>
  <c r="T149" i="1"/>
  <c r="AL159" i="1"/>
  <c r="T159" i="1"/>
  <c r="L166" i="1"/>
  <c r="K166" i="1"/>
  <c r="J166" i="1"/>
  <c r="I166" i="1" s="1"/>
  <c r="AL169" i="1"/>
  <c r="L177" i="1"/>
  <c r="K177" i="1"/>
  <c r="J177" i="1"/>
  <c r="I177" i="1" s="1"/>
  <c r="W184" i="1"/>
  <c r="AA184" i="1" s="1"/>
  <c r="AD184" i="1"/>
  <c r="AC184" i="1"/>
  <c r="AL162" i="1"/>
  <c r="T162" i="1"/>
  <c r="X167" i="1"/>
  <c r="AI168" i="1"/>
  <c r="O168" i="1"/>
  <c r="J168" i="1"/>
  <c r="I168" i="1" s="1"/>
  <c r="O177" i="1"/>
  <c r="AL183" i="1"/>
  <c r="T183" i="1"/>
  <c r="K165" i="1"/>
  <c r="J165" i="1"/>
  <c r="I165" i="1" s="1"/>
  <c r="AI165" i="1"/>
  <c r="L165" i="1"/>
  <c r="L170" i="1"/>
  <c r="K170" i="1"/>
  <c r="J170" i="1"/>
  <c r="I170" i="1" s="1"/>
  <c r="AI170" i="1"/>
  <c r="L174" i="1"/>
  <c r="K174" i="1"/>
  <c r="J174" i="1"/>
  <c r="I174" i="1" s="1"/>
  <c r="AI174" i="1"/>
  <c r="J142" i="1"/>
  <c r="I142" i="1" s="1"/>
  <c r="T143" i="1"/>
  <c r="J146" i="1"/>
  <c r="I146" i="1" s="1"/>
  <c r="T147" i="1"/>
  <c r="J150" i="1"/>
  <c r="I150" i="1" s="1"/>
  <c r="T151" i="1"/>
  <c r="J154" i="1"/>
  <c r="I154" i="1" s="1"/>
  <c r="T155" i="1"/>
  <c r="AI157" i="1"/>
  <c r="AL158" i="1"/>
  <c r="T158" i="1"/>
  <c r="J161" i="1"/>
  <c r="I161" i="1" s="1"/>
  <c r="L161" i="1"/>
  <c r="AI163" i="1"/>
  <c r="AL168" i="1"/>
  <c r="AI172" i="1"/>
  <c r="O172" i="1"/>
  <c r="J172" i="1"/>
  <c r="I172" i="1" s="1"/>
  <c r="AI176" i="1"/>
  <c r="O176" i="1"/>
  <c r="J176" i="1"/>
  <c r="I176" i="1" s="1"/>
  <c r="L197" i="1"/>
  <c r="K197" i="1"/>
  <c r="J197" i="1"/>
  <c r="I197" i="1" s="1"/>
  <c r="AI197" i="1"/>
  <c r="AC198" i="1"/>
  <c r="AL161" i="1"/>
  <c r="T161" i="1"/>
  <c r="O167" i="1"/>
  <c r="L167" i="1"/>
  <c r="K167" i="1"/>
  <c r="AB173" i="1"/>
  <c r="AL179" i="1"/>
  <c r="T179" i="1"/>
  <c r="T146" i="1"/>
  <c r="T150" i="1"/>
  <c r="T154" i="1"/>
  <c r="J157" i="1"/>
  <c r="I157" i="1" s="1"/>
  <c r="AL157" i="1"/>
  <c r="AI159" i="1"/>
  <c r="J163" i="1"/>
  <c r="I163" i="1" s="1"/>
  <c r="AL163" i="1"/>
  <c r="T163" i="1"/>
  <c r="AB178" i="1"/>
  <c r="L162" i="1"/>
  <c r="J162" i="1"/>
  <c r="I162" i="1" s="1"/>
  <c r="X163" i="1"/>
  <c r="O171" i="1"/>
  <c r="L171" i="1"/>
  <c r="K171" i="1"/>
  <c r="U172" i="1"/>
  <c r="V172" i="1" s="1"/>
  <c r="U173" i="1"/>
  <c r="V173" i="1" s="1"/>
  <c r="O175" i="1"/>
  <c r="L175" i="1"/>
  <c r="K175" i="1"/>
  <c r="U176" i="1"/>
  <c r="V176" i="1" s="1"/>
  <c r="L182" i="1"/>
  <c r="K182" i="1"/>
  <c r="J182" i="1"/>
  <c r="I182" i="1" s="1"/>
  <c r="O182" i="1"/>
  <c r="AI182" i="1"/>
  <c r="O197" i="1"/>
  <c r="T165" i="1"/>
  <c r="T169" i="1"/>
  <c r="AB169" i="1"/>
  <c r="T178" i="1"/>
  <c r="L179" i="1"/>
  <c r="AI179" i="1"/>
  <c r="J180" i="1"/>
  <c r="I180" i="1" s="1"/>
  <c r="O180" i="1"/>
  <c r="K180" i="1"/>
  <c r="AE184" i="1"/>
  <c r="AL187" i="1"/>
  <c r="T187" i="1"/>
  <c r="U198" i="1"/>
  <c r="V198" i="1" s="1"/>
  <c r="U212" i="1"/>
  <c r="V212" i="1" s="1"/>
  <c r="R212" i="1" s="1"/>
  <c r="P212" i="1" s="1"/>
  <c r="S212" i="1" s="1"/>
  <c r="M212" i="1" s="1"/>
  <c r="N212" i="1" s="1"/>
  <c r="L193" i="1"/>
  <c r="K193" i="1"/>
  <c r="J193" i="1"/>
  <c r="I193" i="1" s="1"/>
  <c r="AI193" i="1"/>
  <c r="AL198" i="1"/>
  <c r="L218" i="1"/>
  <c r="K218" i="1"/>
  <c r="J218" i="1"/>
  <c r="I218" i="1" s="1"/>
  <c r="AI218" i="1"/>
  <c r="T167" i="1"/>
  <c r="T171" i="1"/>
  <c r="T175" i="1"/>
  <c r="AL177" i="1"/>
  <c r="T177" i="1"/>
  <c r="L181" i="1"/>
  <c r="AI181" i="1"/>
  <c r="X187" i="1"/>
  <c r="L189" i="1"/>
  <c r="K189" i="1"/>
  <c r="J189" i="1"/>
  <c r="I189" i="1" s="1"/>
  <c r="AI189" i="1"/>
  <c r="R192" i="1"/>
  <c r="P192" i="1" s="1"/>
  <c r="S192" i="1" s="1"/>
  <c r="AL199" i="1"/>
  <c r="T199" i="1"/>
  <c r="AB204" i="1"/>
  <c r="AL181" i="1"/>
  <c r="T181" i="1"/>
  <c r="O195" i="1"/>
  <c r="L195" i="1"/>
  <c r="AI195" i="1"/>
  <c r="U196" i="1"/>
  <c r="V196" i="1" s="1"/>
  <c r="AL202" i="1"/>
  <c r="T202" i="1"/>
  <c r="AB208" i="1"/>
  <c r="O218" i="1"/>
  <c r="O223" i="1"/>
  <c r="L223" i="1"/>
  <c r="K223" i="1"/>
  <c r="J223" i="1"/>
  <c r="I223" i="1" s="1"/>
  <c r="AI223" i="1"/>
  <c r="T166" i="1"/>
  <c r="T170" i="1"/>
  <c r="T174" i="1"/>
  <c r="X183" i="1"/>
  <c r="R184" i="1"/>
  <c r="P184" i="1" s="1"/>
  <c r="S184" i="1" s="1"/>
  <c r="L185" i="1"/>
  <c r="K185" i="1"/>
  <c r="J185" i="1"/>
  <c r="I185" i="1" s="1"/>
  <c r="AI185" i="1"/>
  <c r="O191" i="1"/>
  <c r="L191" i="1"/>
  <c r="AI191" i="1"/>
  <c r="U192" i="1"/>
  <c r="V192" i="1" s="1"/>
  <c r="L194" i="1"/>
  <c r="K194" i="1"/>
  <c r="J194" i="1"/>
  <c r="I194" i="1" s="1"/>
  <c r="U194" i="1" s="1"/>
  <c r="V194" i="1" s="1"/>
  <c r="O194" i="1"/>
  <c r="K195" i="1"/>
  <c r="AL195" i="1"/>
  <c r="T195" i="1"/>
  <c r="R198" i="1"/>
  <c r="P198" i="1" s="1"/>
  <c r="S198" i="1" s="1"/>
  <c r="M198" i="1" s="1"/>
  <c r="N198" i="1" s="1"/>
  <c r="AB198" i="1"/>
  <c r="J179" i="1"/>
  <c r="I179" i="1" s="1"/>
  <c r="J181" i="1"/>
  <c r="I181" i="1" s="1"/>
  <c r="O187" i="1"/>
  <c r="L187" i="1"/>
  <c r="AI187" i="1"/>
  <c r="U188" i="1"/>
  <c r="V188" i="1" s="1"/>
  <c r="R188" i="1" s="1"/>
  <c r="P188" i="1" s="1"/>
  <c r="S188" i="1" s="1"/>
  <c r="M188" i="1" s="1"/>
  <c r="N188" i="1" s="1"/>
  <c r="L190" i="1"/>
  <c r="K190" i="1"/>
  <c r="J190" i="1"/>
  <c r="I190" i="1" s="1"/>
  <c r="U190" i="1" s="1"/>
  <c r="V190" i="1" s="1"/>
  <c r="O190" i="1"/>
  <c r="K191" i="1"/>
  <c r="AL191" i="1"/>
  <c r="T191" i="1"/>
  <c r="AL204" i="1"/>
  <c r="T204" i="1"/>
  <c r="L205" i="1"/>
  <c r="K205" i="1"/>
  <c r="J205" i="1"/>
  <c r="I205" i="1" s="1"/>
  <c r="AI205" i="1"/>
  <c r="O205" i="1"/>
  <c r="L209" i="1"/>
  <c r="K209" i="1"/>
  <c r="J209" i="1"/>
  <c r="I209" i="1" s="1"/>
  <c r="AI209" i="1"/>
  <c r="O209" i="1"/>
  <c r="AB215" i="1"/>
  <c r="K184" i="1"/>
  <c r="K188" i="1"/>
  <c r="K192" i="1"/>
  <c r="K196" i="1"/>
  <c r="X207" i="1"/>
  <c r="AL213" i="1"/>
  <c r="U216" i="1"/>
  <c r="V216" i="1" s="1"/>
  <c r="AL225" i="1"/>
  <c r="AL205" i="1"/>
  <c r="O207" i="1"/>
  <c r="L207" i="1"/>
  <c r="K207" i="1"/>
  <c r="L214" i="1"/>
  <c r="K214" i="1"/>
  <c r="J214" i="1"/>
  <c r="I214" i="1" s="1"/>
  <c r="AI214" i="1"/>
  <c r="R220" i="1"/>
  <c r="P220" i="1" s="1"/>
  <c r="S220" i="1" s="1"/>
  <c r="M220" i="1" s="1"/>
  <c r="N220" i="1" s="1"/>
  <c r="L226" i="1"/>
  <c r="K226" i="1"/>
  <c r="J226" i="1"/>
  <c r="I226" i="1" s="1"/>
  <c r="AI226" i="1"/>
  <c r="O184" i="1"/>
  <c r="O188" i="1"/>
  <c r="O192" i="1"/>
  <c r="O196" i="1"/>
  <c r="U200" i="1"/>
  <c r="V200" i="1" s="1"/>
  <c r="L201" i="1"/>
  <c r="J201" i="1"/>
  <c r="I201" i="1" s="1"/>
  <c r="U208" i="1"/>
  <c r="V208" i="1" s="1"/>
  <c r="AL201" i="1"/>
  <c r="T201" i="1"/>
  <c r="J207" i="1"/>
  <c r="I207" i="1" s="1"/>
  <c r="L210" i="1"/>
  <c r="K210" i="1"/>
  <c r="J210" i="1"/>
  <c r="I210" i="1" s="1"/>
  <c r="AI210" i="1"/>
  <c r="L217" i="1"/>
  <c r="K217" i="1"/>
  <c r="J217" i="1"/>
  <c r="I217" i="1" s="1"/>
  <c r="AI217" i="1"/>
  <c r="O217" i="1"/>
  <c r="O219" i="1"/>
  <c r="L219" i="1"/>
  <c r="K219" i="1"/>
  <c r="L222" i="1"/>
  <c r="K222" i="1"/>
  <c r="J222" i="1"/>
  <c r="I222" i="1" s="1"/>
  <c r="AI222" i="1"/>
  <c r="AI188" i="1"/>
  <c r="AI192" i="1"/>
  <c r="AI196" i="1"/>
  <c r="J199" i="1"/>
  <c r="I199" i="1" s="1"/>
  <c r="J203" i="1"/>
  <c r="I203" i="1" s="1"/>
  <c r="AL203" i="1"/>
  <c r="T203" i="1"/>
  <c r="X211" i="1"/>
  <c r="U220" i="1"/>
  <c r="V220" i="1" s="1"/>
  <c r="J224" i="1"/>
  <c r="I224" i="1" s="1"/>
  <c r="AI224" i="1"/>
  <c r="O224" i="1"/>
  <c r="T185" i="1"/>
  <c r="T189" i="1"/>
  <c r="T193" i="1"/>
  <c r="T197" i="1"/>
  <c r="K199" i="1"/>
  <c r="AI199" i="1"/>
  <c r="O201" i="1"/>
  <c r="L202" i="1"/>
  <c r="J202" i="1"/>
  <c r="I202" i="1" s="1"/>
  <c r="X203" i="1"/>
  <c r="L206" i="1"/>
  <c r="K206" i="1"/>
  <c r="J206" i="1"/>
  <c r="I206" i="1" s="1"/>
  <c r="AI206" i="1"/>
  <c r="L213" i="1"/>
  <c r="K213" i="1"/>
  <c r="J213" i="1"/>
  <c r="I213" i="1" s="1"/>
  <c r="AI213" i="1"/>
  <c r="O213" i="1"/>
  <c r="O215" i="1"/>
  <c r="L215" i="1"/>
  <c r="K215" i="1"/>
  <c r="J219" i="1"/>
  <c r="I219" i="1" s="1"/>
  <c r="T207" i="1"/>
  <c r="T211" i="1"/>
  <c r="T215" i="1"/>
  <c r="T219" i="1"/>
  <c r="T223" i="1"/>
  <c r="AI225" i="1"/>
  <c r="T206" i="1"/>
  <c r="T210" i="1"/>
  <c r="T214" i="1"/>
  <c r="T218" i="1"/>
  <c r="T222" i="1"/>
  <c r="J225" i="1"/>
  <c r="I225" i="1" s="1"/>
  <c r="T226" i="1"/>
  <c r="K225" i="1"/>
  <c r="T205" i="1"/>
  <c r="T209" i="1"/>
  <c r="T213" i="1"/>
  <c r="T217" i="1"/>
  <c r="T221" i="1"/>
  <c r="AD127" i="1" l="1"/>
  <c r="W127" i="1"/>
  <c r="AA127" i="1" s="1"/>
  <c r="AC127" i="1"/>
  <c r="AD51" i="1"/>
  <c r="W51" i="1"/>
  <c r="AA51" i="1" s="1"/>
  <c r="AC51" i="1"/>
  <c r="AD65" i="1"/>
  <c r="W65" i="1"/>
  <c r="AA65" i="1" s="1"/>
  <c r="AC65" i="1"/>
  <c r="W31" i="1"/>
  <c r="AA31" i="1" s="1"/>
  <c r="AD31" i="1"/>
  <c r="AC31" i="1"/>
  <c r="AD194" i="1"/>
  <c r="W194" i="1"/>
  <c r="AA194" i="1" s="1"/>
  <c r="AC194" i="1"/>
  <c r="AD81" i="1"/>
  <c r="W81" i="1"/>
  <c r="AA81" i="1" s="1"/>
  <c r="AC81" i="1"/>
  <c r="AD106" i="1"/>
  <c r="W106" i="1"/>
  <c r="AA106" i="1" s="1"/>
  <c r="AC106" i="1"/>
  <c r="AD190" i="1"/>
  <c r="W190" i="1"/>
  <c r="AA190" i="1" s="1"/>
  <c r="AC190" i="1"/>
  <c r="AD61" i="1"/>
  <c r="W61" i="1"/>
  <c r="AA61" i="1" s="1"/>
  <c r="AC61" i="1"/>
  <c r="AD49" i="1"/>
  <c r="W49" i="1"/>
  <c r="AA49" i="1" s="1"/>
  <c r="AC49" i="1"/>
  <c r="W88" i="1"/>
  <c r="AA88" i="1" s="1"/>
  <c r="AD88" i="1"/>
  <c r="AC88" i="1"/>
  <c r="AD69" i="1"/>
  <c r="W69" i="1"/>
  <c r="AA69" i="1" s="1"/>
  <c r="AC69" i="1"/>
  <c r="W76" i="1"/>
  <c r="AA76" i="1" s="1"/>
  <c r="AD76" i="1"/>
  <c r="AC76" i="1"/>
  <c r="U205" i="1"/>
  <c r="V205" i="1" s="1"/>
  <c r="U210" i="1"/>
  <c r="V210" i="1" s="1"/>
  <c r="U189" i="1"/>
  <c r="V189" i="1" s="1"/>
  <c r="R189" i="1" s="1"/>
  <c r="P189" i="1" s="1"/>
  <c r="S189" i="1" s="1"/>
  <c r="M189" i="1" s="1"/>
  <c r="N189" i="1" s="1"/>
  <c r="AB210" i="1"/>
  <c r="R210" i="1"/>
  <c r="P210" i="1" s="1"/>
  <c r="S210" i="1" s="1"/>
  <c r="M210" i="1" s="1"/>
  <c r="N210" i="1" s="1"/>
  <c r="W208" i="1"/>
  <c r="AA208" i="1" s="1"/>
  <c r="AD208" i="1"/>
  <c r="AC208" i="1"/>
  <c r="AB209" i="1"/>
  <c r="U204" i="1"/>
  <c r="V204" i="1" s="1"/>
  <c r="AB179" i="1"/>
  <c r="AB185" i="1"/>
  <c r="U202" i="1"/>
  <c r="V202" i="1" s="1"/>
  <c r="AB189" i="1"/>
  <c r="U177" i="1"/>
  <c r="V177" i="1" s="1"/>
  <c r="AB218" i="1"/>
  <c r="AB180" i="1"/>
  <c r="U180" i="1"/>
  <c r="V180" i="1" s="1"/>
  <c r="U163" i="1"/>
  <c r="V163" i="1" s="1"/>
  <c r="U146" i="1"/>
  <c r="V146" i="1" s="1"/>
  <c r="AB154" i="1"/>
  <c r="AB177" i="1"/>
  <c r="U159" i="1"/>
  <c r="V159" i="1" s="1"/>
  <c r="AB152" i="1"/>
  <c r="AB211" i="1"/>
  <c r="U134" i="1"/>
  <c r="V134" i="1" s="1"/>
  <c r="AB143" i="1"/>
  <c r="U124" i="1"/>
  <c r="V124" i="1" s="1"/>
  <c r="AD123" i="1"/>
  <c r="W123" i="1"/>
  <c r="AA123" i="1" s="1"/>
  <c r="AC123" i="1"/>
  <c r="AB98" i="1"/>
  <c r="R135" i="1"/>
  <c r="P135" i="1" s="1"/>
  <c r="S135" i="1" s="1"/>
  <c r="M135" i="1" s="1"/>
  <c r="N135" i="1" s="1"/>
  <c r="AB135" i="1"/>
  <c r="AB112" i="1"/>
  <c r="AB120" i="1"/>
  <c r="AB89" i="1"/>
  <c r="AB73" i="1"/>
  <c r="U54" i="1"/>
  <c r="V54" i="1" s="1"/>
  <c r="U100" i="1"/>
  <c r="V100" i="1" s="1"/>
  <c r="U109" i="1"/>
  <c r="V109" i="1" s="1"/>
  <c r="U52" i="1"/>
  <c r="V52" i="1" s="1"/>
  <c r="U40" i="1"/>
  <c r="V40" i="1" s="1"/>
  <c r="AD102" i="1"/>
  <c r="W102" i="1"/>
  <c r="AA102" i="1" s="1"/>
  <c r="AC102" i="1"/>
  <c r="AB55" i="1"/>
  <c r="AB62" i="1"/>
  <c r="AB53" i="1"/>
  <c r="U33" i="1"/>
  <c r="V33" i="1" s="1"/>
  <c r="U79" i="1"/>
  <c r="V79" i="1" s="1"/>
  <c r="R79" i="1" s="1"/>
  <c r="P79" i="1" s="1"/>
  <c r="S79" i="1" s="1"/>
  <c r="M79" i="1" s="1"/>
  <c r="N79" i="1" s="1"/>
  <c r="AB45" i="1"/>
  <c r="U22" i="1"/>
  <c r="V22" i="1" s="1"/>
  <c r="R68" i="1"/>
  <c r="P68" i="1" s="1"/>
  <c r="S68" i="1" s="1"/>
  <c r="M68" i="1" s="1"/>
  <c r="N68" i="1" s="1"/>
  <c r="AB68" i="1"/>
  <c r="U68" i="1"/>
  <c r="V68" i="1" s="1"/>
  <c r="W47" i="1"/>
  <c r="AA47" i="1" s="1"/>
  <c r="AD47" i="1"/>
  <c r="AB42" i="1"/>
  <c r="AB30" i="1"/>
  <c r="W64" i="1"/>
  <c r="AA64" i="1" s="1"/>
  <c r="AD64" i="1"/>
  <c r="AC64" i="1"/>
  <c r="U206" i="1"/>
  <c r="V206" i="1" s="1"/>
  <c r="AB219" i="1"/>
  <c r="AB202" i="1"/>
  <c r="R202" i="1"/>
  <c r="P202" i="1" s="1"/>
  <c r="S202" i="1" s="1"/>
  <c r="M202" i="1" s="1"/>
  <c r="N202" i="1" s="1"/>
  <c r="U185" i="1"/>
  <c r="V185" i="1" s="1"/>
  <c r="U203" i="1"/>
  <c r="V203" i="1" s="1"/>
  <c r="AB214" i="1"/>
  <c r="AB223" i="1"/>
  <c r="U179" i="1"/>
  <c r="V179" i="1" s="1"/>
  <c r="R179" i="1" s="1"/>
  <c r="P179" i="1" s="1"/>
  <c r="S179" i="1" s="1"/>
  <c r="M179" i="1" s="1"/>
  <c r="N179" i="1" s="1"/>
  <c r="U151" i="1"/>
  <c r="V151" i="1" s="1"/>
  <c r="AB144" i="1"/>
  <c r="AB122" i="1"/>
  <c r="U144" i="1"/>
  <c r="V144" i="1" s="1"/>
  <c r="AB126" i="1"/>
  <c r="U95" i="1"/>
  <c r="V95" i="1" s="1"/>
  <c r="AB123" i="1"/>
  <c r="R123" i="1"/>
  <c r="P123" i="1" s="1"/>
  <c r="S123" i="1" s="1"/>
  <c r="M123" i="1" s="1"/>
  <c r="N123" i="1" s="1"/>
  <c r="AB118" i="1"/>
  <c r="AB119" i="1"/>
  <c r="R119" i="1"/>
  <c r="P119" i="1" s="1"/>
  <c r="S119" i="1" s="1"/>
  <c r="M119" i="1" s="1"/>
  <c r="N119" i="1" s="1"/>
  <c r="AD115" i="1"/>
  <c r="AE115" i="1" s="1"/>
  <c r="W115" i="1"/>
  <c r="AA115" i="1" s="1"/>
  <c r="R115" i="1"/>
  <c r="P115" i="1" s="1"/>
  <c r="S115" i="1" s="1"/>
  <c r="M115" i="1" s="1"/>
  <c r="N115" i="1" s="1"/>
  <c r="U70" i="1"/>
  <c r="V70" i="1" s="1"/>
  <c r="U139" i="1"/>
  <c r="V139" i="1" s="1"/>
  <c r="U97" i="1"/>
  <c r="V97" i="1" s="1"/>
  <c r="AB82" i="1"/>
  <c r="AB100" i="1"/>
  <c r="R100" i="1"/>
  <c r="P100" i="1" s="1"/>
  <c r="S100" i="1" s="1"/>
  <c r="M100" i="1" s="1"/>
  <c r="N100" i="1" s="1"/>
  <c r="AB79" i="1"/>
  <c r="AB101" i="1"/>
  <c r="U36" i="1"/>
  <c r="V36" i="1" s="1"/>
  <c r="U73" i="1"/>
  <c r="V73" i="1" s="1"/>
  <c r="R73" i="1" s="1"/>
  <c r="P73" i="1" s="1"/>
  <c r="S73" i="1" s="1"/>
  <c r="M73" i="1" s="1"/>
  <c r="N73" i="1" s="1"/>
  <c r="U29" i="1"/>
  <c r="V29" i="1" s="1"/>
  <c r="U112" i="1"/>
  <c r="V112" i="1" s="1"/>
  <c r="U63" i="1"/>
  <c r="V63" i="1" s="1"/>
  <c r="AB41" i="1"/>
  <c r="AB21" i="1"/>
  <c r="W35" i="1"/>
  <c r="AA35" i="1" s="1"/>
  <c r="AD35" i="1"/>
  <c r="W19" i="1"/>
  <c r="AA19" i="1" s="1"/>
  <c r="AD19" i="1"/>
  <c r="R23" i="1"/>
  <c r="P23" i="1" s="1"/>
  <c r="S23" i="1" s="1"/>
  <c r="M23" i="1" s="1"/>
  <c r="N23" i="1" s="1"/>
  <c r="AB23" i="1"/>
  <c r="R39" i="1"/>
  <c r="P39" i="1" s="1"/>
  <c r="S39" i="1" s="1"/>
  <c r="M39" i="1" s="1"/>
  <c r="N39" i="1" s="1"/>
  <c r="AB39" i="1"/>
  <c r="R27" i="1"/>
  <c r="P27" i="1" s="1"/>
  <c r="S27" i="1" s="1"/>
  <c r="M27" i="1" s="1"/>
  <c r="N27" i="1" s="1"/>
  <c r="AB27" i="1"/>
  <c r="U226" i="1"/>
  <c r="V226" i="1" s="1"/>
  <c r="AB222" i="1"/>
  <c r="AB217" i="1"/>
  <c r="AB201" i="1"/>
  <c r="W216" i="1"/>
  <c r="AA216" i="1" s="1"/>
  <c r="AD216" i="1"/>
  <c r="AE216" i="1" s="1"/>
  <c r="AC216" i="1"/>
  <c r="W188" i="1"/>
  <c r="AA188" i="1" s="1"/>
  <c r="AD188" i="1"/>
  <c r="AE188" i="1" s="1"/>
  <c r="AC188" i="1"/>
  <c r="W192" i="1"/>
  <c r="AA192" i="1" s="1"/>
  <c r="AD192" i="1"/>
  <c r="AE192" i="1" s="1"/>
  <c r="AC192" i="1"/>
  <c r="U199" i="1"/>
  <c r="V199" i="1" s="1"/>
  <c r="U175" i="1"/>
  <c r="V175" i="1" s="1"/>
  <c r="AB163" i="1"/>
  <c r="R163" i="1"/>
  <c r="P163" i="1" s="1"/>
  <c r="S163" i="1" s="1"/>
  <c r="M163" i="1" s="1"/>
  <c r="N163" i="1" s="1"/>
  <c r="U161" i="1"/>
  <c r="V161" i="1" s="1"/>
  <c r="R176" i="1"/>
  <c r="P176" i="1" s="1"/>
  <c r="S176" i="1" s="1"/>
  <c r="M176" i="1" s="1"/>
  <c r="N176" i="1" s="1"/>
  <c r="AB176" i="1"/>
  <c r="AB150" i="1"/>
  <c r="AB174" i="1"/>
  <c r="R174" i="1"/>
  <c r="P174" i="1" s="1"/>
  <c r="S174" i="1" s="1"/>
  <c r="M174" i="1" s="1"/>
  <c r="N174" i="1" s="1"/>
  <c r="U149" i="1"/>
  <c r="V149" i="1" s="1"/>
  <c r="U152" i="1"/>
  <c r="V152" i="1" s="1"/>
  <c r="U135" i="1"/>
  <c r="V135" i="1" s="1"/>
  <c r="AB110" i="1"/>
  <c r="U110" i="1"/>
  <c r="V110" i="1" s="1"/>
  <c r="U91" i="1"/>
  <c r="V91" i="1" s="1"/>
  <c r="AD113" i="1"/>
  <c r="W113" i="1"/>
  <c r="AA113" i="1" s="1"/>
  <c r="AC113" i="1"/>
  <c r="AB92" i="1"/>
  <c r="R86" i="1"/>
  <c r="P86" i="1" s="1"/>
  <c r="S86" i="1" s="1"/>
  <c r="M86" i="1" s="1"/>
  <c r="N86" i="1" s="1"/>
  <c r="AB86" i="1"/>
  <c r="AB69" i="1"/>
  <c r="R69" i="1"/>
  <c r="P69" i="1" s="1"/>
  <c r="S69" i="1" s="1"/>
  <c r="M69" i="1" s="1"/>
  <c r="N69" i="1" s="1"/>
  <c r="U104" i="1"/>
  <c r="V104" i="1" s="1"/>
  <c r="AB99" i="1"/>
  <c r="U89" i="1"/>
  <c r="V89" i="1" s="1"/>
  <c r="AB75" i="1"/>
  <c r="AB74" i="1"/>
  <c r="U32" i="1"/>
  <c r="V32" i="1" s="1"/>
  <c r="U25" i="1"/>
  <c r="V25" i="1" s="1"/>
  <c r="AB37" i="1"/>
  <c r="U18" i="1"/>
  <c r="V18" i="1" s="1"/>
  <c r="R38" i="1"/>
  <c r="P38" i="1" s="1"/>
  <c r="S38" i="1" s="1"/>
  <c r="M38" i="1" s="1"/>
  <c r="N38" i="1" s="1"/>
  <c r="AB38" i="1"/>
  <c r="R43" i="1"/>
  <c r="P43" i="1" s="1"/>
  <c r="S43" i="1" s="1"/>
  <c r="M43" i="1" s="1"/>
  <c r="N43" i="1" s="1"/>
  <c r="AB43" i="1"/>
  <c r="R47" i="1"/>
  <c r="P47" i="1" s="1"/>
  <c r="S47" i="1" s="1"/>
  <c r="M47" i="1" s="1"/>
  <c r="N47" i="1" s="1"/>
  <c r="AB47" i="1"/>
  <c r="AC19" i="1"/>
  <c r="AB225" i="1"/>
  <c r="U223" i="1"/>
  <c r="V223" i="1" s="1"/>
  <c r="AB203" i="1"/>
  <c r="R203" i="1"/>
  <c r="P203" i="1" s="1"/>
  <c r="S203" i="1" s="1"/>
  <c r="M203" i="1" s="1"/>
  <c r="N203" i="1" s="1"/>
  <c r="AB207" i="1"/>
  <c r="AB226" i="1"/>
  <c r="R226" i="1"/>
  <c r="P226" i="1" s="1"/>
  <c r="S226" i="1" s="1"/>
  <c r="M226" i="1" s="1"/>
  <c r="N226" i="1" s="1"/>
  <c r="U191" i="1"/>
  <c r="V191" i="1" s="1"/>
  <c r="U195" i="1"/>
  <c r="V195" i="1" s="1"/>
  <c r="M184" i="1"/>
  <c r="N184" i="1" s="1"/>
  <c r="W196" i="1"/>
  <c r="AA196" i="1" s="1"/>
  <c r="AD196" i="1"/>
  <c r="AC196" i="1"/>
  <c r="U181" i="1"/>
  <c r="V181" i="1" s="1"/>
  <c r="U171" i="1"/>
  <c r="V171" i="1" s="1"/>
  <c r="U187" i="1"/>
  <c r="V187" i="1" s="1"/>
  <c r="U178" i="1"/>
  <c r="V178" i="1" s="1"/>
  <c r="AB182" i="1"/>
  <c r="R182" i="1"/>
  <c r="P182" i="1" s="1"/>
  <c r="S182" i="1" s="1"/>
  <c r="M182" i="1" s="1"/>
  <c r="N182" i="1" s="1"/>
  <c r="U182" i="1"/>
  <c r="V182" i="1" s="1"/>
  <c r="W173" i="1"/>
  <c r="AA173" i="1" s="1"/>
  <c r="AD173" i="1"/>
  <c r="AE173" i="1" s="1"/>
  <c r="AC173" i="1"/>
  <c r="AB162" i="1"/>
  <c r="R162" i="1"/>
  <c r="P162" i="1" s="1"/>
  <c r="S162" i="1" s="1"/>
  <c r="M162" i="1" s="1"/>
  <c r="N162" i="1" s="1"/>
  <c r="R161" i="1"/>
  <c r="P161" i="1" s="1"/>
  <c r="S161" i="1" s="1"/>
  <c r="M161" i="1" s="1"/>
  <c r="N161" i="1" s="1"/>
  <c r="AB161" i="1"/>
  <c r="U147" i="1"/>
  <c r="V147" i="1" s="1"/>
  <c r="R147" i="1" s="1"/>
  <c r="P147" i="1" s="1"/>
  <c r="S147" i="1" s="1"/>
  <c r="M147" i="1" s="1"/>
  <c r="N147" i="1" s="1"/>
  <c r="AB165" i="1"/>
  <c r="U162" i="1"/>
  <c r="V162" i="1" s="1"/>
  <c r="U145" i="1"/>
  <c r="V145" i="1" s="1"/>
  <c r="U130" i="1"/>
  <c r="V130" i="1" s="1"/>
  <c r="AB147" i="1"/>
  <c r="AB158" i="1"/>
  <c r="W164" i="1"/>
  <c r="AA164" i="1" s="1"/>
  <c r="AD164" i="1"/>
  <c r="AE164" i="1" s="1"/>
  <c r="AC164" i="1"/>
  <c r="U140" i="1"/>
  <c r="V140" i="1" s="1"/>
  <c r="U186" i="1"/>
  <c r="V186" i="1" s="1"/>
  <c r="AB186" i="1"/>
  <c r="R186" i="1"/>
  <c r="P186" i="1" s="1"/>
  <c r="S186" i="1" s="1"/>
  <c r="M186" i="1" s="1"/>
  <c r="N186" i="1" s="1"/>
  <c r="AB140" i="1"/>
  <c r="R140" i="1"/>
  <c r="P140" i="1" s="1"/>
  <c r="S140" i="1" s="1"/>
  <c r="M140" i="1" s="1"/>
  <c r="N140" i="1" s="1"/>
  <c r="AB134" i="1"/>
  <c r="R134" i="1"/>
  <c r="P134" i="1" s="1"/>
  <c r="S134" i="1" s="1"/>
  <c r="M134" i="1" s="1"/>
  <c r="N134" i="1" s="1"/>
  <c r="U114" i="1"/>
  <c r="V114" i="1" s="1"/>
  <c r="AB131" i="1"/>
  <c r="U107" i="1"/>
  <c r="V107" i="1" s="1"/>
  <c r="U87" i="1"/>
  <c r="V87" i="1" s="1"/>
  <c r="U93" i="1"/>
  <c r="V93" i="1" s="1"/>
  <c r="U66" i="1"/>
  <c r="V66" i="1" s="1"/>
  <c r="U105" i="1"/>
  <c r="V105" i="1" s="1"/>
  <c r="AB108" i="1"/>
  <c r="AB71" i="1"/>
  <c r="AB58" i="1"/>
  <c r="U28" i="1"/>
  <c r="V28" i="1" s="1"/>
  <c r="U75" i="1"/>
  <c r="V75" i="1" s="1"/>
  <c r="R75" i="1" s="1"/>
  <c r="P75" i="1" s="1"/>
  <c r="S75" i="1" s="1"/>
  <c r="M75" i="1" s="1"/>
  <c r="N75" i="1" s="1"/>
  <c r="U21" i="1"/>
  <c r="V21" i="1" s="1"/>
  <c r="R21" i="1" s="1"/>
  <c r="P21" i="1" s="1"/>
  <c r="S21" i="1" s="1"/>
  <c r="M21" i="1" s="1"/>
  <c r="N21" i="1" s="1"/>
  <c r="R64" i="1"/>
  <c r="P64" i="1" s="1"/>
  <c r="S64" i="1" s="1"/>
  <c r="M64" i="1" s="1"/>
  <c r="N64" i="1" s="1"/>
  <c r="AB64" i="1"/>
  <c r="U98" i="1"/>
  <c r="V98" i="1" s="1"/>
  <c r="AB33" i="1"/>
  <c r="R33" i="1"/>
  <c r="P33" i="1" s="1"/>
  <c r="S33" i="1" s="1"/>
  <c r="M33" i="1" s="1"/>
  <c r="N33" i="1" s="1"/>
  <c r="AB17" i="1"/>
  <c r="AB105" i="1"/>
  <c r="W43" i="1"/>
  <c r="AA43" i="1" s="1"/>
  <c r="AD43" i="1"/>
  <c r="U55" i="1"/>
  <c r="V55" i="1" s="1"/>
  <c r="AC35" i="1"/>
  <c r="R19" i="1"/>
  <c r="P19" i="1" s="1"/>
  <c r="S19" i="1" s="1"/>
  <c r="M19" i="1" s="1"/>
  <c r="N19" i="1" s="1"/>
  <c r="AB19" i="1"/>
  <c r="R35" i="1"/>
  <c r="P35" i="1" s="1"/>
  <c r="S35" i="1" s="1"/>
  <c r="M35" i="1" s="1"/>
  <c r="N35" i="1" s="1"/>
  <c r="AB35" i="1"/>
  <c r="AC47" i="1"/>
  <c r="U221" i="1"/>
  <c r="V221" i="1" s="1"/>
  <c r="U219" i="1"/>
  <c r="V219" i="1" s="1"/>
  <c r="R219" i="1" s="1"/>
  <c r="P219" i="1" s="1"/>
  <c r="S219" i="1" s="1"/>
  <c r="M219" i="1" s="1"/>
  <c r="N219" i="1" s="1"/>
  <c r="AB224" i="1"/>
  <c r="U201" i="1"/>
  <c r="V201" i="1" s="1"/>
  <c r="R201" i="1" s="1"/>
  <c r="P201" i="1" s="1"/>
  <c r="S201" i="1" s="1"/>
  <c r="M201" i="1" s="1"/>
  <c r="N201" i="1" s="1"/>
  <c r="AD200" i="1"/>
  <c r="AE200" i="1" s="1"/>
  <c r="W200" i="1"/>
  <c r="AA200" i="1" s="1"/>
  <c r="AC200" i="1"/>
  <c r="U167" i="1"/>
  <c r="V167" i="1" s="1"/>
  <c r="W212" i="1"/>
  <c r="AA212" i="1" s="1"/>
  <c r="AD212" i="1"/>
  <c r="AC212" i="1"/>
  <c r="W172" i="1"/>
  <c r="AA172" i="1" s="1"/>
  <c r="AD172" i="1"/>
  <c r="AE172" i="1" s="1"/>
  <c r="AC172" i="1"/>
  <c r="U158" i="1"/>
  <c r="V158" i="1" s="1"/>
  <c r="R158" i="1" s="1"/>
  <c r="P158" i="1" s="1"/>
  <c r="S158" i="1" s="1"/>
  <c r="M158" i="1" s="1"/>
  <c r="N158" i="1" s="1"/>
  <c r="AB146" i="1"/>
  <c r="R146" i="1"/>
  <c r="P146" i="1" s="1"/>
  <c r="S146" i="1" s="1"/>
  <c r="M146" i="1" s="1"/>
  <c r="N146" i="1" s="1"/>
  <c r="U126" i="1"/>
  <c r="V126" i="1" s="1"/>
  <c r="AB151" i="1"/>
  <c r="R151" i="1"/>
  <c r="P151" i="1" s="1"/>
  <c r="S151" i="1" s="1"/>
  <c r="M151" i="1" s="1"/>
  <c r="N151" i="1" s="1"/>
  <c r="U137" i="1"/>
  <c r="V137" i="1" s="1"/>
  <c r="U116" i="1"/>
  <c r="V116" i="1" s="1"/>
  <c r="W133" i="1"/>
  <c r="AA133" i="1" s="1"/>
  <c r="AD133" i="1"/>
  <c r="AC133" i="1"/>
  <c r="R106" i="1"/>
  <c r="P106" i="1" s="1"/>
  <c r="S106" i="1" s="1"/>
  <c r="M106" i="1" s="1"/>
  <c r="N106" i="1" s="1"/>
  <c r="AB106" i="1"/>
  <c r="U83" i="1"/>
  <c r="V83" i="1" s="1"/>
  <c r="U120" i="1"/>
  <c r="V120" i="1" s="1"/>
  <c r="AB116" i="1"/>
  <c r="R116" i="1"/>
  <c r="P116" i="1" s="1"/>
  <c r="S116" i="1" s="1"/>
  <c r="M116" i="1" s="1"/>
  <c r="N116" i="1" s="1"/>
  <c r="U111" i="1"/>
  <c r="V111" i="1" s="1"/>
  <c r="AB111" i="1"/>
  <c r="R111" i="1"/>
  <c r="P111" i="1" s="1"/>
  <c r="S111" i="1" s="1"/>
  <c r="M111" i="1" s="1"/>
  <c r="N111" i="1" s="1"/>
  <c r="W129" i="1"/>
  <c r="AA129" i="1" s="1"/>
  <c r="AD129" i="1"/>
  <c r="AC129" i="1"/>
  <c r="AB65" i="1"/>
  <c r="R65" i="1"/>
  <c r="P65" i="1" s="1"/>
  <c r="S65" i="1" s="1"/>
  <c r="M65" i="1" s="1"/>
  <c r="N65" i="1" s="1"/>
  <c r="U108" i="1"/>
  <c r="V108" i="1" s="1"/>
  <c r="AB103" i="1"/>
  <c r="U85" i="1"/>
  <c r="V85" i="1" s="1"/>
  <c r="AB96" i="1"/>
  <c r="R96" i="1"/>
  <c r="P96" i="1" s="1"/>
  <c r="S96" i="1" s="1"/>
  <c r="M96" i="1" s="1"/>
  <c r="N96" i="1" s="1"/>
  <c r="AB67" i="1"/>
  <c r="U24" i="1"/>
  <c r="V24" i="1" s="1"/>
  <c r="U53" i="1"/>
  <c r="V53" i="1" s="1"/>
  <c r="U59" i="1"/>
  <c r="V59" i="1" s="1"/>
  <c r="U17" i="1"/>
  <c r="V17" i="1" s="1"/>
  <c r="U86" i="1"/>
  <c r="V86" i="1" s="1"/>
  <c r="U30" i="1"/>
  <c r="V30" i="1" s="1"/>
  <c r="AB70" i="1"/>
  <c r="R70" i="1"/>
  <c r="P70" i="1" s="1"/>
  <c r="S70" i="1" s="1"/>
  <c r="M70" i="1" s="1"/>
  <c r="N70" i="1" s="1"/>
  <c r="U50" i="1"/>
  <c r="V50" i="1" s="1"/>
  <c r="AD44" i="1"/>
  <c r="W44" i="1"/>
  <c r="AA44" i="1" s="1"/>
  <c r="R31" i="1"/>
  <c r="P31" i="1" s="1"/>
  <c r="S31" i="1" s="1"/>
  <c r="M31" i="1" s="1"/>
  <c r="N31" i="1" s="1"/>
  <c r="AB31" i="1"/>
  <c r="W48" i="1"/>
  <c r="AA48" i="1" s="1"/>
  <c r="AD48" i="1"/>
  <c r="AE48" i="1" s="1"/>
  <c r="W38" i="1"/>
  <c r="AA38" i="1" s="1"/>
  <c r="AD38" i="1"/>
  <c r="AC38" i="1"/>
  <c r="W46" i="1"/>
  <c r="AA46" i="1" s="1"/>
  <c r="AD46" i="1"/>
  <c r="AC46" i="1"/>
  <c r="AB26" i="1"/>
  <c r="AB199" i="1"/>
  <c r="R199" i="1"/>
  <c r="P199" i="1" s="1"/>
  <c r="S199" i="1" s="1"/>
  <c r="M199" i="1" s="1"/>
  <c r="N199" i="1" s="1"/>
  <c r="U217" i="1"/>
  <c r="V217" i="1" s="1"/>
  <c r="R217" i="1" s="1"/>
  <c r="P217" i="1" s="1"/>
  <c r="S217" i="1" s="1"/>
  <c r="M217" i="1" s="1"/>
  <c r="N217" i="1" s="1"/>
  <c r="U215" i="1"/>
  <c r="V215" i="1" s="1"/>
  <c r="AB206" i="1"/>
  <c r="R206" i="1"/>
  <c r="P206" i="1" s="1"/>
  <c r="S206" i="1" s="1"/>
  <c r="M206" i="1" s="1"/>
  <c r="N206" i="1" s="1"/>
  <c r="W220" i="1"/>
  <c r="AA220" i="1" s="1"/>
  <c r="AD220" i="1"/>
  <c r="AC220" i="1"/>
  <c r="R216" i="1"/>
  <c r="P216" i="1" s="1"/>
  <c r="S216" i="1" s="1"/>
  <c r="M216" i="1" s="1"/>
  <c r="N216" i="1" s="1"/>
  <c r="R200" i="1"/>
  <c r="P200" i="1" s="1"/>
  <c r="S200" i="1" s="1"/>
  <c r="M200" i="1" s="1"/>
  <c r="N200" i="1" s="1"/>
  <c r="AB205" i="1"/>
  <c r="R205" i="1"/>
  <c r="P205" i="1" s="1"/>
  <c r="S205" i="1" s="1"/>
  <c r="M205" i="1" s="1"/>
  <c r="N205" i="1" s="1"/>
  <c r="U174" i="1"/>
  <c r="V174" i="1" s="1"/>
  <c r="U225" i="1"/>
  <c r="V225" i="1" s="1"/>
  <c r="U224" i="1"/>
  <c r="V224" i="1" s="1"/>
  <c r="R224" i="1" s="1"/>
  <c r="P224" i="1" s="1"/>
  <c r="S224" i="1" s="1"/>
  <c r="M224" i="1" s="1"/>
  <c r="N224" i="1" s="1"/>
  <c r="R196" i="1"/>
  <c r="P196" i="1" s="1"/>
  <c r="S196" i="1" s="1"/>
  <c r="M196" i="1" s="1"/>
  <c r="N196" i="1" s="1"/>
  <c r="U169" i="1"/>
  <c r="V169" i="1" s="1"/>
  <c r="AB157" i="1"/>
  <c r="U157" i="1"/>
  <c r="V157" i="1" s="1"/>
  <c r="R173" i="1"/>
  <c r="P173" i="1" s="1"/>
  <c r="S173" i="1" s="1"/>
  <c r="M173" i="1" s="1"/>
  <c r="N173" i="1" s="1"/>
  <c r="R172" i="1"/>
  <c r="P172" i="1" s="1"/>
  <c r="S172" i="1" s="1"/>
  <c r="M172" i="1" s="1"/>
  <c r="N172" i="1" s="1"/>
  <c r="AB172" i="1"/>
  <c r="U143" i="1"/>
  <c r="V143" i="1" s="1"/>
  <c r="R143" i="1" s="1"/>
  <c r="P143" i="1" s="1"/>
  <c r="S143" i="1" s="1"/>
  <c r="M143" i="1" s="1"/>
  <c r="N143" i="1" s="1"/>
  <c r="AB166" i="1"/>
  <c r="U156" i="1"/>
  <c r="V156" i="1" s="1"/>
  <c r="U142" i="1"/>
  <c r="V142" i="1" s="1"/>
  <c r="R142" i="1" s="1"/>
  <c r="P142" i="1" s="1"/>
  <c r="S142" i="1" s="1"/>
  <c r="M142" i="1" s="1"/>
  <c r="N142" i="1" s="1"/>
  <c r="U122" i="1"/>
  <c r="V122" i="1" s="1"/>
  <c r="R122" i="1" s="1"/>
  <c r="P122" i="1" s="1"/>
  <c r="S122" i="1" s="1"/>
  <c r="M122" i="1" s="1"/>
  <c r="N122" i="1" s="1"/>
  <c r="U138" i="1"/>
  <c r="V138" i="1" s="1"/>
  <c r="AB155" i="1"/>
  <c r="AB138" i="1"/>
  <c r="R138" i="1"/>
  <c r="P138" i="1" s="1"/>
  <c r="S138" i="1" s="1"/>
  <c r="M138" i="1" s="1"/>
  <c r="N138" i="1" s="1"/>
  <c r="AB148" i="1"/>
  <c r="AB127" i="1"/>
  <c r="R127" i="1"/>
  <c r="P127" i="1" s="1"/>
  <c r="S127" i="1" s="1"/>
  <c r="M127" i="1" s="1"/>
  <c r="N127" i="1" s="1"/>
  <c r="U103" i="1"/>
  <c r="V103" i="1" s="1"/>
  <c r="AC160" i="1"/>
  <c r="U78" i="1"/>
  <c r="V78" i="1" s="1"/>
  <c r="U62" i="1"/>
  <c r="V62" i="1" s="1"/>
  <c r="AB63" i="1"/>
  <c r="R63" i="1"/>
  <c r="P63" i="1" s="1"/>
  <c r="S63" i="1" s="1"/>
  <c r="M63" i="1" s="1"/>
  <c r="N63" i="1" s="1"/>
  <c r="R51" i="1"/>
  <c r="P51" i="1" s="1"/>
  <c r="S51" i="1" s="1"/>
  <c r="M51" i="1" s="1"/>
  <c r="N51" i="1" s="1"/>
  <c r="AB51" i="1"/>
  <c r="U20" i="1"/>
  <c r="V20" i="1" s="1"/>
  <c r="AB60" i="1"/>
  <c r="AB80" i="1"/>
  <c r="U80" i="1"/>
  <c r="V80" i="1" s="1"/>
  <c r="U45" i="1"/>
  <c r="V45" i="1" s="1"/>
  <c r="U82" i="1"/>
  <c r="V82" i="1" s="1"/>
  <c r="U92" i="1"/>
  <c r="V92" i="1" s="1"/>
  <c r="R92" i="1" s="1"/>
  <c r="P92" i="1" s="1"/>
  <c r="S92" i="1" s="1"/>
  <c r="M92" i="1" s="1"/>
  <c r="N92" i="1" s="1"/>
  <c r="AB66" i="1"/>
  <c r="R66" i="1"/>
  <c r="P66" i="1" s="1"/>
  <c r="S66" i="1" s="1"/>
  <c r="M66" i="1" s="1"/>
  <c r="N66" i="1" s="1"/>
  <c r="AB29" i="1"/>
  <c r="R29" i="1"/>
  <c r="P29" i="1" s="1"/>
  <c r="S29" i="1" s="1"/>
  <c r="M29" i="1" s="1"/>
  <c r="N29" i="1" s="1"/>
  <c r="W27" i="1"/>
  <c r="AA27" i="1" s="1"/>
  <c r="AD27" i="1"/>
  <c r="AB95" i="1"/>
  <c r="R95" i="1"/>
  <c r="P95" i="1" s="1"/>
  <c r="S95" i="1" s="1"/>
  <c r="M95" i="1" s="1"/>
  <c r="N95" i="1" s="1"/>
  <c r="AB18" i="1"/>
  <c r="R18" i="1"/>
  <c r="P18" i="1" s="1"/>
  <c r="S18" i="1" s="1"/>
  <c r="M18" i="1" s="1"/>
  <c r="N18" i="1" s="1"/>
  <c r="AC27" i="1"/>
  <c r="R46" i="1"/>
  <c r="P46" i="1" s="1"/>
  <c r="S46" i="1" s="1"/>
  <c r="M46" i="1" s="1"/>
  <c r="N46" i="1" s="1"/>
  <c r="AB46" i="1"/>
  <c r="AB22" i="1"/>
  <c r="R22" i="1"/>
  <c r="P22" i="1" s="1"/>
  <c r="S22" i="1" s="1"/>
  <c r="M22" i="1" s="1"/>
  <c r="N22" i="1" s="1"/>
  <c r="AC43" i="1"/>
  <c r="U222" i="1"/>
  <c r="V222" i="1" s="1"/>
  <c r="U213" i="1"/>
  <c r="V213" i="1" s="1"/>
  <c r="U218" i="1"/>
  <c r="V218" i="1" s="1"/>
  <c r="R218" i="1" s="1"/>
  <c r="P218" i="1" s="1"/>
  <c r="S218" i="1" s="1"/>
  <c r="M218" i="1" s="1"/>
  <c r="N218" i="1" s="1"/>
  <c r="U211" i="1"/>
  <c r="V211" i="1" s="1"/>
  <c r="U197" i="1"/>
  <c r="V197" i="1" s="1"/>
  <c r="U170" i="1"/>
  <c r="V170" i="1" s="1"/>
  <c r="R170" i="1" s="1"/>
  <c r="P170" i="1" s="1"/>
  <c r="S170" i="1" s="1"/>
  <c r="M170" i="1" s="1"/>
  <c r="N170" i="1" s="1"/>
  <c r="M192" i="1"/>
  <c r="N192" i="1" s="1"/>
  <c r="AD198" i="1"/>
  <c r="AE198" i="1" s="1"/>
  <c r="W198" i="1"/>
  <c r="AA198" i="1" s="1"/>
  <c r="U165" i="1"/>
  <c r="V165" i="1" s="1"/>
  <c r="W176" i="1"/>
  <c r="AA176" i="1" s="1"/>
  <c r="AD176" i="1"/>
  <c r="AE176" i="1" s="1"/>
  <c r="AC176" i="1"/>
  <c r="U154" i="1"/>
  <c r="V154" i="1" s="1"/>
  <c r="R154" i="1" s="1"/>
  <c r="P154" i="1" s="1"/>
  <c r="S154" i="1" s="1"/>
  <c r="M154" i="1" s="1"/>
  <c r="N154" i="1" s="1"/>
  <c r="AB197" i="1"/>
  <c r="AB142" i="1"/>
  <c r="AB170" i="1"/>
  <c r="AB168" i="1"/>
  <c r="U118" i="1"/>
  <c r="V118" i="1" s="1"/>
  <c r="R118" i="1" s="1"/>
  <c r="P118" i="1" s="1"/>
  <c r="S118" i="1" s="1"/>
  <c r="M118" i="1" s="1"/>
  <c r="N118" i="1" s="1"/>
  <c r="AB183" i="1"/>
  <c r="U168" i="1"/>
  <c r="V168" i="1" s="1"/>
  <c r="U132" i="1"/>
  <c r="V132" i="1" s="1"/>
  <c r="R129" i="1"/>
  <c r="P129" i="1" s="1"/>
  <c r="S129" i="1" s="1"/>
  <c r="M129" i="1" s="1"/>
  <c r="N129" i="1" s="1"/>
  <c r="AB128" i="1"/>
  <c r="W125" i="1"/>
  <c r="AA125" i="1" s="1"/>
  <c r="AD125" i="1"/>
  <c r="AC125" i="1"/>
  <c r="R102" i="1"/>
  <c r="P102" i="1" s="1"/>
  <c r="S102" i="1" s="1"/>
  <c r="M102" i="1" s="1"/>
  <c r="N102" i="1" s="1"/>
  <c r="AB102" i="1"/>
  <c r="AB114" i="1"/>
  <c r="R114" i="1"/>
  <c r="P114" i="1" s="1"/>
  <c r="S114" i="1" s="1"/>
  <c r="M114" i="1" s="1"/>
  <c r="N114" i="1" s="1"/>
  <c r="U131" i="1"/>
  <c r="V131" i="1" s="1"/>
  <c r="R131" i="1" s="1"/>
  <c r="P131" i="1" s="1"/>
  <c r="S131" i="1" s="1"/>
  <c r="M131" i="1" s="1"/>
  <c r="N131" i="1" s="1"/>
  <c r="AB117" i="1"/>
  <c r="R94" i="1"/>
  <c r="P94" i="1" s="1"/>
  <c r="S94" i="1" s="1"/>
  <c r="M94" i="1" s="1"/>
  <c r="N94" i="1" s="1"/>
  <c r="U94" i="1"/>
  <c r="V94" i="1" s="1"/>
  <c r="AB94" i="1"/>
  <c r="W121" i="1"/>
  <c r="AA121" i="1" s="1"/>
  <c r="AD121" i="1"/>
  <c r="AC121" i="1"/>
  <c r="R90" i="1"/>
  <c r="P90" i="1" s="1"/>
  <c r="S90" i="1" s="1"/>
  <c r="M90" i="1" s="1"/>
  <c r="N90" i="1" s="1"/>
  <c r="AB90" i="1"/>
  <c r="AB77" i="1"/>
  <c r="R77" i="1"/>
  <c r="P77" i="1" s="1"/>
  <c r="S77" i="1" s="1"/>
  <c r="M77" i="1" s="1"/>
  <c r="N77" i="1" s="1"/>
  <c r="AB61" i="1"/>
  <c r="R61" i="1"/>
  <c r="P61" i="1" s="1"/>
  <c r="S61" i="1" s="1"/>
  <c r="M61" i="1" s="1"/>
  <c r="N61" i="1" s="1"/>
  <c r="AB107" i="1"/>
  <c r="R107" i="1"/>
  <c r="P107" i="1" s="1"/>
  <c r="S107" i="1" s="1"/>
  <c r="M107" i="1" s="1"/>
  <c r="N107" i="1" s="1"/>
  <c r="U96" i="1"/>
  <c r="V96" i="1" s="1"/>
  <c r="AB85" i="1"/>
  <c r="R85" i="1"/>
  <c r="P85" i="1" s="1"/>
  <c r="S85" i="1" s="1"/>
  <c r="M85" i="1" s="1"/>
  <c r="N85" i="1" s="1"/>
  <c r="U101" i="1"/>
  <c r="V101" i="1" s="1"/>
  <c r="R101" i="1" s="1"/>
  <c r="P101" i="1" s="1"/>
  <c r="S101" i="1" s="1"/>
  <c r="M101" i="1" s="1"/>
  <c r="N101" i="1" s="1"/>
  <c r="AB104" i="1"/>
  <c r="R104" i="1"/>
  <c r="P104" i="1" s="1"/>
  <c r="S104" i="1" s="1"/>
  <c r="M104" i="1" s="1"/>
  <c r="N104" i="1" s="1"/>
  <c r="AB59" i="1"/>
  <c r="R59" i="1"/>
  <c r="P59" i="1" s="1"/>
  <c r="S59" i="1" s="1"/>
  <c r="M59" i="1" s="1"/>
  <c r="N59" i="1" s="1"/>
  <c r="U71" i="1"/>
  <c r="V71" i="1" s="1"/>
  <c r="U67" i="1"/>
  <c r="V67" i="1" s="1"/>
  <c r="U41" i="1"/>
  <c r="V41" i="1" s="1"/>
  <c r="R41" i="1" s="1"/>
  <c r="P41" i="1" s="1"/>
  <c r="S41" i="1" s="1"/>
  <c r="M41" i="1" s="1"/>
  <c r="N41" i="1" s="1"/>
  <c r="AB97" i="1"/>
  <c r="R97" i="1"/>
  <c r="P97" i="1" s="1"/>
  <c r="S97" i="1" s="1"/>
  <c r="M97" i="1" s="1"/>
  <c r="N97" i="1" s="1"/>
  <c r="U77" i="1"/>
  <c r="V77" i="1" s="1"/>
  <c r="U26" i="1"/>
  <c r="V26" i="1" s="1"/>
  <c r="W39" i="1"/>
  <c r="AA39" i="1" s="1"/>
  <c r="AD39" i="1"/>
  <c r="AE39" i="1" s="1"/>
  <c r="AC44" i="1"/>
  <c r="U60" i="1"/>
  <c r="V60" i="1" s="1"/>
  <c r="U42" i="1"/>
  <c r="V42" i="1" s="1"/>
  <c r="U209" i="1"/>
  <c r="V209" i="1" s="1"/>
  <c r="U214" i="1"/>
  <c r="V214" i="1" s="1"/>
  <c r="U207" i="1"/>
  <c r="V207" i="1" s="1"/>
  <c r="AB213" i="1"/>
  <c r="R213" i="1"/>
  <c r="P213" i="1" s="1"/>
  <c r="S213" i="1" s="1"/>
  <c r="M213" i="1" s="1"/>
  <c r="N213" i="1" s="1"/>
  <c r="U193" i="1"/>
  <c r="V193" i="1" s="1"/>
  <c r="AB190" i="1"/>
  <c r="R190" i="1"/>
  <c r="P190" i="1" s="1"/>
  <c r="S190" i="1" s="1"/>
  <c r="M190" i="1" s="1"/>
  <c r="N190" i="1" s="1"/>
  <c r="AB181" i="1"/>
  <c r="R181" i="1"/>
  <c r="P181" i="1" s="1"/>
  <c r="S181" i="1" s="1"/>
  <c r="M181" i="1" s="1"/>
  <c r="N181" i="1" s="1"/>
  <c r="AB194" i="1"/>
  <c r="R194" i="1"/>
  <c r="P194" i="1" s="1"/>
  <c r="S194" i="1" s="1"/>
  <c r="M194" i="1" s="1"/>
  <c r="N194" i="1" s="1"/>
  <c r="U166" i="1"/>
  <c r="V166" i="1" s="1"/>
  <c r="R208" i="1"/>
  <c r="P208" i="1" s="1"/>
  <c r="S208" i="1" s="1"/>
  <c r="M208" i="1" s="1"/>
  <c r="N208" i="1" s="1"/>
  <c r="AB193" i="1"/>
  <c r="R193" i="1"/>
  <c r="P193" i="1" s="1"/>
  <c r="S193" i="1" s="1"/>
  <c r="M193" i="1" s="1"/>
  <c r="N193" i="1" s="1"/>
  <c r="U150" i="1"/>
  <c r="V150" i="1" s="1"/>
  <c r="R150" i="1" s="1"/>
  <c r="P150" i="1" s="1"/>
  <c r="S150" i="1" s="1"/>
  <c r="M150" i="1" s="1"/>
  <c r="N150" i="1" s="1"/>
  <c r="U155" i="1"/>
  <c r="V155" i="1" s="1"/>
  <c r="R155" i="1" s="1"/>
  <c r="P155" i="1" s="1"/>
  <c r="S155" i="1" s="1"/>
  <c r="M155" i="1" s="1"/>
  <c r="N155" i="1" s="1"/>
  <c r="U183" i="1"/>
  <c r="V183" i="1" s="1"/>
  <c r="U141" i="1"/>
  <c r="V141" i="1" s="1"/>
  <c r="AB156" i="1"/>
  <c r="R156" i="1"/>
  <c r="P156" i="1" s="1"/>
  <c r="S156" i="1" s="1"/>
  <c r="M156" i="1" s="1"/>
  <c r="N156" i="1" s="1"/>
  <c r="U128" i="1"/>
  <c r="V128" i="1" s="1"/>
  <c r="AD160" i="1"/>
  <c r="AE160" i="1" s="1"/>
  <c r="W160" i="1"/>
  <c r="AA160" i="1" s="1"/>
  <c r="AD136" i="1"/>
  <c r="AE136" i="1" s="1"/>
  <c r="W136" i="1"/>
  <c r="AA136" i="1" s="1"/>
  <c r="U148" i="1"/>
  <c r="V148" i="1" s="1"/>
  <c r="W153" i="1"/>
  <c r="AA153" i="1" s="1"/>
  <c r="AD153" i="1"/>
  <c r="AC153" i="1"/>
  <c r="U99" i="1"/>
  <c r="V99" i="1" s="1"/>
  <c r="R133" i="1"/>
  <c r="P133" i="1" s="1"/>
  <c r="S133" i="1" s="1"/>
  <c r="M133" i="1" s="1"/>
  <c r="N133" i="1" s="1"/>
  <c r="AB130" i="1"/>
  <c r="R130" i="1"/>
  <c r="P130" i="1" s="1"/>
  <c r="S130" i="1" s="1"/>
  <c r="M130" i="1" s="1"/>
  <c r="N130" i="1" s="1"/>
  <c r="AD119" i="1"/>
  <c r="AE119" i="1" s="1"/>
  <c r="W119" i="1"/>
  <c r="AA119" i="1" s="1"/>
  <c r="U117" i="1"/>
  <c r="V117" i="1" s="1"/>
  <c r="R88" i="1"/>
  <c r="P88" i="1" s="1"/>
  <c r="S88" i="1" s="1"/>
  <c r="M88" i="1" s="1"/>
  <c r="N88" i="1" s="1"/>
  <c r="AB88" i="1"/>
  <c r="U74" i="1"/>
  <c r="V74" i="1" s="1"/>
  <c r="U58" i="1"/>
  <c r="V58" i="1" s="1"/>
  <c r="U84" i="1"/>
  <c r="V84" i="1" s="1"/>
  <c r="U56" i="1"/>
  <c r="V56" i="1" s="1"/>
  <c r="AB50" i="1"/>
  <c r="R50" i="1"/>
  <c r="P50" i="1" s="1"/>
  <c r="S50" i="1" s="1"/>
  <c r="M50" i="1" s="1"/>
  <c r="N50" i="1" s="1"/>
  <c r="R76" i="1"/>
  <c r="P76" i="1" s="1"/>
  <c r="S76" i="1" s="1"/>
  <c r="M76" i="1" s="1"/>
  <c r="N76" i="1" s="1"/>
  <c r="AB76" i="1"/>
  <c r="AD57" i="1"/>
  <c r="AE57" i="1" s="1"/>
  <c r="W57" i="1"/>
  <c r="AA57" i="1" s="1"/>
  <c r="AB109" i="1"/>
  <c r="R109" i="1"/>
  <c r="P109" i="1" s="1"/>
  <c r="S109" i="1" s="1"/>
  <c r="M109" i="1" s="1"/>
  <c r="N109" i="1" s="1"/>
  <c r="AB81" i="1"/>
  <c r="R81" i="1"/>
  <c r="P81" i="1" s="1"/>
  <c r="S81" i="1" s="1"/>
  <c r="M81" i="1" s="1"/>
  <c r="N81" i="1" s="1"/>
  <c r="AB78" i="1"/>
  <c r="R78" i="1"/>
  <c r="P78" i="1" s="1"/>
  <c r="S78" i="1" s="1"/>
  <c r="M78" i="1" s="1"/>
  <c r="N78" i="1" s="1"/>
  <c r="AB54" i="1"/>
  <c r="R54" i="1"/>
  <c r="P54" i="1" s="1"/>
  <c r="S54" i="1" s="1"/>
  <c r="M54" i="1" s="1"/>
  <c r="N54" i="1" s="1"/>
  <c r="U37" i="1"/>
  <c r="V37" i="1" s="1"/>
  <c r="R37" i="1" s="1"/>
  <c r="P37" i="1" s="1"/>
  <c r="S37" i="1" s="1"/>
  <c r="M37" i="1" s="1"/>
  <c r="N37" i="1" s="1"/>
  <c r="W72" i="1"/>
  <c r="AA72" i="1" s="1"/>
  <c r="AD72" i="1"/>
  <c r="AC72" i="1"/>
  <c r="AB57" i="1"/>
  <c r="R57" i="1"/>
  <c r="P57" i="1" s="1"/>
  <c r="S57" i="1" s="1"/>
  <c r="M57" i="1" s="1"/>
  <c r="N57" i="1" s="1"/>
  <c r="AD90" i="1"/>
  <c r="W90" i="1"/>
  <c r="AA90" i="1" s="1"/>
  <c r="AC90" i="1"/>
  <c r="AB49" i="1"/>
  <c r="R49" i="1"/>
  <c r="P49" i="1" s="1"/>
  <c r="S49" i="1" s="1"/>
  <c r="M49" i="1" s="1"/>
  <c r="N49" i="1" s="1"/>
  <c r="AB25" i="1"/>
  <c r="R25" i="1"/>
  <c r="P25" i="1" s="1"/>
  <c r="S25" i="1" s="1"/>
  <c r="M25" i="1" s="1"/>
  <c r="N25" i="1" s="1"/>
  <c r="W23" i="1"/>
  <c r="AA23" i="1" s="1"/>
  <c r="AD23" i="1"/>
  <c r="AE23" i="1" s="1"/>
  <c r="R72" i="1"/>
  <c r="P72" i="1" s="1"/>
  <c r="S72" i="1" s="1"/>
  <c r="M72" i="1" s="1"/>
  <c r="N72" i="1" s="1"/>
  <c r="AB72" i="1"/>
  <c r="U34" i="1"/>
  <c r="V34" i="1" s="1"/>
  <c r="AB34" i="1"/>
  <c r="R34" i="1"/>
  <c r="P34" i="1" s="1"/>
  <c r="S34" i="1" s="1"/>
  <c r="M34" i="1" s="1"/>
  <c r="N34" i="1" s="1"/>
  <c r="AD84" i="1" l="1"/>
  <c r="AE84" i="1" s="1"/>
  <c r="W84" i="1"/>
  <c r="AA84" i="1" s="1"/>
  <c r="AC84" i="1"/>
  <c r="R84" i="1"/>
  <c r="P84" i="1" s="1"/>
  <c r="S84" i="1" s="1"/>
  <c r="M84" i="1" s="1"/>
  <c r="N84" i="1" s="1"/>
  <c r="AE90" i="1"/>
  <c r="W117" i="1"/>
  <c r="AA117" i="1" s="1"/>
  <c r="AD117" i="1"/>
  <c r="AE117" i="1" s="1"/>
  <c r="AC117" i="1"/>
  <c r="W99" i="1"/>
  <c r="AA99" i="1" s="1"/>
  <c r="AD99" i="1"/>
  <c r="AE99" i="1" s="1"/>
  <c r="AC99" i="1"/>
  <c r="W183" i="1"/>
  <c r="AA183" i="1" s="1"/>
  <c r="AD183" i="1"/>
  <c r="AC183" i="1"/>
  <c r="AD214" i="1"/>
  <c r="AE214" i="1" s="1"/>
  <c r="W214" i="1"/>
  <c r="AA214" i="1" s="1"/>
  <c r="AC214" i="1"/>
  <c r="W26" i="1"/>
  <c r="AA26" i="1" s="1"/>
  <c r="AD26" i="1"/>
  <c r="AC26" i="1"/>
  <c r="AD94" i="1"/>
  <c r="W94" i="1"/>
  <c r="AA94" i="1" s="1"/>
  <c r="AC94" i="1"/>
  <c r="W213" i="1"/>
  <c r="AA213" i="1" s="1"/>
  <c r="AD213" i="1"/>
  <c r="AE213" i="1" s="1"/>
  <c r="AC213" i="1"/>
  <c r="W80" i="1"/>
  <c r="AA80" i="1" s="1"/>
  <c r="AD80" i="1"/>
  <c r="AE80" i="1" s="1"/>
  <c r="AC80" i="1"/>
  <c r="W156" i="1"/>
  <c r="AA156" i="1" s="1"/>
  <c r="AD156" i="1"/>
  <c r="AE156" i="1" s="1"/>
  <c r="AC156" i="1"/>
  <c r="W225" i="1"/>
  <c r="AA225" i="1" s="1"/>
  <c r="AD225" i="1"/>
  <c r="AE225" i="1" s="1"/>
  <c r="AC225" i="1"/>
  <c r="AE220" i="1"/>
  <c r="AE38" i="1"/>
  <c r="AD50" i="1"/>
  <c r="AC50" i="1"/>
  <c r="W50" i="1"/>
  <c r="AA50" i="1" s="1"/>
  <c r="AD111" i="1"/>
  <c r="AE111" i="1" s="1"/>
  <c r="W111" i="1"/>
  <c r="AA111" i="1" s="1"/>
  <c r="AC111" i="1"/>
  <c r="W87" i="1"/>
  <c r="AA87" i="1" s="1"/>
  <c r="AD87" i="1"/>
  <c r="AC87" i="1"/>
  <c r="R87" i="1"/>
  <c r="P87" i="1" s="1"/>
  <c r="S87" i="1" s="1"/>
  <c r="M87" i="1" s="1"/>
  <c r="N87" i="1" s="1"/>
  <c r="AD182" i="1"/>
  <c r="W182" i="1"/>
  <c r="AA182" i="1" s="1"/>
  <c r="AC182" i="1"/>
  <c r="W89" i="1"/>
  <c r="AA89" i="1" s="1"/>
  <c r="AC89" i="1"/>
  <c r="AD89" i="1"/>
  <c r="AD91" i="1"/>
  <c r="W91" i="1"/>
  <c r="AA91" i="1" s="1"/>
  <c r="R91" i="1"/>
  <c r="P91" i="1" s="1"/>
  <c r="S91" i="1" s="1"/>
  <c r="M91" i="1" s="1"/>
  <c r="N91" i="1" s="1"/>
  <c r="AC91" i="1"/>
  <c r="AE35" i="1"/>
  <c r="W112" i="1"/>
  <c r="AA112" i="1" s="1"/>
  <c r="AD112" i="1"/>
  <c r="AE112" i="1" s="1"/>
  <c r="AC112" i="1"/>
  <c r="AD139" i="1"/>
  <c r="W139" i="1"/>
  <c r="AA139" i="1" s="1"/>
  <c r="AC139" i="1"/>
  <c r="R139" i="1"/>
  <c r="P139" i="1" s="1"/>
  <c r="S139" i="1" s="1"/>
  <c r="M139" i="1" s="1"/>
  <c r="N139" i="1" s="1"/>
  <c r="AD203" i="1"/>
  <c r="AE203" i="1" s="1"/>
  <c r="W203" i="1"/>
  <c r="AA203" i="1" s="1"/>
  <c r="AC203" i="1"/>
  <c r="AD206" i="1"/>
  <c r="W206" i="1"/>
  <c r="AA206" i="1" s="1"/>
  <c r="AC206" i="1"/>
  <c r="AE47" i="1"/>
  <c r="AD146" i="1"/>
  <c r="AE146" i="1" s="1"/>
  <c r="W146" i="1"/>
  <c r="AA146" i="1" s="1"/>
  <c r="AC146" i="1"/>
  <c r="AE88" i="1"/>
  <c r="AE81" i="1"/>
  <c r="W209" i="1"/>
  <c r="AA209" i="1" s="1"/>
  <c r="AC209" i="1"/>
  <c r="AD209" i="1"/>
  <c r="W168" i="1"/>
  <c r="AA168" i="1" s="1"/>
  <c r="AD168" i="1"/>
  <c r="AE168" i="1" s="1"/>
  <c r="AC168" i="1"/>
  <c r="AD170" i="1"/>
  <c r="AE170" i="1" s="1"/>
  <c r="W170" i="1"/>
  <c r="AA170" i="1" s="1"/>
  <c r="AC170" i="1"/>
  <c r="W103" i="1"/>
  <c r="AA103" i="1" s="1"/>
  <c r="AD103" i="1"/>
  <c r="AC103" i="1"/>
  <c r="W157" i="1"/>
  <c r="AA157" i="1" s="1"/>
  <c r="AD157" i="1"/>
  <c r="AC157" i="1"/>
  <c r="AD17" i="1"/>
  <c r="AE17" i="1" s="1"/>
  <c r="AC17" i="1"/>
  <c r="W17" i="1"/>
  <c r="AA17" i="1" s="1"/>
  <c r="W221" i="1"/>
  <c r="AA221" i="1" s="1"/>
  <c r="AD221" i="1"/>
  <c r="AE221" i="1" s="1"/>
  <c r="AC221" i="1"/>
  <c r="R221" i="1"/>
  <c r="P221" i="1" s="1"/>
  <c r="S221" i="1" s="1"/>
  <c r="M221" i="1" s="1"/>
  <c r="N221" i="1" s="1"/>
  <c r="W55" i="1"/>
  <c r="AA55" i="1" s="1"/>
  <c r="AD55" i="1"/>
  <c r="AE55" i="1" s="1"/>
  <c r="AC55" i="1"/>
  <c r="W28" i="1"/>
  <c r="AA28" i="1" s="1"/>
  <c r="AD28" i="1"/>
  <c r="AC28" i="1"/>
  <c r="R28" i="1"/>
  <c r="P28" i="1" s="1"/>
  <c r="S28" i="1" s="1"/>
  <c r="M28" i="1" s="1"/>
  <c r="N28" i="1" s="1"/>
  <c r="W105" i="1"/>
  <c r="AA105" i="1" s="1"/>
  <c r="AD105" i="1"/>
  <c r="AC105" i="1"/>
  <c r="W145" i="1"/>
  <c r="AA145" i="1" s="1"/>
  <c r="AD145" i="1"/>
  <c r="AE145" i="1" s="1"/>
  <c r="AC145" i="1"/>
  <c r="R145" i="1"/>
  <c r="P145" i="1" s="1"/>
  <c r="S145" i="1" s="1"/>
  <c r="M145" i="1" s="1"/>
  <c r="N145" i="1" s="1"/>
  <c r="W191" i="1"/>
  <c r="AA191" i="1" s="1"/>
  <c r="AD191" i="1"/>
  <c r="AC191" i="1"/>
  <c r="R191" i="1"/>
  <c r="P191" i="1" s="1"/>
  <c r="S191" i="1" s="1"/>
  <c r="M191" i="1" s="1"/>
  <c r="N191" i="1" s="1"/>
  <c r="W223" i="1"/>
  <c r="AA223" i="1" s="1"/>
  <c r="AD223" i="1"/>
  <c r="AE223" i="1" s="1"/>
  <c r="AC223" i="1"/>
  <c r="AD25" i="1"/>
  <c r="AE25" i="1" s="1"/>
  <c r="AC25" i="1"/>
  <c r="W25" i="1"/>
  <c r="AA25" i="1" s="1"/>
  <c r="AD110" i="1"/>
  <c r="AC110" i="1"/>
  <c r="W110" i="1"/>
  <c r="AA110" i="1" s="1"/>
  <c r="AD179" i="1"/>
  <c r="AE179" i="1" s="1"/>
  <c r="AC179" i="1"/>
  <c r="W179" i="1"/>
  <c r="AA179" i="1" s="1"/>
  <c r="W79" i="1"/>
  <c r="AA79" i="1" s="1"/>
  <c r="AD79" i="1"/>
  <c r="AE79" i="1" s="1"/>
  <c r="AC79" i="1"/>
  <c r="W52" i="1"/>
  <c r="AA52" i="1" s="1"/>
  <c r="AC52" i="1"/>
  <c r="AD52" i="1"/>
  <c r="AE52" i="1" s="1"/>
  <c r="R52" i="1"/>
  <c r="P52" i="1" s="1"/>
  <c r="S52" i="1" s="1"/>
  <c r="M52" i="1" s="1"/>
  <c r="N52" i="1" s="1"/>
  <c r="AD177" i="1"/>
  <c r="AE177" i="1" s="1"/>
  <c r="W177" i="1"/>
  <c r="AA177" i="1" s="1"/>
  <c r="AC177" i="1"/>
  <c r="AE65" i="1"/>
  <c r="W58" i="1"/>
  <c r="AA58" i="1" s="1"/>
  <c r="AD58" i="1"/>
  <c r="AC58" i="1"/>
  <c r="AE153" i="1"/>
  <c r="W128" i="1"/>
  <c r="AA128" i="1" s="1"/>
  <c r="AD128" i="1"/>
  <c r="AE128" i="1" s="1"/>
  <c r="AC128" i="1"/>
  <c r="W155" i="1"/>
  <c r="AA155" i="1" s="1"/>
  <c r="AD155" i="1"/>
  <c r="AE155" i="1" s="1"/>
  <c r="AC155" i="1"/>
  <c r="AD166" i="1"/>
  <c r="AE166" i="1" s="1"/>
  <c r="W166" i="1"/>
  <c r="AA166" i="1" s="1"/>
  <c r="AC166" i="1"/>
  <c r="W193" i="1"/>
  <c r="AA193" i="1" s="1"/>
  <c r="AD193" i="1"/>
  <c r="AE193" i="1" s="1"/>
  <c r="AC193" i="1"/>
  <c r="AD77" i="1"/>
  <c r="W77" i="1"/>
  <c r="AA77" i="1" s="1"/>
  <c r="AC77" i="1"/>
  <c r="AE125" i="1"/>
  <c r="R183" i="1"/>
  <c r="P183" i="1" s="1"/>
  <c r="S183" i="1" s="1"/>
  <c r="M183" i="1" s="1"/>
  <c r="N183" i="1" s="1"/>
  <c r="R80" i="1"/>
  <c r="P80" i="1" s="1"/>
  <c r="S80" i="1" s="1"/>
  <c r="M80" i="1" s="1"/>
  <c r="N80" i="1" s="1"/>
  <c r="R166" i="1"/>
  <c r="P166" i="1" s="1"/>
  <c r="S166" i="1" s="1"/>
  <c r="M166" i="1" s="1"/>
  <c r="N166" i="1" s="1"/>
  <c r="AD174" i="1"/>
  <c r="AE174" i="1" s="1"/>
  <c r="W174" i="1"/>
  <c r="AA174" i="1" s="1"/>
  <c r="AC174" i="1"/>
  <c r="R26" i="1"/>
  <c r="P26" i="1" s="1"/>
  <c r="S26" i="1" s="1"/>
  <c r="M26" i="1" s="1"/>
  <c r="N26" i="1" s="1"/>
  <c r="W59" i="1"/>
  <c r="AA59" i="1" s="1"/>
  <c r="AD59" i="1"/>
  <c r="AE59" i="1" s="1"/>
  <c r="AC59" i="1"/>
  <c r="AE133" i="1"/>
  <c r="W126" i="1"/>
  <c r="AA126" i="1" s="1"/>
  <c r="AC126" i="1"/>
  <c r="AD126" i="1"/>
  <c r="AE43" i="1"/>
  <c r="AD98" i="1"/>
  <c r="W98" i="1"/>
  <c r="AA98" i="1" s="1"/>
  <c r="AC98" i="1"/>
  <c r="W107" i="1"/>
  <c r="AA107" i="1" s="1"/>
  <c r="AD107" i="1"/>
  <c r="AC107" i="1"/>
  <c r="W181" i="1"/>
  <c r="AA181" i="1" s="1"/>
  <c r="AD181" i="1"/>
  <c r="AE181" i="1" s="1"/>
  <c r="AC181" i="1"/>
  <c r="AD32" i="1"/>
  <c r="AE32" i="1" s="1"/>
  <c r="W32" i="1"/>
  <c r="AA32" i="1" s="1"/>
  <c r="AC32" i="1"/>
  <c r="R32" i="1"/>
  <c r="P32" i="1" s="1"/>
  <c r="S32" i="1" s="1"/>
  <c r="M32" i="1" s="1"/>
  <c r="N32" i="1" s="1"/>
  <c r="R99" i="1"/>
  <c r="P99" i="1" s="1"/>
  <c r="S99" i="1" s="1"/>
  <c r="M99" i="1" s="1"/>
  <c r="N99" i="1" s="1"/>
  <c r="R110" i="1"/>
  <c r="P110" i="1" s="1"/>
  <c r="S110" i="1" s="1"/>
  <c r="M110" i="1" s="1"/>
  <c r="N110" i="1" s="1"/>
  <c r="AD29" i="1"/>
  <c r="AE29" i="1" s="1"/>
  <c r="AC29" i="1"/>
  <c r="W29" i="1"/>
  <c r="AA29" i="1" s="1"/>
  <c r="W70" i="1"/>
  <c r="AA70" i="1" s="1"/>
  <c r="AD70" i="1"/>
  <c r="AE70" i="1" s="1"/>
  <c r="AC70" i="1"/>
  <c r="AD144" i="1"/>
  <c r="AE144" i="1" s="1"/>
  <c r="AC144" i="1"/>
  <c r="W144" i="1"/>
  <c r="AA144" i="1" s="1"/>
  <c r="AD185" i="1"/>
  <c r="W185" i="1"/>
  <c r="AA185" i="1" s="1"/>
  <c r="AC185" i="1"/>
  <c r="AE64" i="1"/>
  <c r="W68" i="1"/>
  <c r="AA68" i="1" s="1"/>
  <c r="AD68" i="1"/>
  <c r="AE68" i="1" s="1"/>
  <c r="AC68" i="1"/>
  <c r="R55" i="1"/>
  <c r="P55" i="1" s="1"/>
  <c r="S55" i="1" s="1"/>
  <c r="M55" i="1" s="1"/>
  <c r="N55" i="1" s="1"/>
  <c r="W109" i="1"/>
  <c r="AA109" i="1" s="1"/>
  <c r="AD109" i="1"/>
  <c r="AE109" i="1" s="1"/>
  <c r="AC109" i="1"/>
  <c r="R89" i="1"/>
  <c r="P89" i="1" s="1"/>
  <c r="S89" i="1" s="1"/>
  <c r="M89" i="1" s="1"/>
  <c r="N89" i="1" s="1"/>
  <c r="AD159" i="1"/>
  <c r="AE159" i="1" s="1"/>
  <c r="W159" i="1"/>
  <c r="AA159" i="1" s="1"/>
  <c r="AC159" i="1"/>
  <c r="R159" i="1"/>
  <c r="P159" i="1" s="1"/>
  <c r="S159" i="1" s="1"/>
  <c r="M159" i="1" s="1"/>
  <c r="N159" i="1" s="1"/>
  <c r="AD163" i="1"/>
  <c r="W163" i="1"/>
  <c r="AA163" i="1" s="1"/>
  <c r="AC163" i="1"/>
  <c r="W204" i="1"/>
  <c r="AA204" i="1" s="1"/>
  <c r="AD204" i="1"/>
  <c r="AC204" i="1"/>
  <c r="R204" i="1"/>
  <c r="P204" i="1" s="1"/>
  <c r="S204" i="1" s="1"/>
  <c r="M204" i="1" s="1"/>
  <c r="N204" i="1" s="1"/>
  <c r="AE76" i="1"/>
  <c r="AE190" i="1"/>
  <c r="W71" i="1"/>
  <c r="AA71" i="1" s="1"/>
  <c r="AD71" i="1"/>
  <c r="AE71" i="1" s="1"/>
  <c r="AC71" i="1"/>
  <c r="W42" i="1"/>
  <c r="AA42" i="1" s="1"/>
  <c r="AD42" i="1"/>
  <c r="AE42" i="1" s="1"/>
  <c r="AC42" i="1"/>
  <c r="W96" i="1"/>
  <c r="AA96" i="1" s="1"/>
  <c r="AD96" i="1"/>
  <c r="AC96" i="1"/>
  <c r="R117" i="1"/>
  <c r="P117" i="1" s="1"/>
  <c r="S117" i="1" s="1"/>
  <c r="M117" i="1" s="1"/>
  <c r="N117" i="1" s="1"/>
  <c r="W197" i="1"/>
  <c r="AA197" i="1" s="1"/>
  <c r="AD197" i="1"/>
  <c r="AC197" i="1"/>
  <c r="AD222" i="1"/>
  <c r="AE222" i="1" s="1"/>
  <c r="W222" i="1"/>
  <c r="AA222" i="1" s="1"/>
  <c r="AC222" i="1"/>
  <c r="W62" i="1"/>
  <c r="AA62" i="1" s="1"/>
  <c r="AD62" i="1"/>
  <c r="AE62" i="1" s="1"/>
  <c r="AC62" i="1"/>
  <c r="AD138" i="1"/>
  <c r="W138" i="1"/>
  <c r="AA138" i="1" s="1"/>
  <c r="AC138" i="1"/>
  <c r="R157" i="1"/>
  <c r="P157" i="1" s="1"/>
  <c r="S157" i="1" s="1"/>
  <c r="M157" i="1" s="1"/>
  <c r="N157" i="1" s="1"/>
  <c r="W85" i="1"/>
  <c r="AA85" i="1" s="1"/>
  <c r="AD85" i="1"/>
  <c r="AE85" i="1" s="1"/>
  <c r="AC85" i="1"/>
  <c r="W120" i="1"/>
  <c r="AA120" i="1" s="1"/>
  <c r="AD120" i="1"/>
  <c r="AC120" i="1"/>
  <c r="W201" i="1"/>
  <c r="AA201" i="1" s="1"/>
  <c r="AD201" i="1"/>
  <c r="AE201" i="1" s="1"/>
  <c r="AC201" i="1"/>
  <c r="R58" i="1"/>
  <c r="P58" i="1" s="1"/>
  <c r="S58" i="1" s="1"/>
  <c r="M58" i="1" s="1"/>
  <c r="N58" i="1" s="1"/>
  <c r="W66" i="1"/>
  <c r="AA66" i="1" s="1"/>
  <c r="AD66" i="1"/>
  <c r="AE66" i="1" s="1"/>
  <c r="AC66" i="1"/>
  <c r="AD178" i="1"/>
  <c r="AE178" i="1" s="1"/>
  <c r="W178" i="1"/>
  <c r="AA178" i="1" s="1"/>
  <c r="R178" i="1"/>
  <c r="P178" i="1" s="1"/>
  <c r="S178" i="1" s="1"/>
  <c r="M178" i="1" s="1"/>
  <c r="N178" i="1" s="1"/>
  <c r="AC178" i="1"/>
  <c r="R225" i="1"/>
  <c r="P225" i="1" s="1"/>
  <c r="S225" i="1" s="1"/>
  <c r="M225" i="1" s="1"/>
  <c r="N225" i="1" s="1"/>
  <c r="W175" i="1"/>
  <c r="AA175" i="1" s="1"/>
  <c r="AD175" i="1"/>
  <c r="R175" i="1"/>
  <c r="P175" i="1" s="1"/>
  <c r="S175" i="1" s="1"/>
  <c r="M175" i="1" s="1"/>
  <c r="N175" i="1" s="1"/>
  <c r="AC175" i="1"/>
  <c r="AD73" i="1"/>
  <c r="AE73" i="1" s="1"/>
  <c r="W73" i="1"/>
  <c r="AA73" i="1" s="1"/>
  <c r="AC73" i="1"/>
  <c r="R223" i="1"/>
  <c r="P223" i="1" s="1"/>
  <c r="S223" i="1" s="1"/>
  <c r="M223" i="1" s="1"/>
  <c r="N223" i="1" s="1"/>
  <c r="R98" i="1"/>
  <c r="P98" i="1" s="1"/>
  <c r="S98" i="1" s="1"/>
  <c r="M98" i="1" s="1"/>
  <c r="N98" i="1" s="1"/>
  <c r="R177" i="1"/>
  <c r="P177" i="1" s="1"/>
  <c r="S177" i="1" s="1"/>
  <c r="M177" i="1" s="1"/>
  <c r="N177" i="1" s="1"/>
  <c r="W180" i="1"/>
  <c r="AA180" i="1" s="1"/>
  <c r="AD180" i="1"/>
  <c r="AE180" i="1" s="1"/>
  <c r="AC180" i="1"/>
  <c r="AE194" i="1"/>
  <c r="AE72" i="1"/>
  <c r="W74" i="1"/>
  <c r="AA74" i="1" s="1"/>
  <c r="AD74" i="1"/>
  <c r="AE74" i="1" s="1"/>
  <c r="AC74" i="1"/>
  <c r="W148" i="1"/>
  <c r="AA148" i="1" s="1"/>
  <c r="AD148" i="1"/>
  <c r="AE148" i="1" s="1"/>
  <c r="AC148" i="1"/>
  <c r="W60" i="1"/>
  <c r="AA60" i="1" s="1"/>
  <c r="AD60" i="1"/>
  <c r="AC60" i="1"/>
  <c r="AD131" i="1"/>
  <c r="AE131" i="1" s="1"/>
  <c r="W131" i="1"/>
  <c r="AA131" i="1" s="1"/>
  <c r="AC131" i="1"/>
  <c r="R128" i="1"/>
  <c r="P128" i="1" s="1"/>
  <c r="S128" i="1" s="1"/>
  <c r="M128" i="1" s="1"/>
  <c r="N128" i="1" s="1"/>
  <c r="R197" i="1"/>
  <c r="P197" i="1" s="1"/>
  <c r="S197" i="1" s="1"/>
  <c r="M197" i="1" s="1"/>
  <c r="N197" i="1" s="1"/>
  <c r="W165" i="1"/>
  <c r="AA165" i="1" s="1"/>
  <c r="AC165" i="1"/>
  <c r="AD165" i="1"/>
  <c r="AE165" i="1" s="1"/>
  <c r="W211" i="1"/>
  <c r="AA211" i="1" s="1"/>
  <c r="AD211" i="1"/>
  <c r="AE211" i="1" s="1"/>
  <c r="AC211" i="1"/>
  <c r="W92" i="1"/>
  <c r="AA92" i="1" s="1"/>
  <c r="AD92" i="1"/>
  <c r="AC92" i="1"/>
  <c r="R60" i="1"/>
  <c r="P60" i="1" s="1"/>
  <c r="S60" i="1" s="1"/>
  <c r="M60" i="1" s="1"/>
  <c r="N60" i="1" s="1"/>
  <c r="R148" i="1"/>
  <c r="P148" i="1" s="1"/>
  <c r="S148" i="1" s="1"/>
  <c r="M148" i="1" s="1"/>
  <c r="N148" i="1" s="1"/>
  <c r="W143" i="1"/>
  <c r="AA143" i="1" s="1"/>
  <c r="AD143" i="1"/>
  <c r="AE143" i="1" s="1"/>
  <c r="AC143" i="1"/>
  <c r="W169" i="1"/>
  <c r="AA169" i="1" s="1"/>
  <c r="AD169" i="1"/>
  <c r="AC169" i="1"/>
  <c r="R169" i="1"/>
  <c r="P169" i="1" s="1"/>
  <c r="S169" i="1" s="1"/>
  <c r="M169" i="1" s="1"/>
  <c r="N169" i="1" s="1"/>
  <c r="W215" i="1"/>
  <c r="AA215" i="1" s="1"/>
  <c r="AD215" i="1"/>
  <c r="AE215" i="1" s="1"/>
  <c r="R215" i="1"/>
  <c r="P215" i="1" s="1"/>
  <c r="S215" i="1" s="1"/>
  <c r="M215" i="1" s="1"/>
  <c r="N215" i="1" s="1"/>
  <c r="AC215" i="1"/>
  <c r="W30" i="1"/>
  <c r="AA30" i="1" s="1"/>
  <c r="AD30" i="1"/>
  <c r="AC30" i="1"/>
  <c r="AD53" i="1"/>
  <c r="W53" i="1"/>
  <c r="AA53" i="1" s="1"/>
  <c r="AC53" i="1"/>
  <c r="AE129" i="1"/>
  <c r="W116" i="1"/>
  <c r="AA116" i="1" s="1"/>
  <c r="AD116" i="1"/>
  <c r="AE116" i="1" s="1"/>
  <c r="AC116" i="1"/>
  <c r="AE212" i="1"/>
  <c r="R105" i="1"/>
  <c r="P105" i="1" s="1"/>
  <c r="S105" i="1" s="1"/>
  <c r="M105" i="1" s="1"/>
  <c r="N105" i="1" s="1"/>
  <c r="AD162" i="1"/>
  <c r="AE162" i="1" s="1"/>
  <c r="W162" i="1"/>
  <c r="AA162" i="1" s="1"/>
  <c r="AC162" i="1"/>
  <c r="AE196" i="1"/>
  <c r="W18" i="1"/>
  <c r="AA18" i="1" s="1"/>
  <c r="AD18" i="1"/>
  <c r="AC18" i="1"/>
  <c r="R74" i="1"/>
  <c r="P74" i="1" s="1"/>
  <c r="S74" i="1" s="1"/>
  <c r="M74" i="1" s="1"/>
  <c r="N74" i="1" s="1"/>
  <c r="W104" i="1"/>
  <c r="AA104" i="1" s="1"/>
  <c r="AD104" i="1"/>
  <c r="AE104" i="1" s="1"/>
  <c r="AC104" i="1"/>
  <c r="AD135" i="1"/>
  <c r="W135" i="1"/>
  <c r="AA135" i="1" s="1"/>
  <c r="AC135" i="1"/>
  <c r="R222" i="1"/>
  <c r="P222" i="1" s="1"/>
  <c r="S222" i="1" s="1"/>
  <c r="M222" i="1" s="1"/>
  <c r="N222" i="1" s="1"/>
  <c r="W36" i="1"/>
  <c r="AA36" i="1" s="1"/>
  <c r="AD36" i="1"/>
  <c r="AE36" i="1" s="1"/>
  <c r="R36" i="1"/>
  <c r="P36" i="1" s="1"/>
  <c r="S36" i="1" s="1"/>
  <c r="M36" i="1" s="1"/>
  <c r="N36" i="1" s="1"/>
  <c r="AC36" i="1"/>
  <c r="R30" i="1"/>
  <c r="P30" i="1" s="1"/>
  <c r="S30" i="1" s="1"/>
  <c r="M30" i="1" s="1"/>
  <c r="N30" i="1" s="1"/>
  <c r="AD33" i="1"/>
  <c r="AE33" i="1" s="1"/>
  <c r="AC33" i="1"/>
  <c r="W33" i="1"/>
  <c r="AA33" i="1" s="1"/>
  <c r="W100" i="1"/>
  <c r="AA100" i="1" s="1"/>
  <c r="AD100" i="1"/>
  <c r="AE100" i="1" s="1"/>
  <c r="AC100" i="1"/>
  <c r="R120" i="1"/>
  <c r="P120" i="1" s="1"/>
  <c r="S120" i="1" s="1"/>
  <c r="M120" i="1" s="1"/>
  <c r="N120" i="1" s="1"/>
  <c r="AD134" i="1"/>
  <c r="AE134" i="1" s="1"/>
  <c r="W134" i="1"/>
  <c r="AA134" i="1" s="1"/>
  <c r="AC134" i="1"/>
  <c r="R209" i="1"/>
  <c r="P209" i="1" s="1"/>
  <c r="S209" i="1" s="1"/>
  <c r="M209" i="1" s="1"/>
  <c r="N209" i="1" s="1"/>
  <c r="W189" i="1"/>
  <c r="AA189" i="1" s="1"/>
  <c r="AD189" i="1"/>
  <c r="AE189" i="1" s="1"/>
  <c r="AC189" i="1"/>
  <c r="AE49" i="1"/>
  <c r="AE51" i="1"/>
  <c r="W34" i="1"/>
  <c r="AA34" i="1" s="1"/>
  <c r="AD34" i="1"/>
  <c r="AC34" i="1"/>
  <c r="AD150" i="1"/>
  <c r="W150" i="1"/>
  <c r="AA150" i="1" s="1"/>
  <c r="AC150" i="1"/>
  <c r="W207" i="1"/>
  <c r="AA207" i="1" s="1"/>
  <c r="AD207" i="1"/>
  <c r="AC207" i="1"/>
  <c r="AE121" i="1"/>
  <c r="AC118" i="1"/>
  <c r="W118" i="1"/>
  <c r="AA118" i="1" s="1"/>
  <c r="AD118" i="1"/>
  <c r="AC82" i="1"/>
  <c r="AD82" i="1"/>
  <c r="W82" i="1"/>
  <c r="AA82" i="1" s="1"/>
  <c r="AD20" i="1"/>
  <c r="W20" i="1"/>
  <c r="AA20" i="1" s="1"/>
  <c r="AC20" i="1"/>
  <c r="R20" i="1"/>
  <c r="P20" i="1" s="1"/>
  <c r="S20" i="1" s="1"/>
  <c r="M20" i="1" s="1"/>
  <c r="N20" i="1" s="1"/>
  <c r="W78" i="1"/>
  <c r="AA78" i="1" s="1"/>
  <c r="AD78" i="1"/>
  <c r="AE78" i="1" s="1"/>
  <c r="AC78" i="1"/>
  <c r="AC122" i="1"/>
  <c r="AD122" i="1"/>
  <c r="AE122" i="1" s="1"/>
  <c r="W122" i="1"/>
  <c r="AA122" i="1" s="1"/>
  <c r="AE46" i="1"/>
  <c r="W24" i="1"/>
  <c r="AA24" i="1" s="1"/>
  <c r="AD24" i="1"/>
  <c r="AE24" i="1" s="1"/>
  <c r="AC24" i="1"/>
  <c r="R24" i="1"/>
  <c r="P24" i="1" s="1"/>
  <c r="S24" i="1" s="1"/>
  <c r="M24" i="1" s="1"/>
  <c r="N24" i="1" s="1"/>
  <c r="R103" i="1"/>
  <c r="P103" i="1" s="1"/>
  <c r="S103" i="1" s="1"/>
  <c r="M103" i="1" s="1"/>
  <c r="N103" i="1" s="1"/>
  <c r="R71" i="1"/>
  <c r="P71" i="1" s="1"/>
  <c r="S71" i="1" s="1"/>
  <c r="M71" i="1" s="1"/>
  <c r="N71" i="1" s="1"/>
  <c r="W93" i="1"/>
  <c r="AA93" i="1" s="1"/>
  <c r="AD93" i="1"/>
  <c r="AE93" i="1" s="1"/>
  <c r="AC93" i="1"/>
  <c r="R93" i="1"/>
  <c r="P93" i="1" s="1"/>
  <c r="S93" i="1" s="1"/>
  <c r="M93" i="1" s="1"/>
  <c r="N93" i="1" s="1"/>
  <c r="W114" i="1"/>
  <c r="AA114" i="1" s="1"/>
  <c r="AD114" i="1"/>
  <c r="AE114" i="1" s="1"/>
  <c r="AC114" i="1"/>
  <c r="AD186" i="1"/>
  <c r="W186" i="1"/>
  <c r="AA186" i="1" s="1"/>
  <c r="AC186" i="1"/>
  <c r="W187" i="1"/>
  <c r="AA187" i="1" s="1"/>
  <c r="AD187" i="1"/>
  <c r="AE187" i="1" s="1"/>
  <c r="AC187" i="1"/>
  <c r="R187" i="1"/>
  <c r="P187" i="1" s="1"/>
  <c r="S187" i="1" s="1"/>
  <c r="M187" i="1" s="1"/>
  <c r="N187" i="1" s="1"/>
  <c r="R207" i="1"/>
  <c r="P207" i="1" s="1"/>
  <c r="S207" i="1" s="1"/>
  <c r="M207" i="1" s="1"/>
  <c r="N207" i="1" s="1"/>
  <c r="W152" i="1"/>
  <c r="AA152" i="1" s="1"/>
  <c r="AD152" i="1"/>
  <c r="AC152" i="1"/>
  <c r="AD199" i="1"/>
  <c r="W199" i="1"/>
  <c r="AA199" i="1" s="1"/>
  <c r="AC199" i="1"/>
  <c r="R82" i="1"/>
  <c r="P82" i="1" s="1"/>
  <c r="S82" i="1" s="1"/>
  <c r="M82" i="1" s="1"/>
  <c r="N82" i="1" s="1"/>
  <c r="R144" i="1"/>
  <c r="P144" i="1" s="1"/>
  <c r="S144" i="1" s="1"/>
  <c r="M144" i="1" s="1"/>
  <c r="N144" i="1" s="1"/>
  <c r="R214" i="1"/>
  <c r="P214" i="1" s="1"/>
  <c r="S214" i="1" s="1"/>
  <c r="M214" i="1" s="1"/>
  <c r="N214" i="1" s="1"/>
  <c r="W22" i="1"/>
  <c r="AA22" i="1" s="1"/>
  <c r="AD22" i="1"/>
  <c r="AE22" i="1" s="1"/>
  <c r="AC22" i="1"/>
  <c r="AE102" i="1"/>
  <c r="R211" i="1"/>
  <c r="P211" i="1" s="1"/>
  <c r="S211" i="1" s="1"/>
  <c r="M211" i="1" s="1"/>
  <c r="N211" i="1" s="1"/>
  <c r="R180" i="1"/>
  <c r="P180" i="1" s="1"/>
  <c r="S180" i="1" s="1"/>
  <c r="M180" i="1" s="1"/>
  <c r="N180" i="1" s="1"/>
  <c r="AD202" i="1"/>
  <c r="AE202" i="1" s="1"/>
  <c r="W202" i="1"/>
  <c r="AA202" i="1" s="1"/>
  <c r="AC202" i="1"/>
  <c r="AE106" i="1"/>
  <c r="AE31" i="1"/>
  <c r="W56" i="1"/>
  <c r="AA56" i="1" s="1"/>
  <c r="AD56" i="1"/>
  <c r="AE56" i="1" s="1"/>
  <c r="AC56" i="1"/>
  <c r="R56" i="1"/>
  <c r="P56" i="1" s="1"/>
  <c r="S56" i="1" s="1"/>
  <c r="M56" i="1" s="1"/>
  <c r="N56" i="1" s="1"/>
  <c r="AD41" i="1"/>
  <c r="AE41" i="1" s="1"/>
  <c r="AC41" i="1"/>
  <c r="W41" i="1"/>
  <c r="AA41" i="1" s="1"/>
  <c r="AE27" i="1"/>
  <c r="W217" i="1"/>
  <c r="AA217" i="1" s="1"/>
  <c r="AD217" i="1"/>
  <c r="AE217" i="1" s="1"/>
  <c r="AC217" i="1"/>
  <c r="AD86" i="1"/>
  <c r="AE86" i="1" s="1"/>
  <c r="W86" i="1"/>
  <c r="AA86" i="1" s="1"/>
  <c r="AC86" i="1"/>
  <c r="AD83" i="1"/>
  <c r="AE83" i="1" s="1"/>
  <c r="W83" i="1"/>
  <c r="AA83" i="1" s="1"/>
  <c r="AC83" i="1"/>
  <c r="R83" i="1"/>
  <c r="P83" i="1" s="1"/>
  <c r="S83" i="1" s="1"/>
  <c r="M83" i="1" s="1"/>
  <c r="N83" i="1" s="1"/>
  <c r="W137" i="1"/>
  <c r="AA137" i="1" s="1"/>
  <c r="AD137" i="1"/>
  <c r="AE137" i="1" s="1"/>
  <c r="R137" i="1"/>
  <c r="P137" i="1" s="1"/>
  <c r="S137" i="1" s="1"/>
  <c r="M137" i="1" s="1"/>
  <c r="N137" i="1" s="1"/>
  <c r="AC137" i="1"/>
  <c r="AD158" i="1"/>
  <c r="AE158" i="1" s="1"/>
  <c r="W158" i="1"/>
  <c r="AA158" i="1" s="1"/>
  <c r="AC158" i="1"/>
  <c r="W167" i="1"/>
  <c r="AA167" i="1" s="1"/>
  <c r="AD167" i="1"/>
  <c r="AE167" i="1" s="1"/>
  <c r="AC167" i="1"/>
  <c r="R167" i="1"/>
  <c r="P167" i="1" s="1"/>
  <c r="S167" i="1" s="1"/>
  <c r="M167" i="1" s="1"/>
  <c r="N167" i="1" s="1"/>
  <c r="R17" i="1"/>
  <c r="P17" i="1" s="1"/>
  <c r="S17" i="1" s="1"/>
  <c r="M17" i="1" s="1"/>
  <c r="N17" i="1" s="1"/>
  <c r="AD21" i="1"/>
  <c r="AE21" i="1" s="1"/>
  <c r="AC21" i="1"/>
  <c r="W21" i="1"/>
  <c r="AA21" i="1" s="1"/>
  <c r="R165" i="1"/>
  <c r="P165" i="1" s="1"/>
  <c r="S165" i="1" s="1"/>
  <c r="M165" i="1" s="1"/>
  <c r="N165" i="1" s="1"/>
  <c r="AE113" i="1"/>
  <c r="AE19" i="1"/>
  <c r="W63" i="1"/>
  <c r="AA63" i="1" s="1"/>
  <c r="AD63" i="1"/>
  <c r="AC63" i="1"/>
  <c r="W97" i="1"/>
  <c r="AA97" i="1" s="1"/>
  <c r="AD97" i="1"/>
  <c r="AE97" i="1" s="1"/>
  <c r="AC97" i="1"/>
  <c r="AD95" i="1"/>
  <c r="W95" i="1"/>
  <c r="AA95" i="1" s="1"/>
  <c r="AC95" i="1"/>
  <c r="R53" i="1"/>
  <c r="P53" i="1" s="1"/>
  <c r="S53" i="1" s="1"/>
  <c r="M53" i="1" s="1"/>
  <c r="N53" i="1" s="1"/>
  <c r="AD40" i="1"/>
  <c r="AE40" i="1" s="1"/>
  <c r="W40" i="1"/>
  <c r="AA40" i="1" s="1"/>
  <c r="AC40" i="1"/>
  <c r="R40" i="1"/>
  <c r="P40" i="1" s="1"/>
  <c r="S40" i="1" s="1"/>
  <c r="M40" i="1" s="1"/>
  <c r="N40" i="1" s="1"/>
  <c r="W54" i="1"/>
  <c r="AA54" i="1" s="1"/>
  <c r="AD54" i="1"/>
  <c r="AC54" i="1"/>
  <c r="R112" i="1"/>
  <c r="P112" i="1" s="1"/>
  <c r="S112" i="1" s="1"/>
  <c r="M112" i="1" s="1"/>
  <c r="N112" i="1" s="1"/>
  <c r="AE123" i="1"/>
  <c r="R185" i="1"/>
  <c r="P185" i="1" s="1"/>
  <c r="S185" i="1" s="1"/>
  <c r="M185" i="1" s="1"/>
  <c r="N185" i="1" s="1"/>
  <c r="AD210" i="1"/>
  <c r="AE210" i="1" s="1"/>
  <c r="W210" i="1"/>
  <c r="AA210" i="1" s="1"/>
  <c r="AC210" i="1"/>
  <c r="AE69" i="1"/>
  <c r="AD37" i="1"/>
  <c r="AE37" i="1" s="1"/>
  <c r="AC37" i="1"/>
  <c r="W37" i="1"/>
  <c r="AA37" i="1" s="1"/>
  <c r="AD141" i="1"/>
  <c r="W141" i="1"/>
  <c r="AA141" i="1" s="1"/>
  <c r="AC141" i="1"/>
  <c r="R141" i="1"/>
  <c r="P141" i="1" s="1"/>
  <c r="S141" i="1" s="1"/>
  <c r="M141" i="1" s="1"/>
  <c r="N141" i="1" s="1"/>
  <c r="W67" i="1"/>
  <c r="AA67" i="1" s="1"/>
  <c r="AD67" i="1"/>
  <c r="AE67" i="1" s="1"/>
  <c r="AC67" i="1"/>
  <c r="W101" i="1"/>
  <c r="AA101" i="1" s="1"/>
  <c r="AD101" i="1"/>
  <c r="AC101" i="1"/>
  <c r="W132" i="1"/>
  <c r="AA132" i="1" s="1"/>
  <c r="AD132" i="1"/>
  <c r="R132" i="1"/>
  <c r="P132" i="1" s="1"/>
  <c r="S132" i="1" s="1"/>
  <c r="M132" i="1" s="1"/>
  <c r="N132" i="1" s="1"/>
  <c r="AC132" i="1"/>
  <c r="R168" i="1"/>
  <c r="P168" i="1" s="1"/>
  <c r="S168" i="1" s="1"/>
  <c r="M168" i="1" s="1"/>
  <c r="N168" i="1" s="1"/>
  <c r="AD154" i="1"/>
  <c r="AE154" i="1" s="1"/>
  <c r="W154" i="1"/>
  <c r="AA154" i="1" s="1"/>
  <c r="AC154" i="1"/>
  <c r="AD218" i="1"/>
  <c r="AE218" i="1" s="1"/>
  <c r="W218" i="1"/>
  <c r="AA218" i="1" s="1"/>
  <c r="AC218" i="1"/>
  <c r="AD45" i="1"/>
  <c r="AE45" i="1" s="1"/>
  <c r="AC45" i="1"/>
  <c r="W45" i="1"/>
  <c r="AA45" i="1" s="1"/>
  <c r="AD142" i="1"/>
  <c r="W142" i="1"/>
  <c r="AA142" i="1" s="1"/>
  <c r="AC142" i="1"/>
  <c r="W224" i="1"/>
  <c r="AA224" i="1" s="1"/>
  <c r="AD224" i="1"/>
  <c r="AC224" i="1"/>
  <c r="AE44" i="1"/>
  <c r="R67" i="1"/>
  <c r="P67" i="1" s="1"/>
  <c r="S67" i="1" s="1"/>
  <c r="M67" i="1" s="1"/>
  <c r="N67" i="1" s="1"/>
  <c r="W108" i="1"/>
  <c r="AA108" i="1" s="1"/>
  <c r="AD108" i="1"/>
  <c r="AC108" i="1"/>
  <c r="W219" i="1"/>
  <c r="AA219" i="1" s="1"/>
  <c r="AD219" i="1"/>
  <c r="AC219" i="1"/>
  <c r="W75" i="1"/>
  <c r="AA75" i="1" s="1"/>
  <c r="AD75" i="1"/>
  <c r="AE75" i="1" s="1"/>
  <c r="AC75" i="1"/>
  <c r="R108" i="1"/>
  <c r="P108" i="1" s="1"/>
  <c r="S108" i="1" s="1"/>
  <c r="M108" i="1" s="1"/>
  <c r="N108" i="1" s="1"/>
  <c r="AD140" i="1"/>
  <c r="AE140" i="1" s="1"/>
  <c r="W140" i="1"/>
  <c r="AA140" i="1" s="1"/>
  <c r="AC140" i="1"/>
  <c r="W130" i="1"/>
  <c r="AA130" i="1" s="1"/>
  <c r="AC130" i="1"/>
  <c r="AD130" i="1"/>
  <c r="AE130" i="1" s="1"/>
  <c r="W147" i="1"/>
  <c r="AA147" i="1" s="1"/>
  <c r="AD147" i="1"/>
  <c r="AE147" i="1" s="1"/>
  <c r="AC147" i="1"/>
  <c r="W171" i="1"/>
  <c r="AA171" i="1" s="1"/>
  <c r="AD171" i="1"/>
  <c r="AC171" i="1"/>
  <c r="R171" i="1"/>
  <c r="P171" i="1" s="1"/>
  <c r="S171" i="1" s="1"/>
  <c r="M171" i="1" s="1"/>
  <c r="N171" i="1" s="1"/>
  <c r="W195" i="1"/>
  <c r="AA195" i="1" s="1"/>
  <c r="AD195" i="1"/>
  <c r="AC195" i="1"/>
  <c r="R195" i="1"/>
  <c r="P195" i="1" s="1"/>
  <c r="S195" i="1" s="1"/>
  <c r="M195" i="1" s="1"/>
  <c r="N195" i="1" s="1"/>
  <c r="W149" i="1"/>
  <c r="AA149" i="1" s="1"/>
  <c r="AD149" i="1"/>
  <c r="AC149" i="1"/>
  <c r="R149" i="1"/>
  <c r="P149" i="1" s="1"/>
  <c r="S149" i="1" s="1"/>
  <c r="M149" i="1" s="1"/>
  <c r="N149" i="1" s="1"/>
  <c r="W161" i="1"/>
  <c r="AA161" i="1" s="1"/>
  <c r="AD161" i="1"/>
  <c r="AC161" i="1"/>
  <c r="AD226" i="1"/>
  <c r="AE226" i="1" s="1"/>
  <c r="W226" i="1"/>
  <c r="AA226" i="1" s="1"/>
  <c r="AC226" i="1"/>
  <c r="R126" i="1"/>
  <c r="P126" i="1" s="1"/>
  <c r="S126" i="1" s="1"/>
  <c r="M126" i="1" s="1"/>
  <c r="N126" i="1" s="1"/>
  <c r="W151" i="1"/>
  <c r="AA151" i="1" s="1"/>
  <c r="AD151" i="1"/>
  <c r="AE151" i="1" s="1"/>
  <c r="AC151" i="1"/>
  <c r="R42" i="1"/>
  <c r="P42" i="1" s="1"/>
  <c r="S42" i="1" s="1"/>
  <c r="M42" i="1" s="1"/>
  <c r="N42" i="1" s="1"/>
  <c r="R45" i="1"/>
  <c r="P45" i="1" s="1"/>
  <c r="S45" i="1" s="1"/>
  <c r="M45" i="1" s="1"/>
  <c r="N45" i="1" s="1"/>
  <c r="R62" i="1"/>
  <c r="P62" i="1" s="1"/>
  <c r="S62" i="1" s="1"/>
  <c r="M62" i="1" s="1"/>
  <c r="N62" i="1" s="1"/>
  <c r="W124" i="1"/>
  <c r="AA124" i="1" s="1"/>
  <c r="AD124" i="1"/>
  <c r="R124" i="1"/>
  <c r="P124" i="1" s="1"/>
  <c r="S124" i="1" s="1"/>
  <c r="M124" i="1" s="1"/>
  <c r="N124" i="1" s="1"/>
  <c r="AC124" i="1"/>
  <c r="R152" i="1"/>
  <c r="P152" i="1" s="1"/>
  <c r="S152" i="1" s="1"/>
  <c r="M152" i="1" s="1"/>
  <c r="N152" i="1" s="1"/>
  <c r="AE208" i="1"/>
  <c r="AC205" i="1"/>
  <c r="W205" i="1"/>
  <c r="AA205" i="1" s="1"/>
  <c r="AD205" i="1"/>
  <c r="AE61" i="1"/>
  <c r="AE127" i="1"/>
  <c r="AE161" i="1" l="1"/>
  <c r="AE195" i="1"/>
  <c r="AE142" i="1"/>
  <c r="AE101" i="1"/>
  <c r="AE141" i="1"/>
  <c r="AE199" i="1"/>
  <c r="AE150" i="1"/>
  <c r="AE53" i="1"/>
  <c r="AE60" i="1"/>
  <c r="AE96" i="1"/>
  <c r="AE163" i="1"/>
  <c r="AE185" i="1"/>
  <c r="AE98" i="1"/>
  <c r="AE28" i="1"/>
  <c r="AE103" i="1"/>
  <c r="AE209" i="1"/>
  <c r="AE182" i="1"/>
  <c r="AE63" i="1"/>
  <c r="AE152" i="1"/>
  <c r="AE34" i="1"/>
  <c r="AE18" i="1"/>
  <c r="AE30" i="1"/>
  <c r="AE169" i="1"/>
  <c r="AE92" i="1"/>
  <c r="AE126" i="1"/>
  <c r="AE58" i="1"/>
  <c r="AE139" i="1"/>
  <c r="AE91" i="1"/>
  <c r="AE50" i="1"/>
  <c r="AE124" i="1"/>
  <c r="AE186" i="1"/>
  <c r="AE20" i="1"/>
  <c r="AE77" i="1"/>
  <c r="AE206" i="1"/>
  <c r="AE89" i="1"/>
  <c r="AE87" i="1"/>
  <c r="AE94" i="1"/>
  <c r="AE183" i="1"/>
  <c r="AE205" i="1"/>
  <c r="AE149" i="1"/>
  <c r="AE171" i="1"/>
  <c r="AE219" i="1"/>
  <c r="AE224" i="1"/>
  <c r="AE54" i="1"/>
  <c r="AE207" i="1"/>
  <c r="AE135" i="1"/>
  <c r="AE120" i="1"/>
  <c r="AE138" i="1"/>
  <c r="AE197" i="1"/>
  <c r="AE204" i="1"/>
  <c r="AE107" i="1"/>
  <c r="AE110" i="1"/>
  <c r="AE105" i="1"/>
  <c r="AE132" i="1"/>
  <c r="AE95" i="1"/>
  <c r="AE82" i="1"/>
  <c r="AE175" i="1"/>
  <c r="AE191" i="1"/>
  <c r="AE157" i="1"/>
  <c r="AE26" i="1"/>
  <c r="AE108" i="1"/>
  <c r="AE118" i="1"/>
</calcChain>
</file>

<file path=xl/sharedStrings.xml><?xml version="1.0" encoding="utf-8"?>
<sst xmlns="http://schemas.openxmlformats.org/spreadsheetml/2006/main" count="3165" uniqueCount="755">
  <si>
    <t>File opened</t>
  </si>
  <si>
    <t>2023-07-24 07:04:54</t>
  </si>
  <si>
    <t>Console s/n</t>
  </si>
  <si>
    <t>68C-571076</t>
  </si>
  <si>
    <t>Console ver</t>
  </si>
  <si>
    <t>Bluestem v.2.1.08</t>
  </si>
  <si>
    <t>Scripts ver</t>
  </si>
  <si>
    <t>2022.05  2.1.08, Aug 2022</t>
  </si>
  <si>
    <t>Head s/n</t>
  </si>
  <si>
    <t>68H-581076</t>
  </si>
  <si>
    <t>Head ver</t>
  </si>
  <si>
    <t>1.4.22</t>
  </si>
  <si>
    <t>Head cal</t>
  </si>
  <si>
    <t>{"oxygen": "21", "co2azero": "0.850833", "co2aspan1": "1.00272", "co2aspan2": "-0.03976", "co2aspan2a": "0.284984", "co2aspan2b": "0.282529", "co2aspanconc1": "2473", "co2aspanconc2": "301.4", "co2bzero": "0.868439", "co2bspan1": "1.00227", "co2bspan2": "-0.0386207", "co2bspan2a": "0.284833", "co2bspan2b": "0.282347", "co2bspanconc1": "2473", "co2bspanconc2": "301.4", "h2oazero": "1.04701", "h2oaspan1": "0.996202", "h2oaspan2": "0", "h2oaspan2a": "0.066505", "h2oaspan2b": "0.0662524", "h2oaspanconc1": "11.63", "h2oaspanconc2": "0", "h2obzero": "1.06461", "h2obspan1": "0.99351", "h2obspan2": "0", "h2obspan2a": "0.0653957", "h2obspan2b": "0.0649713", "h2obspanconc1": "11.63", "h2obspanconc2": "0", "tazero": "0.121614", "tbzero": "0.233824", "flowmeterzero": "0.996312", "flowazero": "0.28101", "flowbzero": "0.31827", "chamberpressurezero": "2.60495", "ssa_ref": "37865.9", "ssb_ref": "35475.3"}</t>
  </si>
  <si>
    <t>CO2 rangematch</t>
  </si>
  <si>
    <t>Wed Mar  8 15:59</t>
  </si>
  <si>
    <t>H2O rangematch</t>
  </si>
  <si>
    <t>Wed Mar  8 16:05</t>
  </si>
  <si>
    <t>Chamber type</t>
  </si>
  <si>
    <t>6800-13</t>
  </si>
  <si>
    <t>Chamber s/n</t>
  </si>
  <si>
    <t>CHM-10960</t>
  </si>
  <si>
    <t>Chamber rev</t>
  </si>
  <si>
    <t>0</t>
  </si>
  <si>
    <t>Chamber cal</t>
  </si>
  <si>
    <t>8.12</t>
  </si>
  <si>
    <t>HeadLS type</t>
  </si>
  <si>
    <t>6800-03</t>
  </si>
  <si>
    <t>HeadLS s/n</t>
  </si>
  <si>
    <t>181040</t>
  </si>
  <si>
    <t>HeadLS f</t>
  </si>
  <si>
    <t>0.065 0.0828 0.1212 0.0686</t>
  </si>
  <si>
    <t>HeadLS u0</t>
  </si>
  <si>
    <t>278 337 932 412</t>
  </si>
  <si>
    <t>07:04:54</t>
  </si>
  <si>
    <t>Stability Definition:	ΔCO2 (Meas2): Per=20	ΔH2O (Meas2): Per=20</t>
  </si>
  <si>
    <t>SysConst</t>
  </si>
  <si>
    <t>AvgTime</t>
  </si>
  <si>
    <t>4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</si>
  <si>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</si>
  <si>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</si>
  <si>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</si>
  <si>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</si>
  <si>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</si>
  <si>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</si>
  <si>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</si>
  <si>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</si>
  <si>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</si>
  <si>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</si>
  <si>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</si>
  <si>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</si>
  <si>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</si>
  <si>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</si>
  <si>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</si>
  <si>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</si>
  <si>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</si>
  <si>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</si>
  <si>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</si>
  <si>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</si>
  <si>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</si>
  <si>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</si>
  <si>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</si>
  <si>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</si>
  <si>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</si>
  <si>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</si>
  <si>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</si>
  <si>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</si>
  <si>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</si>
  <si>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</si>
  <si>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</si>
  <si>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</si>
  <si>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</si>
  <si>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</si>
  <si>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</si>
  <si>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</si>
  <si>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</si>
  <si>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</si>
  <si>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</si>
  <si>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</si>
  <si>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</si>
  <si>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</si>
  <si>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</si>
  <si>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</si>
  <si>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</si>
  <si>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</si>
  <si>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</si>
  <si>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</si>
  <si>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9.97078 92.7854 372.141 611.155 845.403 1063.04 1243.82 1429.26</t>
  </si>
  <si>
    <t>Fs_true</t>
  </si>
  <si>
    <t>0.126893 101.801 400.957 601.151 800.133 1001.03 1199.98 1400.42</t>
  </si>
  <si>
    <t>leak_wt</t>
  </si>
  <si>
    <t>SysObs</t>
  </si>
  <si>
    <t>UserDefCon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</si>
  <si>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</si>
  <si>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</si>
  <si>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</si>
  <si>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</si>
  <si>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</si>
  <si>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</si>
  <si>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</si>
  <si>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</si>
  <si>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</si>
  <si>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</si>
  <si>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</si>
  <si>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</si>
  <si>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</si>
  <si>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</si>
  <si>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</si>
  <si>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</si>
  <si>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</si>
  <si>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</si>
  <si>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</si>
  <si>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</si>
  <si>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</si>
  <si>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</si>
  <si>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</si>
  <si>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</si>
  <si>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</si>
  <si>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</si>
  <si>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</si>
  <si>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</si>
  <si>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</si>
  <si>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</si>
  <si>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</si>
  <si>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</si>
  <si>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</si>
  <si>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</si>
  <si>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</si>
  <si>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</si>
  <si>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</si>
  <si>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</si>
  <si>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</si>
  <si>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</si>
  <si>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</si>
  <si>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</si>
  <si>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</si>
  <si>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</si>
  <si>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</si>
  <si>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</si>
  <si>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</si>
  <si>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</si>
  <si>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</si>
  <si>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</si>
  <si>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</si>
  <si>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</si>
  <si>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</si>
  <si>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</si>
  <si>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</si>
  <si>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</si>
  <si>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</si>
  <si>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</si>
  <si>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</si>
  <si>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</si>
  <si>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</si>
  <si>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</si>
  <si>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</si>
  <si>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</si>
  <si>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</si>
  <si>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</si>
  <si>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</si>
  <si>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</si>
  <si>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</si>
  <si>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</si>
  <si>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</si>
  <si>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</si>
  <si>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</si>
  <si>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</si>
  <si>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</si>
  <si>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</si>
  <si>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</si>
  <si>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</si>
  <si>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</si>
  <si>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</si>
  <si>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</si>
  <si>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</si>
  <si>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</si>
  <si>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</si>
  <si>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</si>
  <si>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</si>
  <si>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</si>
  <si>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</si>
  <si>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</si>
  <si>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</si>
  <si>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</si>
  <si>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</si>
  <si>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</si>
  <si>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</si>
  <si>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</si>
  <si>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</si>
  <si>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</si>
  <si>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</si>
  <si>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</si>
  <si>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</si>
  <si>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</si>
  <si>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</si>
  <si>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</si>
  <si>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</si>
  <si>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</si>
  <si>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</si>
  <si>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</si>
  <si>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</si>
  <si>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</si>
  <si>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</si>
  <si>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</si>
  <si>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</si>
  <si>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</si>
  <si>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</si>
  <si>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</si>
  <si>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</si>
  <si>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</si>
  <si>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</si>
  <si>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</si>
  <si>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</si>
  <si>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</si>
  <si>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</si>
  <si>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</si>
  <si>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</si>
  <si>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</si>
  <si>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</si>
  <si>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</si>
  <si>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</si>
  <si>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</si>
  <si>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</si>
  <si>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</si>
  <si>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</si>
  <si>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</si>
  <si>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</si>
  <si>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</si>
  <si>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</si>
  <si>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</si>
  <si>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</si>
  <si>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</si>
  <si>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</si>
  <si>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</si>
  <si>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</si>
  <si>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</si>
  <si>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</si>
  <si>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</si>
  <si>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</si>
  <si>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</si>
  <si>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</si>
  <si>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</si>
  <si>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</si>
  <si>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</si>
  <si>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</si>
  <si>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</si>
  <si>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</si>
  <si>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</si>
  <si>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</si>
  <si>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</si>
  <si>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</si>
  <si>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</si>
  <si>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</si>
  <si>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</si>
  <si>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</si>
  <si>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</si>
  <si>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</si>
  <si>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</si>
  <si>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</si>
  <si>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</si>
  <si>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</si>
  <si>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</si>
  <si>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</si>
  <si>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</si>
  <si>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</si>
  <si>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</si>
  <si>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</si>
  <si>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</si>
  <si>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</si>
  <si>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</si>
  <si>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</si>
  <si>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</si>
  <si>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</si>
  <si>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</si>
  <si>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</si>
  <si>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</si>
  <si>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</si>
  <si>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</si>
  <si>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</si>
  <si>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</si>
  <si>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</si>
  <si>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</si>
  <si>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</si>
  <si>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</si>
  <si>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</si>
  <si>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</si>
  <si>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</si>
  <si>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</si>
  <si>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</si>
  <si>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</si>
  <si>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</si>
  <si>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</si>
  <si>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</si>
  <si>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</si>
  <si>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</si>
  <si>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</si>
  <si>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</si>
  <si>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</si>
  <si>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</si>
  <si>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</si>
  <si>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</si>
  <si>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</si>
  <si>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</si>
  <si>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</si>
  <si>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</si>
  <si>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</si>
  <si>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</si>
  <si>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</si>
  <si>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</si>
  <si>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</si>
  <si>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</si>
  <si>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</si>
  <si>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</si>
  <si>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</si>
  <si>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</si>
  <si>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J/µmol</t>
  </si>
  <si>
    <t>cm²</t>
  </si>
  <si>
    <t>mmol mol⁻¹</t>
  </si>
  <si>
    <t>rpm</t>
  </si>
  <si>
    <t>secs</t>
  </si>
  <si>
    <t>µmol/mol</t>
  </si>
  <si>
    <t>mmol/mol</t>
  </si>
  <si>
    <t xml:space="preserve"> min⁻¹</t>
  </si>
  <si>
    <t>V</t>
  </si>
  <si>
    <t>mV</t>
  </si>
  <si>
    <t>mg</t>
  </si>
  <si>
    <t>hrs</t>
  </si>
  <si>
    <t>min</t>
  </si>
  <si>
    <t>20230724 07:14:07</t>
  </si>
  <si>
    <t>07:14:07</t>
  </si>
  <si>
    <t>none</t>
  </si>
  <si>
    <t>0: Broadleaf</t>
  </si>
  <si>
    <t>07:12:49</t>
  </si>
  <si>
    <t>0/0</t>
  </si>
  <si>
    <t>00000000</t>
  </si>
  <si>
    <t>iiiiiiii</t>
  </si>
  <si>
    <t>off</t>
  </si>
  <si>
    <t>20230724 07:14:08</t>
  </si>
  <si>
    <t>07:14:08</t>
  </si>
  <si>
    <t>20230724 07:14:09</t>
  </si>
  <si>
    <t>07:14:09</t>
  </si>
  <si>
    <t>20230724 07:14:10</t>
  </si>
  <si>
    <t>07:14:10</t>
  </si>
  <si>
    <t>20230724 07:14:12</t>
  </si>
  <si>
    <t>07:14:12</t>
  </si>
  <si>
    <t>20230724 07:15:45</t>
  </si>
  <si>
    <t>07:15:45</t>
  </si>
  <si>
    <t>20230724 07:15:55</t>
  </si>
  <si>
    <t>07:15:55</t>
  </si>
  <si>
    <t>20230724 07:16:05</t>
  </si>
  <si>
    <t>07:16:05</t>
  </si>
  <si>
    <t>20230724 07:16:15</t>
  </si>
  <si>
    <t>07:16:15</t>
  </si>
  <si>
    <t>20230724 07:16:25</t>
  </si>
  <si>
    <t>07:16:25</t>
  </si>
  <si>
    <t>20230724 07:16:35</t>
  </si>
  <si>
    <t>07:16:35</t>
  </si>
  <si>
    <t>20230724 07:16:45</t>
  </si>
  <si>
    <t>07:16:45</t>
  </si>
  <si>
    <t>20230724 07:16:55</t>
  </si>
  <si>
    <t>07:16:55</t>
  </si>
  <si>
    <t>20230724 07:17:05</t>
  </si>
  <si>
    <t>07:17:05</t>
  </si>
  <si>
    <t>20230724 07:17:15</t>
  </si>
  <si>
    <t>07:17:15</t>
  </si>
  <si>
    <t>20230724 07:17:25</t>
  </si>
  <si>
    <t>07:17:25</t>
  </si>
  <si>
    <t>20230724 07:17:35</t>
  </si>
  <si>
    <t>07:17:35</t>
  </si>
  <si>
    <t>20230724 07:17:45</t>
  </si>
  <si>
    <t>07:17:45</t>
  </si>
  <si>
    <t>20230724 07:17:55</t>
  </si>
  <si>
    <t>07:17:55</t>
  </si>
  <si>
    <t>20230724 07:18:05</t>
  </si>
  <si>
    <t>07:18:05</t>
  </si>
  <si>
    <t>20230724 07:18:15</t>
  </si>
  <si>
    <t>07:18:15</t>
  </si>
  <si>
    <t>20230724 07:18:25</t>
  </si>
  <si>
    <t>07:18:25</t>
  </si>
  <si>
    <t>20230724 07:18:35</t>
  </si>
  <si>
    <t>07:18:35</t>
  </si>
  <si>
    <t>20230724 07:18:45</t>
  </si>
  <si>
    <t>07:18:45</t>
  </si>
  <si>
    <t>20230724 07:18:55</t>
  </si>
  <si>
    <t>07:18:55</t>
  </si>
  <si>
    <t>20230724 07:19:05</t>
  </si>
  <si>
    <t>07:19:05</t>
  </si>
  <si>
    <t>20230724 07:19:15</t>
  </si>
  <si>
    <t>07:19:15</t>
  </si>
  <si>
    <t>20230724 07:19:25</t>
  </si>
  <si>
    <t>07:19:25</t>
  </si>
  <si>
    <t>20230724 07:19:35</t>
  </si>
  <si>
    <t>07:19:35</t>
  </si>
  <si>
    <t>20230724 07:19:45</t>
  </si>
  <si>
    <t>07:19:45</t>
  </si>
  <si>
    <t>20230724 07:19:55</t>
  </si>
  <si>
    <t>07:19:55</t>
  </si>
  <si>
    <t>20230724 07:20:05</t>
  </si>
  <si>
    <t>07:20:05</t>
  </si>
  <si>
    <t>20230724 07:20:15</t>
  </si>
  <si>
    <t>07:20:15</t>
  </si>
  <si>
    <t>20230724 07:20:25</t>
  </si>
  <si>
    <t>07:20:25</t>
  </si>
  <si>
    <t>20230724 07:20:35</t>
  </si>
  <si>
    <t>07:20:35</t>
  </si>
  <si>
    <t>20230724 07:20:45</t>
  </si>
  <si>
    <t>07:20:45</t>
  </si>
  <si>
    <t>20230724 07:20:55</t>
  </si>
  <si>
    <t>07:20:55</t>
  </si>
  <si>
    <t>20230724 07:21:05</t>
  </si>
  <si>
    <t>07:21:05</t>
  </si>
  <si>
    <t>20230724 07:21:15</t>
  </si>
  <si>
    <t>07:21:15</t>
  </si>
  <si>
    <t>20230724 07:21:25</t>
  </si>
  <si>
    <t>07:21:25</t>
  </si>
  <si>
    <t>20230724 07:21:35</t>
  </si>
  <si>
    <t>07:21:35</t>
  </si>
  <si>
    <t>20230724 07:21:45</t>
  </si>
  <si>
    <t>07:21:45</t>
  </si>
  <si>
    <t>20230724 07:21:55</t>
  </si>
  <si>
    <t>07:21:55</t>
  </si>
  <si>
    <t>20230724 07:22:05</t>
  </si>
  <si>
    <t>07:22:05</t>
  </si>
  <si>
    <t>20230724 07:22:15</t>
  </si>
  <si>
    <t>07:22:15</t>
  </si>
  <si>
    <t>20230724 07:22:25</t>
  </si>
  <si>
    <t>07:22:25</t>
  </si>
  <si>
    <t>20230724 07:22:35</t>
  </si>
  <si>
    <t>07:22:35</t>
  </si>
  <si>
    <t>20230724 07:22:45</t>
  </si>
  <si>
    <t>07:22:45</t>
  </si>
  <si>
    <t>20230724 07:22:55</t>
  </si>
  <si>
    <t>07:22:55</t>
  </si>
  <si>
    <t>20230724 07:23:05</t>
  </si>
  <si>
    <t>07:23:05</t>
  </si>
  <si>
    <t>20230724 07:23:15</t>
  </si>
  <si>
    <t>07:23:15</t>
  </si>
  <si>
    <t>20230724 07:23:25</t>
  </si>
  <si>
    <t>07:23:25</t>
  </si>
  <si>
    <t>20230724 07:23:35</t>
  </si>
  <si>
    <t>07:23:35</t>
  </si>
  <si>
    <t>20230724 07:23:45</t>
  </si>
  <si>
    <t>07:23:45</t>
  </si>
  <si>
    <t>20230724 07:23:55</t>
  </si>
  <si>
    <t>07:23:55</t>
  </si>
  <si>
    <t>20230724 07:24:05</t>
  </si>
  <si>
    <t>07:24:05</t>
  </si>
  <si>
    <t>20230724 07:24:15</t>
  </si>
  <si>
    <t>07:24:15</t>
  </si>
  <si>
    <t>20230724 07:24:25</t>
  </si>
  <si>
    <t>07:24:25</t>
  </si>
  <si>
    <t>20230724 07:24:35</t>
  </si>
  <si>
    <t>07:24:35</t>
  </si>
  <si>
    <t>20230724 07:24:45</t>
  </si>
  <si>
    <t>07:24:45</t>
  </si>
  <si>
    <t>20230724 07:24:55</t>
  </si>
  <si>
    <t>07:24:55</t>
  </si>
  <si>
    <t>20230724 07:25:05</t>
  </si>
  <si>
    <t>07:25:05</t>
  </si>
  <si>
    <t>20230724 07:25:15</t>
  </si>
  <si>
    <t>07:25:15</t>
  </si>
  <si>
    <t>20230724 07:25:25</t>
  </si>
  <si>
    <t>07:25:25</t>
  </si>
  <si>
    <t>20230724 07:25:35</t>
  </si>
  <si>
    <t>07:25:35</t>
  </si>
  <si>
    <t>20230724 07:25:45</t>
  </si>
  <si>
    <t>07:25:45</t>
  </si>
  <si>
    <t>20230724 07:25:55</t>
  </si>
  <si>
    <t>07:25:55</t>
  </si>
  <si>
    <t>20230724 07:26:05</t>
  </si>
  <si>
    <t>07:26:05</t>
  </si>
  <si>
    <t>20230724 07:26:15</t>
  </si>
  <si>
    <t>07:26:15</t>
  </si>
  <si>
    <t>20230724 07:26:25</t>
  </si>
  <si>
    <t>07:26:25</t>
  </si>
  <si>
    <t>20230724 07:26:35</t>
  </si>
  <si>
    <t>07:26:35</t>
  </si>
  <si>
    <t>20230724 07:26:45</t>
  </si>
  <si>
    <t>07:26:45</t>
  </si>
  <si>
    <t>20230724 07:26:55</t>
  </si>
  <si>
    <t>07:26:55</t>
  </si>
  <si>
    <t>20230724 07:27:05</t>
  </si>
  <si>
    <t>07:27:05</t>
  </si>
  <si>
    <t>20230724 07:27:15</t>
  </si>
  <si>
    <t>07:27:15</t>
  </si>
  <si>
    <t>20230724 07:27:25</t>
  </si>
  <si>
    <t>07:27:25</t>
  </si>
  <si>
    <t>20230724 07:27:35</t>
  </si>
  <si>
    <t>07:27:35</t>
  </si>
  <si>
    <t>20230724 07:27:45</t>
  </si>
  <si>
    <t>07:27:45</t>
  </si>
  <si>
    <t>20230724 07:27:55</t>
  </si>
  <si>
    <t>07:27:55</t>
  </si>
  <si>
    <t>20230724 07:28:05</t>
  </si>
  <si>
    <t>07:28:05</t>
  </si>
  <si>
    <t>20230724 07:28:15</t>
  </si>
  <si>
    <t>07:28:15</t>
  </si>
  <si>
    <t>20230724 07:28:25</t>
  </si>
  <si>
    <t>07:28:25</t>
  </si>
  <si>
    <t>20230724 07:28:35</t>
  </si>
  <si>
    <t>07:28:35</t>
  </si>
  <si>
    <t>20230724 07:28:45</t>
  </si>
  <si>
    <t>07:28:45</t>
  </si>
  <si>
    <t>20230724 07:28:55</t>
  </si>
  <si>
    <t>07:28:55</t>
  </si>
  <si>
    <t>20230724 07:29:05</t>
  </si>
  <si>
    <t>07:29:05</t>
  </si>
  <si>
    <t>20230724 07:29:15</t>
  </si>
  <si>
    <t>07:29:15</t>
  </si>
  <si>
    <t>20230724 07:29:25</t>
  </si>
  <si>
    <t>07:29:25</t>
  </si>
  <si>
    <t>20230724 07:29:35</t>
  </si>
  <si>
    <t>07:29:35</t>
  </si>
  <si>
    <t>20230724 07:29:45</t>
  </si>
  <si>
    <t>07:29:45</t>
  </si>
  <si>
    <t>20230724 07:29:55</t>
  </si>
  <si>
    <t>07:29:55</t>
  </si>
  <si>
    <t>20230724 07:30:05</t>
  </si>
  <si>
    <t>07:30:05</t>
  </si>
  <si>
    <t>20230724 07:30:15</t>
  </si>
  <si>
    <t>07:30:15</t>
  </si>
  <si>
    <t>20230724 07:30:25</t>
  </si>
  <si>
    <t>07:30:25</t>
  </si>
  <si>
    <t>20230724 07:30:35</t>
  </si>
  <si>
    <t>07:30:35</t>
  </si>
  <si>
    <t>20230724 07:30:45</t>
  </si>
  <si>
    <t>07:30:45</t>
  </si>
  <si>
    <t>20230724 07:30:55</t>
  </si>
  <si>
    <t>07:30:55</t>
  </si>
  <si>
    <t>20230724 07:31:05</t>
  </si>
  <si>
    <t>07:31:05</t>
  </si>
  <si>
    <t>20230724 07:31:15</t>
  </si>
  <si>
    <t>07:31:15</t>
  </si>
  <si>
    <t>20230724 07:31:25</t>
  </si>
  <si>
    <t>07:31:25</t>
  </si>
  <si>
    <t>20230724 07:31:35</t>
  </si>
  <si>
    <t>07:31:35</t>
  </si>
  <si>
    <t>20230724 07:31:45</t>
  </si>
  <si>
    <t>07:31:45</t>
  </si>
  <si>
    <t>20230724 07:31:55</t>
  </si>
  <si>
    <t>07:31:55</t>
  </si>
  <si>
    <t>20230724 07:32:05</t>
  </si>
  <si>
    <t>07:32:05</t>
  </si>
  <si>
    <t>20230724 07:32:15</t>
  </si>
  <si>
    <t>07:32:15</t>
  </si>
  <si>
    <t>20230724 07:32:25</t>
  </si>
  <si>
    <t>07:32:25</t>
  </si>
  <si>
    <t>20230724 07:32:35</t>
  </si>
  <si>
    <t>07:32:35</t>
  </si>
  <si>
    <t>20230724 07:32:45</t>
  </si>
  <si>
    <t>07:32:45</t>
  </si>
  <si>
    <t>20230724 07:32:55</t>
  </si>
  <si>
    <t>07:32:55</t>
  </si>
  <si>
    <t>20230724 07:33:05</t>
  </si>
  <si>
    <t>07:33:05</t>
  </si>
  <si>
    <t>20230724 07:33:15</t>
  </si>
  <si>
    <t>07:33:15</t>
  </si>
  <si>
    <t>20230724 07:33:25</t>
  </si>
  <si>
    <t>07:33:25</t>
  </si>
  <si>
    <t>20230724 07:33:35</t>
  </si>
  <si>
    <t>07:33:35</t>
  </si>
  <si>
    <t>20230724 07:33:45</t>
  </si>
  <si>
    <t>07:33:45</t>
  </si>
  <si>
    <t>20230724 07:33:55</t>
  </si>
  <si>
    <t>07:33:55</t>
  </si>
  <si>
    <t>20230724 07:34:05</t>
  </si>
  <si>
    <t>07:34:05</t>
  </si>
  <si>
    <t>20230724 07:34:15</t>
  </si>
  <si>
    <t>07:34:15</t>
  </si>
  <si>
    <t>20230724 07:34:25</t>
  </si>
  <si>
    <t>07:34:25</t>
  </si>
  <si>
    <t>20230724 07:34:35</t>
  </si>
  <si>
    <t>07:34:35</t>
  </si>
  <si>
    <t>20230724 07:34:45</t>
  </si>
  <si>
    <t>07:34:45</t>
  </si>
  <si>
    <t>20230724 07:34:55</t>
  </si>
  <si>
    <t>07:34:55</t>
  </si>
  <si>
    <t>20230724 07:35:05</t>
  </si>
  <si>
    <t>07:35:05</t>
  </si>
  <si>
    <t>20230724 07:35:15</t>
  </si>
  <si>
    <t>07:35:15</t>
  </si>
  <si>
    <t>20230724 07:35:25</t>
  </si>
  <si>
    <t>07:35:25</t>
  </si>
  <si>
    <t>20230724 07:35:35</t>
  </si>
  <si>
    <t>07:35:35</t>
  </si>
  <si>
    <t>20230724 07:35:45</t>
  </si>
  <si>
    <t>07:35:45</t>
  </si>
  <si>
    <t>20230724 07:35:55</t>
  </si>
  <si>
    <t>07:35:55</t>
  </si>
  <si>
    <t>20230724 07:36:05</t>
  </si>
  <si>
    <t>07:36:05</t>
  </si>
  <si>
    <t>20230724 07:36:15</t>
  </si>
  <si>
    <t>07:36:15</t>
  </si>
  <si>
    <t>20230724 07:36:25</t>
  </si>
  <si>
    <t>07:36:25</t>
  </si>
  <si>
    <t>20230724 07:36:35</t>
  </si>
  <si>
    <t>07:36:35</t>
  </si>
  <si>
    <t>20230724 07:36:45</t>
  </si>
  <si>
    <t>07:36:45</t>
  </si>
  <si>
    <t>20230724 07:36:55</t>
  </si>
  <si>
    <t>07:36:55</t>
  </si>
  <si>
    <t>20230724 07:37:05</t>
  </si>
  <si>
    <t>07:37:05</t>
  </si>
  <si>
    <t>20230724 07:37:15</t>
  </si>
  <si>
    <t>07:37:15</t>
  </si>
  <si>
    <t>20230724 07:37:25</t>
  </si>
  <si>
    <t>07:37:25</t>
  </si>
  <si>
    <t>20230724 07:37:35</t>
  </si>
  <si>
    <t>07:37:35</t>
  </si>
  <si>
    <t>20230724 07:37:45</t>
  </si>
  <si>
    <t>07:37:45</t>
  </si>
  <si>
    <t>20230724 07:37:55</t>
  </si>
  <si>
    <t>07:37:55</t>
  </si>
  <si>
    <t>20230724 07:38:05</t>
  </si>
  <si>
    <t>07:38:05</t>
  </si>
  <si>
    <t>20230724 07:38:15</t>
  </si>
  <si>
    <t>07:38:15</t>
  </si>
  <si>
    <t>20230724 07:38:25</t>
  </si>
  <si>
    <t>07:38:25</t>
  </si>
  <si>
    <t>20230724 07:38:35</t>
  </si>
  <si>
    <t>07:38:35</t>
  </si>
  <si>
    <t>20230724 07:38:45</t>
  </si>
  <si>
    <t>07:38:45</t>
  </si>
  <si>
    <t>20230724 07:38:55</t>
  </si>
  <si>
    <t>07:38:55</t>
  </si>
  <si>
    <t>20230724 07:39:05</t>
  </si>
  <si>
    <t>07:39:05</t>
  </si>
  <si>
    <t>20230724 07:39:15</t>
  </si>
  <si>
    <t>07:39:15</t>
  </si>
  <si>
    <t>20230724 07:39:25</t>
  </si>
  <si>
    <t>07:39:25</t>
  </si>
  <si>
    <t>20230724 07:39:35</t>
  </si>
  <si>
    <t>07:39:35</t>
  </si>
  <si>
    <t>20230724 07:39:45</t>
  </si>
  <si>
    <t>07:39:45</t>
  </si>
  <si>
    <t>20230724 07:39:55</t>
  </si>
  <si>
    <t>07:39:55</t>
  </si>
  <si>
    <t>20230724 07:40:05</t>
  </si>
  <si>
    <t>07:40:05</t>
  </si>
  <si>
    <t>20230724 07:40:15</t>
  </si>
  <si>
    <t>07:40:15</t>
  </si>
  <si>
    <t>20230724 07:40:25</t>
  </si>
  <si>
    <t>07:40:25</t>
  </si>
  <si>
    <t>20230724 07:40:35</t>
  </si>
  <si>
    <t>07:40:35</t>
  </si>
  <si>
    <t>20230724 07:40:45</t>
  </si>
  <si>
    <t>07:40:45</t>
  </si>
  <si>
    <t>20230724 07:40:55</t>
  </si>
  <si>
    <t>07:40:55</t>
  </si>
  <si>
    <t>20230724 07:41:05</t>
  </si>
  <si>
    <t>07:41:05</t>
  </si>
  <si>
    <t>20230724 07:41:15</t>
  </si>
  <si>
    <t>07:41:15</t>
  </si>
  <si>
    <t>20230724 07:41:25</t>
  </si>
  <si>
    <t>07:41:25</t>
  </si>
  <si>
    <t>20230724 07:41:35</t>
  </si>
  <si>
    <t>07:41:35</t>
  </si>
  <si>
    <t>20230724 07:41:45</t>
  </si>
  <si>
    <t>07:41:45</t>
  </si>
  <si>
    <t>20230724 07:41:55</t>
  </si>
  <si>
    <t>07:41:55</t>
  </si>
  <si>
    <t>20230724 07:42:05</t>
  </si>
  <si>
    <t>07:42:05</t>
  </si>
  <si>
    <t>20230724 07:42:15</t>
  </si>
  <si>
    <t>07:42:15</t>
  </si>
  <si>
    <t>20230724 07:42:25</t>
  </si>
  <si>
    <t>07:42:25</t>
  </si>
  <si>
    <t>20230724 07:42:35</t>
  </si>
  <si>
    <t>07:42:35</t>
  </si>
  <si>
    <t>20230724 07:42:45</t>
  </si>
  <si>
    <t>07:42:45</t>
  </si>
  <si>
    <t>20230724 07:42:55</t>
  </si>
  <si>
    <t>07:42:55</t>
  </si>
  <si>
    <t>20230724 07:43:05</t>
  </si>
  <si>
    <t>07:43:05</t>
  </si>
  <si>
    <t>20230724 07:43:15</t>
  </si>
  <si>
    <t>07:43:15</t>
  </si>
  <si>
    <t>20230724 07:43:25</t>
  </si>
  <si>
    <t>07:43:25</t>
  </si>
  <si>
    <t>20230724 07:43:35</t>
  </si>
  <si>
    <t>07:43:35</t>
  </si>
  <si>
    <t>20230724 07:43:45</t>
  </si>
  <si>
    <t>07:43:45</t>
  </si>
  <si>
    <t>20230724 07:43:55</t>
  </si>
  <si>
    <t>07:43:55</t>
  </si>
  <si>
    <t>20230724 07:44:05</t>
  </si>
  <si>
    <t>07:44:05</t>
  </si>
  <si>
    <t>20230724 07:44:15</t>
  </si>
  <si>
    <t>07:44:15</t>
  </si>
  <si>
    <t>20230724 07:44:25</t>
  </si>
  <si>
    <t>07:44:25</t>
  </si>
  <si>
    <t>20230724 07:44:35</t>
  </si>
  <si>
    <t>07:44:35</t>
  </si>
  <si>
    <t>20230724 07:44:45</t>
  </si>
  <si>
    <t>07:44:45</t>
  </si>
  <si>
    <t>20230724 07:44:55</t>
  </si>
  <si>
    <t>07:44:55</t>
  </si>
  <si>
    <t>20230724 07:45:05</t>
  </si>
  <si>
    <t>07:45:05</t>
  </si>
  <si>
    <t>20230724 07:45:15</t>
  </si>
  <si>
    <t>07:45:15</t>
  </si>
  <si>
    <t>20230724 07:45:25</t>
  </si>
  <si>
    <t>07:45:25</t>
  </si>
  <si>
    <t>20230724 07:45:35</t>
  </si>
  <si>
    <t>07:45:35</t>
  </si>
  <si>
    <t>20230724 07:45:45</t>
  </si>
  <si>
    <t>07:45:45</t>
  </si>
  <si>
    <t>20230724 07:45:55</t>
  </si>
  <si>
    <t>07:45:55</t>
  </si>
  <si>
    <t>20230724 07:46:05</t>
  </si>
  <si>
    <t>07:46:05</t>
  </si>
  <si>
    <t>20230724 07:46:15</t>
  </si>
  <si>
    <t>07:46:15</t>
  </si>
  <si>
    <t>20230724 07:46:25</t>
  </si>
  <si>
    <t>07:46:25</t>
  </si>
  <si>
    <t>20230724 07:46:35</t>
  </si>
  <si>
    <t>07:46:35</t>
  </si>
  <si>
    <t>20230724 07:46:45</t>
  </si>
  <si>
    <t>07:46:45</t>
  </si>
  <si>
    <t>20230724 07:46:55</t>
  </si>
  <si>
    <t>07:46:55</t>
  </si>
  <si>
    <t>20230724 07:47:05</t>
  </si>
  <si>
    <t>07:47:05</t>
  </si>
  <si>
    <t>20230724 07:47:15</t>
  </si>
  <si>
    <t>07:47:15</t>
  </si>
  <si>
    <t>20230724 07:47:25</t>
  </si>
  <si>
    <t>07:47:25</t>
  </si>
  <si>
    <t>20230724 07:47:35</t>
  </si>
  <si>
    <t>07:47:35</t>
  </si>
  <si>
    <t>20230724 07:47:45</t>
  </si>
  <si>
    <t>07:47:45</t>
  </si>
  <si>
    <t>20230724 07:47:55</t>
  </si>
  <si>
    <t>07:47:55</t>
  </si>
  <si>
    <t>20230724 07:48:05</t>
  </si>
  <si>
    <t>07:48:05</t>
  </si>
  <si>
    <t>20230724 07:48:15</t>
  </si>
  <si>
    <t>07:48:15</t>
  </si>
  <si>
    <t>20230724 07:48:25</t>
  </si>
  <si>
    <t>07:48:25</t>
  </si>
  <si>
    <t>20230724 07:48:35</t>
  </si>
  <si>
    <t>07:48:35</t>
  </si>
  <si>
    <t>20230724 07:48:45</t>
  </si>
  <si>
    <t>07:48:45</t>
  </si>
  <si>
    <t>20230724 07:48:55</t>
  </si>
  <si>
    <t>07:48:55</t>
  </si>
  <si>
    <t>20230724 07:49:05</t>
  </si>
  <si>
    <t>07:49:05</t>
  </si>
  <si>
    <t>20230724 07:49:15</t>
  </si>
  <si>
    <t>07:49:15</t>
  </si>
  <si>
    <t>20230724 07:49:25</t>
  </si>
  <si>
    <t>07:49:25</t>
  </si>
  <si>
    <t>20230724 07:49:35</t>
  </si>
  <si>
    <t>07:49:35</t>
  </si>
  <si>
    <t>20230724 07:49:45</t>
  </si>
  <si>
    <t>07:49:45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</si>
</sst>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S226"/>
  <sheetViews>
    <sheetView tabSelected="1" workbookViewId="0"/>
  </sheetViews>
  <sheetFormatPr defaultRowHeight="15" x14ac:dyDescent="0.25"/>
  <sheetData>
    <row r="2" spans="1:201" x14ac:dyDescent="0.25">
      <c r="A2" t="s">
        <v>36</v>
      </c>
      <c r="B2" t="s">
        <v>37</v>
      </c>
      <c r="C2" t="s">
        <v>39</v>
      </c>
    </row>
    <row r="3" spans="1:201" x14ac:dyDescent="0.25">
      <c r="B3" t="s">
        <v>38</v>
      </c>
      <c r="C3">
        <v>21</v>
      </c>
    </row>
    <row r="4" spans="1:201" x14ac:dyDescent="0.25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</row>
    <row r="5" spans="1:201" x14ac:dyDescent="0.25">
      <c r="B5" t="s">
        <v>19</v>
      </c>
      <c r="D5">
        <v>0.43</v>
      </c>
      <c r="E5">
        <v>0.26782699999999998</v>
      </c>
      <c r="F5">
        <v>-1.164018E-4</v>
      </c>
      <c r="G5">
        <v>2.2482019999999999E-3</v>
      </c>
      <c r="H5">
        <v>-5.1094620000000004E-3</v>
      </c>
      <c r="I5">
        <v>6</v>
      </c>
      <c r="J5">
        <v>36</v>
      </c>
      <c r="K5">
        <v>96.8</v>
      </c>
    </row>
    <row r="6" spans="1:201" x14ac:dyDescent="0.25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201" x14ac:dyDescent="0.25">
      <c r="B7">
        <v>0</v>
      </c>
      <c r="C7">
        <v>0</v>
      </c>
      <c r="D7">
        <v>0</v>
      </c>
      <c r="E7">
        <v>1</v>
      </c>
    </row>
    <row r="8" spans="1:201" x14ac:dyDescent="0.25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J8" t="s">
        <v>67</v>
      </c>
      <c r="K8" t="s">
        <v>68</v>
      </c>
      <c r="L8" t="s">
        <v>69</v>
      </c>
      <c r="M8" t="s">
        <v>70</v>
      </c>
      <c r="N8" t="s">
        <v>71</v>
      </c>
      <c r="O8" t="s">
        <v>72</v>
      </c>
      <c r="P8" t="s">
        <v>73</v>
      </c>
      <c r="Q8" t="s">
        <v>74</v>
      </c>
    </row>
    <row r="9" spans="1:201" x14ac:dyDescent="0.25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01" x14ac:dyDescent="0.25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201" x14ac:dyDescent="0.25">
      <c r="B11">
        <v>0</v>
      </c>
      <c r="C11">
        <v>0</v>
      </c>
      <c r="D11">
        <v>1</v>
      </c>
      <c r="E11">
        <v>0</v>
      </c>
      <c r="F11">
        <v>0</v>
      </c>
    </row>
    <row r="12" spans="1:201" x14ac:dyDescent="0.25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201" x14ac:dyDescent="0.25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0</v>
      </c>
    </row>
    <row r="14" spans="1:201" x14ac:dyDescent="0.25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93</v>
      </c>
      <c r="I14" t="s">
        <v>93</v>
      </c>
      <c r="J14" t="s">
        <v>93</v>
      </c>
      <c r="K14" t="s">
        <v>93</v>
      </c>
      <c r="L14" t="s">
        <v>93</v>
      </c>
      <c r="M14" t="s">
        <v>93</v>
      </c>
      <c r="N14" t="s">
        <v>93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93</v>
      </c>
      <c r="U14" t="s">
        <v>93</v>
      </c>
      <c r="V14" t="s">
        <v>93</v>
      </c>
      <c r="W14" t="s">
        <v>93</v>
      </c>
      <c r="X14" t="s">
        <v>93</v>
      </c>
      <c r="Y14" t="s">
        <v>93</v>
      </c>
      <c r="Z14" t="s">
        <v>93</v>
      </c>
      <c r="AA14" t="s">
        <v>93</v>
      </c>
      <c r="AB14" t="s">
        <v>93</v>
      </c>
      <c r="AC14" t="s">
        <v>93</v>
      </c>
      <c r="AD14" t="s">
        <v>93</v>
      </c>
      <c r="AE14" t="s">
        <v>93</v>
      </c>
      <c r="AF14" t="s">
        <v>94</v>
      </c>
      <c r="AG14" t="s">
        <v>94</v>
      </c>
      <c r="AH14" t="s">
        <v>94</v>
      </c>
      <c r="AI14" t="s">
        <v>94</v>
      </c>
      <c r="AJ14" t="s">
        <v>94</v>
      </c>
      <c r="AK14" t="s">
        <v>95</v>
      </c>
      <c r="AL14" t="s">
        <v>95</v>
      </c>
      <c r="AM14" t="s">
        <v>95</v>
      </c>
      <c r="AN14" t="s">
        <v>95</v>
      </c>
      <c r="AO14" t="s">
        <v>96</v>
      </c>
      <c r="AP14" t="s">
        <v>96</v>
      </c>
      <c r="AQ14" t="s">
        <v>96</v>
      </c>
      <c r="AR14" t="s">
        <v>96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97</v>
      </c>
      <c r="BB14" t="s">
        <v>97</v>
      </c>
      <c r="BC14" t="s">
        <v>97</v>
      </c>
      <c r="BD14" t="s">
        <v>97</v>
      </c>
      <c r="BE14" t="s">
        <v>97</v>
      </c>
      <c r="BF14" t="s">
        <v>97</v>
      </c>
      <c r="BG14" t="s">
        <v>97</v>
      </c>
      <c r="BH14" t="s">
        <v>97</v>
      </c>
      <c r="BI14" t="s">
        <v>97</v>
      </c>
      <c r="BJ14" t="s">
        <v>97</v>
      </c>
      <c r="BK14" t="s">
        <v>98</v>
      </c>
      <c r="BL14" t="s">
        <v>98</v>
      </c>
      <c r="BM14" t="s">
        <v>98</v>
      </c>
      <c r="BN14" t="s">
        <v>98</v>
      </c>
      <c r="BO14" t="s">
        <v>98</v>
      </c>
      <c r="BP14" t="s">
        <v>98</v>
      </c>
      <c r="BQ14" t="s">
        <v>98</v>
      </c>
      <c r="BR14" t="s">
        <v>98</v>
      </c>
      <c r="BS14" t="s">
        <v>98</v>
      </c>
      <c r="BT14" t="s">
        <v>98</v>
      </c>
      <c r="BU14" t="s">
        <v>99</v>
      </c>
      <c r="BV14" t="s">
        <v>99</v>
      </c>
      <c r="BW14" t="s">
        <v>99</v>
      </c>
      <c r="BX14" t="s">
        <v>99</v>
      </c>
      <c r="BY14" t="s">
        <v>99</v>
      </c>
      <c r="BZ14" t="s">
        <v>99</v>
      </c>
      <c r="CA14" t="s">
        <v>99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100</v>
      </c>
      <c r="CK14" t="s">
        <v>100</v>
      </c>
      <c r="CL14" t="s">
        <v>100</v>
      </c>
      <c r="CM14" t="s">
        <v>100</v>
      </c>
      <c r="CN14" t="s">
        <v>100</v>
      </c>
      <c r="CO14" t="s">
        <v>101</v>
      </c>
      <c r="CP14" t="s">
        <v>101</v>
      </c>
      <c r="CQ14" t="s">
        <v>101</v>
      </c>
      <c r="CR14" t="s">
        <v>101</v>
      </c>
      <c r="CS14" t="s">
        <v>101</v>
      </c>
      <c r="CT14" t="s">
        <v>101</v>
      </c>
      <c r="CU14" t="s">
        <v>101</v>
      </c>
      <c r="CV14" t="s">
        <v>101</v>
      </c>
      <c r="CW14" t="s">
        <v>101</v>
      </c>
      <c r="CX14" t="s">
        <v>101</v>
      </c>
      <c r="CY14" t="s">
        <v>101</v>
      </c>
      <c r="CZ14" t="s">
        <v>102</v>
      </c>
      <c r="DA14" t="s">
        <v>102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103</v>
      </c>
      <c r="DS14" t="s">
        <v>103</v>
      </c>
      <c r="DT14" t="s">
        <v>103</v>
      </c>
      <c r="DU14" t="s">
        <v>103</v>
      </c>
      <c r="DV14" t="s">
        <v>103</v>
      </c>
      <c r="DW14" t="s">
        <v>103</v>
      </c>
      <c r="DX14" t="s">
        <v>103</v>
      </c>
      <c r="DY14" t="s">
        <v>103</v>
      </c>
      <c r="DZ14" t="s">
        <v>103</v>
      </c>
      <c r="EA14" t="s">
        <v>103</v>
      </c>
      <c r="EB14" t="s">
        <v>103</v>
      </c>
      <c r="EC14" t="s">
        <v>103</v>
      </c>
      <c r="ED14" t="s">
        <v>103</v>
      </c>
      <c r="EE14" t="s">
        <v>103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104</v>
      </c>
      <c r="EL14" t="s">
        <v>104</v>
      </c>
      <c r="EM14" t="s">
        <v>104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105</v>
      </c>
      <c r="FE14" t="s">
        <v>105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105</v>
      </c>
      <c r="FN14" t="s">
        <v>105</v>
      </c>
      <c r="FO14" t="s">
        <v>105</v>
      </c>
      <c r="FP14" t="s">
        <v>105</v>
      </c>
      <c r="FQ14" t="s">
        <v>105</v>
      </c>
      <c r="FR14" t="s">
        <v>105</v>
      </c>
      <c r="FS14" t="s">
        <v>105</v>
      </c>
      <c r="FT14" t="s">
        <v>105</v>
      </c>
      <c r="FU14" t="s">
        <v>105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106</v>
      </c>
      <c r="GB14" t="s">
        <v>106</v>
      </c>
      <c r="GC14" t="s">
        <v>106</v>
      </c>
      <c r="GD14" t="s">
        <v>107</v>
      </c>
      <c r="GE14" t="s">
        <v>107</v>
      </c>
      <c r="GF14" t="s">
        <v>107</v>
      </c>
      <c r="GG14" t="s">
        <v>107</v>
      </c>
      <c r="GH14" t="s">
        <v>107</v>
      </c>
      <c r="GI14" t="s">
        <v>107</v>
      </c>
      <c r="GJ14" t="s">
        <v>107</v>
      </c>
      <c r="GK14" t="s">
        <v>107</v>
      </c>
      <c r="GL14" t="s">
        <v>107</v>
      </c>
      <c r="GM14" t="s">
        <v>107</v>
      </c>
      <c r="GN14" t="s">
        <v>107</v>
      </c>
      <c r="GO14" t="s">
        <v>107</v>
      </c>
      <c r="GP14" t="s">
        <v>107</v>
      </c>
      <c r="GQ14" t="s">
        <v>107</v>
      </c>
      <c r="GR14" t="s">
        <v>107</v>
      </c>
      <c r="GS14" t="s">
        <v>107</v>
      </c>
    </row>
    <row r="15" spans="1:201" x14ac:dyDescent="0.25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94</v>
      </c>
      <c r="AG15" t="s">
        <v>139</v>
      </c>
      <c r="AH15" t="s">
        <v>140</v>
      </c>
      <c r="AI15" t="s">
        <v>141</v>
      </c>
      <c r="AJ15" t="s">
        <v>142</v>
      </c>
      <c r="AK15" t="s">
        <v>143</v>
      </c>
      <c r="AL15" t="s">
        <v>144</v>
      </c>
      <c r="AM15" t="s">
        <v>145</v>
      </c>
      <c r="AN15" t="s">
        <v>146</v>
      </c>
      <c r="AO15" t="s">
        <v>147</v>
      </c>
      <c r="AP15" t="s">
        <v>148</v>
      </c>
      <c r="AQ15" t="s">
        <v>149</v>
      </c>
      <c r="AR15" t="s">
        <v>150</v>
      </c>
      <c r="AS15" t="s">
        <v>115</v>
      </c>
      <c r="AT15" t="s">
        <v>151</v>
      </c>
      <c r="AU15" t="s">
        <v>152</v>
      </c>
      <c r="AV15" t="s">
        <v>153</v>
      </c>
      <c r="AW15" t="s">
        <v>154</v>
      </c>
      <c r="AX15" t="s">
        <v>155</v>
      </c>
      <c r="AY15" t="s">
        <v>156</v>
      </c>
      <c r="AZ15" t="s">
        <v>157</v>
      </c>
      <c r="BA15" t="s">
        <v>158</v>
      </c>
      <c r="BB15" t="s">
        <v>159</v>
      </c>
      <c r="BC15" t="s">
        <v>160</v>
      </c>
      <c r="BD15" t="s">
        <v>161</v>
      </c>
      <c r="BE15" t="s">
        <v>162</v>
      </c>
      <c r="BF15" t="s">
        <v>163</v>
      </c>
      <c r="BG15" t="s">
        <v>164</v>
      </c>
      <c r="BH15" t="s">
        <v>165</v>
      </c>
      <c r="BI15" t="s">
        <v>166</v>
      </c>
      <c r="BJ15" t="s">
        <v>167</v>
      </c>
      <c r="BK15" t="s">
        <v>168</v>
      </c>
      <c r="BL15" t="s">
        <v>169</v>
      </c>
      <c r="BM15" t="s">
        <v>170</v>
      </c>
      <c r="BN15" t="s">
        <v>171</v>
      </c>
      <c r="BO15" t="s">
        <v>172</v>
      </c>
      <c r="BP15" t="s">
        <v>173</v>
      </c>
      <c r="BQ15" t="s">
        <v>174</v>
      </c>
      <c r="BR15" t="s">
        <v>175</v>
      </c>
      <c r="BS15" t="s">
        <v>176</v>
      </c>
      <c r="BT15" t="s">
        <v>177</v>
      </c>
      <c r="BU15" t="s">
        <v>178</v>
      </c>
      <c r="BV15" t="s">
        <v>179</v>
      </c>
      <c r="BW15" t="s">
        <v>180</v>
      </c>
      <c r="BX15" t="s">
        <v>181</v>
      </c>
      <c r="BY15" t="s">
        <v>182</v>
      </c>
      <c r="BZ15" t="s">
        <v>183</v>
      </c>
      <c r="CA15" t="s">
        <v>184</v>
      </c>
      <c r="CB15" t="s">
        <v>109</v>
      </c>
      <c r="CC15" t="s">
        <v>112</v>
      </c>
      <c r="CD15" t="s">
        <v>185</v>
      </c>
      <c r="CE15" t="s">
        <v>186</v>
      </c>
      <c r="CF15" t="s">
        <v>187</v>
      </c>
      <c r="CG15" t="s">
        <v>188</v>
      </c>
      <c r="CH15" t="s">
        <v>189</v>
      </c>
      <c r="CI15" t="s">
        <v>190</v>
      </c>
      <c r="CJ15" t="s">
        <v>191</v>
      </c>
      <c r="CK15" t="s">
        <v>192</v>
      </c>
      <c r="CL15" t="s">
        <v>193</v>
      </c>
      <c r="CM15" t="s">
        <v>194</v>
      </c>
      <c r="CN15" t="s">
        <v>195</v>
      </c>
      <c r="CO15" t="s">
        <v>196</v>
      </c>
      <c r="CP15" t="s">
        <v>197</v>
      </c>
      <c r="CQ15" t="s">
        <v>198</v>
      </c>
      <c r="CR15" t="s">
        <v>199</v>
      </c>
      <c r="CS15" t="s">
        <v>200</v>
      </c>
      <c r="CT15" t="s">
        <v>201</v>
      </c>
      <c r="CU15" t="s">
        <v>202</v>
      </c>
      <c r="CV15" t="s">
        <v>203</v>
      </c>
      <c r="CW15" t="s">
        <v>204</v>
      </c>
      <c r="CX15" t="s">
        <v>205</v>
      </c>
      <c r="CY15" t="s">
        <v>206</v>
      </c>
      <c r="CZ15" t="s">
        <v>207</v>
      </c>
      <c r="DA15" t="s">
        <v>208</v>
      </c>
      <c r="DB15" t="s">
        <v>209</v>
      </c>
      <c r="DC15" t="s">
        <v>210</v>
      </c>
      <c r="DD15" t="s">
        <v>211</v>
      </c>
      <c r="DE15" t="s">
        <v>212</v>
      </c>
      <c r="DF15" t="s">
        <v>213</v>
      </c>
      <c r="DG15" t="s">
        <v>214</v>
      </c>
      <c r="DH15" t="s">
        <v>215</v>
      </c>
      <c r="DI15" t="s">
        <v>216</v>
      </c>
      <c r="DJ15" t="s">
        <v>217</v>
      </c>
      <c r="DK15" t="s">
        <v>218</v>
      </c>
      <c r="DL15" t="s">
        <v>219</v>
      </c>
      <c r="DM15" t="s">
        <v>220</v>
      </c>
      <c r="DN15" t="s">
        <v>221</v>
      </c>
      <c r="DO15" t="s">
        <v>222</v>
      </c>
      <c r="DP15" t="s">
        <v>223</v>
      </c>
      <c r="DQ15" t="s">
        <v>224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275</v>
      </c>
      <c r="FQ15" t="s">
        <v>276</v>
      </c>
      <c r="FR15" t="s">
        <v>277</v>
      </c>
      <c r="FS15" t="s">
        <v>278</v>
      </c>
      <c r="FT15" t="s">
        <v>279</v>
      </c>
      <c r="FU15" t="s">
        <v>280</v>
      </c>
      <c r="FV15" t="s">
        <v>281</v>
      </c>
      <c r="FW15" t="s">
        <v>282</v>
      </c>
      <c r="FX15" t="s">
        <v>283</v>
      </c>
      <c r="FY15" t="s">
        <v>284</v>
      </c>
      <c r="FZ15" t="s">
        <v>285</v>
      </c>
      <c r="GA15" t="s">
        <v>286</v>
      </c>
      <c r="GB15" t="s">
        <v>287</v>
      </c>
      <c r="GC15" t="s">
        <v>288</v>
      </c>
      <c r="GD15" t="s">
        <v>289</v>
      </c>
      <c r="GE15" t="s">
        <v>290</v>
      </c>
      <c r="GF15" t="s">
        <v>291</v>
      </c>
      <c r="GG15" t="s">
        <v>292</v>
      </c>
      <c r="GH15" t="s">
        <v>293</v>
      </c>
      <c r="GI15" t="s">
        <v>294</v>
      </c>
      <c r="GJ15" t="s">
        <v>295</v>
      </c>
      <c r="GK15" t="s">
        <v>296</v>
      </c>
      <c r="GL15" t="s">
        <v>297</v>
      </c>
      <c r="GM15" t="s">
        <v>298</v>
      </c>
      <c r="GN15" t="s">
        <v>299</v>
      </c>
      <c r="GO15" t="s">
        <v>300</v>
      </c>
      <c r="GP15" t="s">
        <v>301</v>
      </c>
      <c r="GQ15" t="s">
        <v>302</v>
      </c>
      <c r="GR15" t="s">
        <v>303</v>
      </c>
      <c r="GS15" t="s">
        <v>304</v>
      </c>
    </row>
    <row r="16" spans="1:201" x14ac:dyDescent="0.25">
      <c r="B16" t="s">
        <v>305</v>
      </c>
      <c r="C16" t="s">
        <v>305</v>
      </c>
      <c r="F16" t="s">
        <v>305</v>
      </c>
      <c r="H16" t="s">
        <v>305</v>
      </c>
      <c r="I16" t="s">
        <v>306</v>
      </c>
      <c r="J16" t="s">
        <v>307</v>
      </c>
      <c r="K16" t="s">
        <v>308</v>
      </c>
      <c r="L16" t="s">
        <v>309</v>
      </c>
      <c r="M16" t="s">
        <v>309</v>
      </c>
      <c r="N16" t="s">
        <v>158</v>
      </c>
      <c r="O16" t="s">
        <v>158</v>
      </c>
      <c r="P16" t="s">
        <v>306</v>
      </c>
      <c r="Q16" t="s">
        <v>306</v>
      </c>
      <c r="R16" t="s">
        <v>306</v>
      </c>
      <c r="S16" t="s">
        <v>306</v>
      </c>
      <c r="T16" t="s">
        <v>310</v>
      </c>
      <c r="U16" t="s">
        <v>311</v>
      </c>
      <c r="V16" t="s">
        <v>311</v>
      </c>
      <c r="W16" t="s">
        <v>312</v>
      </c>
      <c r="X16" t="s">
        <v>313</v>
      </c>
      <c r="Y16" t="s">
        <v>312</v>
      </c>
      <c r="Z16" t="s">
        <v>312</v>
      </c>
      <c r="AA16" t="s">
        <v>312</v>
      </c>
      <c r="AB16" t="s">
        <v>310</v>
      </c>
      <c r="AC16" t="s">
        <v>310</v>
      </c>
      <c r="AD16" t="s">
        <v>310</v>
      </c>
      <c r="AE16" t="s">
        <v>310</v>
      </c>
      <c r="AF16" t="s">
        <v>314</v>
      </c>
      <c r="AG16" t="s">
        <v>313</v>
      </c>
      <c r="AI16" t="s">
        <v>313</v>
      </c>
      <c r="AJ16" t="s">
        <v>314</v>
      </c>
      <c r="AK16" t="s">
        <v>308</v>
      </c>
      <c r="AL16" t="s">
        <v>308</v>
      </c>
      <c r="AN16" t="s">
        <v>315</v>
      </c>
      <c r="AO16" t="s">
        <v>316</v>
      </c>
      <c r="AR16" t="s">
        <v>306</v>
      </c>
      <c r="AS16" t="s">
        <v>305</v>
      </c>
      <c r="AT16" t="s">
        <v>309</v>
      </c>
      <c r="AU16" t="s">
        <v>309</v>
      </c>
      <c r="AV16" t="s">
        <v>317</v>
      </c>
      <c r="AW16" t="s">
        <v>317</v>
      </c>
      <c r="AX16" t="s">
        <v>309</v>
      </c>
      <c r="AY16" t="s">
        <v>317</v>
      </c>
      <c r="AZ16" t="s">
        <v>314</v>
      </c>
      <c r="BA16" t="s">
        <v>312</v>
      </c>
      <c r="BB16" t="s">
        <v>312</v>
      </c>
      <c r="BC16" t="s">
        <v>311</v>
      </c>
      <c r="BD16" t="s">
        <v>311</v>
      </c>
      <c r="BE16" t="s">
        <v>311</v>
      </c>
      <c r="BF16" t="s">
        <v>311</v>
      </c>
      <c r="BG16" t="s">
        <v>311</v>
      </c>
      <c r="BH16" t="s">
        <v>318</v>
      </c>
      <c r="BI16" t="s">
        <v>308</v>
      </c>
      <c r="BJ16" t="s">
        <v>308</v>
      </c>
      <c r="BK16" t="s">
        <v>309</v>
      </c>
      <c r="BL16" t="s">
        <v>309</v>
      </c>
      <c r="BM16" t="s">
        <v>309</v>
      </c>
      <c r="BN16" t="s">
        <v>317</v>
      </c>
      <c r="BO16" t="s">
        <v>309</v>
      </c>
      <c r="BP16" t="s">
        <v>317</v>
      </c>
      <c r="BQ16" t="s">
        <v>312</v>
      </c>
      <c r="BR16" t="s">
        <v>312</v>
      </c>
      <c r="BS16" t="s">
        <v>311</v>
      </c>
      <c r="BT16" t="s">
        <v>311</v>
      </c>
      <c r="BU16" t="s">
        <v>308</v>
      </c>
      <c r="BZ16" t="s">
        <v>311</v>
      </c>
      <c r="CB16" t="s">
        <v>319</v>
      </c>
      <c r="CD16" t="s">
        <v>305</v>
      </c>
      <c r="CE16" t="s">
        <v>305</v>
      </c>
      <c r="CG16" t="s">
        <v>320</v>
      </c>
      <c r="CH16" t="s">
        <v>321</v>
      </c>
      <c r="CI16" t="s">
        <v>320</v>
      </c>
      <c r="CJ16" t="s">
        <v>321</v>
      </c>
      <c r="CK16" t="s">
        <v>320</v>
      </c>
      <c r="CL16" t="s">
        <v>321</v>
      </c>
      <c r="CM16" t="s">
        <v>313</v>
      </c>
      <c r="CN16" t="s">
        <v>313</v>
      </c>
      <c r="CP16" t="s">
        <v>322</v>
      </c>
      <c r="CT16" t="s">
        <v>322</v>
      </c>
      <c r="CZ16" t="s">
        <v>323</v>
      </c>
      <c r="DA16" t="s">
        <v>323</v>
      </c>
      <c r="DN16" t="s">
        <v>323</v>
      </c>
      <c r="DO16" t="s">
        <v>323</v>
      </c>
      <c r="DP16" t="s">
        <v>324</v>
      </c>
      <c r="DQ16" t="s">
        <v>324</v>
      </c>
      <c r="DR16" t="s">
        <v>311</v>
      </c>
      <c r="DS16" t="s">
        <v>311</v>
      </c>
      <c r="DT16" t="s">
        <v>313</v>
      </c>
      <c r="DU16" t="s">
        <v>311</v>
      </c>
      <c r="DV16" t="s">
        <v>317</v>
      </c>
      <c r="DW16" t="s">
        <v>313</v>
      </c>
      <c r="DX16" t="s">
        <v>313</v>
      </c>
      <c r="DZ16" t="s">
        <v>323</v>
      </c>
      <c r="EA16" t="s">
        <v>323</v>
      </c>
      <c r="EB16" t="s">
        <v>323</v>
      </c>
      <c r="EC16" t="s">
        <v>323</v>
      </c>
      <c r="ED16" t="s">
        <v>323</v>
      </c>
      <c r="EE16" t="s">
        <v>323</v>
      </c>
      <c r="EF16" t="s">
        <v>323</v>
      </c>
      <c r="EG16" t="s">
        <v>325</v>
      </c>
      <c r="EH16" t="s">
        <v>325</v>
      </c>
      <c r="EI16" t="s">
        <v>325</v>
      </c>
      <c r="EJ16" t="s">
        <v>326</v>
      </c>
      <c r="EK16" t="s">
        <v>323</v>
      </c>
      <c r="EL16" t="s">
        <v>323</v>
      </c>
      <c r="EM16" t="s">
        <v>323</v>
      </c>
      <c r="EN16" t="s">
        <v>323</v>
      </c>
      <c r="EO16" t="s">
        <v>323</v>
      </c>
      <c r="EP16" t="s">
        <v>323</v>
      </c>
      <c r="EQ16" t="s">
        <v>323</v>
      </c>
      <c r="ER16" t="s">
        <v>323</v>
      </c>
      <c r="ES16" t="s">
        <v>323</v>
      </c>
      <c r="ET16" t="s">
        <v>323</v>
      </c>
      <c r="EU16" t="s">
        <v>323</v>
      </c>
      <c r="EV16" t="s">
        <v>323</v>
      </c>
      <c r="FC16" t="s">
        <v>323</v>
      </c>
      <c r="FD16" t="s">
        <v>313</v>
      </c>
      <c r="FE16" t="s">
        <v>313</v>
      </c>
      <c r="FF16" t="s">
        <v>320</v>
      </c>
      <c r="FG16" t="s">
        <v>321</v>
      </c>
      <c r="FH16" t="s">
        <v>321</v>
      </c>
      <c r="FL16" t="s">
        <v>321</v>
      </c>
      <c r="FP16" t="s">
        <v>309</v>
      </c>
      <c r="FQ16" t="s">
        <v>309</v>
      </c>
      <c r="FR16" t="s">
        <v>317</v>
      </c>
      <c r="FS16" t="s">
        <v>317</v>
      </c>
      <c r="FT16" t="s">
        <v>327</v>
      </c>
      <c r="FU16" t="s">
        <v>327</v>
      </c>
      <c r="FV16" t="s">
        <v>323</v>
      </c>
      <c r="FW16" t="s">
        <v>323</v>
      </c>
      <c r="FX16" t="s">
        <v>323</v>
      </c>
      <c r="FY16" t="s">
        <v>323</v>
      </c>
      <c r="FZ16" t="s">
        <v>323</v>
      </c>
      <c r="GA16" t="s">
        <v>323</v>
      </c>
      <c r="GB16" t="s">
        <v>311</v>
      </c>
      <c r="GC16" t="s">
        <v>323</v>
      </c>
      <c r="GE16" t="s">
        <v>314</v>
      </c>
      <c r="GF16" t="s">
        <v>314</v>
      </c>
      <c r="GG16" t="s">
        <v>311</v>
      </c>
      <c r="GH16" t="s">
        <v>311</v>
      </c>
      <c r="GI16" t="s">
        <v>311</v>
      </c>
      <c r="GJ16" t="s">
        <v>311</v>
      </c>
      <c r="GK16" t="s">
        <v>311</v>
      </c>
      <c r="GL16" t="s">
        <v>313</v>
      </c>
      <c r="GM16" t="s">
        <v>313</v>
      </c>
      <c r="GN16" t="s">
        <v>313</v>
      </c>
      <c r="GO16" t="s">
        <v>311</v>
      </c>
      <c r="GP16" t="s">
        <v>309</v>
      </c>
      <c r="GQ16" t="s">
        <v>317</v>
      </c>
      <c r="GR16" t="s">
        <v>313</v>
      </c>
      <c r="GS16" t="s">
        <v>313</v>
      </c>
    </row>
    <row r="17" spans="1:201" x14ac:dyDescent="0.25">
      <c r="A17">
        <v>1</v>
      </c>
      <c r="B17">
        <v>1690200847</v>
      </c>
      <c r="C17">
        <v>0</v>
      </c>
      <c r="D17" t="s">
        <v>328</v>
      </c>
      <c r="E17" t="s">
        <v>329</v>
      </c>
      <c r="F17" t="s">
        <v>330</v>
      </c>
      <c r="H17">
        <v>1690200847</v>
      </c>
      <c r="I17">
        <f t="shared" ref="I17:I80" si="0">(J17)/1000</f>
        <v>2.572372633493399E-4</v>
      </c>
      <c r="J17">
        <f t="shared" ref="J17:J80" si="1">1000*AZ17*AH17*(AV17-AW17)/(100*AO17*(1000-AH17*AV17))</f>
        <v>0.25723726334933988</v>
      </c>
      <c r="K17">
        <f t="shared" ref="K17:K80" si="2">AZ17*AH17*(AU17-AT17*(1000-AH17*AW17)/(1000-AH17*AV17))/(100*AO17)</f>
        <v>-0.13339344465328412</v>
      </c>
      <c r="L17">
        <f t="shared" ref="L17:L80" si="3">AT17 - IF(AH17&gt;1, K17*AO17*100/(AJ17*BH17), 0)</f>
        <v>799.22699999999998</v>
      </c>
      <c r="M17">
        <f t="shared" ref="M17:M80" si="4">((S17-I17/2)*L17-K17)/(S17+I17/2)</f>
        <v>791.44814032314696</v>
      </c>
      <c r="N17">
        <f t="shared" ref="N17:N80" si="5">M17*(BA17+BB17)/1000</f>
        <v>78.421943527888715</v>
      </c>
      <c r="O17">
        <f t="shared" ref="O17:O80" si="6">(AT17 - IF(AH17&gt;1, K17*AO17*100/(AJ17*BH17), 0))*(BA17+BB17)/1000</f>
        <v>79.192724660864087</v>
      </c>
      <c r="P17">
        <f t="shared" ref="P17:P80" si="7">2/((1/R17-1/Q17)+SIGN(R17)*SQRT((1/R17-1/Q17)*(1/R17-1/Q17) + 4*AP17/((AP17+1)*(AP17+1))*(2*1/R17*1/Q17-1/Q17*1/Q17)))</f>
        <v>1.4693464796501857E-2</v>
      </c>
      <c r="Q17">
        <f t="shared" ref="Q17:Q80" si="8">IF(LEFT(AQ17,1)&lt;&gt;"0",IF(LEFT(AQ17,1)="1",3,AR17),$D$5+$E$5*(BH17*BA17/($K$5*1000))+$F$5*(BH17*BA17/($K$5*1000))*MAX(MIN(AO17,$J$5),$I$5)*MAX(MIN(AO17,$J$5),$I$5)+$G$5*MAX(MIN(AO17,$J$5),$I$5)*(BH17*BA17/($K$5*1000))+$H$5*(BH17*BA17/($K$5*1000))*(BH17*BA17/($K$5*1000)))</f>
        <v>2.0773938658025939</v>
      </c>
      <c r="R17">
        <f t="shared" ref="R17:R80" si="9">I17*(1000-(1000*0.61365*EXP(17.502*V17/(240.97+V17))/(BA17+BB17)+AV17)/2)/(1000*0.61365*EXP(17.502*V17/(240.97+V17))/(BA17+BB17)-AV17)</f>
        <v>1.4635971355680696E-2</v>
      </c>
      <c r="S17">
        <f t="shared" ref="S17:S80" si="10">1/((AP17+1)/(P17/1.6)+1/(Q17/1.37)) + AP17/((AP17+1)/(P17/1.6) + AP17/(Q17/1.37))</f>
        <v>9.1526288288562678E-3</v>
      </c>
      <c r="T17">
        <f t="shared" ref="T17:T80" si="11">(AK17*AN17)</f>
        <v>0</v>
      </c>
      <c r="U17">
        <f t="shared" ref="U17:U80" si="12">(BC17+(T17+2*0.95*0.0000000567*(((BC17+$B$7)+273)^4-(BC17+273)^4)-44100*I17)/(1.84*29.3*Q17+8*0.95*0.0000000567*(BC17+273)^3))</f>
        <v>24.73425524254732</v>
      </c>
      <c r="V17">
        <f t="shared" ref="V17:V80" si="13">($C$7*BD17+$D$7*BE17+$E$7*U17)</f>
        <v>24.73425524254732</v>
      </c>
      <c r="W17">
        <f t="shared" ref="W17:W80" si="14">0.61365*EXP(17.502*V17/(240.97+V17))</f>
        <v>3.1296478745622403</v>
      </c>
      <c r="X17">
        <f t="shared" ref="X17:X80" si="15">(Y17/Z17*100)</f>
        <v>45.384182701370648</v>
      </c>
      <c r="Y17">
        <f t="shared" ref="Y17:Y80" si="16">AV17*(BA17+BB17)/1000</f>
        <v>1.42818540527205</v>
      </c>
      <c r="Z17">
        <f t="shared" ref="Z17:Z80" si="17">0.61365*EXP(17.502*BC17/(240.97+BC17))</f>
        <v>3.1468791994549181</v>
      </c>
      <c r="AA17">
        <f t="shared" ref="AA17:AA80" si="18">(W17-AV17*(BA17+BB17)/1000)</f>
        <v>1.7014624692901903</v>
      </c>
      <c r="AB17">
        <f t="shared" ref="AB17:AB80" si="19">(-I17*44100)</f>
        <v>-11.34416331370589</v>
      </c>
      <c r="AC17">
        <f t="shared" ref="AC17:AC80" si="20">2*29.3*Q17*0.92*(BC17-V17)</f>
        <v>10.29748717493386</v>
      </c>
      <c r="AD17">
        <f t="shared" ref="AD17:AD80" si="21">2*0.95*0.0000000567*(((BC17+$B$7)+273)^4-(V17+273)^4)</f>
        <v>1.0461915445087653</v>
      </c>
      <c r="AE17">
        <f t="shared" ref="AE17:AE80" si="22">T17+AD17+AB17+AC17</f>
        <v>-4.8459426326452615E-4</v>
      </c>
      <c r="AF17">
        <v>17</v>
      </c>
      <c r="AG17">
        <v>6</v>
      </c>
      <c r="AH17">
        <f t="shared" ref="AH17:AH80" si="23">IF(AF17*$H$13&gt;=AJ17,1,(AJ17/(AJ17-AF17*$H$13)))</f>
        <v>1</v>
      </c>
      <c r="AI17">
        <f t="shared" ref="AI17:AI80" si="24">(AH17-1)*100</f>
        <v>0</v>
      </c>
      <c r="AJ17">
        <f t="shared" ref="AJ17:AJ80" si="25">MAX(0,($B$13+$C$13*BH17)/(1+$D$13*BH17)*BA17/(BC17+273)*$E$13)</f>
        <v>52600.071018949959</v>
      </c>
      <c r="AK17">
        <f t="shared" ref="AK17:AK80" si="26">$B$11*BI17+$C$11*BJ17+$D$11*BU17</f>
        <v>0</v>
      </c>
      <c r="AL17">
        <f t="shared" ref="AL17:AL80" si="27">AK17*AM17</f>
        <v>0</v>
      </c>
      <c r="AM17">
        <f t="shared" ref="AM17:AM80" si="28">($B$11*$D$9+$C$11*$D$9+$D$11*(BV17*$E$9+BW17*$F$9+BX17*$G$9+BY17*$H$9))/($B$11+$C$11+$D$11)</f>
        <v>0</v>
      </c>
      <c r="AN17">
        <f t="shared" ref="AN17:AN80" si="29">($B$11*$K$9+$C$11*$K$9+$D$11*(BV17*$L$9+BW17*$M$9+BX17*$N$9+BY17*$O$9))/($B$11+$C$11+$D$11)</f>
        <v>0</v>
      </c>
      <c r="AO17">
        <v>33.299999999999997</v>
      </c>
      <c r="AP17">
        <v>0.5</v>
      </c>
      <c r="AQ17" t="s">
        <v>331</v>
      </c>
      <c r="AR17">
        <v>2</v>
      </c>
      <c r="AS17">
        <v>1690200847</v>
      </c>
      <c r="AT17">
        <v>799.22699999999998</v>
      </c>
      <c r="AU17">
        <v>800.02800000000002</v>
      </c>
      <c r="AV17">
        <v>14.413500000000001</v>
      </c>
      <c r="AW17">
        <v>11.6007</v>
      </c>
      <c r="AX17">
        <v>800.75900000000001</v>
      </c>
      <c r="AY17">
        <v>14.3719</v>
      </c>
      <c r="AZ17">
        <v>300.14699999999999</v>
      </c>
      <c r="BA17">
        <v>98.986699999999999</v>
      </c>
      <c r="BB17">
        <v>9.9948300000000004E-2</v>
      </c>
      <c r="BC17">
        <v>24.8262</v>
      </c>
      <c r="BD17">
        <v>25.003699999999998</v>
      </c>
      <c r="BE17">
        <v>24.565799999999999</v>
      </c>
      <c r="BF17">
        <v>0</v>
      </c>
      <c r="BG17">
        <v>0</v>
      </c>
      <c r="BH17">
        <v>9975.6200000000008</v>
      </c>
      <c r="BI17">
        <v>0.69572299999999998</v>
      </c>
      <c r="BJ17">
        <v>1.2726999999999999</v>
      </c>
      <c r="BK17">
        <v>-0.80029300000000003</v>
      </c>
      <c r="BL17">
        <v>810.91600000000005</v>
      </c>
      <c r="BM17">
        <v>809.41700000000003</v>
      </c>
      <c r="BN17">
        <v>2.8128500000000001</v>
      </c>
      <c r="BO17">
        <v>800.02800000000002</v>
      </c>
      <c r="BP17">
        <v>11.6007</v>
      </c>
      <c r="BQ17">
        <v>1.42675</v>
      </c>
      <c r="BR17">
        <v>1.1483099999999999</v>
      </c>
      <c r="BS17">
        <v>12.2049</v>
      </c>
      <c r="BT17">
        <v>8.9478000000000009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21</v>
      </c>
      <c r="CA17">
        <v>0</v>
      </c>
      <c r="CB17">
        <v>1690200769.5</v>
      </c>
      <c r="CC17" t="s">
        <v>332</v>
      </c>
      <c r="CD17">
        <v>1690200769.5</v>
      </c>
      <c r="CE17">
        <v>1690200753</v>
      </c>
      <c r="CF17">
        <v>2</v>
      </c>
      <c r="CG17">
        <v>-0.245</v>
      </c>
      <c r="CH17">
        <v>3.0000000000000001E-3</v>
      </c>
      <c r="CI17">
        <v>-1.5169999999999999</v>
      </c>
      <c r="CJ17">
        <v>-1.6E-2</v>
      </c>
      <c r="CK17">
        <v>778</v>
      </c>
      <c r="CL17">
        <v>12</v>
      </c>
      <c r="CM17">
        <v>0.01</v>
      </c>
      <c r="CN17">
        <v>0.03</v>
      </c>
      <c r="CO17">
        <v>-5.5262297560975613</v>
      </c>
      <c r="CP17">
        <v>28.600343623693369</v>
      </c>
      <c r="CQ17">
        <v>2.8328910997497601</v>
      </c>
      <c r="CR17">
        <v>-1</v>
      </c>
      <c r="CS17">
        <v>2.8338939024390251</v>
      </c>
      <c r="CT17">
        <v>-0.1141643205574894</v>
      </c>
      <c r="CU17">
        <v>1.126854068463232E-2</v>
      </c>
      <c r="CV17">
        <v>-1</v>
      </c>
      <c r="CW17">
        <v>0</v>
      </c>
      <c r="CX17">
        <v>0</v>
      </c>
      <c r="CY17" t="s">
        <v>333</v>
      </c>
      <c r="CZ17">
        <v>2.3656199999999998</v>
      </c>
      <c r="DA17">
        <v>2.7137199999999999</v>
      </c>
      <c r="DB17">
        <v>0.146899</v>
      </c>
      <c r="DC17">
        <v>0.146453</v>
      </c>
      <c r="DD17">
        <v>7.9287999999999997E-2</v>
      </c>
      <c r="DE17">
        <v>6.6376500000000005E-2</v>
      </c>
      <c r="DF17">
        <v>31123.5</v>
      </c>
      <c r="DG17">
        <v>27423.4</v>
      </c>
      <c r="DH17">
        <v>31141.3</v>
      </c>
      <c r="DI17">
        <v>27991.8</v>
      </c>
      <c r="DJ17">
        <v>38929</v>
      </c>
      <c r="DK17">
        <v>37122.1</v>
      </c>
      <c r="DL17">
        <v>44305.2</v>
      </c>
      <c r="DM17">
        <v>42379.4</v>
      </c>
      <c r="DN17">
        <v>1.43685</v>
      </c>
      <c r="DO17">
        <v>2.09273</v>
      </c>
      <c r="DP17">
        <v>5.9381099999999999E-2</v>
      </c>
      <c r="DQ17">
        <v>2.8759199999999999E-2</v>
      </c>
      <c r="DR17">
        <v>24.028700000000001</v>
      </c>
      <c r="DS17">
        <v>24.093499999999999</v>
      </c>
      <c r="DT17">
        <v>40.700000000000003</v>
      </c>
      <c r="DU17">
        <v>24</v>
      </c>
      <c r="DV17">
        <v>12.3131</v>
      </c>
      <c r="DW17">
        <v>62.399900000000002</v>
      </c>
      <c r="DX17">
        <v>35.609000000000002</v>
      </c>
      <c r="DY17">
        <v>1</v>
      </c>
      <c r="DZ17">
        <v>-0.176674</v>
      </c>
      <c r="EA17">
        <v>-1.4254899999999999</v>
      </c>
      <c r="EB17">
        <v>20.299099999999999</v>
      </c>
      <c r="EC17">
        <v>5.24125</v>
      </c>
      <c r="ED17">
        <v>12.039899999999999</v>
      </c>
      <c r="EE17">
        <v>5.0175999999999998</v>
      </c>
      <c r="EF17">
        <v>3.2879999999999998</v>
      </c>
      <c r="EG17">
        <v>9999</v>
      </c>
      <c r="EH17">
        <v>9999</v>
      </c>
      <c r="EI17">
        <v>9999</v>
      </c>
      <c r="EJ17">
        <v>999.9</v>
      </c>
      <c r="EK17">
        <v>1.8687400000000001</v>
      </c>
      <c r="EL17">
        <v>1.86443</v>
      </c>
      <c r="EM17">
        <v>1.8690500000000001</v>
      </c>
      <c r="EN17">
        <v>1.86707</v>
      </c>
      <c r="EO17">
        <v>1.8632500000000001</v>
      </c>
      <c r="EP17">
        <v>1.8643000000000001</v>
      </c>
      <c r="EQ17">
        <v>1.86998</v>
      </c>
      <c r="ER17">
        <v>1.8692200000000001</v>
      </c>
      <c r="ES17">
        <v>0</v>
      </c>
      <c r="ET17">
        <v>0</v>
      </c>
      <c r="EU17">
        <v>0</v>
      </c>
      <c r="EV17">
        <v>0</v>
      </c>
      <c r="EW17" t="s">
        <v>334</v>
      </c>
      <c r="EX17" t="s">
        <v>335</v>
      </c>
      <c r="EY17" t="s">
        <v>336</v>
      </c>
      <c r="EZ17" t="s">
        <v>336</v>
      </c>
      <c r="FA17" t="s">
        <v>336</v>
      </c>
      <c r="FB17" t="s">
        <v>336</v>
      </c>
      <c r="FC17">
        <v>0</v>
      </c>
      <c r="FD17">
        <v>100</v>
      </c>
      <c r="FE17">
        <v>100</v>
      </c>
      <c r="FF17">
        <v>-1.532</v>
      </c>
      <c r="FG17">
        <v>4.1599999999999998E-2</v>
      </c>
      <c r="FH17">
        <v>-0.98020551812546231</v>
      </c>
      <c r="FI17">
        <v>-6.1462078757559423E-4</v>
      </c>
      <c r="FJ17">
        <v>-1.8861989874597051E-7</v>
      </c>
      <c r="FK17">
        <v>1.1980462299894961E-10</v>
      </c>
      <c r="FL17">
        <v>-4.4410915568505363E-2</v>
      </c>
      <c r="FM17">
        <v>-1.6848085045870601E-2</v>
      </c>
      <c r="FN17">
        <v>1.9789084769509481E-3</v>
      </c>
      <c r="FO17">
        <v>-2.7142391389806329E-5</v>
      </c>
      <c r="FP17">
        <v>3</v>
      </c>
      <c r="FQ17">
        <v>2158</v>
      </c>
      <c r="FR17">
        <v>1</v>
      </c>
      <c r="FS17">
        <v>19</v>
      </c>
      <c r="FT17">
        <v>1.3</v>
      </c>
      <c r="FU17">
        <v>1.6</v>
      </c>
      <c r="FV17">
        <v>1.7687999999999999</v>
      </c>
      <c r="FW17">
        <v>2.5280800000000001</v>
      </c>
      <c r="FX17">
        <v>1.5490699999999999</v>
      </c>
      <c r="FY17">
        <v>2.34741</v>
      </c>
      <c r="FZ17">
        <v>1.50024</v>
      </c>
      <c r="GA17">
        <v>2.3706100000000001</v>
      </c>
      <c r="GB17">
        <v>29.559100000000001</v>
      </c>
      <c r="GC17">
        <v>24.017499999999998</v>
      </c>
      <c r="GD17">
        <v>19</v>
      </c>
      <c r="GE17">
        <v>261.82799999999997</v>
      </c>
      <c r="GF17">
        <v>616.92100000000005</v>
      </c>
      <c r="GG17">
        <v>26.299600000000002</v>
      </c>
      <c r="GH17">
        <v>25.1492</v>
      </c>
      <c r="GI17">
        <v>30.0001</v>
      </c>
      <c r="GJ17">
        <v>25.2179</v>
      </c>
      <c r="GK17">
        <v>25.173300000000001</v>
      </c>
      <c r="GL17">
        <v>35.3718</v>
      </c>
      <c r="GM17">
        <v>-30</v>
      </c>
      <c r="GN17">
        <v>-30</v>
      </c>
      <c r="GO17">
        <v>26.308499999999999</v>
      </c>
      <c r="GP17">
        <v>800</v>
      </c>
      <c r="GQ17">
        <v>0</v>
      </c>
      <c r="GR17">
        <v>99.6233</v>
      </c>
      <c r="GS17">
        <v>99.183300000000003</v>
      </c>
    </row>
    <row r="18" spans="1:201" x14ac:dyDescent="0.25">
      <c r="A18">
        <v>2</v>
      </c>
      <c r="B18">
        <v>1690200848</v>
      </c>
      <c r="C18">
        <v>1</v>
      </c>
      <c r="D18" t="s">
        <v>337</v>
      </c>
      <c r="E18" t="s">
        <v>338</v>
      </c>
      <c r="F18" t="s">
        <v>330</v>
      </c>
      <c r="H18">
        <v>1690200848</v>
      </c>
      <c r="I18">
        <f t="shared" si="0"/>
        <v>2.5718792668052699E-4</v>
      </c>
      <c r="J18">
        <f t="shared" si="1"/>
        <v>0.25718792668052698</v>
      </c>
      <c r="K18">
        <f t="shared" si="2"/>
        <v>-0.16506177771021477</v>
      </c>
      <c r="L18">
        <f t="shared" si="3"/>
        <v>799.53899999999999</v>
      </c>
      <c r="M18">
        <f t="shared" si="4"/>
        <v>795.16612614989697</v>
      </c>
      <c r="N18">
        <f t="shared" si="5"/>
        <v>78.79031344152726</v>
      </c>
      <c r="O18">
        <f t="shared" si="6"/>
        <v>79.223606674172999</v>
      </c>
      <c r="P18">
        <f t="shared" si="7"/>
        <v>1.4687639556226357E-2</v>
      </c>
      <c r="Q18">
        <f t="shared" si="8"/>
        <v>2.0804621529666218</v>
      </c>
      <c r="R18">
        <f t="shared" si="9"/>
        <v>1.4630275964463481E-2</v>
      </c>
      <c r="S18">
        <f t="shared" si="10"/>
        <v>9.1490576201947327E-3</v>
      </c>
      <c r="T18">
        <f t="shared" si="11"/>
        <v>0</v>
      </c>
      <c r="U18">
        <f t="shared" si="12"/>
        <v>24.735196028109979</v>
      </c>
      <c r="V18">
        <f t="shared" si="13"/>
        <v>24.735196028109979</v>
      </c>
      <c r="W18">
        <f t="shared" si="14"/>
        <v>3.129823768318992</v>
      </c>
      <c r="X18">
        <f t="shared" si="15"/>
        <v>45.376958680217108</v>
      </c>
      <c r="Y18">
        <f t="shared" si="16"/>
        <v>1.4280262714232999</v>
      </c>
      <c r="Z18">
        <f t="shared" si="17"/>
        <v>3.1470294902022014</v>
      </c>
      <c r="AA18">
        <f t="shared" si="18"/>
        <v>1.7017974968956922</v>
      </c>
      <c r="AB18">
        <f t="shared" si="19"/>
        <v>-11.341987566611241</v>
      </c>
      <c r="AC18">
        <f t="shared" si="20"/>
        <v>10.296905673864256</v>
      </c>
      <c r="AD18">
        <f t="shared" si="21"/>
        <v>1.0445987786193314</v>
      </c>
      <c r="AE18">
        <f t="shared" si="22"/>
        <v>-4.8311412765400519E-4</v>
      </c>
      <c r="AF18">
        <v>17</v>
      </c>
      <c r="AG18">
        <v>6</v>
      </c>
      <c r="AH18">
        <f t="shared" si="23"/>
        <v>1</v>
      </c>
      <c r="AI18">
        <f t="shared" si="24"/>
        <v>0</v>
      </c>
      <c r="AJ18">
        <f t="shared" si="25"/>
        <v>52738.881359295847</v>
      </c>
      <c r="AK18">
        <f t="shared" si="26"/>
        <v>0</v>
      </c>
      <c r="AL18">
        <f t="shared" si="27"/>
        <v>0</v>
      </c>
      <c r="AM18">
        <f t="shared" si="28"/>
        <v>0</v>
      </c>
      <c r="AN18">
        <f t="shared" si="29"/>
        <v>0</v>
      </c>
      <c r="AO18">
        <v>33.299999999999997</v>
      </c>
      <c r="AP18">
        <v>0.5</v>
      </c>
      <c r="AQ18" t="s">
        <v>331</v>
      </c>
      <c r="AR18">
        <v>2</v>
      </c>
      <c r="AS18">
        <v>1690200848</v>
      </c>
      <c r="AT18">
        <v>799.53899999999999</v>
      </c>
      <c r="AU18">
        <v>799.98900000000003</v>
      </c>
      <c r="AV18">
        <v>14.411899999999999</v>
      </c>
      <c r="AW18">
        <v>11.600300000000001</v>
      </c>
      <c r="AX18">
        <v>801.07100000000003</v>
      </c>
      <c r="AY18">
        <v>14.3703</v>
      </c>
      <c r="AZ18">
        <v>300.21800000000002</v>
      </c>
      <c r="BA18">
        <v>98.986599999999996</v>
      </c>
      <c r="BB18">
        <v>0.100007</v>
      </c>
      <c r="BC18">
        <v>24.827000000000002</v>
      </c>
      <c r="BD18">
        <v>25.003699999999998</v>
      </c>
      <c r="BE18">
        <v>24.5686</v>
      </c>
      <c r="BF18">
        <v>0</v>
      </c>
      <c r="BG18">
        <v>0</v>
      </c>
      <c r="BH18">
        <v>10003.1</v>
      </c>
      <c r="BI18">
        <v>0.71633199999999997</v>
      </c>
      <c r="BJ18">
        <v>1.2166300000000001</v>
      </c>
      <c r="BK18">
        <v>-0.450378</v>
      </c>
      <c r="BL18">
        <v>811.23</v>
      </c>
      <c r="BM18">
        <v>809.37800000000004</v>
      </c>
      <c r="BN18">
        <v>2.8116300000000001</v>
      </c>
      <c r="BO18">
        <v>799.98900000000003</v>
      </c>
      <c r="BP18">
        <v>11.600300000000001</v>
      </c>
      <c r="BQ18">
        <v>1.42659</v>
      </c>
      <c r="BR18">
        <v>1.1482699999999999</v>
      </c>
      <c r="BS18">
        <v>12.203200000000001</v>
      </c>
      <c r="BT18">
        <v>8.9473000000000003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21</v>
      </c>
      <c r="CA18">
        <v>0</v>
      </c>
      <c r="CB18">
        <v>1690200769.5</v>
      </c>
      <c r="CC18" t="s">
        <v>332</v>
      </c>
      <c r="CD18">
        <v>1690200769.5</v>
      </c>
      <c r="CE18">
        <v>1690200753</v>
      </c>
      <c r="CF18">
        <v>2</v>
      </c>
      <c r="CG18">
        <v>-0.245</v>
      </c>
      <c r="CH18">
        <v>3.0000000000000001E-3</v>
      </c>
      <c r="CI18">
        <v>-1.5169999999999999</v>
      </c>
      <c r="CJ18">
        <v>-1.6E-2</v>
      </c>
      <c r="CK18">
        <v>778</v>
      </c>
      <c r="CL18">
        <v>12</v>
      </c>
      <c r="CM18">
        <v>0.01</v>
      </c>
      <c r="CN18">
        <v>0.03</v>
      </c>
      <c r="CO18">
        <v>-4.7018734999999996</v>
      </c>
      <c r="CP18">
        <v>26.913563009380891</v>
      </c>
      <c r="CQ18">
        <v>2.6016704147279488</v>
      </c>
      <c r="CR18">
        <v>-1</v>
      </c>
      <c r="CS18">
        <v>2.83067475</v>
      </c>
      <c r="CT18">
        <v>-0.1153232645403437</v>
      </c>
      <c r="CU18">
        <v>1.1102346595990419E-2</v>
      </c>
      <c r="CV18">
        <v>-1</v>
      </c>
      <c r="CW18">
        <v>0</v>
      </c>
      <c r="CX18">
        <v>0</v>
      </c>
      <c r="CY18" t="s">
        <v>333</v>
      </c>
      <c r="CZ18">
        <v>2.36585</v>
      </c>
      <c r="DA18">
        <v>2.7138</v>
      </c>
      <c r="DB18">
        <v>0.14693700000000001</v>
      </c>
      <c r="DC18">
        <v>0.14644799999999999</v>
      </c>
      <c r="DD18">
        <v>7.9281500000000005E-2</v>
      </c>
      <c r="DE18">
        <v>6.6374699999999995E-2</v>
      </c>
      <c r="DF18">
        <v>31122.2</v>
      </c>
      <c r="DG18">
        <v>27423.599999999999</v>
      </c>
      <c r="DH18">
        <v>31141.4</v>
      </c>
      <c r="DI18">
        <v>27991.8</v>
      </c>
      <c r="DJ18">
        <v>38929.300000000003</v>
      </c>
      <c r="DK18">
        <v>37122.1</v>
      </c>
      <c r="DL18">
        <v>44305.3</v>
      </c>
      <c r="DM18">
        <v>42379.4</v>
      </c>
      <c r="DN18">
        <v>1.4372799999999999</v>
      </c>
      <c r="DO18">
        <v>2.0926300000000002</v>
      </c>
      <c r="DP18">
        <v>5.9381099999999999E-2</v>
      </c>
      <c r="DQ18">
        <v>2.8926899999999998E-2</v>
      </c>
      <c r="DR18">
        <v>24.028700000000001</v>
      </c>
      <c r="DS18">
        <v>24.093499999999999</v>
      </c>
      <c r="DT18">
        <v>40.700000000000003</v>
      </c>
      <c r="DU18">
        <v>24</v>
      </c>
      <c r="DV18">
        <v>12.313499999999999</v>
      </c>
      <c r="DW18">
        <v>62.209899999999998</v>
      </c>
      <c r="DX18">
        <v>35.544899999999998</v>
      </c>
      <c r="DY18">
        <v>1</v>
      </c>
      <c r="DZ18">
        <v>-0.176956</v>
      </c>
      <c r="EA18">
        <v>-1.38463</v>
      </c>
      <c r="EB18">
        <v>20.299399999999999</v>
      </c>
      <c r="EC18">
        <v>5.24125</v>
      </c>
      <c r="ED18">
        <v>12.039899999999999</v>
      </c>
      <c r="EE18">
        <v>5.0175999999999998</v>
      </c>
      <c r="EF18">
        <v>3.2879999999999998</v>
      </c>
      <c r="EG18">
        <v>9999</v>
      </c>
      <c r="EH18">
        <v>9999</v>
      </c>
      <c r="EI18">
        <v>9999</v>
      </c>
      <c r="EJ18">
        <v>999.9</v>
      </c>
      <c r="EK18">
        <v>1.8687400000000001</v>
      </c>
      <c r="EL18">
        <v>1.86443</v>
      </c>
      <c r="EM18">
        <v>1.8690500000000001</v>
      </c>
      <c r="EN18">
        <v>1.86707</v>
      </c>
      <c r="EO18">
        <v>1.8632500000000001</v>
      </c>
      <c r="EP18">
        <v>1.8643099999999999</v>
      </c>
      <c r="EQ18">
        <v>1.87</v>
      </c>
      <c r="ER18">
        <v>1.8692200000000001</v>
      </c>
      <c r="ES18">
        <v>0</v>
      </c>
      <c r="ET18">
        <v>0</v>
      </c>
      <c r="EU18">
        <v>0</v>
      </c>
      <c r="EV18">
        <v>0</v>
      </c>
      <c r="EW18" t="s">
        <v>334</v>
      </c>
      <c r="EX18" t="s">
        <v>335</v>
      </c>
      <c r="EY18" t="s">
        <v>336</v>
      </c>
      <c r="EZ18" t="s">
        <v>336</v>
      </c>
      <c r="FA18" t="s">
        <v>336</v>
      </c>
      <c r="FB18" t="s">
        <v>336</v>
      </c>
      <c r="FC18">
        <v>0</v>
      </c>
      <c r="FD18">
        <v>100</v>
      </c>
      <c r="FE18">
        <v>100</v>
      </c>
      <c r="FF18">
        <v>-1.532</v>
      </c>
      <c r="FG18">
        <v>4.1599999999999998E-2</v>
      </c>
      <c r="FH18">
        <v>-0.98020551812546231</v>
      </c>
      <c r="FI18">
        <v>-6.1462078757559423E-4</v>
      </c>
      <c r="FJ18">
        <v>-1.8861989874597051E-7</v>
      </c>
      <c r="FK18">
        <v>1.1980462299894961E-10</v>
      </c>
      <c r="FL18">
        <v>-4.4410915568505363E-2</v>
      </c>
      <c r="FM18">
        <v>-1.6848085045870601E-2</v>
      </c>
      <c r="FN18">
        <v>1.9789084769509481E-3</v>
      </c>
      <c r="FO18">
        <v>-2.7142391389806329E-5</v>
      </c>
      <c r="FP18">
        <v>3</v>
      </c>
      <c r="FQ18">
        <v>2158</v>
      </c>
      <c r="FR18">
        <v>1</v>
      </c>
      <c r="FS18">
        <v>19</v>
      </c>
      <c r="FT18">
        <v>1.3</v>
      </c>
      <c r="FU18">
        <v>1.6</v>
      </c>
      <c r="FV18">
        <v>1.7687999999999999</v>
      </c>
      <c r="FW18">
        <v>2.5268600000000001</v>
      </c>
      <c r="FX18">
        <v>1.5490699999999999</v>
      </c>
      <c r="FY18">
        <v>2.34741</v>
      </c>
      <c r="FZ18">
        <v>1.50146</v>
      </c>
      <c r="GA18">
        <v>2.2961399999999998</v>
      </c>
      <c r="GB18">
        <v>29.559100000000001</v>
      </c>
      <c r="GC18">
        <v>24.017499999999998</v>
      </c>
      <c r="GD18">
        <v>19</v>
      </c>
      <c r="GE18">
        <v>261.99900000000002</v>
      </c>
      <c r="GF18">
        <v>616.84100000000001</v>
      </c>
      <c r="GG18">
        <v>26.3093</v>
      </c>
      <c r="GH18">
        <v>25.1494</v>
      </c>
      <c r="GI18">
        <v>29.9998</v>
      </c>
      <c r="GJ18">
        <v>25.2182</v>
      </c>
      <c r="GK18">
        <v>25.1739</v>
      </c>
      <c r="GL18">
        <v>35.373899999999999</v>
      </c>
      <c r="GM18">
        <v>-30</v>
      </c>
      <c r="GN18">
        <v>-30</v>
      </c>
      <c r="GO18">
        <v>26.308499999999999</v>
      </c>
      <c r="GP18">
        <v>800</v>
      </c>
      <c r="GQ18">
        <v>0</v>
      </c>
      <c r="GR18">
        <v>99.623400000000004</v>
      </c>
      <c r="GS18">
        <v>99.183300000000003</v>
      </c>
    </row>
    <row r="19" spans="1:201" x14ac:dyDescent="0.25">
      <c r="A19">
        <v>3</v>
      </c>
      <c r="B19">
        <v>1690200849</v>
      </c>
      <c r="C19">
        <v>2</v>
      </c>
      <c r="D19" t="s">
        <v>339</v>
      </c>
      <c r="E19" t="s">
        <v>340</v>
      </c>
      <c r="F19" t="s">
        <v>330</v>
      </c>
      <c r="H19">
        <v>1690200849</v>
      </c>
      <c r="I19">
        <f t="shared" si="0"/>
        <v>2.570417759508311E-4</v>
      </c>
      <c r="J19">
        <f t="shared" si="1"/>
        <v>0.25704177595083111</v>
      </c>
      <c r="K19">
        <f t="shared" si="2"/>
        <v>-0.19133891333692932</v>
      </c>
      <c r="L19">
        <f t="shared" si="3"/>
        <v>799.798</v>
      </c>
      <c r="M19">
        <f t="shared" si="4"/>
        <v>798.26163787014002</v>
      </c>
      <c r="N19">
        <f t="shared" si="5"/>
        <v>79.098265400170916</v>
      </c>
      <c r="O19">
        <f t="shared" si="6"/>
        <v>79.250500674588807</v>
      </c>
      <c r="P19">
        <f t="shared" si="7"/>
        <v>1.4675913546631208E-2</v>
      </c>
      <c r="Q19">
        <f t="shared" si="8"/>
        <v>2.0826422394259403</v>
      </c>
      <c r="R19">
        <f t="shared" si="9"/>
        <v>1.4618701018619834E-2</v>
      </c>
      <c r="S19">
        <f t="shared" si="10"/>
        <v>9.1418097900473547E-3</v>
      </c>
      <c r="T19">
        <f t="shared" si="11"/>
        <v>0</v>
      </c>
      <c r="U19">
        <f t="shared" si="12"/>
        <v>24.736635510869977</v>
      </c>
      <c r="V19">
        <f t="shared" si="13"/>
        <v>24.736635510869977</v>
      </c>
      <c r="W19">
        <f t="shared" si="14"/>
        <v>3.1300929176066314</v>
      </c>
      <c r="X19">
        <f t="shared" si="15"/>
        <v>45.369104464064151</v>
      </c>
      <c r="Y19">
        <f t="shared" si="16"/>
        <v>1.42788990453968</v>
      </c>
      <c r="Z19">
        <f t="shared" si="17"/>
        <v>3.1472737260456167</v>
      </c>
      <c r="AA19">
        <f t="shared" si="18"/>
        <v>1.7022030130669514</v>
      </c>
      <c r="AB19">
        <f t="shared" si="19"/>
        <v>-11.335542319431651</v>
      </c>
      <c r="AC19">
        <f t="shared" si="20"/>
        <v>10.292034611900728</v>
      </c>
      <c r="AD19">
        <f t="shared" si="21"/>
        <v>1.0430260559755273</v>
      </c>
      <c r="AE19">
        <f t="shared" si="22"/>
        <v>-4.8165155539514615E-4</v>
      </c>
      <c r="AF19">
        <v>17</v>
      </c>
      <c r="AG19">
        <v>6</v>
      </c>
      <c r="AH19">
        <f t="shared" si="23"/>
        <v>1</v>
      </c>
      <c r="AI19">
        <f t="shared" si="24"/>
        <v>0</v>
      </c>
      <c r="AJ19">
        <f t="shared" si="25"/>
        <v>52837.57056287484</v>
      </c>
      <c r="AK19">
        <f t="shared" si="26"/>
        <v>0</v>
      </c>
      <c r="AL19">
        <f t="shared" si="27"/>
        <v>0</v>
      </c>
      <c r="AM19">
        <f t="shared" si="28"/>
        <v>0</v>
      </c>
      <c r="AN19">
        <f t="shared" si="29"/>
        <v>0</v>
      </c>
      <c r="AO19">
        <v>33.299999999999997</v>
      </c>
      <c r="AP19">
        <v>0.5</v>
      </c>
      <c r="AQ19" t="s">
        <v>331</v>
      </c>
      <c r="AR19">
        <v>2</v>
      </c>
      <c r="AS19">
        <v>1690200849</v>
      </c>
      <c r="AT19">
        <v>799.798</v>
      </c>
      <c r="AU19">
        <v>799.95600000000002</v>
      </c>
      <c r="AV19">
        <v>14.410299999999999</v>
      </c>
      <c r="AW19">
        <v>11.5999</v>
      </c>
      <c r="AX19">
        <v>801.33</v>
      </c>
      <c r="AY19">
        <v>14.3687</v>
      </c>
      <c r="AZ19">
        <v>300.17599999999999</v>
      </c>
      <c r="BA19">
        <v>98.988200000000006</v>
      </c>
      <c r="BB19">
        <v>9.9945599999999996E-2</v>
      </c>
      <c r="BC19">
        <v>24.828299999999999</v>
      </c>
      <c r="BD19">
        <v>25.000699999999998</v>
      </c>
      <c r="BE19">
        <v>24.570699999999999</v>
      </c>
      <c r="BF19">
        <v>0</v>
      </c>
      <c r="BG19">
        <v>0</v>
      </c>
      <c r="BH19">
        <v>10022.5</v>
      </c>
      <c r="BI19">
        <v>0.71754700000000005</v>
      </c>
      <c r="BJ19">
        <v>1.1563600000000001</v>
      </c>
      <c r="BK19">
        <v>-0.15820300000000001</v>
      </c>
      <c r="BL19">
        <v>811.49099999999999</v>
      </c>
      <c r="BM19">
        <v>809.34400000000005</v>
      </c>
      <c r="BN19">
        <v>2.81033</v>
      </c>
      <c r="BO19">
        <v>799.95600000000002</v>
      </c>
      <c r="BP19">
        <v>11.5999</v>
      </c>
      <c r="BQ19">
        <v>1.42645</v>
      </c>
      <c r="BR19">
        <v>1.1482600000000001</v>
      </c>
      <c r="BS19">
        <v>12.201700000000001</v>
      </c>
      <c r="BT19">
        <v>8.9470899999999993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21</v>
      </c>
      <c r="CA19">
        <v>0</v>
      </c>
      <c r="CB19">
        <v>1690200769.5</v>
      </c>
      <c r="CC19" t="s">
        <v>332</v>
      </c>
      <c r="CD19">
        <v>1690200769.5</v>
      </c>
      <c r="CE19">
        <v>1690200753</v>
      </c>
      <c r="CF19">
        <v>2</v>
      </c>
      <c r="CG19">
        <v>-0.245</v>
      </c>
      <c r="CH19">
        <v>3.0000000000000001E-3</v>
      </c>
      <c r="CI19">
        <v>-1.5169999999999999</v>
      </c>
      <c r="CJ19">
        <v>-1.6E-2</v>
      </c>
      <c r="CK19">
        <v>778</v>
      </c>
      <c r="CL19">
        <v>12</v>
      </c>
      <c r="CM19">
        <v>0.01</v>
      </c>
      <c r="CN19">
        <v>0.03</v>
      </c>
      <c r="CO19">
        <v>-4.1588415121951234</v>
      </c>
      <c r="CP19">
        <v>25.77695864111497</v>
      </c>
      <c r="CQ19">
        <v>2.5541067750129272</v>
      </c>
      <c r="CR19">
        <v>-1</v>
      </c>
      <c r="CS19">
        <v>2.828436585365854</v>
      </c>
      <c r="CT19">
        <v>-0.1140447386759578</v>
      </c>
      <c r="CU19">
        <v>1.1259472891911419E-2</v>
      </c>
      <c r="CV19">
        <v>-1</v>
      </c>
      <c r="CW19">
        <v>0</v>
      </c>
      <c r="CX19">
        <v>0</v>
      </c>
      <c r="CY19" t="s">
        <v>333</v>
      </c>
      <c r="CZ19">
        <v>2.3656999999999999</v>
      </c>
      <c r="DA19">
        <v>2.7137600000000002</v>
      </c>
      <c r="DB19">
        <v>0.14697099999999999</v>
      </c>
      <c r="DC19">
        <v>0.14644599999999999</v>
      </c>
      <c r="DD19">
        <v>7.9276100000000002E-2</v>
      </c>
      <c r="DE19">
        <v>6.6374100000000005E-2</v>
      </c>
      <c r="DF19">
        <v>31120.9</v>
      </c>
      <c r="DG19">
        <v>27423.7</v>
      </c>
      <c r="DH19">
        <v>31141.3</v>
      </c>
      <c r="DI19">
        <v>27991.9</v>
      </c>
      <c r="DJ19">
        <v>38929.599999999999</v>
      </c>
      <c r="DK19">
        <v>37122.199999999997</v>
      </c>
      <c r="DL19">
        <v>44305.3</v>
      </c>
      <c r="DM19">
        <v>42379.4</v>
      </c>
      <c r="DN19">
        <v>1.4373</v>
      </c>
      <c r="DO19">
        <v>2.0927699999999998</v>
      </c>
      <c r="DP19">
        <v>5.9194900000000002E-2</v>
      </c>
      <c r="DQ19">
        <v>2.9057300000000001E-2</v>
      </c>
      <c r="DR19">
        <v>24.028700000000001</v>
      </c>
      <c r="DS19">
        <v>24.093499999999999</v>
      </c>
      <c r="DT19">
        <v>40.700000000000003</v>
      </c>
      <c r="DU19">
        <v>24</v>
      </c>
      <c r="DV19">
        <v>12.3147</v>
      </c>
      <c r="DW19">
        <v>62.0199</v>
      </c>
      <c r="DX19">
        <v>35.640999999999998</v>
      </c>
      <c r="DY19">
        <v>1</v>
      </c>
      <c r="DZ19">
        <v>-0.177144</v>
      </c>
      <c r="EA19">
        <v>-1.3528199999999999</v>
      </c>
      <c r="EB19">
        <v>20.299700000000001</v>
      </c>
      <c r="EC19">
        <v>5.24125</v>
      </c>
      <c r="ED19">
        <v>12.039899999999999</v>
      </c>
      <c r="EE19">
        <v>5.0176999999999996</v>
      </c>
      <c r="EF19">
        <v>3.2879999999999998</v>
      </c>
      <c r="EG19">
        <v>9999</v>
      </c>
      <c r="EH19">
        <v>9999</v>
      </c>
      <c r="EI19">
        <v>9999</v>
      </c>
      <c r="EJ19">
        <v>999.9</v>
      </c>
      <c r="EK19">
        <v>1.8687400000000001</v>
      </c>
      <c r="EL19">
        <v>1.86442</v>
      </c>
      <c r="EM19">
        <v>1.8690500000000001</v>
      </c>
      <c r="EN19">
        <v>1.86707</v>
      </c>
      <c r="EO19">
        <v>1.8632500000000001</v>
      </c>
      <c r="EP19">
        <v>1.8643099999999999</v>
      </c>
      <c r="EQ19">
        <v>1.87</v>
      </c>
      <c r="ER19">
        <v>1.8692200000000001</v>
      </c>
      <c r="ES19">
        <v>0</v>
      </c>
      <c r="ET19">
        <v>0</v>
      </c>
      <c r="EU19">
        <v>0</v>
      </c>
      <c r="EV19">
        <v>0</v>
      </c>
      <c r="EW19" t="s">
        <v>334</v>
      </c>
      <c r="EX19" t="s">
        <v>335</v>
      </c>
      <c r="EY19" t="s">
        <v>336</v>
      </c>
      <c r="EZ19" t="s">
        <v>336</v>
      </c>
      <c r="FA19" t="s">
        <v>336</v>
      </c>
      <c r="FB19" t="s">
        <v>336</v>
      </c>
      <c r="FC19">
        <v>0</v>
      </c>
      <c r="FD19">
        <v>100</v>
      </c>
      <c r="FE19">
        <v>100</v>
      </c>
      <c r="FF19">
        <v>-1.532</v>
      </c>
      <c r="FG19">
        <v>4.1599999999999998E-2</v>
      </c>
      <c r="FH19">
        <v>-0.98020551812546231</v>
      </c>
      <c r="FI19">
        <v>-6.1462078757559423E-4</v>
      </c>
      <c r="FJ19">
        <v>-1.8861989874597051E-7</v>
      </c>
      <c r="FK19">
        <v>1.1980462299894961E-10</v>
      </c>
      <c r="FL19">
        <v>-4.4410915568505363E-2</v>
      </c>
      <c r="FM19">
        <v>-1.6848085045870601E-2</v>
      </c>
      <c r="FN19">
        <v>1.9789084769509481E-3</v>
      </c>
      <c r="FO19">
        <v>-2.7142391389806329E-5</v>
      </c>
      <c r="FP19">
        <v>3</v>
      </c>
      <c r="FQ19">
        <v>2158</v>
      </c>
      <c r="FR19">
        <v>1</v>
      </c>
      <c r="FS19">
        <v>19</v>
      </c>
      <c r="FT19">
        <v>1.3</v>
      </c>
      <c r="FU19">
        <v>1.6</v>
      </c>
      <c r="FV19">
        <v>1.7687999999999999</v>
      </c>
      <c r="FW19">
        <v>2.5293000000000001</v>
      </c>
      <c r="FX19">
        <v>1.5490699999999999</v>
      </c>
      <c r="FY19">
        <v>2.34741</v>
      </c>
      <c r="FZ19">
        <v>1.50146</v>
      </c>
      <c r="GA19">
        <v>2.32422</v>
      </c>
      <c r="GB19">
        <v>29.559100000000001</v>
      </c>
      <c r="GC19">
        <v>24.017499999999998</v>
      </c>
      <c r="GD19">
        <v>19</v>
      </c>
      <c r="GE19">
        <v>262.01</v>
      </c>
      <c r="GF19">
        <v>616.976</v>
      </c>
      <c r="GG19">
        <v>26.3155</v>
      </c>
      <c r="GH19">
        <v>25.1494</v>
      </c>
      <c r="GI19">
        <v>29.9998</v>
      </c>
      <c r="GJ19">
        <v>25.218499999999999</v>
      </c>
      <c r="GK19">
        <v>25.174399999999999</v>
      </c>
      <c r="GL19">
        <v>35.3748</v>
      </c>
      <c r="GM19">
        <v>-30</v>
      </c>
      <c r="GN19">
        <v>-30</v>
      </c>
      <c r="GO19">
        <v>26.308499999999999</v>
      </c>
      <c r="GP19">
        <v>800</v>
      </c>
      <c r="GQ19">
        <v>0</v>
      </c>
      <c r="GR19">
        <v>99.623500000000007</v>
      </c>
      <c r="GS19">
        <v>99.183499999999995</v>
      </c>
    </row>
    <row r="20" spans="1:201" x14ac:dyDescent="0.25">
      <c r="A20">
        <v>4</v>
      </c>
      <c r="B20">
        <v>1690200850</v>
      </c>
      <c r="C20">
        <v>3</v>
      </c>
      <c r="D20" t="s">
        <v>341</v>
      </c>
      <c r="E20" t="s">
        <v>342</v>
      </c>
      <c r="F20" t="s">
        <v>330</v>
      </c>
      <c r="H20">
        <v>1690200850</v>
      </c>
      <c r="I20">
        <f t="shared" si="0"/>
        <v>2.5689303646911853E-4</v>
      </c>
      <c r="J20">
        <f t="shared" si="1"/>
        <v>0.25689303646911854</v>
      </c>
      <c r="K20">
        <f t="shared" si="2"/>
        <v>-0.21589806675134571</v>
      </c>
      <c r="L20">
        <f t="shared" si="3"/>
        <v>800.07299999999998</v>
      </c>
      <c r="M20">
        <f t="shared" si="4"/>
        <v>801.19201813692518</v>
      </c>
      <c r="N20">
        <f t="shared" si="5"/>
        <v>79.389085862941371</v>
      </c>
      <c r="O20">
        <f t="shared" si="6"/>
        <v>79.278203796041709</v>
      </c>
      <c r="P20">
        <f t="shared" si="7"/>
        <v>1.4663358449096135E-2</v>
      </c>
      <c r="Q20">
        <f t="shared" si="8"/>
        <v>2.0839732197266221</v>
      </c>
      <c r="R20">
        <f t="shared" si="9"/>
        <v>1.460627988759795E-2</v>
      </c>
      <c r="S20">
        <f t="shared" si="10"/>
        <v>9.1340346180135597E-3</v>
      </c>
      <c r="T20">
        <f t="shared" si="11"/>
        <v>0</v>
      </c>
      <c r="U20">
        <f t="shared" si="12"/>
        <v>24.738241807413942</v>
      </c>
      <c r="V20">
        <f t="shared" si="13"/>
        <v>24.738241807413942</v>
      </c>
      <c r="W20">
        <f t="shared" si="14"/>
        <v>3.1303932810142139</v>
      </c>
      <c r="X20">
        <f t="shared" si="15"/>
        <v>45.359635242827842</v>
      </c>
      <c r="Y20">
        <f t="shared" si="16"/>
        <v>1.4277197198196501</v>
      </c>
      <c r="Z20">
        <f t="shared" si="17"/>
        <v>3.1475555572184586</v>
      </c>
      <c r="AA20">
        <f t="shared" si="18"/>
        <v>1.7026735611945638</v>
      </c>
      <c r="AB20">
        <f t="shared" si="19"/>
        <v>-11.328982908288127</v>
      </c>
      <c r="AC20">
        <f t="shared" si="20"/>
        <v>10.286669531096528</v>
      </c>
      <c r="AD20">
        <f t="shared" si="21"/>
        <v>1.0418328371042314</v>
      </c>
      <c r="AE20">
        <f t="shared" si="22"/>
        <v>-4.8054008736819753E-4</v>
      </c>
      <c r="AF20">
        <v>17</v>
      </c>
      <c r="AG20">
        <v>6</v>
      </c>
      <c r="AH20">
        <f t="shared" si="23"/>
        <v>1</v>
      </c>
      <c r="AI20">
        <f t="shared" si="24"/>
        <v>0</v>
      </c>
      <c r="AJ20">
        <f t="shared" si="25"/>
        <v>52897.751776577948</v>
      </c>
      <c r="AK20">
        <f t="shared" si="26"/>
        <v>0</v>
      </c>
      <c r="AL20">
        <f t="shared" si="27"/>
        <v>0</v>
      </c>
      <c r="AM20">
        <f t="shared" si="28"/>
        <v>0</v>
      </c>
      <c r="AN20">
        <f t="shared" si="29"/>
        <v>0</v>
      </c>
      <c r="AO20">
        <v>33.299999999999997</v>
      </c>
      <c r="AP20">
        <v>0.5</v>
      </c>
      <c r="AQ20" t="s">
        <v>331</v>
      </c>
      <c r="AR20">
        <v>2</v>
      </c>
      <c r="AS20">
        <v>1690200850</v>
      </c>
      <c r="AT20">
        <v>800.07299999999998</v>
      </c>
      <c r="AU20">
        <v>799.95799999999997</v>
      </c>
      <c r="AV20">
        <v>14.4085</v>
      </c>
      <c r="AW20">
        <v>11.599299999999999</v>
      </c>
      <c r="AX20">
        <v>801.60599999999999</v>
      </c>
      <c r="AY20">
        <v>14.367000000000001</v>
      </c>
      <c r="AZ20">
        <v>300.13099999999997</v>
      </c>
      <c r="BA20">
        <v>98.988799999999998</v>
      </c>
      <c r="BB20">
        <v>9.9912899999999999E-2</v>
      </c>
      <c r="BC20">
        <v>24.829799999999999</v>
      </c>
      <c r="BD20">
        <v>25.000399999999999</v>
      </c>
      <c r="BE20">
        <v>24.571000000000002</v>
      </c>
      <c r="BF20">
        <v>0</v>
      </c>
      <c r="BG20">
        <v>0</v>
      </c>
      <c r="BH20">
        <v>10034.4</v>
      </c>
      <c r="BI20">
        <v>0.69694</v>
      </c>
      <c r="BJ20">
        <v>1.0946899999999999</v>
      </c>
      <c r="BK20">
        <v>0.115479</v>
      </c>
      <c r="BL20">
        <v>811.77</v>
      </c>
      <c r="BM20">
        <v>809.346</v>
      </c>
      <c r="BN20">
        <v>2.8092299999999999</v>
      </c>
      <c r="BO20">
        <v>799.95799999999997</v>
      </c>
      <c r="BP20">
        <v>11.599299999999999</v>
      </c>
      <c r="BQ20">
        <v>1.42628</v>
      </c>
      <c r="BR20">
        <v>1.1482000000000001</v>
      </c>
      <c r="BS20">
        <v>12.2</v>
      </c>
      <c r="BT20">
        <v>8.9463699999999999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21</v>
      </c>
      <c r="CA20">
        <v>0</v>
      </c>
      <c r="CB20">
        <v>1690200769.5</v>
      </c>
      <c r="CC20" t="s">
        <v>332</v>
      </c>
      <c r="CD20">
        <v>1690200769.5</v>
      </c>
      <c r="CE20">
        <v>1690200753</v>
      </c>
      <c r="CF20">
        <v>2</v>
      </c>
      <c r="CG20">
        <v>-0.245</v>
      </c>
      <c r="CH20">
        <v>3.0000000000000001E-3</v>
      </c>
      <c r="CI20">
        <v>-1.5169999999999999</v>
      </c>
      <c r="CJ20">
        <v>-1.6E-2</v>
      </c>
      <c r="CK20">
        <v>778</v>
      </c>
      <c r="CL20">
        <v>12</v>
      </c>
      <c r="CM20">
        <v>0.01</v>
      </c>
      <c r="CN20">
        <v>0.03</v>
      </c>
      <c r="CO20">
        <v>-4.1588415121951234</v>
      </c>
      <c r="CP20">
        <v>25.77695864111497</v>
      </c>
      <c r="CQ20">
        <v>2.5541067750129272</v>
      </c>
      <c r="CR20">
        <v>-1</v>
      </c>
      <c r="CS20">
        <v>2.828436585365854</v>
      </c>
      <c r="CT20">
        <v>-0.1140447386759578</v>
      </c>
      <c r="CU20">
        <v>1.1259472891911419E-2</v>
      </c>
      <c r="CV20">
        <v>-1</v>
      </c>
      <c r="CW20">
        <v>0</v>
      </c>
      <c r="CX20">
        <v>0</v>
      </c>
      <c r="CY20" t="s">
        <v>333</v>
      </c>
      <c r="CZ20">
        <v>2.3655499999999998</v>
      </c>
      <c r="DA20">
        <v>2.71373</v>
      </c>
      <c r="DB20">
        <v>0.147005</v>
      </c>
      <c r="DC20">
        <v>0.14644699999999999</v>
      </c>
      <c r="DD20">
        <v>7.9269500000000007E-2</v>
      </c>
      <c r="DE20">
        <v>6.6371700000000006E-2</v>
      </c>
      <c r="DF20">
        <v>31119.8</v>
      </c>
      <c r="DG20">
        <v>27423.8</v>
      </c>
      <c r="DH20">
        <v>31141.4</v>
      </c>
      <c r="DI20">
        <v>27992</v>
      </c>
      <c r="DJ20">
        <v>38930</v>
      </c>
      <c r="DK20">
        <v>37122.400000000001</v>
      </c>
      <c r="DL20">
        <v>44305.5</v>
      </c>
      <c r="DM20">
        <v>42379.6</v>
      </c>
      <c r="DN20">
        <v>1.4370499999999999</v>
      </c>
      <c r="DO20">
        <v>2.0928200000000001</v>
      </c>
      <c r="DP20">
        <v>5.9176199999999998E-2</v>
      </c>
      <c r="DQ20">
        <v>2.9075899999999998E-2</v>
      </c>
      <c r="DR20">
        <v>24.028700000000001</v>
      </c>
      <c r="DS20">
        <v>24.093499999999999</v>
      </c>
      <c r="DT20">
        <v>40.700000000000003</v>
      </c>
      <c r="DU20">
        <v>24</v>
      </c>
      <c r="DV20">
        <v>12.3134</v>
      </c>
      <c r="DW20">
        <v>61.889899999999997</v>
      </c>
      <c r="DX20">
        <v>35.801299999999998</v>
      </c>
      <c r="DY20">
        <v>1</v>
      </c>
      <c r="DZ20">
        <v>-0.1772</v>
      </c>
      <c r="EA20">
        <v>-1.3242100000000001</v>
      </c>
      <c r="EB20">
        <v>20.3</v>
      </c>
      <c r="EC20">
        <v>5.24125</v>
      </c>
      <c r="ED20">
        <v>12.039899999999999</v>
      </c>
      <c r="EE20">
        <v>5.0175999999999998</v>
      </c>
      <c r="EF20">
        <v>3.2879999999999998</v>
      </c>
      <c r="EG20">
        <v>9999</v>
      </c>
      <c r="EH20">
        <v>9999</v>
      </c>
      <c r="EI20">
        <v>9999</v>
      </c>
      <c r="EJ20">
        <v>999.9</v>
      </c>
      <c r="EK20">
        <v>1.8687400000000001</v>
      </c>
      <c r="EL20">
        <v>1.86442</v>
      </c>
      <c r="EM20">
        <v>1.8690500000000001</v>
      </c>
      <c r="EN20">
        <v>1.86707</v>
      </c>
      <c r="EO20">
        <v>1.86324</v>
      </c>
      <c r="EP20">
        <v>1.8643099999999999</v>
      </c>
      <c r="EQ20">
        <v>1.86999</v>
      </c>
      <c r="ER20">
        <v>1.8692200000000001</v>
      </c>
      <c r="ES20">
        <v>0</v>
      </c>
      <c r="ET20">
        <v>0</v>
      </c>
      <c r="EU20">
        <v>0</v>
      </c>
      <c r="EV20">
        <v>0</v>
      </c>
      <c r="EW20" t="s">
        <v>334</v>
      </c>
      <c r="EX20" t="s">
        <v>335</v>
      </c>
      <c r="EY20" t="s">
        <v>336</v>
      </c>
      <c r="EZ20" t="s">
        <v>336</v>
      </c>
      <c r="FA20" t="s">
        <v>336</v>
      </c>
      <c r="FB20" t="s">
        <v>336</v>
      </c>
      <c r="FC20">
        <v>0</v>
      </c>
      <c r="FD20">
        <v>100</v>
      </c>
      <c r="FE20">
        <v>100</v>
      </c>
      <c r="FF20">
        <v>-1.5329999999999999</v>
      </c>
      <c r="FG20">
        <v>4.1500000000000002E-2</v>
      </c>
      <c r="FH20">
        <v>-0.98020551812546231</v>
      </c>
      <c r="FI20">
        <v>-6.1462078757559423E-4</v>
      </c>
      <c r="FJ20">
        <v>-1.8861989874597051E-7</v>
      </c>
      <c r="FK20">
        <v>1.1980462299894961E-10</v>
      </c>
      <c r="FL20">
        <v>-4.4410915568505363E-2</v>
      </c>
      <c r="FM20">
        <v>-1.6848085045870601E-2</v>
      </c>
      <c r="FN20">
        <v>1.9789084769509481E-3</v>
      </c>
      <c r="FO20">
        <v>-2.7142391389806329E-5</v>
      </c>
      <c r="FP20">
        <v>3</v>
      </c>
      <c r="FQ20">
        <v>2158</v>
      </c>
      <c r="FR20">
        <v>1</v>
      </c>
      <c r="FS20">
        <v>19</v>
      </c>
      <c r="FT20">
        <v>1.3</v>
      </c>
      <c r="FU20">
        <v>1.6</v>
      </c>
      <c r="FV20">
        <v>1.7687999999999999</v>
      </c>
      <c r="FW20">
        <v>2.5341800000000001</v>
      </c>
      <c r="FX20">
        <v>1.5490699999999999</v>
      </c>
      <c r="FY20">
        <v>2.34741</v>
      </c>
      <c r="FZ20">
        <v>1.50146</v>
      </c>
      <c r="GA20">
        <v>2.3083499999999999</v>
      </c>
      <c r="GB20">
        <v>29.559100000000001</v>
      </c>
      <c r="GC20">
        <v>24.008700000000001</v>
      </c>
      <c r="GD20">
        <v>19</v>
      </c>
      <c r="GE20">
        <v>261.91199999999998</v>
      </c>
      <c r="GF20">
        <v>617.024</v>
      </c>
      <c r="GG20">
        <v>26.319800000000001</v>
      </c>
      <c r="GH20">
        <v>25.149699999999999</v>
      </c>
      <c r="GI20">
        <v>29.9998</v>
      </c>
      <c r="GJ20">
        <v>25.219000000000001</v>
      </c>
      <c r="GK20">
        <v>25.174700000000001</v>
      </c>
      <c r="GL20">
        <v>35.374099999999999</v>
      </c>
      <c r="GM20">
        <v>-30</v>
      </c>
      <c r="GN20">
        <v>-30</v>
      </c>
      <c r="GO20">
        <v>26.313600000000001</v>
      </c>
      <c r="GP20">
        <v>800</v>
      </c>
      <c r="GQ20">
        <v>0</v>
      </c>
      <c r="GR20">
        <v>99.623800000000003</v>
      </c>
      <c r="GS20">
        <v>99.183899999999994</v>
      </c>
    </row>
    <row r="21" spans="1:201" x14ac:dyDescent="0.25">
      <c r="A21">
        <v>5</v>
      </c>
      <c r="B21">
        <v>1690200852</v>
      </c>
      <c r="C21">
        <v>5</v>
      </c>
      <c r="D21" t="s">
        <v>343</v>
      </c>
      <c r="E21" t="s">
        <v>344</v>
      </c>
      <c r="F21" t="s">
        <v>330</v>
      </c>
      <c r="H21">
        <v>1690200852</v>
      </c>
      <c r="I21">
        <f t="shared" si="0"/>
        <v>2.5644358574367174E-4</v>
      </c>
      <c r="J21">
        <f t="shared" si="1"/>
        <v>0.25644358574367176</v>
      </c>
      <c r="K21">
        <f t="shared" si="2"/>
        <v>-0.26668518830274657</v>
      </c>
      <c r="L21">
        <f t="shared" si="3"/>
        <v>800.66200000000003</v>
      </c>
      <c r="M21">
        <f t="shared" si="4"/>
        <v>807.30135754796493</v>
      </c>
      <c r="N21">
        <f t="shared" si="5"/>
        <v>79.993693497844319</v>
      </c>
      <c r="O21">
        <f t="shared" si="6"/>
        <v>79.33581434559359</v>
      </c>
      <c r="P21">
        <f t="shared" si="7"/>
        <v>1.4630730482726752E-2</v>
      </c>
      <c r="Q21">
        <f t="shared" si="8"/>
        <v>2.0799903384902816</v>
      </c>
      <c r="R21">
        <f t="shared" si="9"/>
        <v>1.4573796767141932E-2</v>
      </c>
      <c r="S21">
        <f t="shared" si="10"/>
        <v>9.1137197068529973E-3</v>
      </c>
      <c r="T21">
        <f t="shared" si="11"/>
        <v>0</v>
      </c>
      <c r="U21">
        <f t="shared" si="12"/>
        <v>24.740343288814028</v>
      </c>
      <c r="V21">
        <f t="shared" si="13"/>
        <v>24.740343288814028</v>
      </c>
      <c r="W21">
        <f t="shared" si="14"/>
        <v>3.1307862776964113</v>
      </c>
      <c r="X21">
        <f t="shared" si="15"/>
        <v>45.341243046247101</v>
      </c>
      <c r="Y21">
        <f t="shared" si="16"/>
        <v>1.4273197320748801</v>
      </c>
      <c r="Z21">
        <f t="shared" si="17"/>
        <v>3.1479501579148246</v>
      </c>
      <c r="AA21">
        <f t="shared" si="18"/>
        <v>1.7034665456215312</v>
      </c>
      <c r="AB21">
        <f t="shared" si="19"/>
        <v>-11.309162131295924</v>
      </c>
      <c r="AC21">
        <f t="shared" si="20"/>
        <v>10.266843570728732</v>
      </c>
      <c r="AD21">
        <f t="shared" si="21"/>
        <v>1.0418380292519247</v>
      </c>
      <c r="AE21">
        <f t="shared" si="22"/>
        <v>-4.8053131526870629E-4</v>
      </c>
      <c r="AF21">
        <v>17</v>
      </c>
      <c r="AG21">
        <v>6</v>
      </c>
      <c r="AH21">
        <f t="shared" si="23"/>
        <v>1</v>
      </c>
      <c r="AI21">
        <f t="shared" si="24"/>
        <v>0</v>
      </c>
      <c r="AJ21">
        <f t="shared" si="25"/>
        <v>52716.656515913346</v>
      </c>
      <c r="AK21">
        <f t="shared" si="26"/>
        <v>0</v>
      </c>
      <c r="AL21">
        <f t="shared" si="27"/>
        <v>0</v>
      </c>
      <c r="AM21">
        <f t="shared" si="28"/>
        <v>0</v>
      </c>
      <c r="AN21">
        <f t="shared" si="29"/>
        <v>0</v>
      </c>
      <c r="AO21">
        <v>33.299999999999997</v>
      </c>
      <c r="AP21">
        <v>0.5</v>
      </c>
      <c r="AQ21" t="s">
        <v>331</v>
      </c>
      <c r="AR21">
        <v>2</v>
      </c>
      <c r="AS21">
        <v>1690200852</v>
      </c>
      <c r="AT21">
        <v>800.66200000000003</v>
      </c>
      <c r="AU21">
        <v>799.98099999999999</v>
      </c>
      <c r="AV21">
        <v>14.4046</v>
      </c>
      <c r="AW21">
        <v>11.599500000000001</v>
      </c>
      <c r="AX21">
        <v>802.19500000000005</v>
      </c>
      <c r="AY21">
        <v>14.363099999999999</v>
      </c>
      <c r="AZ21">
        <v>300.04500000000002</v>
      </c>
      <c r="BA21">
        <v>98.987799999999993</v>
      </c>
      <c r="BB21">
        <v>9.9972800000000001E-2</v>
      </c>
      <c r="BC21">
        <v>24.831900000000001</v>
      </c>
      <c r="BD21">
        <v>25.0047</v>
      </c>
      <c r="BE21">
        <v>24.566500000000001</v>
      </c>
      <c r="BF21">
        <v>0</v>
      </c>
      <c r="BG21">
        <v>0</v>
      </c>
      <c r="BH21">
        <v>9998.75</v>
      </c>
      <c r="BI21">
        <v>0.65935699999999997</v>
      </c>
      <c r="BJ21">
        <v>1.0652600000000001</v>
      </c>
      <c r="BK21">
        <v>0.68103000000000002</v>
      </c>
      <c r="BL21">
        <v>812.36400000000003</v>
      </c>
      <c r="BM21">
        <v>809.36900000000003</v>
      </c>
      <c r="BN21">
        <v>2.8050600000000001</v>
      </c>
      <c r="BO21">
        <v>799.98099999999999</v>
      </c>
      <c r="BP21">
        <v>11.599500000000001</v>
      </c>
      <c r="BQ21">
        <v>1.42587</v>
      </c>
      <c r="BR21">
        <v>1.14821</v>
      </c>
      <c r="BS21">
        <v>12.195600000000001</v>
      </c>
      <c r="BT21">
        <v>8.9464600000000001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21</v>
      </c>
      <c r="CA21">
        <v>0</v>
      </c>
      <c r="CB21">
        <v>1690200769.5</v>
      </c>
      <c r="CC21" t="s">
        <v>332</v>
      </c>
      <c r="CD21">
        <v>1690200769.5</v>
      </c>
      <c r="CE21">
        <v>1690200753</v>
      </c>
      <c r="CF21">
        <v>2</v>
      </c>
      <c r="CG21">
        <v>-0.245</v>
      </c>
      <c r="CH21">
        <v>3.0000000000000001E-3</v>
      </c>
      <c r="CI21">
        <v>-1.5169999999999999</v>
      </c>
      <c r="CJ21">
        <v>-1.6E-2</v>
      </c>
      <c r="CK21">
        <v>778</v>
      </c>
      <c r="CL21">
        <v>12</v>
      </c>
      <c r="CM21">
        <v>0.01</v>
      </c>
      <c r="CN21">
        <v>0.03</v>
      </c>
      <c r="CO21">
        <v>-2.9168430999999999</v>
      </c>
      <c r="CP21">
        <v>23.128037841114971</v>
      </c>
      <c r="CQ21">
        <v>2.2894807506561969</v>
      </c>
      <c r="CR21">
        <v>-1</v>
      </c>
      <c r="CS21">
        <v>2.823064146341463</v>
      </c>
      <c r="CT21">
        <v>-0.1083027177700346</v>
      </c>
      <c r="CU21">
        <v>1.071337208092941E-2</v>
      </c>
      <c r="CV21">
        <v>-1</v>
      </c>
      <c r="CW21">
        <v>0</v>
      </c>
      <c r="CX21">
        <v>0</v>
      </c>
      <c r="CY21" t="s">
        <v>333</v>
      </c>
      <c r="CZ21">
        <v>2.3652799999999998</v>
      </c>
      <c r="DA21">
        <v>2.7137600000000002</v>
      </c>
      <c r="DB21">
        <v>0.14707500000000001</v>
      </c>
      <c r="DC21">
        <v>0.14644799999999999</v>
      </c>
      <c r="DD21">
        <v>7.9252500000000003E-2</v>
      </c>
      <c r="DE21">
        <v>6.6371700000000006E-2</v>
      </c>
      <c r="DF21">
        <v>31117.200000000001</v>
      </c>
      <c r="DG21">
        <v>27423.8</v>
      </c>
      <c r="DH21">
        <v>31141.3</v>
      </c>
      <c r="DI21">
        <v>27992.1</v>
      </c>
      <c r="DJ21">
        <v>38930.699999999997</v>
      </c>
      <c r="DK21">
        <v>37122.6</v>
      </c>
      <c r="DL21">
        <v>44305.4</v>
      </c>
      <c r="DM21">
        <v>42379.8</v>
      </c>
      <c r="DN21">
        <v>1.4369799999999999</v>
      </c>
      <c r="DO21">
        <v>2.0928499999999999</v>
      </c>
      <c r="DP21">
        <v>5.9436999999999997E-2</v>
      </c>
      <c r="DQ21">
        <v>2.8796499999999999E-2</v>
      </c>
      <c r="DR21">
        <v>24.028700000000001</v>
      </c>
      <c r="DS21">
        <v>24.093499999999999</v>
      </c>
      <c r="DT21">
        <v>40.700000000000003</v>
      </c>
      <c r="DU21">
        <v>24</v>
      </c>
      <c r="DV21">
        <v>12.3119</v>
      </c>
      <c r="DW21">
        <v>62.499899999999997</v>
      </c>
      <c r="DX21">
        <v>36.366199999999999</v>
      </c>
      <c r="DY21">
        <v>1</v>
      </c>
      <c r="DZ21">
        <v>-0.17727100000000001</v>
      </c>
      <c r="EA21">
        <v>-1.2872699999999999</v>
      </c>
      <c r="EB21">
        <v>20.3005</v>
      </c>
      <c r="EC21">
        <v>5.24125</v>
      </c>
      <c r="ED21">
        <v>12.039899999999999</v>
      </c>
      <c r="EE21">
        <v>5.0176499999999997</v>
      </c>
      <c r="EF21">
        <v>3.2879999999999998</v>
      </c>
      <c r="EG21">
        <v>9999</v>
      </c>
      <c r="EH21">
        <v>9999</v>
      </c>
      <c r="EI21">
        <v>9999</v>
      </c>
      <c r="EJ21">
        <v>999.9</v>
      </c>
      <c r="EK21">
        <v>1.8687400000000001</v>
      </c>
      <c r="EL21">
        <v>1.86442</v>
      </c>
      <c r="EM21">
        <v>1.86904</v>
      </c>
      <c r="EN21">
        <v>1.86707</v>
      </c>
      <c r="EO21">
        <v>1.86324</v>
      </c>
      <c r="EP21">
        <v>1.86432</v>
      </c>
      <c r="EQ21">
        <v>1.86998</v>
      </c>
      <c r="ER21">
        <v>1.8692200000000001</v>
      </c>
      <c r="ES21">
        <v>0</v>
      </c>
      <c r="ET21">
        <v>0</v>
      </c>
      <c r="EU21">
        <v>0</v>
      </c>
      <c r="EV21">
        <v>0</v>
      </c>
      <c r="EW21" t="s">
        <v>334</v>
      </c>
      <c r="EX21" t="s">
        <v>335</v>
      </c>
      <c r="EY21" t="s">
        <v>336</v>
      </c>
      <c r="EZ21" t="s">
        <v>336</v>
      </c>
      <c r="FA21" t="s">
        <v>336</v>
      </c>
      <c r="FB21" t="s">
        <v>336</v>
      </c>
      <c r="FC21">
        <v>0</v>
      </c>
      <c r="FD21">
        <v>100</v>
      </c>
      <c r="FE21">
        <v>100</v>
      </c>
      <c r="FF21">
        <v>-1.5329999999999999</v>
      </c>
      <c r="FG21">
        <v>4.1500000000000002E-2</v>
      </c>
      <c r="FH21">
        <v>-0.98020551812546231</v>
      </c>
      <c r="FI21">
        <v>-6.1462078757559423E-4</v>
      </c>
      <c r="FJ21">
        <v>-1.8861989874597051E-7</v>
      </c>
      <c r="FK21">
        <v>1.1980462299894961E-10</v>
      </c>
      <c r="FL21">
        <v>-4.4410915568505363E-2</v>
      </c>
      <c r="FM21">
        <v>-1.6848085045870601E-2</v>
      </c>
      <c r="FN21">
        <v>1.9789084769509481E-3</v>
      </c>
      <c r="FO21">
        <v>-2.7142391389806329E-5</v>
      </c>
      <c r="FP21">
        <v>3</v>
      </c>
      <c r="FQ21">
        <v>2158</v>
      </c>
      <c r="FR21">
        <v>1</v>
      </c>
      <c r="FS21">
        <v>19</v>
      </c>
      <c r="FT21">
        <v>1.4</v>
      </c>
      <c r="FU21">
        <v>1.6</v>
      </c>
      <c r="FV21">
        <v>1.7687999999999999</v>
      </c>
      <c r="FW21">
        <v>2.5366200000000001</v>
      </c>
      <c r="FX21">
        <v>1.5490699999999999</v>
      </c>
      <c r="FY21">
        <v>2.34741</v>
      </c>
      <c r="FZ21">
        <v>1.50146</v>
      </c>
      <c r="GA21">
        <v>2.2900399999999999</v>
      </c>
      <c r="GB21">
        <v>29.559100000000001</v>
      </c>
      <c r="GC21">
        <v>24.008700000000001</v>
      </c>
      <c r="GD21">
        <v>19</v>
      </c>
      <c r="GE21">
        <v>261.88600000000002</v>
      </c>
      <c r="GF21">
        <v>617.05399999999997</v>
      </c>
      <c r="GG21">
        <v>26.324999999999999</v>
      </c>
      <c r="GH21">
        <v>25.150700000000001</v>
      </c>
      <c r="GI21">
        <v>30</v>
      </c>
      <c r="GJ21">
        <v>25.220099999999999</v>
      </c>
      <c r="GK21">
        <v>25.1754</v>
      </c>
      <c r="GL21">
        <v>35.372399999999999</v>
      </c>
      <c r="GM21">
        <v>-30</v>
      </c>
      <c r="GN21">
        <v>-30</v>
      </c>
      <c r="GO21">
        <v>26.313600000000001</v>
      </c>
      <c r="GP21">
        <v>800</v>
      </c>
      <c r="GQ21">
        <v>0</v>
      </c>
      <c r="GR21">
        <v>99.623599999999996</v>
      </c>
      <c r="GS21">
        <v>99.184299999999993</v>
      </c>
    </row>
    <row r="22" spans="1:201" x14ac:dyDescent="0.25">
      <c r="A22">
        <v>6</v>
      </c>
      <c r="B22">
        <v>1690200945.5</v>
      </c>
      <c r="C22">
        <v>98.5</v>
      </c>
      <c r="D22" t="s">
        <v>345</v>
      </c>
      <c r="E22" t="s">
        <v>346</v>
      </c>
      <c r="F22" t="s">
        <v>330</v>
      </c>
      <c r="H22">
        <v>1690200945.5</v>
      </c>
      <c r="I22">
        <f t="shared" si="0"/>
        <v>2.4177231771183453E-4</v>
      </c>
      <c r="J22">
        <f t="shared" si="1"/>
        <v>0.24177231771183452</v>
      </c>
      <c r="K22">
        <f t="shared" si="2"/>
        <v>-0.8797989047046374</v>
      </c>
      <c r="L22">
        <f t="shared" si="3"/>
        <v>807.52599999999995</v>
      </c>
      <c r="M22">
        <f t="shared" si="4"/>
        <v>911.17371540062527</v>
      </c>
      <c r="N22">
        <f t="shared" si="5"/>
        <v>90.285787026354711</v>
      </c>
      <c r="O22">
        <f t="shared" si="6"/>
        <v>80.015609781047985</v>
      </c>
      <c r="P22">
        <f t="shared" si="7"/>
        <v>1.0398719486059742E-2</v>
      </c>
      <c r="Q22">
        <f t="shared" si="8"/>
        <v>2.0834012275571752</v>
      </c>
      <c r="R22">
        <f t="shared" si="9"/>
        <v>1.0369970942760039E-2</v>
      </c>
      <c r="S22">
        <f t="shared" si="10"/>
        <v>6.4838081117902166E-3</v>
      </c>
      <c r="T22">
        <f t="shared" si="11"/>
        <v>276.06581075304962</v>
      </c>
      <c r="U22">
        <f t="shared" si="12"/>
        <v>27.381055542220157</v>
      </c>
      <c r="V22">
        <f t="shared" si="13"/>
        <v>27.381055542220157</v>
      </c>
      <c r="W22">
        <f t="shared" si="14"/>
        <v>3.6600492571544292</v>
      </c>
      <c r="X22">
        <f t="shared" si="15"/>
        <v>43.691589595251777</v>
      </c>
      <c r="Y22">
        <f t="shared" si="16"/>
        <v>1.4089527274164</v>
      </c>
      <c r="Z22">
        <f t="shared" si="17"/>
        <v>3.2247687494746566</v>
      </c>
      <c r="AA22">
        <f t="shared" si="18"/>
        <v>2.251096529738029</v>
      </c>
      <c r="AB22">
        <f t="shared" si="19"/>
        <v>-10.662159211091902</v>
      </c>
      <c r="AC22">
        <f t="shared" si="20"/>
        <v>-240.88841176177112</v>
      </c>
      <c r="AD22">
        <f t="shared" si="21"/>
        <v>-24.780948067338251</v>
      </c>
      <c r="AE22">
        <f t="shared" si="22"/>
        <v>-0.26570828715165362</v>
      </c>
      <c r="AF22">
        <v>16</v>
      </c>
      <c r="AG22">
        <v>5</v>
      </c>
      <c r="AH22">
        <f t="shared" si="23"/>
        <v>1</v>
      </c>
      <c r="AI22">
        <f t="shared" si="24"/>
        <v>0</v>
      </c>
      <c r="AJ22">
        <f t="shared" si="25"/>
        <v>52799.660486530673</v>
      </c>
      <c r="AK22">
        <f t="shared" si="26"/>
        <v>1799.68</v>
      </c>
      <c r="AL22">
        <f t="shared" si="27"/>
        <v>1498.8440640537599</v>
      </c>
      <c r="AM22">
        <f t="shared" si="28"/>
        <v>0.83283920699999991</v>
      </c>
      <c r="AN22">
        <f t="shared" si="29"/>
        <v>0.15339716547000001</v>
      </c>
      <c r="AO22">
        <v>33.299999999999997</v>
      </c>
      <c r="AP22">
        <v>0.5</v>
      </c>
      <c r="AQ22" t="s">
        <v>331</v>
      </c>
      <c r="AR22">
        <v>2</v>
      </c>
      <c r="AS22">
        <v>1690200945.5</v>
      </c>
      <c r="AT22">
        <v>807.52599999999995</v>
      </c>
      <c r="AU22">
        <v>799.93200000000002</v>
      </c>
      <c r="AV22">
        <v>14.2193</v>
      </c>
      <c r="AW22">
        <v>11.5754</v>
      </c>
      <c r="AX22">
        <v>809.06399999999996</v>
      </c>
      <c r="AY22">
        <v>14.1821</v>
      </c>
      <c r="AZ22">
        <v>300.18299999999999</v>
      </c>
      <c r="BA22">
        <v>98.987399999999994</v>
      </c>
      <c r="BB22">
        <v>9.9947999999999995E-2</v>
      </c>
      <c r="BC22">
        <v>25.2364</v>
      </c>
      <c r="BD22">
        <v>26.366499999999998</v>
      </c>
      <c r="BE22">
        <v>26.250399999999999</v>
      </c>
      <c r="BF22">
        <v>0</v>
      </c>
      <c r="BG22">
        <v>0</v>
      </c>
      <c r="BH22">
        <v>10029.4</v>
      </c>
      <c r="BI22">
        <v>1092.9000000000001</v>
      </c>
      <c r="BJ22">
        <v>1.1773899999999999</v>
      </c>
      <c r="BK22">
        <v>7.5942400000000001</v>
      </c>
      <c r="BL22">
        <v>819.17399999999998</v>
      </c>
      <c r="BM22">
        <v>809.3</v>
      </c>
      <c r="BN22">
        <v>2.6439699999999999</v>
      </c>
      <c r="BO22">
        <v>799.93200000000002</v>
      </c>
      <c r="BP22">
        <v>11.5754</v>
      </c>
      <c r="BQ22">
        <v>1.4075299999999999</v>
      </c>
      <c r="BR22">
        <v>1.14581</v>
      </c>
      <c r="BS22">
        <v>11.999000000000001</v>
      </c>
      <c r="BT22">
        <v>8.9155599999999993</v>
      </c>
      <c r="BU22">
        <v>1799.68</v>
      </c>
      <c r="BV22">
        <v>0.909999</v>
      </c>
      <c r="BW22">
        <v>3.4000799999999998E-2</v>
      </c>
      <c r="BX22">
        <v>2.1997599999999999E-2</v>
      </c>
      <c r="BY22">
        <v>3.40021E-2</v>
      </c>
      <c r="BZ22">
        <v>21</v>
      </c>
      <c r="CA22">
        <v>33522.5</v>
      </c>
      <c r="CB22">
        <v>1690200769.5</v>
      </c>
      <c r="CC22" t="s">
        <v>332</v>
      </c>
      <c r="CD22">
        <v>1690200769.5</v>
      </c>
      <c r="CE22">
        <v>1690200753</v>
      </c>
      <c r="CF22">
        <v>2</v>
      </c>
      <c r="CG22">
        <v>-0.245</v>
      </c>
      <c r="CH22">
        <v>3.0000000000000001E-3</v>
      </c>
      <c r="CI22">
        <v>-1.5169999999999999</v>
      </c>
      <c r="CJ22">
        <v>-1.6E-2</v>
      </c>
      <c r="CK22">
        <v>778</v>
      </c>
      <c r="CL22">
        <v>12</v>
      </c>
      <c r="CM22">
        <v>0.01</v>
      </c>
      <c r="CN22">
        <v>0.03</v>
      </c>
      <c r="CO22">
        <v>8.0964402500000006</v>
      </c>
      <c r="CP22">
        <v>-0.19732694183866939</v>
      </c>
      <c r="CQ22">
        <v>0.12491225483289251</v>
      </c>
      <c r="CR22">
        <v>-1</v>
      </c>
      <c r="CS22">
        <v>2.6237550000000001</v>
      </c>
      <c r="CT22">
        <v>-6.0373283302061861E-2</v>
      </c>
      <c r="CU22">
        <v>9.8314564027920416E-3</v>
      </c>
      <c r="CV22">
        <v>-1</v>
      </c>
      <c r="CW22">
        <v>0</v>
      </c>
      <c r="CX22">
        <v>0</v>
      </c>
      <c r="CY22" t="s">
        <v>333</v>
      </c>
      <c r="CZ22">
        <v>2.3656899999999998</v>
      </c>
      <c r="DA22">
        <v>2.7137699999999998</v>
      </c>
      <c r="DB22">
        <v>0.147896</v>
      </c>
      <c r="DC22">
        <v>0.146427</v>
      </c>
      <c r="DD22">
        <v>7.8501399999999999E-2</v>
      </c>
      <c r="DE22">
        <v>6.6260100000000002E-2</v>
      </c>
      <c r="DF22">
        <v>31086.6</v>
      </c>
      <c r="DG22">
        <v>27424.799999999999</v>
      </c>
      <c r="DH22">
        <v>31140.799999999999</v>
      </c>
      <c r="DI22">
        <v>27992.5</v>
      </c>
      <c r="DJ22">
        <v>38962.199999999997</v>
      </c>
      <c r="DK22">
        <v>37128.5</v>
      </c>
      <c r="DL22">
        <v>44304.7</v>
      </c>
      <c r="DM22">
        <v>42381.5</v>
      </c>
      <c r="DN22">
        <v>1.43893</v>
      </c>
      <c r="DO22">
        <v>2.0909800000000001</v>
      </c>
      <c r="DP22">
        <v>0.141263</v>
      </c>
      <c r="DQ22">
        <v>0.131018</v>
      </c>
      <c r="DR22">
        <v>24.049499999999998</v>
      </c>
      <c r="DS22">
        <v>24.101400000000002</v>
      </c>
      <c r="DT22">
        <v>40.5</v>
      </c>
      <c r="DU22">
        <v>24.1</v>
      </c>
      <c r="DV22">
        <v>12.327400000000001</v>
      </c>
      <c r="DW22">
        <v>62.679900000000004</v>
      </c>
      <c r="DX22">
        <v>36.586500000000001</v>
      </c>
      <c r="DY22">
        <v>1</v>
      </c>
      <c r="DZ22">
        <v>-0.17582100000000001</v>
      </c>
      <c r="EA22">
        <v>-0.23424600000000001</v>
      </c>
      <c r="EB22">
        <v>20.1843</v>
      </c>
      <c r="EC22">
        <v>5.2423000000000002</v>
      </c>
      <c r="ED22">
        <v>12.039899999999999</v>
      </c>
      <c r="EE22">
        <v>5.0175999999999998</v>
      </c>
      <c r="EF22">
        <v>3.2879999999999998</v>
      </c>
      <c r="EG22">
        <v>9999</v>
      </c>
      <c r="EH22">
        <v>9999</v>
      </c>
      <c r="EI22">
        <v>9999</v>
      </c>
      <c r="EJ22">
        <v>999.9</v>
      </c>
      <c r="EK22">
        <v>1.8687100000000001</v>
      </c>
      <c r="EL22">
        <v>1.8644000000000001</v>
      </c>
      <c r="EM22">
        <v>1.86904</v>
      </c>
      <c r="EN22">
        <v>1.8670500000000001</v>
      </c>
      <c r="EO22">
        <v>1.86321</v>
      </c>
      <c r="EP22">
        <v>1.86432</v>
      </c>
      <c r="EQ22">
        <v>1.8699600000000001</v>
      </c>
      <c r="ER22">
        <v>1.8692500000000001</v>
      </c>
      <c r="ES22">
        <v>0</v>
      </c>
      <c r="ET22">
        <v>0</v>
      </c>
      <c r="EU22">
        <v>0</v>
      </c>
      <c r="EV22">
        <v>0</v>
      </c>
      <c r="EW22" t="s">
        <v>334</v>
      </c>
      <c r="EX22" t="s">
        <v>335</v>
      </c>
      <c r="EY22" t="s">
        <v>336</v>
      </c>
      <c r="EZ22" t="s">
        <v>336</v>
      </c>
      <c r="FA22" t="s">
        <v>336</v>
      </c>
      <c r="FB22" t="s">
        <v>336</v>
      </c>
      <c r="FC22">
        <v>0</v>
      </c>
      <c r="FD22">
        <v>100</v>
      </c>
      <c r="FE22">
        <v>100</v>
      </c>
      <c r="FF22">
        <v>-1.538</v>
      </c>
      <c r="FG22">
        <v>3.7199999999999997E-2</v>
      </c>
      <c r="FH22">
        <v>-0.98020551812546231</v>
      </c>
      <c r="FI22">
        <v>-6.1462078757559423E-4</v>
      </c>
      <c r="FJ22">
        <v>-1.8861989874597051E-7</v>
      </c>
      <c r="FK22">
        <v>1.1980462299894961E-10</v>
      </c>
      <c r="FL22">
        <v>-4.4410915568505363E-2</v>
      </c>
      <c r="FM22">
        <v>-1.6848085045870601E-2</v>
      </c>
      <c r="FN22">
        <v>1.9789084769509481E-3</v>
      </c>
      <c r="FO22">
        <v>-2.7142391389806329E-5</v>
      </c>
      <c r="FP22">
        <v>3</v>
      </c>
      <c r="FQ22">
        <v>2158</v>
      </c>
      <c r="FR22">
        <v>1</v>
      </c>
      <c r="FS22">
        <v>19</v>
      </c>
      <c r="FT22">
        <v>2.9</v>
      </c>
      <c r="FU22">
        <v>3.2</v>
      </c>
      <c r="FV22">
        <v>1.7700199999999999</v>
      </c>
      <c r="FW22">
        <v>2.5341800000000001</v>
      </c>
      <c r="FX22">
        <v>1.5490699999999999</v>
      </c>
      <c r="FY22">
        <v>2.34741</v>
      </c>
      <c r="FZ22">
        <v>1.50146</v>
      </c>
      <c r="GA22">
        <v>2.3718300000000001</v>
      </c>
      <c r="GB22">
        <v>29.708300000000001</v>
      </c>
      <c r="GC22">
        <v>23.973700000000001</v>
      </c>
      <c r="GD22">
        <v>19</v>
      </c>
      <c r="GE22">
        <v>262.81200000000001</v>
      </c>
      <c r="GF22">
        <v>615.93499999999995</v>
      </c>
      <c r="GG22">
        <v>26.129799999999999</v>
      </c>
      <c r="GH22">
        <v>25.1812</v>
      </c>
      <c r="GI22">
        <v>29.999700000000001</v>
      </c>
      <c r="GJ22">
        <v>25.255700000000001</v>
      </c>
      <c r="GK22">
        <v>25.215599999999998</v>
      </c>
      <c r="GL22">
        <v>35.388500000000001</v>
      </c>
      <c r="GM22">
        <v>-30</v>
      </c>
      <c r="GN22">
        <v>-30</v>
      </c>
      <c r="GO22">
        <v>25.204599999999999</v>
      </c>
      <c r="GP22">
        <v>800</v>
      </c>
      <c r="GQ22">
        <v>0</v>
      </c>
      <c r="GR22">
        <v>99.622</v>
      </c>
      <c r="GS22">
        <v>99.187299999999993</v>
      </c>
    </row>
    <row r="23" spans="1:201" x14ac:dyDescent="0.25">
      <c r="A23">
        <v>7</v>
      </c>
      <c r="B23">
        <v>1690200955.5</v>
      </c>
      <c r="C23">
        <v>108.5</v>
      </c>
      <c r="D23" t="s">
        <v>347</v>
      </c>
      <c r="E23" t="s">
        <v>348</v>
      </c>
      <c r="F23" t="s">
        <v>330</v>
      </c>
      <c r="H23">
        <v>1690200955.5</v>
      </c>
      <c r="I23">
        <f t="shared" si="0"/>
        <v>2.5143126196306115E-4</v>
      </c>
      <c r="J23">
        <f t="shared" si="1"/>
        <v>0.25143126196306115</v>
      </c>
      <c r="K23">
        <f t="shared" si="2"/>
        <v>-0.73641049899541267</v>
      </c>
      <c r="L23">
        <f t="shared" si="3"/>
        <v>805.93299999999999</v>
      </c>
      <c r="M23">
        <f t="shared" si="4"/>
        <v>884.77217718944826</v>
      </c>
      <c r="N23">
        <f t="shared" si="5"/>
        <v>87.67103640364364</v>
      </c>
      <c r="O23">
        <f t="shared" si="6"/>
        <v>79.858954885251308</v>
      </c>
      <c r="P23">
        <f t="shared" si="7"/>
        <v>1.0657453934727971E-2</v>
      </c>
      <c r="Q23">
        <f t="shared" si="8"/>
        <v>2.0774891214281053</v>
      </c>
      <c r="R23">
        <f t="shared" si="9"/>
        <v>1.0627173565267552E-2</v>
      </c>
      <c r="S23">
        <f t="shared" si="10"/>
        <v>6.6446968311512688E-3</v>
      </c>
      <c r="T23">
        <f t="shared" si="11"/>
        <v>276.09872883273232</v>
      </c>
      <c r="U23">
        <f t="shared" si="12"/>
        <v>27.580613914995155</v>
      </c>
      <c r="V23">
        <f t="shared" si="13"/>
        <v>27.580613914995155</v>
      </c>
      <c r="W23">
        <f t="shared" si="14"/>
        <v>3.7030441162406991</v>
      </c>
      <c r="X23">
        <f t="shared" si="15"/>
        <v>43.497342777501011</v>
      </c>
      <c r="Y23">
        <f t="shared" si="16"/>
        <v>1.41926907399552</v>
      </c>
      <c r="Z23">
        <f t="shared" si="17"/>
        <v>3.2628868417443573</v>
      </c>
      <c r="AA23">
        <f t="shared" si="18"/>
        <v>2.2837750422451792</v>
      </c>
      <c r="AB23">
        <f t="shared" si="19"/>
        <v>-11.088118652570996</v>
      </c>
      <c r="AC23">
        <f t="shared" si="20"/>
        <v>-240.42417913971073</v>
      </c>
      <c r="AD23">
        <f t="shared" si="21"/>
        <v>-24.852977983408337</v>
      </c>
      <c r="AE23">
        <f t="shared" si="22"/>
        <v>-0.26654694295771719</v>
      </c>
      <c r="AF23">
        <v>18</v>
      </c>
      <c r="AG23">
        <v>6</v>
      </c>
      <c r="AH23">
        <f t="shared" si="23"/>
        <v>1</v>
      </c>
      <c r="AI23">
        <f t="shared" si="24"/>
        <v>0</v>
      </c>
      <c r="AJ23">
        <f t="shared" si="25"/>
        <v>52497.292368483118</v>
      </c>
      <c r="AK23">
        <f t="shared" si="26"/>
        <v>1799.89</v>
      </c>
      <c r="AL23">
        <f t="shared" si="27"/>
        <v>1499.0213829391701</v>
      </c>
      <c r="AM23">
        <f t="shared" si="28"/>
        <v>0.83284055300000004</v>
      </c>
      <c r="AN23">
        <f t="shared" si="29"/>
        <v>0.15339755698000004</v>
      </c>
      <c r="AO23">
        <v>33.299999999999997</v>
      </c>
      <c r="AP23">
        <v>0.5</v>
      </c>
      <c r="AQ23" t="s">
        <v>331</v>
      </c>
      <c r="AR23">
        <v>2</v>
      </c>
      <c r="AS23">
        <v>1690200955.5</v>
      </c>
      <c r="AT23">
        <v>805.93299999999999</v>
      </c>
      <c r="AU23">
        <v>800.00900000000001</v>
      </c>
      <c r="AV23">
        <v>14.3232</v>
      </c>
      <c r="AW23">
        <v>11.572699999999999</v>
      </c>
      <c r="AX23">
        <v>807.47</v>
      </c>
      <c r="AY23">
        <v>14.2836</v>
      </c>
      <c r="AZ23">
        <v>300.04500000000002</v>
      </c>
      <c r="BA23">
        <v>98.988900000000001</v>
      </c>
      <c r="BB23">
        <v>9.9926100000000004E-2</v>
      </c>
      <c r="BC23">
        <v>25.434000000000001</v>
      </c>
      <c r="BD23">
        <v>27.114999999999998</v>
      </c>
      <c r="BE23">
        <v>27.167300000000001</v>
      </c>
      <c r="BF23">
        <v>0</v>
      </c>
      <c r="BG23">
        <v>0</v>
      </c>
      <c r="BH23">
        <v>9976.25</v>
      </c>
      <c r="BI23">
        <v>1093.04</v>
      </c>
      <c r="BJ23">
        <v>1.19421</v>
      </c>
      <c r="BK23">
        <v>5.9239499999999996</v>
      </c>
      <c r="BL23">
        <v>817.64400000000001</v>
      </c>
      <c r="BM23">
        <v>809.37599999999998</v>
      </c>
      <c r="BN23">
        <v>2.7505299999999999</v>
      </c>
      <c r="BO23">
        <v>800.00900000000001</v>
      </c>
      <c r="BP23">
        <v>11.572699999999999</v>
      </c>
      <c r="BQ23">
        <v>1.41784</v>
      </c>
      <c r="BR23">
        <v>1.14557</v>
      </c>
      <c r="BS23">
        <v>12.1098</v>
      </c>
      <c r="BT23">
        <v>8.9123699999999992</v>
      </c>
      <c r="BU23">
        <v>1799.89</v>
      </c>
      <c r="BV23">
        <v>0.91000400000000004</v>
      </c>
      <c r="BW23">
        <v>3.3998E-2</v>
      </c>
      <c r="BX23">
        <v>2.20039E-2</v>
      </c>
      <c r="BY23">
        <v>3.3993599999999999E-2</v>
      </c>
      <c r="BZ23">
        <v>21</v>
      </c>
      <c r="CA23">
        <v>33526.400000000001</v>
      </c>
      <c r="CB23">
        <v>1690200769.5</v>
      </c>
      <c r="CC23" t="s">
        <v>332</v>
      </c>
      <c r="CD23">
        <v>1690200769.5</v>
      </c>
      <c r="CE23">
        <v>1690200753</v>
      </c>
      <c r="CF23">
        <v>2</v>
      </c>
      <c r="CG23">
        <v>-0.245</v>
      </c>
      <c r="CH23">
        <v>3.0000000000000001E-3</v>
      </c>
      <c r="CI23">
        <v>-1.5169999999999999</v>
      </c>
      <c r="CJ23">
        <v>-1.6E-2</v>
      </c>
      <c r="CK23">
        <v>778</v>
      </c>
      <c r="CL23">
        <v>12</v>
      </c>
      <c r="CM23">
        <v>0.01</v>
      </c>
      <c r="CN23">
        <v>0.03</v>
      </c>
      <c r="CO23">
        <v>7.3996250000000003</v>
      </c>
      <c r="CP23">
        <v>-7.8589391369606174</v>
      </c>
      <c r="CQ23">
        <v>0.78283014677514817</v>
      </c>
      <c r="CR23">
        <v>-1</v>
      </c>
      <c r="CS23">
        <v>2.6572049999999998</v>
      </c>
      <c r="CT23">
        <v>0.45414731707316219</v>
      </c>
      <c r="CU23">
        <v>4.5972794509361703E-2</v>
      </c>
      <c r="CV23">
        <v>-1</v>
      </c>
      <c r="CW23">
        <v>0</v>
      </c>
      <c r="CX23">
        <v>0</v>
      </c>
      <c r="CY23" t="s">
        <v>333</v>
      </c>
      <c r="CZ23">
        <v>2.3652199999999999</v>
      </c>
      <c r="DA23">
        <v>2.7136900000000002</v>
      </c>
      <c r="DB23">
        <v>0.147705</v>
      </c>
      <c r="DC23">
        <v>0.14643800000000001</v>
      </c>
      <c r="DD23">
        <v>7.8919500000000004E-2</v>
      </c>
      <c r="DE23">
        <v>6.6249000000000002E-2</v>
      </c>
      <c r="DF23">
        <v>31092.799999999999</v>
      </c>
      <c r="DG23">
        <v>27423.8</v>
      </c>
      <c r="DH23">
        <v>31140.1</v>
      </c>
      <c r="DI23">
        <v>27991.8</v>
      </c>
      <c r="DJ23">
        <v>38943.699999999997</v>
      </c>
      <c r="DK23">
        <v>37128</v>
      </c>
      <c r="DL23">
        <v>44303.9</v>
      </c>
      <c r="DM23">
        <v>42380.4</v>
      </c>
      <c r="DN23">
        <v>1.43523</v>
      </c>
      <c r="DO23">
        <v>2.0905999999999998</v>
      </c>
      <c r="DP23">
        <v>0.184998</v>
      </c>
      <c r="DQ23">
        <v>0.185445</v>
      </c>
      <c r="DR23">
        <v>24.0825</v>
      </c>
      <c r="DS23">
        <v>24.127800000000001</v>
      </c>
      <c r="DT23">
        <v>40.4</v>
      </c>
      <c r="DU23">
        <v>24.1</v>
      </c>
      <c r="DV23">
        <v>12.296099999999999</v>
      </c>
      <c r="DW23">
        <v>62.3399</v>
      </c>
      <c r="DX23">
        <v>36.754800000000003</v>
      </c>
      <c r="DY23">
        <v>1</v>
      </c>
      <c r="DZ23">
        <v>-0.159855</v>
      </c>
      <c r="EA23">
        <v>7.7106899999999996</v>
      </c>
      <c r="EB23">
        <v>19.954000000000001</v>
      </c>
      <c r="EC23">
        <v>5.2433500000000004</v>
      </c>
      <c r="ED23">
        <v>12.039899999999999</v>
      </c>
      <c r="EE23">
        <v>5.0176999999999996</v>
      </c>
      <c r="EF23">
        <v>3.2879999999999998</v>
      </c>
      <c r="EG23">
        <v>9999</v>
      </c>
      <c r="EH23">
        <v>9999</v>
      </c>
      <c r="EI23">
        <v>9999</v>
      </c>
      <c r="EJ23">
        <v>999.9</v>
      </c>
      <c r="EK23">
        <v>1.86873</v>
      </c>
      <c r="EL23">
        <v>1.8643700000000001</v>
      </c>
      <c r="EM23">
        <v>1.8690199999999999</v>
      </c>
      <c r="EN23">
        <v>1.86704</v>
      </c>
      <c r="EO23">
        <v>1.8631899999999999</v>
      </c>
      <c r="EP23">
        <v>1.86429</v>
      </c>
      <c r="EQ23">
        <v>1.8699600000000001</v>
      </c>
      <c r="ER23">
        <v>1.8692</v>
      </c>
      <c r="ES23">
        <v>0</v>
      </c>
      <c r="ET23">
        <v>0</v>
      </c>
      <c r="EU23">
        <v>0</v>
      </c>
      <c r="EV23">
        <v>0</v>
      </c>
      <c r="EW23" t="s">
        <v>334</v>
      </c>
      <c r="EX23" t="s">
        <v>335</v>
      </c>
      <c r="EY23" t="s">
        <v>336</v>
      </c>
      <c r="EZ23" t="s">
        <v>336</v>
      </c>
      <c r="FA23" t="s">
        <v>336</v>
      </c>
      <c r="FB23" t="s">
        <v>336</v>
      </c>
      <c r="FC23">
        <v>0</v>
      </c>
      <c r="FD23">
        <v>100</v>
      </c>
      <c r="FE23">
        <v>100</v>
      </c>
      <c r="FF23">
        <v>-1.5369999999999999</v>
      </c>
      <c r="FG23">
        <v>3.9600000000000003E-2</v>
      </c>
      <c r="FH23">
        <v>-0.98020551812546231</v>
      </c>
      <c r="FI23">
        <v>-6.1462078757559423E-4</v>
      </c>
      <c r="FJ23">
        <v>-1.8861989874597051E-7</v>
      </c>
      <c r="FK23">
        <v>1.1980462299894961E-10</v>
      </c>
      <c r="FL23">
        <v>-4.4410915568505363E-2</v>
      </c>
      <c r="FM23">
        <v>-1.6848085045870601E-2</v>
      </c>
      <c r="FN23">
        <v>1.9789084769509481E-3</v>
      </c>
      <c r="FO23">
        <v>-2.7142391389806329E-5</v>
      </c>
      <c r="FP23">
        <v>3</v>
      </c>
      <c r="FQ23">
        <v>2158</v>
      </c>
      <c r="FR23">
        <v>1</v>
      </c>
      <c r="FS23">
        <v>19</v>
      </c>
      <c r="FT23">
        <v>3.1</v>
      </c>
      <c r="FU23">
        <v>3.4</v>
      </c>
      <c r="FV23">
        <v>1.7700199999999999</v>
      </c>
      <c r="FW23">
        <v>2.5390600000000001</v>
      </c>
      <c r="FX23">
        <v>1.5490699999999999</v>
      </c>
      <c r="FY23">
        <v>2.34619</v>
      </c>
      <c r="FZ23">
        <v>1.50146</v>
      </c>
      <c r="GA23">
        <v>2.3168899999999999</v>
      </c>
      <c r="GB23">
        <v>29.708300000000001</v>
      </c>
      <c r="GC23">
        <v>23.851099999999999</v>
      </c>
      <c r="GD23">
        <v>19</v>
      </c>
      <c r="GE23">
        <v>261.35399999999998</v>
      </c>
      <c r="GF23">
        <v>615.67100000000005</v>
      </c>
      <c r="GG23">
        <v>24.107600000000001</v>
      </c>
      <c r="GH23">
        <v>25.185400000000001</v>
      </c>
      <c r="GI23">
        <v>30.008800000000001</v>
      </c>
      <c r="GJ23">
        <v>25.2605</v>
      </c>
      <c r="GK23">
        <v>25.220300000000002</v>
      </c>
      <c r="GL23">
        <v>35.386600000000001</v>
      </c>
      <c r="GM23">
        <v>-30</v>
      </c>
      <c r="GN23">
        <v>-30</v>
      </c>
      <c r="GO23">
        <v>21.566299999999998</v>
      </c>
      <c r="GP23">
        <v>800</v>
      </c>
      <c r="GQ23">
        <v>0</v>
      </c>
      <c r="GR23">
        <v>99.62</v>
      </c>
      <c r="GS23">
        <v>99.184799999999996</v>
      </c>
    </row>
    <row r="24" spans="1:201" x14ac:dyDescent="0.25">
      <c r="A24">
        <v>8</v>
      </c>
      <c r="B24">
        <v>1690200965.5</v>
      </c>
      <c r="C24">
        <v>118.5</v>
      </c>
      <c r="D24" t="s">
        <v>349</v>
      </c>
      <c r="E24" t="s">
        <v>350</v>
      </c>
      <c r="F24" t="s">
        <v>330</v>
      </c>
      <c r="H24">
        <v>1690200965.5</v>
      </c>
      <c r="I24">
        <f t="shared" si="0"/>
        <v>2.5661480740268275E-4</v>
      </c>
      <c r="J24">
        <f t="shared" si="1"/>
        <v>0.25661480740268278</v>
      </c>
      <c r="K24">
        <f t="shared" si="2"/>
        <v>-0.6197407680296062</v>
      </c>
      <c r="L24">
        <f t="shared" si="3"/>
        <v>804.54499999999996</v>
      </c>
      <c r="M24">
        <f t="shared" si="4"/>
        <v>863.07526211479183</v>
      </c>
      <c r="N24">
        <f t="shared" si="5"/>
        <v>85.518762765122801</v>
      </c>
      <c r="O24">
        <f t="shared" si="6"/>
        <v>79.719227289953992</v>
      </c>
      <c r="P24">
        <f t="shared" si="7"/>
        <v>1.1120480694603082E-2</v>
      </c>
      <c r="Q24">
        <f t="shared" si="8"/>
        <v>2.0832430410380463</v>
      </c>
      <c r="R24">
        <f t="shared" si="9"/>
        <v>1.1087607179625682E-2</v>
      </c>
      <c r="S24">
        <f t="shared" si="10"/>
        <v>6.9326998919309255E-3</v>
      </c>
      <c r="T24">
        <f t="shared" si="11"/>
        <v>276.10407679028322</v>
      </c>
      <c r="U24">
        <f t="shared" si="12"/>
        <v>27.375125136884026</v>
      </c>
      <c r="V24">
        <f t="shared" si="13"/>
        <v>27.375125136884026</v>
      </c>
      <c r="W24">
        <f t="shared" si="14"/>
        <v>3.6587782455128943</v>
      </c>
      <c r="X24">
        <f t="shared" si="15"/>
        <v>44.171115112812522</v>
      </c>
      <c r="Y24">
        <f t="shared" si="16"/>
        <v>1.4243230703095198</v>
      </c>
      <c r="Z24">
        <f t="shared" si="17"/>
        <v>3.2245576473942643</v>
      </c>
      <c r="AA24">
        <f t="shared" si="18"/>
        <v>2.2344551752033746</v>
      </c>
      <c r="AB24">
        <f t="shared" si="19"/>
        <v>-11.316713006458309</v>
      </c>
      <c r="AC24">
        <f t="shared" si="20"/>
        <v>-240.32761030176476</v>
      </c>
      <c r="AD24">
        <f t="shared" si="21"/>
        <v>-24.724261408906177</v>
      </c>
      <c r="AE24">
        <f t="shared" si="22"/>
        <v>-0.26450792684605062</v>
      </c>
      <c r="AF24">
        <v>18</v>
      </c>
      <c r="AG24">
        <v>6</v>
      </c>
      <c r="AH24">
        <f t="shared" si="23"/>
        <v>1</v>
      </c>
      <c r="AI24">
        <f t="shared" si="24"/>
        <v>0</v>
      </c>
      <c r="AJ24">
        <f t="shared" si="25"/>
        <v>52792.655809236123</v>
      </c>
      <c r="AK24">
        <f t="shared" si="26"/>
        <v>1799.92</v>
      </c>
      <c r="AL24">
        <f t="shared" si="27"/>
        <v>1499.04631955792</v>
      </c>
      <c r="AM24">
        <f t="shared" si="28"/>
        <v>0.83284052600000003</v>
      </c>
      <c r="AN24">
        <f t="shared" si="29"/>
        <v>0.15339797146</v>
      </c>
      <c r="AO24">
        <v>33.299999999999997</v>
      </c>
      <c r="AP24">
        <v>0.5</v>
      </c>
      <c r="AQ24" t="s">
        <v>331</v>
      </c>
      <c r="AR24">
        <v>2</v>
      </c>
      <c r="AS24">
        <v>1690200965.5</v>
      </c>
      <c r="AT24">
        <v>804.54499999999996</v>
      </c>
      <c r="AU24">
        <v>799.95899999999995</v>
      </c>
      <c r="AV24">
        <v>14.374599999999999</v>
      </c>
      <c r="AW24">
        <v>11.568</v>
      </c>
      <c r="AX24">
        <v>806.08100000000002</v>
      </c>
      <c r="AY24">
        <v>14.3338</v>
      </c>
      <c r="AZ24">
        <v>300.09399999999999</v>
      </c>
      <c r="BA24">
        <v>98.986199999999997</v>
      </c>
      <c r="BB24">
        <v>9.9901199999999996E-2</v>
      </c>
      <c r="BC24">
        <v>25.235299999999999</v>
      </c>
      <c r="BD24">
        <v>27.073599999999999</v>
      </c>
      <c r="BE24">
        <v>27.2014</v>
      </c>
      <c r="BF24">
        <v>0</v>
      </c>
      <c r="BG24">
        <v>0</v>
      </c>
      <c r="BH24">
        <v>10028.1</v>
      </c>
      <c r="BI24">
        <v>1091.9100000000001</v>
      </c>
      <c r="BJ24">
        <v>1.10731</v>
      </c>
      <c r="BK24">
        <v>4.5866100000000003</v>
      </c>
      <c r="BL24">
        <v>816.279</v>
      </c>
      <c r="BM24">
        <v>809.32100000000003</v>
      </c>
      <c r="BN24">
        <v>2.8066</v>
      </c>
      <c r="BO24">
        <v>799.95899999999995</v>
      </c>
      <c r="BP24">
        <v>11.568</v>
      </c>
      <c r="BQ24">
        <v>1.4228799999999999</v>
      </c>
      <c r="BR24">
        <v>1.14507</v>
      </c>
      <c r="BS24">
        <v>12.1637</v>
      </c>
      <c r="BT24">
        <v>8.9059100000000004</v>
      </c>
      <c r="BU24">
        <v>1799.92</v>
      </c>
      <c r="BV24">
        <v>0.90999399999999997</v>
      </c>
      <c r="BW24">
        <v>3.4001000000000003E-2</v>
      </c>
      <c r="BX24">
        <v>2.20068E-2</v>
      </c>
      <c r="BY24">
        <v>3.3998599999999997E-2</v>
      </c>
      <c r="BZ24">
        <v>21.5</v>
      </c>
      <c r="CA24">
        <v>33526.800000000003</v>
      </c>
      <c r="CB24">
        <v>1690200769.5</v>
      </c>
      <c r="CC24" t="s">
        <v>332</v>
      </c>
      <c r="CD24">
        <v>1690200769.5</v>
      </c>
      <c r="CE24">
        <v>1690200753</v>
      </c>
      <c r="CF24">
        <v>2</v>
      </c>
      <c r="CG24">
        <v>-0.245</v>
      </c>
      <c r="CH24">
        <v>3.0000000000000001E-3</v>
      </c>
      <c r="CI24">
        <v>-1.5169999999999999</v>
      </c>
      <c r="CJ24">
        <v>-1.6E-2</v>
      </c>
      <c r="CK24">
        <v>778</v>
      </c>
      <c r="CL24">
        <v>12</v>
      </c>
      <c r="CM24">
        <v>0.01</v>
      </c>
      <c r="CN24">
        <v>0.03</v>
      </c>
      <c r="CO24">
        <v>6.0422822500000004</v>
      </c>
      <c r="CP24">
        <v>-8.271183827392111</v>
      </c>
      <c r="CQ24">
        <v>0.80054390121494123</v>
      </c>
      <c r="CR24">
        <v>-1</v>
      </c>
      <c r="CS24">
        <v>2.7397209999999999</v>
      </c>
      <c r="CT24">
        <v>0.50936667917447764</v>
      </c>
      <c r="CU24">
        <v>4.9644457736992158E-2</v>
      </c>
      <c r="CV24">
        <v>-1</v>
      </c>
      <c r="CW24">
        <v>0</v>
      </c>
      <c r="CX24">
        <v>0</v>
      </c>
      <c r="CY24" t="s">
        <v>333</v>
      </c>
      <c r="CZ24">
        <v>2.36538</v>
      </c>
      <c r="DA24">
        <v>2.7137199999999999</v>
      </c>
      <c r="DB24">
        <v>0.147532</v>
      </c>
      <c r="DC24">
        <v>0.146426</v>
      </c>
      <c r="DD24">
        <v>7.9122399999999996E-2</v>
      </c>
      <c r="DE24">
        <v>6.6226199999999999E-2</v>
      </c>
      <c r="DF24">
        <v>31096.799999999999</v>
      </c>
      <c r="DG24">
        <v>27421.5</v>
      </c>
      <c r="DH24">
        <v>31137.7</v>
      </c>
      <c r="DI24">
        <v>27989.1</v>
      </c>
      <c r="DJ24">
        <v>38932.1</v>
      </c>
      <c r="DK24">
        <v>37125.5</v>
      </c>
      <c r="DL24">
        <v>44300.6</v>
      </c>
      <c r="DM24">
        <v>42376.5</v>
      </c>
      <c r="DN24">
        <v>1.4342699999999999</v>
      </c>
      <c r="DO24">
        <v>2.0906500000000001</v>
      </c>
      <c r="DP24">
        <v>0.17963299999999999</v>
      </c>
      <c r="DQ24">
        <v>0.18563099999999999</v>
      </c>
      <c r="DR24">
        <v>24.129100000000001</v>
      </c>
      <c r="DS24">
        <v>24.158999999999999</v>
      </c>
      <c r="DT24">
        <v>40.4</v>
      </c>
      <c r="DU24">
        <v>24.1</v>
      </c>
      <c r="DV24">
        <v>12.297499999999999</v>
      </c>
      <c r="DW24">
        <v>62.509900000000002</v>
      </c>
      <c r="DX24">
        <v>35.977600000000002</v>
      </c>
      <c r="DY24">
        <v>1</v>
      </c>
      <c r="DZ24">
        <v>-0.15385399999999999</v>
      </c>
      <c r="EA24">
        <v>9.2810500000000005</v>
      </c>
      <c r="EB24">
        <v>19.869700000000002</v>
      </c>
      <c r="EC24">
        <v>5.2426000000000004</v>
      </c>
      <c r="ED24">
        <v>12.039899999999999</v>
      </c>
      <c r="EE24">
        <v>5.0176999999999996</v>
      </c>
      <c r="EF24">
        <v>3.2879999999999998</v>
      </c>
      <c r="EG24">
        <v>9999</v>
      </c>
      <c r="EH24">
        <v>9999</v>
      </c>
      <c r="EI24">
        <v>9999</v>
      </c>
      <c r="EJ24">
        <v>999.9</v>
      </c>
      <c r="EK24">
        <v>1.8687100000000001</v>
      </c>
      <c r="EL24">
        <v>1.8643700000000001</v>
      </c>
      <c r="EM24">
        <v>1.8689899999999999</v>
      </c>
      <c r="EN24">
        <v>1.86703</v>
      </c>
      <c r="EO24">
        <v>1.8632200000000001</v>
      </c>
      <c r="EP24">
        <v>1.8642700000000001</v>
      </c>
      <c r="EQ24">
        <v>1.8699600000000001</v>
      </c>
      <c r="ER24">
        <v>1.86921</v>
      </c>
      <c r="ES24">
        <v>0</v>
      </c>
      <c r="ET24">
        <v>0</v>
      </c>
      <c r="EU24">
        <v>0</v>
      </c>
      <c r="EV24">
        <v>0</v>
      </c>
      <c r="EW24" t="s">
        <v>334</v>
      </c>
      <c r="EX24" t="s">
        <v>335</v>
      </c>
      <c r="EY24" t="s">
        <v>336</v>
      </c>
      <c r="EZ24" t="s">
        <v>336</v>
      </c>
      <c r="FA24" t="s">
        <v>336</v>
      </c>
      <c r="FB24" t="s">
        <v>336</v>
      </c>
      <c r="FC24">
        <v>0</v>
      </c>
      <c r="FD24">
        <v>100</v>
      </c>
      <c r="FE24">
        <v>100</v>
      </c>
      <c r="FF24">
        <v>-1.536</v>
      </c>
      <c r="FG24">
        <v>4.0800000000000003E-2</v>
      </c>
      <c r="FH24">
        <v>-0.98020551812546231</v>
      </c>
      <c r="FI24">
        <v>-6.1462078757559423E-4</v>
      </c>
      <c r="FJ24">
        <v>-1.8861989874597051E-7</v>
      </c>
      <c r="FK24">
        <v>1.1980462299894961E-10</v>
      </c>
      <c r="FL24">
        <v>-4.4410915568505363E-2</v>
      </c>
      <c r="FM24">
        <v>-1.6848085045870601E-2</v>
      </c>
      <c r="FN24">
        <v>1.9789084769509481E-3</v>
      </c>
      <c r="FO24">
        <v>-2.7142391389806329E-5</v>
      </c>
      <c r="FP24">
        <v>3</v>
      </c>
      <c r="FQ24">
        <v>2158</v>
      </c>
      <c r="FR24">
        <v>1</v>
      </c>
      <c r="FS24">
        <v>19</v>
      </c>
      <c r="FT24">
        <v>3.3</v>
      </c>
      <c r="FU24">
        <v>3.5</v>
      </c>
      <c r="FV24">
        <v>1.7700199999999999</v>
      </c>
      <c r="FW24">
        <v>2.5366200000000001</v>
      </c>
      <c r="FX24">
        <v>1.5490699999999999</v>
      </c>
      <c r="FY24">
        <v>2.34741</v>
      </c>
      <c r="FZ24">
        <v>1.50146</v>
      </c>
      <c r="GA24">
        <v>2.2997999999999998</v>
      </c>
      <c r="GB24">
        <v>29.729700000000001</v>
      </c>
      <c r="GC24">
        <v>23.8598</v>
      </c>
      <c r="GD24">
        <v>19</v>
      </c>
      <c r="GE24">
        <v>260.99200000000002</v>
      </c>
      <c r="GF24">
        <v>615.75800000000004</v>
      </c>
      <c r="GG24">
        <v>21.610099999999999</v>
      </c>
      <c r="GH24">
        <v>25.190200000000001</v>
      </c>
      <c r="GI24">
        <v>30.003</v>
      </c>
      <c r="GJ24">
        <v>25.264700000000001</v>
      </c>
      <c r="GK24">
        <v>25.224</v>
      </c>
      <c r="GL24">
        <v>35.387300000000003</v>
      </c>
      <c r="GM24">
        <v>-30</v>
      </c>
      <c r="GN24">
        <v>-30</v>
      </c>
      <c r="GO24">
        <v>17.2989</v>
      </c>
      <c r="GP24">
        <v>800</v>
      </c>
      <c r="GQ24">
        <v>0</v>
      </c>
      <c r="GR24">
        <v>99.612499999999997</v>
      </c>
      <c r="GS24">
        <v>99.1755</v>
      </c>
    </row>
    <row r="25" spans="1:201" x14ac:dyDescent="0.25">
      <c r="A25">
        <v>9</v>
      </c>
      <c r="B25">
        <v>1690200975.5</v>
      </c>
      <c r="C25">
        <v>128.5</v>
      </c>
      <c r="D25" t="s">
        <v>351</v>
      </c>
      <c r="E25" t="s">
        <v>352</v>
      </c>
      <c r="F25" t="s">
        <v>330</v>
      </c>
      <c r="H25">
        <v>1690200975.5</v>
      </c>
      <c r="I25">
        <f t="shared" si="0"/>
        <v>2.5762947844946776E-4</v>
      </c>
      <c r="J25">
        <f t="shared" si="1"/>
        <v>0.25762947844946776</v>
      </c>
      <c r="K25">
        <f t="shared" si="2"/>
        <v>-0.29604491746635686</v>
      </c>
      <c r="L25">
        <f t="shared" si="3"/>
        <v>800.95299999999997</v>
      </c>
      <c r="M25">
        <f t="shared" si="4"/>
        <v>813.26870553361061</v>
      </c>
      <c r="N25">
        <f t="shared" si="5"/>
        <v>80.584885175174961</v>
      </c>
      <c r="O25">
        <f t="shared" si="6"/>
        <v>79.364550850831208</v>
      </c>
      <c r="P25">
        <f t="shared" si="7"/>
        <v>1.1476830224462928E-2</v>
      </c>
      <c r="Q25">
        <f t="shared" si="8"/>
        <v>2.0781743651751503</v>
      </c>
      <c r="R25">
        <f t="shared" si="9"/>
        <v>1.1441734598715649E-2</v>
      </c>
      <c r="S25">
        <f t="shared" si="10"/>
        <v>7.1542283287530893E-3</v>
      </c>
      <c r="T25">
        <f t="shared" si="11"/>
        <v>276.10528708563658</v>
      </c>
      <c r="U25">
        <f t="shared" si="12"/>
        <v>27.096174905317596</v>
      </c>
      <c r="V25">
        <f t="shared" si="13"/>
        <v>27.096174905317596</v>
      </c>
      <c r="W25">
        <f t="shared" si="14"/>
        <v>3.5994268118738733</v>
      </c>
      <c r="X25">
        <f t="shared" si="15"/>
        <v>44.941845586488647</v>
      </c>
      <c r="Y25">
        <f t="shared" si="16"/>
        <v>1.4248705039869598</v>
      </c>
      <c r="Z25">
        <f t="shared" si="17"/>
        <v>3.1704761684627703</v>
      </c>
      <c r="AA25">
        <f t="shared" si="18"/>
        <v>2.1745563078869132</v>
      </c>
      <c r="AB25">
        <f t="shared" si="19"/>
        <v>-11.361459999621529</v>
      </c>
      <c r="AC25">
        <f t="shared" si="20"/>
        <v>-240.29744124630488</v>
      </c>
      <c r="AD25">
        <f t="shared" si="21"/>
        <v>-24.711617344828333</v>
      </c>
      <c r="AE25">
        <f t="shared" si="22"/>
        <v>-0.26523150511818017</v>
      </c>
      <c r="AF25">
        <v>18</v>
      </c>
      <c r="AG25">
        <v>6</v>
      </c>
      <c r="AH25">
        <f t="shared" si="23"/>
        <v>1</v>
      </c>
      <c r="AI25">
        <f t="shared" si="24"/>
        <v>0</v>
      </c>
      <c r="AJ25">
        <f t="shared" si="25"/>
        <v>52613.297580687824</v>
      </c>
      <c r="AK25">
        <f t="shared" si="26"/>
        <v>1799.94</v>
      </c>
      <c r="AL25">
        <f t="shared" si="27"/>
        <v>1499.05948988466</v>
      </c>
      <c r="AM25">
        <f t="shared" si="28"/>
        <v>0.83283858899999996</v>
      </c>
      <c r="AN25">
        <f t="shared" si="29"/>
        <v>0.15339693938999999</v>
      </c>
      <c r="AO25">
        <v>33.299999999999997</v>
      </c>
      <c r="AP25">
        <v>0.5</v>
      </c>
      <c r="AQ25" t="s">
        <v>331</v>
      </c>
      <c r="AR25">
        <v>2</v>
      </c>
      <c r="AS25">
        <v>1690200975.5</v>
      </c>
      <c r="AT25">
        <v>800.95299999999997</v>
      </c>
      <c r="AU25">
        <v>799.95799999999997</v>
      </c>
      <c r="AV25">
        <v>14.379899999999999</v>
      </c>
      <c r="AW25">
        <v>11.5631</v>
      </c>
      <c r="AX25">
        <v>802.48599999999999</v>
      </c>
      <c r="AY25">
        <v>14.3391</v>
      </c>
      <c r="AZ25">
        <v>300.18799999999999</v>
      </c>
      <c r="BA25">
        <v>98.987700000000004</v>
      </c>
      <c r="BB25">
        <v>9.9950399999999995E-2</v>
      </c>
      <c r="BC25">
        <v>24.9514</v>
      </c>
      <c r="BD25">
        <v>26.7514</v>
      </c>
      <c r="BE25">
        <v>26.959</v>
      </c>
      <c r="BF25">
        <v>0</v>
      </c>
      <c r="BG25">
        <v>0</v>
      </c>
      <c r="BH25">
        <v>9982.5</v>
      </c>
      <c r="BI25">
        <v>1089.94</v>
      </c>
      <c r="BJ25">
        <v>1.45492</v>
      </c>
      <c r="BK25">
        <v>0.99450700000000003</v>
      </c>
      <c r="BL25">
        <v>812.63800000000003</v>
      </c>
      <c r="BM25">
        <v>809.31600000000003</v>
      </c>
      <c r="BN25">
        <v>2.8168000000000002</v>
      </c>
      <c r="BO25">
        <v>799.95799999999997</v>
      </c>
      <c r="BP25">
        <v>11.5631</v>
      </c>
      <c r="BQ25">
        <v>1.42344</v>
      </c>
      <c r="BR25">
        <v>1.1446099999999999</v>
      </c>
      <c r="BS25">
        <v>12.169600000000001</v>
      </c>
      <c r="BT25">
        <v>8.8999500000000005</v>
      </c>
      <c r="BU25">
        <v>1799.94</v>
      </c>
      <c r="BV25">
        <v>0.90999600000000003</v>
      </c>
      <c r="BW25">
        <v>3.4005300000000002E-2</v>
      </c>
      <c r="BX25">
        <v>2.19922E-2</v>
      </c>
      <c r="BY25">
        <v>3.4006700000000001E-2</v>
      </c>
      <c r="BZ25">
        <v>22</v>
      </c>
      <c r="CA25">
        <v>33527.300000000003</v>
      </c>
      <c r="CB25">
        <v>1690200769.5</v>
      </c>
      <c r="CC25" t="s">
        <v>332</v>
      </c>
      <c r="CD25">
        <v>1690200769.5</v>
      </c>
      <c r="CE25">
        <v>1690200753</v>
      </c>
      <c r="CF25">
        <v>2</v>
      </c>
      <c r="CG25">
        <v>-0.245</v>
      </c>
      <c r="CH25">
        <v>3.0000000000000001E-3</v>
      </c>
      <c r="CI25">
        <v>-1.5169999999999999</v>
      </c>
      <c r="CJ25">
        <v>-1.6E-2</v>
      </c>
      <c r="CK25">
        <v>778</v>
      </c>
      <c r="CL25">
        <v>12</v>
      </c>
      <c r="CM25">
        <v>0.01</v>
      </c>
      <c r="CN25">
        <v>0.03</v>
      </c>
      <c r="CO25">
        <v>4.4288305000000001</v>
      </c>
      <c r="CP25">
        <v>-13.125655159474681</v>
      </c>
      <c r="CQ25">
        <v>1.3058180644062749</v>
      </c>
      <c r="CR25">
        <v>-1</v>
      </c>
      <c r="CS25">
        <v>2.7948534999999999</v>
      </c>
      <c r="CT25">
        <v>0.22318108818011301</v>
      </c>
      <c r="CU25">
        <v>2.269719647335328E-2</v>
      </c>
      <c r="CV25">
        <v>-1</v>
      </c>
      <c r="CW25">
        <v>0</v>
      </c>
      <c r="CX25">
        <v>0</v>
      </c>
      <c r="CY25" t="s">
        <v>333</v>
      </c>
      <c r="CZ25">
        <v>2.3656799999999998</v>
      </c>
      <c r="DA25">
        <v>2.71373</v>
      </c>
      <c r="DB25">
        <v>0.147094</v>
      </c>
      <c r="DC25">
        <v>0.146427</v>
      </c>
      <c r="DD25">
        <v>7.9144199999999998E-2</v>
      </c>
      <c r="DE25">
        <v>6.6205600000000003E-2</v>
      </c>
      <c r="DF25">
        <v>31112.799999999999</v>
      </c>
      <c r="DG25">
        <v>27422.9</v>
      </c>
      <c r="DH25">
        <v>31137.9</v>
      </c>
      <c r="DI25">
        <v>27990.6</v>
      </c>
      <c r="DJ25">
        <v>38931.4</v>
      </c>
      <c r="DK25">
        <v>37128.300000000003</v>
      </c>
      <c r="DL25">
        <v>44300.9</v>
      </c>
      <c r="DM25">
        <v>42378.8</v>
      </c>
      <c r="DN25">
        <v>1.4339500000000001</v>
      </c>
      <c r="DO25">
        <v>2.09015</v>
      </c>
      <c r="DP25">
        <v>0.157692</v>
      </c>
      <c r="DQ25">
        <v>0.17024600000000001</v>
      </c>
      <c r="DR25">
        <v>24.166</v>
      </c>
      <c r="DS25">
        <v>24.168199999999999</v>
      </c>
      <c r="DT25">
        <v>40.4</v>
      </c>
      <c r="DU25">
        <v>24.2</v>
      </c>
      <c r="DV25">
        <v>12.3711</v>
      </c>
      <c r="DW25">
        <v>62.979900000000001</v>
      </c>
      <c r="DX25">
        <v>35.556899999999999</v>
      </c>
      <c r="DY25">
        <v>1</v>
      </c>
      <c r="DZ25">
        <v>-0.154751</v>
      </c>
      <c r="EA25">
        <v>9.2810500000000005</v>
      </c>
      <c r="EB25">
        <v>19.8811</v>
      </c>
      <c r="EC25">
        <v>5.2423000000000002</v>
      </c>
      <c r="ED25">
        <v>12.039899999999999</v>
      </c>
      <c r="EE25">
        <v>5.0176499999999997</v>
      </c>
      <c r="EF25">
        <v>3.2879999999999998</v>
      </c>
      <c r="EG25">
        <v>9999</v>
      </c>
      <c r="EH25">
        <v>9999</v>
      </c>
      <c r="EI25">
        <v>9999</v>
      </c>
      <c r="EJ25">
        <v>999.9</v>
      </c>
      <c r="EK25">
        <v>1.86873</v>
      </c>
      <c r="EL25">
        <v>1.86439</v>
      </c>
      <c r="EM25">
        <v>1.869</v>
      </c>
      <c r="EN25">
        <v>1.86703</v>
      </c>
      <c r="EO25">
        <v>1.8632200000000001</v>
      </c>
      <c r="EP25">
        <v>1.8643000000000001</v>
      </c>
      <c r="EQ25">
        <v>1.8699600000000001</v>
      </c>
      <c r="ER25">
        <v>1.8692</v>
      </c>
      <c r="ES25">
        <v>0</v>
      </c>
      <c r="ET25">
        <v>0</v>
      </c>
      <c r="EU25">
        <v>0</v>
      </c>
      <c r="EV25">
        <v>0</v>
      </c>
      <c r="EW25" t="s">
        <v>334</v>
      </c>
      <c r="EX25" t="s">
        <v>335</v>
      </c>
      <c r="EY25" t="s">
        <v>336</v>
      </c>
      <c r="EZ25" t="s">
        <v>336</v>
      </c>
      <c r="FA25" t="s">
        <v>336</v>
      </c>
      <c r="FB25" t="s">
        <v>336</v>
      </c>
      <c r="FC25">
        <v>0</v>
      </c>
      <c r="FD25">
        <v>100</v>
      </c>
      <c r="FE25">
        <v>100</v>
      </c>
      <c r="FF25">
        <v>-1.5329999999999999</v>
      </c>
      <c r="FG25">
        <v>4.0800000000000003E-2</v>
      </c>
      <c r="FH25">
        <v>-0.98020551812546231</v>
      </c>
      <c r="FI25">
        <v>-6.1462078757559423E-4</v>
      </c>
      <c r="FJ25">
        <v>-1.8861989874597051E-7</v>
      </c>
      <c r="FK25">
        <v>1.1980462299894961E-10</v>
      </c>
      <c r="FL25">
        <v>-4.4410915568505363E-2</v>
      </c>
      <c r="FM25">
        <v>-1.6848085045870601E-2</v>
      </c>
      <c r="FN25">
        <v>1.9789084769509481E-3</v>
      </c>
      <c r="FO25">
        <v>-2.7142391389806329E-5</v>
      </c>
      <c r="FP25">
        <v>3</v>
      </c>
      <c r="FQ25">
        <v>2158</v>
      </c>
      <c r="FR25">
        <v>1</v>
      </c>
      <c r="FS25">
        <v>19</v>
      </c>
      <c r="FT25">
        <v>3.4</v>
      </c>
      <c r="FU25">
        <v>3.7</v>
      </c>
      <c r="FV25">
        <v>1.7700199999999999</v>
      </c>
      <c r="FW25">
        <v>2.5341800000000001</v>
      </c>
      <c r="FX25">
        <v>1.5490699999999999</v>
      </c>
      <c r="FY25">
        <v>2.34619</v>
      </c>
      <c r="FZ25">
        <v>1.50146</v>
      </c>
      <c r="GA25">
        <v>2.3815900000000001</v>
      </c>
      <c r="GB25">
        <v>29.729700000000001</v>
      </c>
      <c r="GC25">
        <v>23.877400000000002</v>
      </c>
      <c r="GD25">
        <v>19</v>
      </c>
      <c r="GE25">
        <v>260.88</v>
      </c>
      <c r="GF25">
        <v>615.38</v>
      </c>
      <c r="GG25">
        <v>19.8294</v>
      </c>
      <c r="GH25">
        <v>25.1981</v>
      </c>
      <c r="GI25">
        <v>30</v>
      </c>
      <c r="GJ25">
        <v>25.268899999999999</v>
      </c>
      <c r="GK25">
        <v>25.228200000000001</v>
      </c>
      <c r="GL25">
        <v>35.390799999999999</v>
      </c>
      <c r="GM25">
        <v>-30</v>
      </c>
      <c r="GN25">
        <v>-30</v>
      </c>
      <c r="GO25">
        <v>13.4422</v>
      </c>
      <c r="GP25">
        <v>800</v>
      </c>
      <c r="GQ25">
        <v>0</v>
      </c>
      <c r="GR25">
        <v>99.613</v>
      </c>
      <c r="GS25">
        <v>99.180800000000005</v>
      </c>
    </row>
    <row r="26" spans="1:201" x14ac:dyDescent="0.25">
      <c r="A26">
        <v>10</v>
      </c>
      <c r="B26">
        <v>1690200985.5</v>
      </c>
      <c r="C26">
        <v>138.5</v>
      </c>
      <c r="D26" t="s">
        <v>353</v>
      </c>
      <c r="E26" t="s">
        <v>354</v>
      </c>
      <c r="F26" t="s">
        <v>330</v>
      </c>
      <c r="H26">
        <v>1690200985.5</v>
      </c>
      <c r="I26">
        <f t="shared" si="0"/>
        <v>2.5518189605415166E-4</v>
      </c>
      <c r="J26">
        <f t="shared" si="1"/>
        <v>0.25518189605415165</v>
      </c>
      <c r="K26">
        <f t="shared" si="2"/>
        <v>7.3632033841830355E-2</v>
      </c>
      <c r="L26">
        <f t="shared" si="3"/>
        <v>796.88800000000003</v>
      </c>
      <c r="M26">
        <f t="shared" si="4"/>
        <v>759.52453540374154</v>
      </c>
      <c r="N26">
        <f t="shared" si="5"/>
        <v>75.258087931290618</v>
      </c>
      <c r="O26">
        <f t="shared" si="6"/>
        <v>78.9602763043208</v>
      </c>
      <c r="P26">
        <f t="shared" si="7"/>
        <v>1.1688147251647076E-2</v>
      </c>
      <c r="Q26">
        <f t="shared" si="8"/>
        <v>2.08038620323134</v>
      </c>
      <c r="R26">
        <f t="shared" si="9"/>
        <v>1.1651788112191114E-2</v>
      </c>
      <c r="S26">
        <f t="shared" si="10"/>
        <v>7.285624812814518E-3</v>
      </c>
      <c r="T26">
        <f t="shared" si="11"/>
        <v>276.1062427277808</v>
      </c>
      <c r="U26">
        <f t="shared" si="12"/>
        <v>26.800673048742439</v>
      </c>
      <c r="V26">
        <f t="shared" si="13"/>
        <v>26.800673048742439</v>
      </c>
      <c r="W26">
        <f t="shared" si="14"/>
        <v>3.5374720799179462</v>
      </c>
      <c r="X26">
        <f t="shared" si="15"/>
        <v>45.639436647777238</v>
      </c>
      <c r="Y26">
        <f t="shared" si="16"/>
        <v>1.42173244490135</v>
      </c>
      <c r="Z26">
        <f t="shared" si="17"/>
        <v>3.1151402149715013</v>
      </c>
      <c r="AA26">
        <f t="shared" si="18"/>
        <v>2.1157396350165962</v>
      </c>
      <c r="AB26">
        <f t="shared" si="19"/>
        <v>-11.253521615988088</v>
      </c>
      <c r="AC26">
        <f t="shared" si="20"/>
        <v>-240.48569120253029</v>
      </c>
      <c r="AD26">
        <f t="shared" si="21"/>
        <v>-24.63158900329141</v>
      </c>
      <c r="AE26">
        <f t="shared" si="22"/>
        <v>-0.26455909402901057</v>
      </c>
      <c r="AF26">
        <v>18</v>
      </c>
      <c r="AG26">
        <v>6</v>
      </c>
      <c r="AH26">
        <f t="shared" si="23"/>
        <v>1</v>
      </c>
      <c r="AI26">
        <f t="shared" si="24"/>
        <v>0</v>
      </c>
      <c r="AJ26">
        <f t="shared" si="25"/>
        <v>52765.628572288551</v>
      </c>
      <c r="AK26">
        <f t="shared" si="26"/>
        <v>1799.94</v>
      </c>
      <c r="AL26">
        <f t="shared" si="27"/>
        <v>1499.0618622055799</v>
      </c>
      <c r="AM26">
        <f t="shared" si="28"/>
        <v>0.83283990699999988</v>
      </c>
      <c r="AN26">
        <f t="shared" si="29"/>
        <v>0.15339747032000001</v>
      </c>
      <c r="AO26">
        <v>33.299999999999997</v>
      </c>
      <c r="AP26">
        <v>0.5</v>
      </c>
      <c r="AQ26" t="s">
        <v>331</v>
      </c>
      <c r="AR26">
        <v>2</v>
      </c>
      <c r="AS26">
        <v>1690200985.5</v>
      </c>
      <c r="AT26">
        <v>796.88800000000003</v>
      </c>
      <c r="AU26">
        <v>799.96100000000001</v>
      </c>
      <c r="AV26">
        <v>14.3485</v>
      </c>
      <c r="AW26">
        <v>11.558</v>
      </c>
      <c r="AX26">
        <v>798.41800000000001</v>
      </c>
      <c r="AY26">
        <v>14.308299999999999</v>
      </c>
      <c r="AZ26">
        <v>300.14800000000002</v>
      </c>
      <c r="BA26">
        <v>98.985799999999998</v>
      </c>
      <c r="BB26">
        <v>9.9989099999999997E-2</v>
      </c>
      <c r="BC26">
        <v>24.656500000000001</v>
      </c>
      <c r="BD26">
        <v>26.414400000000001</v>
      </c>
      <c r="BE26">
        <v>26.653199999999998</v>
      </c>
      <c r="BF26">
        <v>0</v>
      </c>
      <c r="BG26">
        <v>0</v>
      </c>
      <c r="BH26">
        <v>10002.5</v>
      </c>
      <c r="BI26">
        <v>1087.4000000000001</v>
      </c>
      <c r="BJ26">
        <v>1.2166300000000001</v>
      </c>
      <c r="BK26">
        <v>-3.0728800000000001</v>
      </c>
      <c r="BL26">
        <v>808.48900000000003</v>
      </c>
      <c r="BM26">
        <v>809.31500000000005</v>
      </c>
      <c r="BN26">
        <v>2.7904399999999998</v>
      </c>
      <c r="BO26">
        <v>799.96100000000001</v>
      </c>
      <c r="BP26">
        <v>11.558</v>
      </c>
      <c r="BQ26">
        <v>1.4202999999999999</v>
      </c>
      <c r="BR26">
        <v>1.14408</v>
      </c>
      <c r="BS26">
        <v>12.136100000000001</v>
      </c>
      <c r="BT26">
        <v>8.89316</v>
      </c>
      <c r="BU26">
        <v>1799.94</v>
      </c>
      <c r="BV26">
        <v>0.91000199999999998</v>
      </c>
      <c r="BW26">
        <v>3.4006599999999998E-2</v>
      </c>
      <c r="BX26">
        <v>2.2001099999999999E-2</v>
      </c>
      <c r="BY26">
        <v>3.3990199999999998E-2</v>
      </c>
      <c r="BZ26">
        <v>22</v>
      </c>
      <c r="CA26">
        <v>33527.199999999997</v>
      </c>
      <c r="CB26">
        <v>1690200769.5</v>
      </c>
      <c r="CC26" t="s">
        <v>332</v>
      </c>
      <c r="CD26">
        <v>1690200769.5</v>
      </c>
      <c r="CE26">
        <v>1690200753</v>
      </c>
      <c r="CF26">
        <v>2</v>
      </c>
      <c r="CG26">
        <v>-0.245</v>
      </c>
      <c r="CH26">
        <v>3.0000000000000001E-3</v>
      </c>
      <c r="CI26">
        <v>-1.5169999999999999</v>
      </c>
      <c r="CJ26">
        <v>-1.6E-2</v>
      </c>
      <c r="CK26">
        <v>778</v>
      </c>
      <c r="CL26">
        <v>12</v>
      </c>
      <c r="CM26">
        <v>0.01</v>
      </c>
      <c r="CN26">
        <v>0.03</v>
      </c>
      <c r="CO26">
        <v>1.2884317804878049</v>
      </c>
      <c r="CP26">
        <v>-23.388788090592332</v>
      </c>
      <c r="CQ26">
        <v>2.3094666682033052</v>
      </c>
      <c r="CR26">
        <v>-1</v>
      </c>
      <c r="CS26">
        <v>2.8104978048780489</v>
      </c>
      <c r="CT26">
        <v>-3.3104947735193492E-2</v>
      </c>
      <c r="CU26">
        <v>6.8044951111765279E-3</v>
      </c>
      <c r="CV26">
        <v>-1</v>
      </c>
      <c r="CW26">
        <v>0</v>
      </c>
      <c r="CX26">
        <v>0</v>
      </c>
      <c r="CY26" t="s">
        <v>333</v>
      </c>
      <c r="CZ26">
        <v>2.3655499999999998</v>
      </c>
      <c r="DA26">
        <v>2.7137799999999999</v>
      </c>
      <c r="DB26">
        <v>0.146591</v>
      </c>
      <c r="DC26">
        <v>0.146423</v>
      </c>
      <c r="DD26">
        <v>7.9015799999999997E-2</v>
      </c>
      <c r="DE26">
        <v>6.6181500000000004E-2</v>
      </c>
      <c r="DF26">
        <v>31131.9</v>
      </c>
      <c r="DG26">
        <v>27424.1</v>
      </c>
      <c r="DH26">
        <v>31138.7</v>
      </c>
      <c r="DI26">
        <v>27991.7</v>
      </c>
      <c r="DJ26">
        <v>38937.9</v>
      </c>
      <c r="DK26">
        <v>37130.6</v>
      </c>
      <c r="DL26">
        <v>44302.1</v>
      </c>
      <c r="DM26">
        <v>42380.4</v>
      </c>
      <c r="DN26">
        <v>1.43397</v>
      </c>
      <c r="DO26">
        <v>2.09022</v>
      </c>
      <c r="DP26">
        <v>0.13619700000000001</v>
      </c>
      <c r="DQ26">
        <v>0.15284900000000001</v>
      </c>
      <c r="DR26">
        <v>24.180800000000001</v>
      </c>
      <c r="DS26">
        <v>24.146999999999998</v>
      </c>
      <c r="DT26">
        <v>40.299999999999997</v>
      </c>
      <c r="DU26">
        <v>24.2</v>
      </c>
      <c r="DV26">
        <v>12.3399</v>
      </c>
      <c r="DW26">
        <v>62.969900000000003</v>
      </c>
      <c r="DX26">
        <v>36.009599999999999</v>
      </c>
      <c r="DY26">
        <v>1</v>
      </c>
      <c r="DZ26">
        <v>-0.15553900000000001</v>
      </c>
      <c r="EA26">
        <v>9.2810500000000005</v>
      </c>
      <c r="EB26">
        <v>19.8903</v>
      </c>
      <c r="EC26">
        <v>5.2423000000000002</v>
      </c>
      <c r="ED26">
        <v>12.039899999999999</v>
      </c>
      <c r="EE26">
        <v>5.0177500000000004</v>
      </c>
      <c r="EF26">
        <v>3.2879999999999998</v>
      </c>
      <c r="EG26">
        <v>9999</v>
      </c>
      <c r="EH26">
        <v>9999</v>
      </c>
      <c r="EI26">
        <v>9999</v>
      </c>
      <c r="EJ26">
        <v>999.9</v>
      </c>
      <c r="EK26">
        <v>1.8687199999999999</v>
      </c>
      <c r="EL26">
        <v>1.8643799999999999</v>
      </c>
      <c r="EM26">
        <v>1.8689899999999999</v>
      </c>
      <c r="EN26">
        <v>1.8670100000000001</v>
      </c>
      <c r="EO26">
        <v>1.8632200000000001</v>
      </c>
      <c r="EP26">
        <v>1.86429</v>
      </c>
      <c r="EQ26">
        <v>1.8699600000000001</v>
      </c>
      <c r="ER26">
        <v>1.8692</v>
      </c>
      <c r="ES26">
        <v>0</v>
      </c>
      <c r="ET26">
        <v>0</v>
      </c>
      <c r="EU26">
        <v>0</v>
      </c>
      <c r="EV26">
        <v>0</v>
      </c>
      <c r="EW26" t="s">
        <v>334</v>
      </c>
      <c r="EX26" t="s">
        <v>335</v>
      </c>
      <c r="EY26" t="s">
        <v>336</v>
      </c>
      <c r="EZ26" t="s">
        <v>336</v>
      </c>
      <c r="FA26" t="s">
        <v>336</v>
      </c>
      <c r="FB26" t="s">
        <v>336</v>
      </c>
      <c r="FC26">
        <v>0</v>
      </c>
      <c r="FD26">
        <v>100</v>
      </c>
      <c r="FE26">
        <v>100</v>
      </c>
      <c r="FF26">
        <v>-1.53</v>
      </c>
      <c r="FG26">
        <v>4.02E-2</v>
      </c>
      <c r="FH26">
        <v>-0.98020551812546231</v>
      </c>
      <c r="FI26">
        <v>-6.1462078757559423E-4</v>
      </c>
      <c r="FJ26">
        <v>-1.8861989874597051E-7</v>
      </c>
      <c r="FK26">
        <v>1.1980462299894961E-10</v>
      </c>
      <c r="FL26">
        <v>-4.4410915568505363E-2</v>
      </c>
      <c r="FM26">
        <v>-1.6848085045870601E-2</v>
      </c>
      <c r="FN26">
        <v>1.9789084769509481E-3</v>
      </c>
      <c r="FO26">
        <v>-2.7142391389806329E-5</v>
      </c>
      <c r="FP26">
        <v>3</v>
      </c>
      <c r="FQ26">
        <v>2158</v>
      </c>
      <c r="FR26">
        <v>1</v>
      </c>
      <c r="FS26">
        <v>19</v>
      </c>
      <c r="FT26">
        <v>3.6</v>
      </c>
      <c r="FU26">
        <v>3.9</v>
      </c>
      <c r="FV26">
        <v>1.7700199999999999</v>
      </c>
      <c r="FW26">
        <v>2.5341800000000001</v>
      </c>
      <c r="FX26">
        <v>1.5490699999999999</v>
      </c>
      <c r="FY26">
        <v>2.34619</v>
      </c>
      <c r="FZ26">
        <v>1.50146</v>
      </c>
      <c r="GA26">
        <v>2.3840300000000001</v>
      </c>
      <c r="GB26">
        <v>29.751000000000001</v>
      </c>
      <c r="GC26">
        <v>23.877400000000002</v>
      </c>
      <c r="GD26">
        <v>19</v>
      </c>
      <c r="GE26">
        <v>260.91000000000003</v>
      </c>
      <c r="GF26">
        <v>615.50300000000004</v>
      </c>
      <c r="GG26">
        <v>18.4648</v>
      </c>
      <c r="GH26">
        <v>25.2103</v>
      </c>
      <c r="GI26">
        <v>29.9998</v>
      </c>
      <c r="GJ26">
        <v>25.273700000000002</v>
      </c>
      <c r="GK26">
        <v>25.232900000000001</v>
      </c>
      <c r="GL26">
        <v>35.393900000000002</v>
      </c>
      <c r="GM26">
        <v>-30</v>
      </c>
      <c r="GN26">
        <v>-30</v>
      </c>
      <c r="GO26">
        <v>12.672599999999999</v>
      </c>
      <c r="GP26">
        <v>800</v>
      </c>
      <c r="GQ26">
        <v>0</v>
      </c>
      <c r="GR26">
        <v>99.615799999999993</v>
      </c>
      <c r="GS26">
        <v>99.184700000000007</v>
      </c>
    </row>
    <row r="27" spans="1:201" x14ac:dyDescent="0.25">
      <c r="A27">
        <v>11</v>
      </c>
      <c r="B27">
        <v>1690200995.5</v>
      </c>
      <c r="C27">
        <v>148.5</v>
      </c>
      <c r="D27" t="s">
        <v>355</v>
      </c>
      <c r="E27" t="s">
        <v>356</v>
      </c>
      <c r="F27" t="s">
        <v>330</v>
      </c>
      <c r="H27">
        <v>1690200995.5</v>
      </c>
      <c r="I27">
        <f t="shared" si="0"/>
        <v>2.5090216734090698E-4</v>
      </c>
      <c r="J27">
        <f t="shared" si="1"/>
        <v>0.25090216734090698</v>
      </c>
      <c r="K27">
        <f t="shared" si="2"/>
        <v>0.37166484847957598</v>
      </c>
      <c r="L27">
        <f t="shared" si="3"/>
        <v>793.66099999999994</v>
      </c>
      <c r="M27">
        <f t="shared" si="4"/>
        <v>717.20455902901233</v>
      </c>
      <c r="N27">
        <f t="shared" si="5"/>
        <v>71.064150617388492</v>
      </c>
      <c r="O27">
        <f t="shared" si="6"/>
        <v>78.639830342831999</v>
      </c>
      <c r="P27">
        <f t="shared" si="7"/>
        <v>1.1775920985270834E-2</v>
      </c>
      <c r="Q27">
        <f t="shared" si="8"/>
        <v>2.0800279516296092</v>
      </c>
      <c r="R27">
        <f t="shared" si="9"/>
        <v>1.1739008303340948E-2</v>
      </c>
      <c r="S27">
        <f t="shared" si="10"/>
        <v>7.3401869484493593E-3</v>
      </c>
      <c r="T27">
        <f t="shared" si="11"/>
        <v>276.10854081725802</v>
      </c>
      <c r="U27">
        <f t="shared" si="12"/>
        <v>26.532593181795143</v>
      </c>
      <c r="V27">
        <f t="shared" si="13"/>
        <v>26.532593181795143</v>
      </c>
      <c r="W27">
        <f t="shared" si="14"/>
        <v>3.4820741070259897</v>
      </c>
      <c r="X27">
        <f t="shared" si="15"/>
        <v>46.218207108545016</v>
      </c>
      <c r="Y27">
        <f t="shared" si="16"/>
        <v>1.4166467123376001</v>
      </c>
      <c r="Z27">
        <f t="shared" si="17"/>
        <v>3.0651269293301611</v>
      </c>
      <c r="AA27">
        <f t="shared" si="18"/>
        <v>2.0654273946883897</v>
      </c>
      <c r="AB27">
        <f t="shared" si="19"/>
        <v>-11.064785579733998</v>
      </c>
      <c r="AC27">
        <f t="shared" si="20"/>
        <v>-240.71566852515346</v>
      </c>
      <c r="AD27">
        <f t="shared" si="21"/>
        <v>-24.592764237823172</v>
      </c>
      <c r="AE27">
        <f t="shared" si="22"/>
        <v>-0.26467752545261192</v>
      </c>
      <c r="AF27">
        <v>18</v>
      </c>
      <c r="AG27">
        <v>6</v>
      </c>
      <c r="AH27">
        <f t="shared" si="23"/>
        <v>1</v>
      </c>
      <c r="AI27">
        <f t="shared" si="24"/>
        <v>0</v>
      </c>
      <c r="AJ27">
        <f t="shared" si="25"/>
        <v>52797.343595910643</v>
      </c>
      <c r="AK27">
        <f t="shared" si="26"/>
        <v>1799.95</v>
      </c>
      <c r="AL27">
        <f t="shared" si="27"/>
        <v>1499.0700142095498</v>
      </c>
      <c r="AM27">
        <f t="shared" si="28"/>
        <v>0.83283980899999988</v>
      </c>
      <c r="AN27">
        <f t="shared" si="29"/>
        <v>0.15339789484000002</v>
      </c>
      <c r="AO27">
        <v>33.299999999999997</v>
      </c>
      <c r="AP27">
        <v>0.5</v>
      </c>
      <c r="AQ27" t="s">
        <v>331</v>
      </c>
      <c r="AR27">
        <v>2</v>
      </c>
      <c r="AS27">
        <v>1690200995.5</v>
      </c>
      <c r="AT27">
        <v>793.66099999999994</v>
      </c>
      <c r="AU27">
        <v>799.995</v>
      </c>
      <c r="AV27">
        <v>14.2973</v>
      </c>
      <c r="AW27">
        <v>11.552899999999999</v>
      </c>
      <c r="AX27">
        <v>795.18899999999996</v>
      </c>
      <c r="AY27">
        <v>14.2583</v>
      </c>
      <c r="AZ27">
        <v>300.08699999999999</v>
      </c>
      <c r="BA27">
        <v>98.984899999999996</v>
      </c>
      <c r="BB27">
        <v>0.100012</v>
      </c>
      <c r="BC27">
        <v>24.385999999999999</v>
      </c>
      <c r="BD27">
        <v>26.093800000000002</v>
      </c>
      <c r="BE27">
        <v>26.311499999999999</v>
      </c>
      <c r="BF27">
        <v>0</v>
      </c>
      <c r="BG27">
        <v>0</v>
      </c>
      <c r="BH27">
        <v>9999.3799999999992</v>
      </c>
      <c r="BI27">
        <v>1084.6400000000001</v>
      </c>
      <c r="BJ27">
        <v>1.0260100000000001</v>
      </c>
      <c r="BK27">
        <v>-6.3334999999999999</v>
      </c>
      <c r="BL27">
        <v>805.173</v>
      </c>
      <c r="BM27">
        <v>809.34500000000003</v>
      </c>
      <c r="BN27">
        <v>2.7444099999999998</v>
      </c>
      <c r="BO27">
        <v>799.995</v>
      </c>
      <c r="BP27">
        <v>11.552899999999999</v>
      </c>
      <c r="BQ27">
        <v>1.4152100000000001</v>
      </c>
      <c r="BR27">
        <v>1.1435599999999999</v>
      </c>
      <c r="BS27">
        <v>12.0816</v>
      </c>
      <c r="BT27">
        <v>8.8863800000000008</v>
      </c>
      <c r="BU27">
        <v>1799.95</v>
      </c>
      <c r="BV27">
        <v>0.90999099999999999</v>
      </c>
      <c r="BW27">
        <v>3.4004300000000001E-2</v>
      </c>
      <c r="BX27">
        <v>2.20057E-2</v>
      </c>
      <c r="BY27">
        <v>3.39992E-2</v>
      </c>
      <c r="BZ27">
        <v>22</v>
      </c>
      <c r="CA27">
        <v>33527.199999999997</v>
      </c>
      <c r="CB27">
        <v>1690200769.5</v>
      </c>
      <c r="CC27" t="s">
        <v>332</v>
      </c>
      <c r="CD27">
        <v>1690200769.5</v>
      </c>
      <c r="CE27">
        <v>1690200753</v>
      </c>
      <c r="CF27">
        <v>2</v>
      </c>
      <c r="CG27">
        <v>-0.245</v>
      </c>
      <c r="CH27">
        <v>3.0000000000000001E-3</v>
      </c>
      <c r="CI27">
        <v>-1.5169999999999999</v>
      </c>
      <c r="CJ27">
        <v>-1.6E-2</v>
      </c>
      <c r="CK27">
        <v>778</v>
      </c>
      <c r="CL27">
        <v>12</v>
      </c>
      <c r="CM27">
        <v>0.01</v>
      </c>
      <c r="CN27">
        <v>0.03</v>
      </c>
      <c r="CO27">
        <v>-2.8279869249999998</v>
      </c>
      <c r="CP27">
        <v>-21.994462097560969</v>
      </c>
      <c r="CQ27">
        <v>2.118990265297346</v>
      </c>
      <c r="CR27">
        <v>-1</v>
      </c>
      <c r="CS27">
        <v>2.7878317500000001</v>
      </c>
      <c r="CT27">
        <v>-0.2194544465290833</v>
      </c>
      <c r="CU27">
        <v>2.1290041790412249E-2</v>
      </c>
      <c r="CV27">
        <v>-1</v>
      </c>
      <c r="CW27">
        <v>0</v>
      </c>
      <c r="CX27">
        <v>0</v>
      </c>
      <c r="CY27" t="s">
        <v>333</v>
      </c>
      <c r="CZ27">
        <v>2.3653200000000001</v>
      </c>
      <c r="DA27">
        <v>2.7138</v>
      </c>
      <c r="DB27">
        <v>0.14619099999999999</v>
      </c>
      <c r="DC27">
        <v>0.146424</v>
      </c>
      <c r="DD27">
        <v>7.8808100000000006E-2</v>
      </c>
      <c r="DE27">
        <v>6.6157400000000005E-2</v>
      </c>
      <c r="DF27">
        <v>31147.1</v>
      </c>
      <c r="DG27">
        <v>27424.3</v>
      </c>
      <c r="DH27">
        <v>31139.3</v>
      </c>
      <c r="DI27">
        <v>27992</v>
      </c>
      <c r="DJ27">
        <v>38947.5</v>
      </c>
      <c r="DK27">
        <v>37132</v>
      </c>
      <c r="DL27">
        <v>44303</v>
      </c>
      <c r="DM27">
        <v>42380.800000000003</v>
      </c>
      <c r="DN27">
        <v>1.4337800000000001</v>
      </c>
      <c r="DO27">
        <v>2.0897000000000001</v>
      </c>
      <c r="DP27">
        <v>0.117272</v>
      </c>
      <c r="DQ27">
        <v>0.134967</v>
      </c>
      <c r="DR27">
        <v>24.17</v>
      </c>
      <c r="DS27">
        <v>24.097799999999999</v>
      </c>
      <c r="DT27">
        <v>40.299999999999997</v>
      </c>
      <c r="DU27">
        <v>24.2</v>
      </c>
      <c r="DV27">
        <v>12.3406</v>
      </c>
      <c r="DW27">
        <v>63.139899999999997</v>
      </c>
      <c r="DX27">
        <v>36.5184</v>
      </c>
      <c r="DY27">
        <v>1</v>
      </c>
      <c r="DZ27">
        <v>-0.155386</v>
      </c>
      <c r="EA27">
        <v>8.0455299999999994</v>
      </c>
      <c r="EB27">
        <v>19.9254</v>
      </c>
      <c r="EC27">
        <v>5.242</v>
      </c>
      <c r="ED27">
        <v>12.039899999999999</v>
      </c>
      <c r="EE27">
        <v>5.0175999999999998</v>
      </c>
      <c r="EF27">
        <v>3.2879999999999998</v>
      </c>
      <c r="EG27">
        <v>9999</v>
      </c>
      <c r="EH27">
        <v>9999</v>
      </c>
      <c r="EI27">
        <v>9999</v>
      </c>
      <c r="EJ27">
        <v>999.9</v>
      </c>
      <c r="EK27">
        <v>1.86873</v>
      </c>
      <c r="EL27">
        <v>1.8643799999999999</v>
      </c>
      <c r="EM27">
        <v>1.8689800000000001</v>
      </c>
      <c r="EN27">
        <v>1.8670599999999999</v>
      </c>
      <c r="EO27">
        <v>1.86321</v>
      </c>
      <c r="EP27">
        <v>1.8643099999999999</v>
      </c>
      <c r="EQ27">
        <v>1.8699699999999999</v>
      </c>
      <c r="ER27">
        <v>1.8692299999999999</v>
      </c>
      <c r="ES27">
        <v>0</v>
      </c>
      <c r="ET27">
        <v>0</v>
      </c>
      <c r="EU27">
        <v>0</v>
      </c>
      <c r="EV27">
        <v>0</v>
      </c>
      <c r="EW27" t="s">
        <v>334</v>
      </c>
      <c r="EX27" t="s">
        <v>335</v>
      </c>
      <c r="EY27" t="s">
        <v>336</v>
      </c>
      <c r="EZ27" t="s">
        <v>336</v>
      </c>
      <c r="FA27" t="s">
        <v>336</v>
      </c>
      <c r="FB27" t="s">
        <v>336</v>
      </c>
      <c r="FC27">
        <v>0</v>
      </c>
      <c r="FD27">
        <v>100</v>
      </c>
      <c r="FE27">
        <v>100</v>
      </c>
      <c r="FF27">
        <v>-1.528</v>
      </c>
      <c r="FG27">
        <v>3.9E-2</v>
      </c>
      <c r="FH27">
        <v>-0.98020551812546231</v>
      </c>
      <c r="FI27">
        <v>-6.1462078757559423E-4</v>
      </c>
      <c r="FJ27">
        <v>-1.8861989874597051E-7</v>
      </c>
      <c r="FK27">
        <v>1.1980462299894961E-10</v>
      </c>
      <c r="FL27">
        <v>-4.4410915568505363E-2</v>
      </c>
      <c r="FM27">
        <v>-1.6848085045870601E-2</v>
      </c>
      <c r="FN27">
        <v>1.9789084769509481E-3</v>
      </c>
      <c r="FO27">
        <v>-2.7142391389806329E-5</v>
      </c>
      <c r="FP27">
        <v>3</v>
      </c>
      <c r="FQ27">
        <v>2158</v>
      </c>
      <c r="FR27">
        <v>1</v>
      </c>
      <c r="FS27">
        <v>19</v>
      </c>
      <c r="FT27">
        <v>3.8</v>
      </c>
      <c r="FU27">
        <v>4</v>
      </c>
      <c r="FV27">
        <v>1.7700199999999999</v>
      </c>
      <c r="FW27">
        <v>2.5354000000000001</v>
      </c>
      <c r="FX27">
        <v>1.5490699999999999</v>
      </c>
      <c r="FY27">
        <v>2.34619</v>
      </c>
      <c r="FZ27">
        <v>1.50146</v>
      </c>
      <c r="GA27">
        <v>2.36206</v>
      </c>
      <c r="GB27">
        <v>29.772400000000001</v>
      </c>
      <c r="GC27">
        <v>23.9649</v>
      </c>
      <c r="GD27">
        <v>19</v>
      </c>
      <c r="GE27">
        <v>260.85899999999998</v>
      </c>
      <c r="GF27">
        <v>615.12300000000005</v>
      </c>
      <c r="GG27">
        <v>17.392199999999999</v>
      </c>
      <c r="GH27">
        <v>25.226199999999999</v>
      </c>
      <c r="GI27">
        <v>30</v>
      </c>
      <c r="GJ27">
        <v>25.2806</v>
      </c>
      <c r="GK27">
        <v>25.238700000000001</v>
      </c>
      <c r="GL27">
        <v>35.3934</v>
      </c>
      <c r="GM27">
        <v>-30</v>
      </c>
      <c r="GN27">
        <v>-30</v>
      </c>
      <c r="GO27">
        <v>21.839300000000001</v>
      </c>
      <c r="GP27">
        <v>800</v>
      </c>
      <c r="GQ27">
        <v>0</v>
      </c>
      <c r="GR27">
        <v>99.617800000000003</v>
      </c>
      <c r="GS27">
        <v>99.185599999999994</v>
      </c>
    </row>
    <row r="28" spans="1:201" x14ac:dyDescent="0.25">
      <c r="A28">
        <v>12</v>
      </c>
      <c r="B28">
        <v>1690201005.5</v>
      </c>
      <c r="C28">
        <v>158.5</v>
      </c>
      <c r="D28" t="s">
        <v>357</v>
      </c>
      <c r="E28" t="s">
        <v>358</v>
      </c>
      <c r="F28" t="s">
        <v>330</v>
      </c>
      <c r="H28">
        <v>1690201005.5</v>
      </c>
      <c r="I28">
        <f t="shared" si="0"/>
        <v>2.5335032623518259E-4</v>
      </c>
      <c r="J28">
        <f t="shared" si="1"/>
        <v>0.25335032623518261</v>
      </c>
      <c r="K28">
        <f t="shared" si="2"/>
        <v>0.59955834028076882</v>
      </c>
      <c r="L28">
        <f t="shared" si="3"/>
        <v>791.06100000000004</v>
      </c>
      <c r="M28">
        <f t="shared" si="4"/>
        <v>685.51549233253706</v>
      </c>
      <c r="N28">
        <f t="shared" si="5"/>
        <v>67.92418464910476</v>
      </c>
      <c r="O28">
        <f t="shared" si="6"/>
        <v>78.382143122507998</v>
      </c>
      <c r="P28">
        <f t="shared" si="7"/>
        <v>1.1956988193809675E-2</v>
      </c>
      <c r="Q28">
        <f t="shared" si="8"/>
        <v>2.080441862033207</v>
      </c>
      <c r="R28">
        <f t="shared" si="9"/>
        <v>1.1918941167286578E-2</v>
      </c>
      <c r="S28">
        <f t="shared" si="10"/>
        <v>7.4527464568260714E-3</v>
      </c>
      <c r="T28">
        <f t="shared" si="11"/>
        <v>276.10747580484252</v>
      </c>
      <c r="U28">
        <f t="shared" si="12"/>
        <v>26.488008625749117</v>
      </c>
      <c r="V28">
        <f t="shared" si="13"/>
        <v>26.488008625749117</v>
      </c>
      <c r="W28">
        <f t="shared" si="14"/>
        <v>3.4729346806663259</v>
      </c>
      <c r="X28">
        <f t="shared" si="15"/>
        <v>46.407844839769083</v>
      </c>
      <c r="Y28">
        <f t="shared" si="16"/>
        <v>1.4187659266835999</v>
      </c>
      <c r="Z28">
        <f t="shared" si="17"/>
        <v>3.0571683119139208</v>
      </c>
      <c r="AA28">
        <f t="shared" si="18"/>
        <v>2.0541687539827258</v>
      </c>
      <c r="AB28">
        <f t="shared" si="19"/>
        <v>-11.172749386971553</v>
      </c>
      <c r="AC28">
        <f t="shared" si="20"/>
        <v>-240.63070845685871</v>
      </c>
      <c r="AD28">
        <f t="shared" si="21"/>
        <v>-24.568325774691882</v>
      </c>
      <c r="AE28">
        <f t="shared" si="22"/>
        <v>-0.26430781367963618</v>
      </c>
      <c r="AF28">
        <v>16</v>
      </c>
      <c r="AG28">
        <v>5</v>
      </c>
      <c r="AH28">
        <f t="shared" si="23"/>
        <v>1</v>
      </c>
      <c r="AI28">
        <f t="shared" si="24"/>
        <v>0</v>
      </c>
      <c r="AJ28">
        <f t="shared" si="25"/>
        <v>52823.837542870657</v>
      </c>
      <c r="AK28">
        <f t="shared" si="26"/>
        <v>1799.95</v>
      </c>
      <c r="AL28">
        <f t="shared" si="27"/>
        <v>1499.0695120235</v>
      </c>
      <c r="AM28">
        <f t="shared" si="28"/>
        <v>0.83283952999999999</v>
      </c>
      <c r="AN28">
        <f t="shared" si="29"/>
        <v>0.15339730315</v>
      </c>
      <c r="AO28">
        <v>33.299999999999997</v>
      </c>
      <c r="AP28">
        <v>0.5</v>
      </c>
      <c r="AQ28" t="s">
        <v>331</v>
      </c>
      <c r="AR28">
        <v>2</v>
      </c>
      <c r="AS28">
        <v>1690201005.5</v>
      </c>
      <c r="AT28">
        <v>791.06100000000004</v>
      </c>
      <c r="AU28">
        <v>799.94</v>
      </c>
      <c r="AV28">
        <v>14.3187</v>
      </c>
      <c r="AW28">
        <v>11.547000000000001</v>
      </c>
      <c r="AX28">
        <v>792.58799999999997</v>
      </c>
      <c r="AY28">
        <v>14.279299999999999</v>
      </c>
      <c r="AZ28">
        <v>300.024</v>
      </c>
      <c r="BA28">
        <v>98.984800000000007</v>
      </c>
      <c r="BB28">
        <v>0.10002800000000001</v>
      </c>
      <c r="BC28">
        <v>24.342600000000001</v>
      </c>
      <c r="BD28">
        <v>25.9315</v>
      </c>
      <c r="BE28">
        <v>26.1356</v>
      </c>
      <c r="BF28">
        <v>0</v>
      </c>
      <c r="BG28">
        <v>0</v>
      </c>
      <c r="BH28">
        <v>10003.1</v>
      </c>
      <c r="BI28">
        <v>1081.74</v>
      </c>
      <c r="BJ28">
        <v>1.20262</v>
      </c>
      <c r="BK28">
        <v>-8.8785399999999992</v>
      </c>
      <c r="BL28">
        <v>802.553</v>
      </c>
      <c r="BM28">
        <v>809.28499999999997</v>
      </c>
      <c r="BN28">
        <v>2.7717200000000002</v>
      </c>
      <c r="BO28">
        <v>799.94</v>
      </c>
      <c r="BP28">
        <v>11.547000000000001</v>
      </c>
      <c r="BQ28">
        <v>1.41734</v>
      </c>
      <c r="BR28">
        <v>1.1429800000000001</v>
      </c>
      <c r="BS28">
        <v>12.1044</v>
      </c>
      <c r="BT28">
        <v>8.8788800000000005</v>
      </c>
      <c r="BU28">
        <v>1799.95</v>
      </c>
      <c r="BV28">
        <v>0.909995</v>
      </c>
      <c r="BW28">
        <v>3.3998899999999999E-2</v>
      </c>
      <c r="BX28">
        <v>2.19975E-2</v>
      </c>
      <c r="BY28">
        <v>3.4008900000000002E-2</v>
      </c>
      <c r="BZ28">
        <v>22</v>
      </c>
      <c r="CA28">
        <v>33527.5</v>
      </c>
      <c r="CB28">
        <v>1690200769.5</v>
      </c>
      <c r="CC28" t="s">
        <v>332</v>
      </c>
      <c r="CD28">
        <v>1690200769.5</v>
      </c>
      <c r="CE28">
        <v>1690200753</v>
      </c>
      <c r="CF28">
        <v>2</v>
      </c>
      <c r="CG28">
        <v>-0.245</v>
      </c>
      <c r="CH28">
        <v>3.0000000000000001E-3</v>
      </c>
      <c r="CI28">
        <v>-1.5169999999999999</v>
      </c>
      <c r="CJ28">
        <v>-1.6E-2</v>
      </c>
      <c r="CK28">
        <v>778</v>
      </c>
      <c r="CL28">
        <v>12</v>
      </c>
      <c r="CM28">
        <v>0.01</v>
      </c>
      <c r="CN28">
        <v>0.03</v>
      </c>
      <c r="CO28">
        <v>-6.1083594999999997</v>
      </c>
      <c r="CP28">
        <v>-17.340163001876171</v>
      </c>
      <c r="CQ28">
        <v>1.671231117281434</v>
      </c>
      <c r="CR28">
        <v>-1</v>
      </c>
      <c r="CS28">
        <v>2.7535574999999999</v>
      </c>
      <c r="CT28">
        <v>-0.16237891181988559</v>
      </c>
      <c r="CU28">
        <v>1.9977478913766871E-2</v>
      </c>
      <c r="CV28">
        <v>-1</v>
      </c>
      <c r="CW28">
        <v>0</v>
      </c>
      <c r="CX28">
        <v>0</v>
      </c>
      <c r="CY28" t="s">
        <v>333</v>
      </c>
      <c r="CZ28">
        <v>2.3651</v>
      </c>
      <c r="DA28">
        <v>2.7138200000000001</v>
      </c>
      <c r="DB28">
        <v>0.145869</v>
      </c>
      <c r="DC28">
        <v>0.14641499999999999</v>
      </c>
      <c r="DD28">
        <v>7.8892699999999996E-2</v>
      </c>
      <c r="DE28">
        <v>6.6131099999999998E-2</v>
      </c>
      <c r="DF28">
        <v>31159.8</v>
      </c>
      <c r="DG28">
        <v>27425.4</v>
      </c>
      <c r="DH28">
        <v>31140.400000000001</v>
      </c>
      <c r="DI28">
        <v>27992.9</v>
      </c>
      <c r="DJ28">
        <v>38944.9</v>
      </c>
      <c r="DK28">
        <v>37134.300000000003</v>
      </c>
      <c r="DL28">
        <v>44304.1</v>
      </c>
      <c r="DM28">
        <v>42382.3</v>
      </c>
      <c r="DN28">
        <v>1.4389000000000001</v>
      </c>
      <c r="DO28">
        <v>2.0891500000000001</v>
      </c>
      <c r="DP28">
        <v>0.10896500000000001</v>
      </c>
      <c r="DQ28">
        <v>0.128224</v>
      </c>
      <c r="DR28">
        <v>24.143799999999999</v>
      </c>
      <c r="DS28">
        <v>24.032</v>
      </c>
      <c r="DT28">
        <v>40.299999999999997</v>
      </c>
      <c r="DU28">
        <v>24.2</v>
      </c>
      <c r="DV28">
        <v>12.342000000000001</v>
      </c>
      <c r="DW28">
        <v>62.349899999999998</v>
      </c>
      <c r="DX28">
        <v>36.790900000000001</v>
      </c>
      <c r="DY28">
        <v>1</v>
      </c>
      <c r="DZ28">
        <v>-0.162998</v>
      </c>
      <c r="EA28">
        <v>-5.6585400000000003</v>
      </c>
      <c r="EB28">
        <v>20.0441</v>
      </c>
      <c r="EC28">
        <v>5.2426000000000004</v>
      </c>
      <c r="ED28">
        <v>12.039899999999999</v>
      </c>
      <c r="EE28">
        <v>5.0175999999999998</v>
      </c>
      <c r="EF28">
        <v>3.2879999999999998</v>
      </c>
      <c r="EG28">
        <v>9999</v>
      </c>
      <c r="EH28">
        <v>9999</v>
      </c>
      <c r="EI28">
        <v>9999</v>
      </c>
      <c r="EJ28">
        <v>999.9</v>
      </c>
      <c r="EK28">
        <v>1.8687400000000001</v>
      </c>
      <c r="EL28">
        <v>1.8644499999999999</v>
      </c>
      <c r="EM28">
        <v>1.86904</v>
      </c>
      <c r="EN28">
        <v>1.86707</v>
      </c>
      <c r="EO28">
        <v>1.86324</v>
      </c>
      <c r="EP28">
        <v>1.8643099999999999</v>
      </c>
      <c r="EQ28">
        <v>1.86998</v>
      </c>
      <c r="ER28">
        <v>1.86924</v>
      </c>
      <c r="ES28">
        <v>0</v>
      </c>
      <c r="ET28">
        <v>0</v>
      </c>
      <c r="EU28">
        <v>0</v>
      </c>
      <c r="EV28">
        <v>0</v>
      </c>
      <c r="EW28" t="s">
        <v>334</v>
      </c>
      <c r="EX28" t="s">
        <v>335</v>
      </c>
      <c r="EY28" t="s">
        <v>336</v>
      </c>
      <c r="EZ28" t="s">
        <v>336</v>
      </c>
      <c r="FA28" t="s">
        <v>336</v>
      </c>
      <c r="FB28" t="s">
        <v>336</v>
      </c>
      <c r="FC28">
        <v>0</v>
      </c>
      <c r="FD28">
        <v>100</v>
      </c>
      <c r="FE28">
        <v>100</v>
      </c>
      <c r="FF28">
        <v>-1.5269999999999999</v>
      </c>
      <c r="FG28">
        <v>3.9399999999999998E-2</v>
      </c>
      <c r="FH28">
        <v>-0.98020551812546231</v>
      </c>
      <c r="FI28">
        <v>-6.1462078757559423E-4</v>
      </c>
      <c r="FJ28">
        <v>-1.8861989874597051E-7</v>
      </c>
      <c r="FK28">
        <v>1.1980462299894961E-10</v>
      </c>
      <c r="FL28">
        <v>-4.4410915568505363E-2</v>
      </c>
      <c r="FM28">
        <v>-1.6848085045870601E-2</v>
      </c>
      <c r="FN28">
        <v>1.9789084769509481E-3</v>
      </c>
      <c r="FO28">
        <v>-2.7142391389806329E-5</v>
      </c>
      <c r="FP28">
        <v>3</v>
      </c>
      <c r="FQ28">
        <v>2158</v>
      </c>
      <c r="FR28">
        <v>1</v>
      </c>
      <c r="FS28">
        <v>19</v>
      </c>
      <c r="FT28">
        <v>3.9</v>
      </c>
      <c r="FU28">
        <v>4.2</v>
      </c>
      <c r="FV28">
        <v>1.7712399999999999</v>
      </c>
      <c r="FW28">
        <v>2.5415000000000001</v>
      </c>
      <c r="FX28">
        <v>1.5490699999999999</v>
      </c>
      <c r="FY28">
        <v>2.34619</v>
      </c>
      <c r="FZ28">
        <v>1.50146</v>
      </c>
      <c r="GA28">
        <v>2.2912599999999999</v>
      </c>
      <c r="GB28">
        <v>29.793700000000001</v>
      </c>
      <c r="GC28">
        <v>23.903600000000001</v>
      </c>
      <c r="GD28">
        <v>19</v>
      </c>
      <c r="GE28">
        <v>262.93900000000002</v>
      </c>
      <c r="GF28">
        <v>614.72799999999995</v>
      </c>
      <c r="GG28">
        <v>21.508299999999998</v>
      </c>
      <c r="GH28">
        <v>25.245799999999999</v>
      </c>
      <c r="GI28">
        <v>29.998699999999999</v>
      </c>
      <c r="GJ28">
        <v>25.289000000000001</v>
      </c>
      <c r="GK28">
        <v>25.245000000000001</v>
      </c>
      <c r="GL28">
        <v>35.404299999999999</v>
      </c>
      <c r="GM28">
        <v>-30</v>
      </c>
      <c r="GN28">
        <v>-30</v>
      </c>
      <c r="GO28">
        <v>23.268699999999999</v>
      </c>
      <c r="GP28">
        <v>800</v>
      </c>
      <c r="GQ28">
        <v>0</v>
      </c>
      <c r="GR28">
        <v>99.620599999999996</v>
      </c>
      <c r="GS28">
        <v>99.189099999999996</v>
      </c>
    </row>
    <row r="29" spans="1:201" x14ac:dyDescent="0.25">
      <c r="A29">
        <v>13</v>
      </c>
      <c r="B29">
        <v>1690201015.5</v>
      </c>
      <c r="C29">
        <v>168.5</v>
      </c>
      <c r="D29" t="s">
        <v>359</v>
      </c>
      <c r="E29" t="s">
        <v>360</v>
      </c>
      <c r="F29" t="s">
        <v>330</v>
      </c>
      <c r="H29">
        <v>1690201015.5</v>
      </c>
      <c r="I29">
        <f t="shared" si="0"/>
        <v>2.6501157289859976E-4</v>
      </c>
      <c r="J29">
        <f t="shared" si="1"/>
        <v>0.26501157289859978</v>
      </c>
      <c r="K29">
        <f t="shared" si="2"/>
        <v>0.81570133817887314</v>
      </c>
      <c r="L29">
        <f t="shared" si="3"/>
        <v>788.55700000000002</v>
      </c>
      <c r="M29">
        <f t="shared" si="4"/>
        <v>655.62193773024876</v>
      </c>
      <c r="N29">
        <f t="shared" si="5"/>
        <v>64.962361459588237</v>
      </c>
      <c r="O29">
        <f t="shared" si="6"/>
        <v>78.134244627069407</v>
      </c>
      <c r="P29">
        <f t="shared" si="7"/>
        <v>1.2154681494815913E-2</v>
      </c>
      <c r="Q29">
        <f t="shared" si="8"/>
        <v>2.07821435394002</v>
      </c>
      <c r="R29">
        <f t="shared" si="9"/>
        <v>1.2115326193890058E-2</v>
      </c>
      <c r="S29">
        <f t="shared" si="10"/>
        <v>7.5756041100188045E-3</v>
      </c>
      <c r="T29">
        <f t="shared" si="11"/>
        <v>276.108547405075</v>
      </c>
      <c r="U29">
        <f t="shared" si="12"/>
        <v>26.830251564604506</v>
      </c>
      <c r="V29">
        <f t="shared" si="13"/>
        <v>26.830251564604506</v>
      </c>
      <c r="W29">
        <f t="shared" si="14"/>
        <v>3.5436312737732933</v>
      </c>
      <c r="X29">
        <f t="shared" si="15"/>
        <v>45.840101037599794</v>
      </c>
      <c r="Y29">
        <f t="shared" si="16"/>
        <v>1.4306401326067</v>
      </c>
      <c r="Z29">
        <f t="shared" si="17"/>
        <v>3.1209358186912253</v>
      </c>
      <c r="AA29">
        <f t="shared" si="18"/>
        <v>2.1129911411665931</v>
      </c>
      <c r="AB29">
        <f t="shared" si="19"/>
        <v>-11.68701036482825</v>
      </c>
      <c r="AC29">
        <f t="shared" si="20"/>
        <v>-240.06416454800819</v>
      </c>
      <c r="AD29">
        <f t="shared" si="21"/>
        <v>-24.621610438960865</v>
      </c>
      <c r="AE29">
        <f t="shared" si="22"/>
        <v>-0.26423794672228951</v>
      </c>
      <c r="AF29">
        <v>16</v>
      </c>
      <c r="AG29">
        <v>5</v>
      </c>
      <c r="AH29">
        <f t="shared" si="23"/>
        <v>1</v>
      </c>
      <c r="AI29">
        <f t="shared" si="24"/>
        <v>0</v>
      </c>
      <c r="AJ29">
        <f t="shared" si="25"/>
        <v>52661.676652782022</v>
      </c>
      <c r="AK29">
        <f t="shared" si="26"/>
        <v>1799.95</v>
      </c>
      <c r="AL29">
        <f t="shared" si="27"/>
        <v>1499.0728599305</v>
      </c>
      <c r="AM29">
        <f t="shared" si="28"/>
        <v>0.83284139000000001</v>
      </c>
      <c r="AN29">
        <f t="shared" si="29"/>
        <v>0.15339789849999999</v>
      </c>
      <c r="AO29">
        <v>33.299999999999997</v>
      </c>
      <c r="AP29">
        <v>0.5</v>
      </c>
      <c r="AQ29" t="s">
        <v>331</v>
      </c>
      <c r="AR29">
        <v>2</v>
      </c>
      <c r="AS29">
        <v>1690201015.5</v>
      </c>
      <c r="AT29">
        <v>788.55700000000002</v>
      </c>
      <c r="AU29">
        <v>799.92600000000004</v>
      </c>
      <c r="AV29">
        <v>14.438499999999999</v>
      </c>
      <c r="AW29">
        <v>11.5406</v>
      </c>
      <c r="AX29">
        <v>790.08100000000002</v>
      </c>
      <c r="AY29">
        <v>14.3963</v>
      </c>
      <c r="AZ29">
        <v>300.13</v>
      </c>
      <c r="BA29">
        <v>98.985100000000003</v>
      </c>
      <c r="BB29">
        <v>9.9994200000000005E-2</v>
      </c>
      <c r="BC29">
        <v>24.6876</v>
      </c>
      <c r="BD29">
        <v>26.248799999999999</v>
      </c>
      <c r="BE29">
        <v>26.426600000000001</v>
      </c>
      <c r="BF29">
        <v>0</v>
      </c>
      <c r="BG29">
        <v>0</v>
      </c>
      <c r="BH29">
        <v>9983.1200000000008</v>
      </c>
      <c r="BI29">
        <v>1079.9000000000001</v>
      </c>
      <c r="BJ29">
        <v>1.1858</v>
      </c>
      <c r="BK29">
        <v>-11.369400000000001</v>
      </c>
      <c r="BL29">
        <v>800.10900000000004</v>
      </c>
      <c r="BM29">
        <v>809.26599999999996</v>
      </c>
      <c r="BN29">
        <v>2.8979300000000001</v>
      </c>
      <c r="BO29">
        <v>799.92600000000004</v>
      </c>
      <c r="BP29">
        <v>11.5406</v>
      </c>
      <c r="BQ29">
        <v>1.4292</v>
      </c>
      <c r="BR29">
        <v>1.14235</v>
      </c>
      <c r="BS29">
        <v>12.231</v>
      </c>
      <c r="BT29">
        <v>8.8707100000000008</v>
      </c>
      <c r="BU29">
        <v>1799.95</v>
      </c>
      <c r="BV29">
        <v>0.91000199999999998</v>
      </c>
      <c r="BW29">
        <v>3.3993500000000003E-2</v>
      </c>
      <c r="BX29">
        <v>2.2008E-2</v>
      </c>
      <c r="BY29">
        <v>3.3996400000000003E-2</v>
      </c>
      <c r="BZ29">
        <v>22</v>
      </c>
      <c r="CA29">
        <v>33527.4</v>
      </c>
      <c r="CB29">
        <v>1690200769.5</v>
      </c>
      <c r="CC29" t="s">
        <v>332</v>
      </c>
      <c r="CD29">
        <v>1690200769.5</v>
      </c>
      <c r="CE29">
        <v>1690200753</v>
      </c>
      <c r="CF29">
        <v>2</v>
      </c>
      <c r="CG29">
        <v>-0.245</v>
      </c>
      <c r="CH29">
        <v>3.0000000000000001E-3</v>
      </c>
      <c r="CI29">
        <v>-1.5169999999999999</v>
      </c>
      <c r="CJ29">
        <v>-1.6E-2</v>
      </c>
      <c r="CK29">
        <v>778</v>
      </c>
      <c r="CL29">
        <v>12</v>
      </c>
      <c r="CM29">
        <v>0.01</v>
      </c>
      <c r="CN29">
        <v>0.03</v>
      </c>
      <c r="CO29">
        <v>-8.8195189999999997</v>
      </c>
      <c r="CP29">
        <v>-15.21693298311442</v>
      </c>
      <c r="CQ29">
        <v>1.464118507949066</v>
      </c>
      <c r="CR29">
        <v>-1</v>
      </c>
      <c r="CS29">
        <v>2.7857159999999999</v>
      </c>
      <c r="CT29">
        <v>0.54236465290806346</v>
      </c>
      <c r="CU29">
        <v>5.5145374184966817E-2</v>
      </c>
      <c r="CV29">
        <v>-1</v>
      </c>
      <c r="CW29">
        <v>0</v>
      </c>
      <c r="CX29">
        <v>0</v>
      </c>
      <c r="CY29" t="s">
        <v>333</v>
      </c>
      <c r="CZ29">
        <v>2.3654199999999999</v>
      </c>
      <c r="DA29">
        <v>2.7137699999999998</v>
      </c>
      <c r="DB29">
        <v>0.14555999999999999</v>
      </c>
      <c r="DC29">
        <v>0.14641100000000001</v>
      </c>
      <c r="DD29">
        <v>7.9370499999999997E-2</v>
      </c>
      <c r="DE29">
        <v>6.6102300000000003E-2</v>
      </c>
      <c r="DF29">
        <v>31170.9</v>
      </c>
      <c r="DG29">
        <v>27425.7</v>
      </c>
      <c r="DH29">
        <v>31140.3</v>
      </c>
      <c r="DI29">
        <v>27993.1</v>
      </c>
      <c r="DJ29">
        <v>38924.400000000001</v>
      </c>
      <c r="DK29">
        <v>37135.800000000003</v>
      </c>
      <c r="DL29">
        <v>44304.1</v>
      </c>
      <c r="DM29">
        <v>42382.7</v>
      </c>
      <c r="DN29">
        <v>1.43903</v>
      </c>
      <c r="DO29">
        <v>2.0888800000000001</v>
      </c>
      <c r="DP29">
        <v>0.130162</v>
      </c>
      <c r="DQ29">
        <v>0.149198</v>
      </c>
      <c r="DR29">
        <v>24.113800000000001</v>
      </c>
      <c r="DS29">
        <v>23.979399999999998</v>
      </c>
      <c r="DT29">
        <v>40.200000000000003</v>
      </c>
      <c r="DU29">
        <v>24.2</v>
      </c>
      <c r="DV29">
        <v>12.3104</v>
      </c>
      <c r="DW29">
        <v>62.759900000000002</v>
      </c>
      <c r="DX29">
        <v>36.117800000000003</v>
      </c>
      <c r="DY29">
        <v>1</v>
      </c>
      <c r="DZ29">
        <v>-0.16713700000000001</v>
      </c>
      <c r="EA29">
        <v>-3.16547</v>
      </c>
      <c r="EB29">
        <v>20.141500000000001</v>
      </c>
      <c r="EC29">
        <v>5.24125</v>
      </c>
      <c r="ED29">
        <v>12.039899999999999</v>
      </c>
      <c r="EE29">
        <v>5.0176999999999996</v>
      </c>
      <c r="EF29">
        <v>3.2879999999999998</v>
      </c>
      <c r="EG29">
        <v>9999</v>
      </c>
      <c r="EH29">
        <v>9999</v>
      </c>
      <c r="EI29">
        <v>9999</v>
      </c>
      <c r="EJ29">
        <v>999.9</v>
      </c>
      <c r="EK29">
        <v>1.8687400000000001</v>
      </c>
      <c r="EL29">
        <v>1.8644400000000001</v>
      </c>
      <c r="EM29">
        <v>1.8690100000000001</v>
      </c>
      <c r="EN29">
        <v>1.86707</v>
      </c>
      <c r="EO29">
        <v>1.86324</v>
      </c>
      <c r="EP29">
        <v>1.8643099999999999</v>
      </c>
      <c r="EQ29">
        <v>1.87001</v>
      </c>
      <c r="ER29">
        <v>1.86924</v>
      </c>
      <c r="ES29">
        <v>0</v>
      </c>
      <c r="ET29">
        <v>0</v>
      </c>
      <c r="EU29">
        <v>0</v>
      </c>
      <c r="EV29">
        <v>0</v>
      </c>
      <c r="EW29" t="s">
        <v>334</v>
      </c>
      <c r="EX29" t="s">
        <v>335</v>
      </c>
      <c r="EY29" t="s">
        <v>336</v>
      </c>
      <c r="EZ29" t="s">
        <v>336</v>
      </c>
      <c r="FA29" t="s">
        <v>336</v>
      </c>
      <c r="FB29" t="s">
        <v>336</v>
      </c>
      <c r="FC29">
        <v>0</v>
      </c>
      <c r="FD29">
        <v>100</v>
      </c>
      <c r="FE29">
        <v>100</v>
      </c>
      <c r="FF29">
        <v>-1.524</v>
      </c>
      <c r="FG29">
        <v>4.2200000000000001E-2</v>
      </c>
      <c r="FH29">
        <v>-0.98020551812546231</v>
      </c>
      <c r="FI29">
        <v>-6.1462078757559423E-4</v>
      </c>
      <c r="FJ29">
        <v>-1.8861989874597051E-7</v>
      </c>
      <c r="FK29">
        <v>1.1980462299894961E-10</v>
      </c>
      <c r="FL29">
        <v>-4.4410915568505363E-2</v>
      </c>
      <c r="FM29">
        <v>-1.6848085045870601E-2</v>
      </c>
      <c r="FN29">
        <v>1.9789084769509481E-3</v>
      </c>
      <c r="FO29">
        <v>-2.7142391389806329E-5</v>
      </c>
      <c r="FP29">
        <v>3</v>
      </c>
      <c r="FQ29">
        <v>2158</v>
      </c>
      <c r="FR29">
        <v>1</v>
      </c>
      <c r="FS29">
        <v>19</v>
      </c>
      <c r="FT29">
        <v>4.0999999999999996</v>
      </c>
      <c r="FU29">
        <v>4.4000000000000004</v>
      </c>
      <c r="FV29">
        <v>1.7712399999999999</v>
      </c>
      <c r="FW29">
        <v>2.5329600000000001</v>
      </c>
      <c r="FX29">
        <v>1.5490699999999999</v>
      </c>
      <c r="FY29">
        <v>2.34619</v>
      </c>
      <c r="FZ29">
        <v>1.50146</v>
      </c>
      <c r="GA29">
        <v>2.2558600000000002</v>
      </c>
      <c r="GB29">
        <v>29.815100000000001</v>
      </c>
      <c r="GC29">
        <v>23.947399999999998</v>
      </c>
      <c r="GD29">
        <v>19</v>
      </c>
      <c r="GE29">
        <v>263.03699999999998</v>
      </c>
      <c r="GF29">
        <v>614.58699999999999</v>
      </c>
      <c r="GG29">
        <v>24.192399999999999</v>
      </c>
      <c r="GH29">
        <v>25.267099999999999</v>
      </c>
      <c r="GI29">
        <v>29.998200000000001</v>
      </c>
      <c r="GJ29">
        <v>25.300699999999999</v>
      </c>
      <c r="GK29">
        <v>25.252800000000001</v>
      </c>
      <c r="GL29">
        <v>35.404200000000003</v>
      </c>
      <c r="GM29">
        <v>-30</v>
      </c>
      <c r="GN29">
        <v>-30</v>
      </c>
      <c r="GO29">
        <v>24.571100000000001</v>
      </c>
      <c r="GP29">
        <v>800</v>
      </c>
      <c r="GQ29">
        <v>0</v>
      </c>
      <c r="GR29">
        <v>99.620500000000007</v>
      </c>
      <c r="GS29">
        <v>99.189899999999994</v>
      </c>
    </row>
    <row r="30" spans="1:201" x14ac:dyDescent="0.25">
      <c r="A30">
        <v>14</v>
      </c>
      <c r="B30">
        <v>1690201025.5</v>
      </c>
      <c r="C30">
        <v>178.5</v>
      </c>
      <c r="D30" t="s">
        <v>361</v>
      </c>
      <c r="E30" t="s">
        <v>362</v>
      </c>
      <c r="F30" t="s">
        <v>330</v>
      </c>
      <c r="H30">
        <v>1690201025.5</v>
      </c>
      <c r="I30">
        <f t="shared" si="0"/>
        <v>2.7593927260627783E-4</v>
      </c>
      <c r="J30">
        <f t="shared" si="1"/>
        <v>0.27593927260627782</v>
      </c>
      <c r="K30">
        <f t="shared" si="2"/>
        <v>1.080087045875604</v>
      </c>
      <c r="L30">
        <f t="shared" si="3"/>
        <v>785.649</v>
      </c>
      <c r="M30">
        <f t="shared" si="4"/>
        <v>620.27403679278484</v>
      </c>
      <c r="N30">
        <f t="shared" si="5"/>
        <v>61.4598734046563</v>
      </c>
      <c r="O30">
        <f t="shared" si="6"/>
        <v>77.846057091416995</v>
      </c>
      <c r="P30">
        <f t="shared" si="7"/>
        <v>1.2361382725805774E-2</v>
      </c>
      <c r="Q30">
        <f t="shared" si="8"/>
        <v>2.0789819025866283</v>
      </c>
      <c r="R30">
        <f t="shared" si="9"/>
        <v>1.2320694892639301E-2</v>
      </c>
      <c r="S30">
        <f t="shared" si="10"/>
        <v>7.7040787264497004E-3</v>
      </c>
      <c r="T30">
        <f t="shared" si="11"/>
        <v>276.10577323143121</v>
      </c>
      <c r="U30">
        <f t="shared" si="12"/>
        <v>27.119322850818879</v>
      </c>
      <c r="V30">
        <f t="shared" si="13"/>
        <v>27.119322850818879</v>
      </c>
      <c r="W30">
        <f t="shared" si="14"/>
        <v>3.6043197523926871</v>
      </c>
      <c r="X30">
        <f t="shared" si="15"/>
        <v>45.389318523388468</v>
      </c>
      <c r="Y30">
        <f t="shared" si="16"/>
        <v>1.4416773216467</v>
      </c>
      <c r="Z30">
        <f t="shared" si="17"/>
        <v>3.1762479996341524</v>
      </c>
      <c r="AA30">
        <f t="shared" si="18"/>
        <v>2.1626424307459873</v>
      </c>
      <c r="AB30">
        <f t="shared" si="19"/>
        <v>-12.168921921936853</v>
      </c>
      <c r="AC30">
        <f t="shared" si="20"/>
        <v>-239.56678257008627</v>
      </c>
      <c r="AD30">
        <f t="shared" si="21"/>
        <v>-24.633534466367287</v>
      </c>
      <c r="AE30">
        <f t="shared" si="22"/>
        <v>-0.2634657269591969</v>
      </c>
      <c r="AF30">
        <v>16</v>
      </c>
      <c r="AG30">
        <v>5</v>
      </c>
      <c r="AH30">
        <f t="shared" si="23"/>
        <v>1</v>
      </c>
      <c r="AI30">
        <f t="shared" si="24"/>
        <v>0</v>
      </c>
      <c r="AJ30">
        <f t="shared" si="25"/>
        <v>52644.398486320664</v>
      </c>
      <c r="AK30">
        <f t="shared" si="26"/>
        <v>1799.94</v>
      </c>
      <c r="AL30">
        <f t="shared" si="27"/>
        <v>1499.0601540625203</v>
      </c>
      <c r="AM30">
        <f t="shared" si="28"/>
        <v>0.83283895800000007</v>
      </c>
      <c r="AN30">
        <f t="shared" si="29"/>
        <v>0.15339720948000002</v>
      </c>
      <c r="AO30">
        <v>33.299999999999997</v>
      </c>
      <c r="AP30">
        <v>0.5</v>
      </c>
      <c r="AQ30" t="s">
        <v>331</v>
      </c>
      <c r="AR30">
        <v>2</v>
      </c>
      <c r="AS30">
        <v>1690201025.5</v>
      </c>
      <c r="AT30">
        <v>785.649</v>
      </c>
      <c r="AU30">
        <v>800.03499999999997</v>
      </c>
      <c r="AV30">
        <v>14.549899999999999</v>
      </c>
      <c r="AW30">
        <v>11.5335</v>
      </c>
      <c r="AX30">
        <v>787.17200000000003</v>
      </c>
      <c r="AY30">
        <v>14.505100000000001</v>
      </c>
      <c r="AZ30">
        <v>300.19499999999999</v>
      </c>
      <c r="BA30">
        <v>98.984999999999999</v>
      </c>
      <c r="BB30">
        <v>0.100033</v>
      </c>
      <c r="BC30">
        <v>24.9819</v>
      </c>
      <c r="BD30">
        <v>26.592099999999999</v>
      </c>
      <c r="BE30">
        <v>26.793600000000001</v>
      </c>
      <c r="BF30">
        <v>0</v>
      </c>
      <c r="BG30">
        <v>0</v>
      </c>
      <c r="BH30">
        <v>9990</v>
      </c>
      <c r="BI30">
        <v>1078.8699999999999</v>
      </c>
      <c r="BJ30">
        <v>1.4577199999999999</v>
      </c>
      <c r="BK30">
        <v>-14.3856</v>
      </c>
      <c r="BL30">
        <v>797.24900000000002</v>
      </c>
      <c r="BM30">
        <v>809.37</v>
      </c>
      <c r="BN30">
        <v>3.01633</v>
      </c>
      <c r="BO30">
        <v>800.03499999999997</v>
      </c>
      <c r="BP30">
        <v>11.5335</v>
      </c>
      <c r="BQ30">
        <v>1.4402200000000001</v>
      </c>
      <c r="BR30">
        <v>1.1416500000000001</v>
      </c>
      <c r="BS30">
        <v>12.347799999999999</v>
      </c>
      <c r="BT30">
        <v>8.8616200000000003</v>
      </c>
      <c r="BU30">
        <v>1799.94</v>
      </c>
      <c r="BV30">
        <v>0.90999300000000005</v>
      </c>
      <c r="BW30">
        <v>3.39975E-2</v>
      </c>
      <c r="BX30">
        <v>2.19974E-2</v>
      </c>
      <c r="BY30">
        <v>3.4011800000000002E-2</v>
      </c>
      <c r="BZ30">
        <v>22</v>
      </c>
      <c r="CA30">
        <v>33527.4</v>
      </c>
      <c r="CB30">
        <v>1690200769.5</v>
      </c>
      <c r="CC30" t="s">
        <v>332</v>
      </c>
      <c r="CD30">
        <v>1690200769.5</v>
      </c>
      <c r="CE30">
        <v>1690200753</v>
      </c>
      <c r="CF30">
        <v>2</v>
      </c>
      <c r="CG30">
        <v>-0.245</v>
      </c>
      <c r="CH30">
        <v>3.0000000000000001E-3</v>
      </c>
      <c r="CI30">
        <v>-1.5169999999999999</v>
      </c>
      <c r="CJ30">
        <v>-1.6E-2</v>
      </c>
      <c r="CK30">
        <v>778</v>
      </c>
      <c r="CL30">
        <v>12</v>
      </c>
      <c r="CM30">
        <v>0.01</v>
      </c>
      <c r="CN30">
        <v>0.03</v>
      </c>
      <c r="CO30">
        <v>-11.139639499999999</v>
      </c>
      <c r="CP30">
        <v>-15.6670592870544</v>
      </c>
      <c r="CQ30">
        <v>1.508177766720405</v>
      </c>
      <c r="CR30">
        <v>-1</v>
      </c>
      <c r="CS30">
        <v>2.88051075</v>
      </c>
      <c r="CT30">
        <v>0.71719485928705129</v>
      </c>
      <c r="CU30">
        <v>6.9034407449745649E-2</v>
      </c>
      <c r="CV30">
        <v>-1</v>
      </c>
      <c r="CW30">
        <v>0</v>
      </c>
      <c r="CX30">
        <v>0</v>
      </c>
      <c r="CY30" t="s">
        <v>333</v>
      </c>
      <c r="CZ30">
        <v>2.3656199999999998</v>
      </c>
      <c r="DA30">
        <v>2.7138200000000001</v>
      </c>
      <c r="DB30">
        <v>0.14519899999999999</v>
      </c>
      <c r="DC30">
        <v>0.146421</v>
      </c>
      <c r="DD30">
        <v>7.9812800000000003E-2</v>
      </c>
      <c r="DE30">
        <v>6.6070299999999998E-2</v>
      </c>
      <c r="DF30">
        <v>31184.1</v>
      </c>
      <c r="DG30">
        <v>27424.9</v>
      </c>
      <c r="DH30">
        <v>31140.5</v>
      </c>
      <c r="DI30">
        <v>27992.799999999999</v>
      </c>
      <c r="DJ30">
        <v>38905.300000000003</v>
      </c>
      <c r="DK30">
        <v>37136.699999999997</v>
      </c>
      <c r="DL30">
        <v>44303.8</v>
      </c>
      <c r="DM30">
        <v>42382.3</v>
      </c>
      <c r="DN30">
        <v>1.43798</v>
      </c>
      <c r="DO30">
        <v>2.0883699999999998</v>
      </c>
      <c r="DP30">
        <v>0.15199199999999999</v>
      </c>
      <c r="DQ30">
        <v>0.17255499999999999</v>
      </c>
      <c r="DR30">
        <v>24.099699999999999</v>
      </c>
      <c r="DS30">
        <v>23.964099999999998</v>
      </c>
      <c r="DT30">
        <v>40.200000000000003</v>
      </c>
      <c r="DU30">
        <v>24.2</v>
      </c>
      <c r="DV30">
        <v>12.3094</v>
      </c>
      <c r="DW30">
        <v>62.299900000000001</v>
      </c>
      <c r="DX30">
        <v>35.488799999999998</v>
      </c>
      <c r="DY30">
        <v>1</v>
      </c>
      <c r="DZ30">
        <v>-0.16977600000000001</v>
      </c>
      <c r="EA30">
        <v>-1.98759</v>
      </c>
      <c r="EB30">
        <v>20.172899999999998</v>
      </c>
      <c r="EC30">
        <v>5.2413999999999996</v>
      </c>
      <c r="ED30">
        <v>12.039899999999999</v>
      </c>
      <c r="EE30">
        <v>5.0175000000000001</v>
      </c>
      <c r="EF30">
        <v>3.2879999999999998</v>
      </c>
      <c r="EG30">
        <v>9999</v>
      </c>
      <c r="EH30">
        <v>9999</v>
      </c>
      <c r="EI30">
        <v>9999</v>
      </c>
      <c r="EJ30">
        <v>999.9</v>
      </c>
      <c r="EK30">
        <v>1.8687400000000001</v>
      </c>
      <c r="EL30">
        <v>1.86446</v>
      </c>
      <c r="EM30">
        <v>1.86904</v>
      </c>
      <c r="EN30">
        <v>1.86707</v>
      </c>
      <c r="EO30">
        <v>1.8632500000000001</v>
      </c>
      <c r="EP30">
        <v>1.86432</v>
      </c>
      <c r="EQ30">
        <v>1.8699699999999999</v>
      </c>
      <c r="ER30">
        <v>1.8692800000000001</v>
      </c>
      <c r="ES30">
        <v>0</v>
      </c>
      <c r="ET30">
        <v>0</v>
      </c>
      <c r="EU30">
        <v>0</v>
      </c>
      <c r="EV30">
        <v>0</v>
      </c>
      <c r="EW30" t="s">
        <v>334</v>
      </c>
      <c r="EX30" t="s">
        <v>335</v>
      </c>
      <c r="EY30" t="s">
        <v>336</v>
      </c>
      <c r="EZ30" t="s">
        <v>336</v>
      </c>
      <c r="FA30" t="s">
        <v>336</v>
      </c>
      <c r="FB30" t="s">
        <v>336</v>
      </c>
      <c r="FC30">
        <v>0</v>
      </c>
      <c r="FD30">
        <v>100</v>
      </c>
      <c r="FE30">
        <v>100</v>
      </c>
      <c r="FF30">
        <v>-1.5229999999999999</v>
      </c>
      <c r="FG30">
        <v>4.48E-2</v>
      </c>
      <c r="FH30">
        <v>-0.98020551812546231</v>
      </c>
      <c r="FI30">
        <v>-6.1462078757559423E-4</v>
      </c>
      <c r="FJ30">
        <v>-1.8861989874597051E-7</v>
      </c>
      <c r="FK30">
        <v>1.1980462299894961E-10</v>
      </c>
      <c r="FL30">
        <v>-4.4410915568505363E-2</v>
      </c>
      <c r="FM30">
        <v>-1.6848085045870601E-2</v>
      </c>
      <c r="FN30">
        <v>1.9789084769509481E-3</v>
      </c>
      <c r="FO30">
        <v>-2.7142391389806329E-5</v>
      </c>
      <c r="FP30">
        <v>3</v>
      </c>
      <c r="FQ30">
        <v>2158</v>
      </c>
      <c r="FR30">
        <v>1</v>
      </c>
      <c r="FS30">
        <v>19</v>
      </c>
      <c r="FT30">
        <v>4.3</v>
      </c>
      <c r="FU30">
        <v>4.5</v>
      </c>
      <c r="FV30">
        <v>1.7712399999999999</v>
      </c>
      <c r="FW30">
        <v>2.5317400000000001</v>
      </c>
      <c r="FX30">
        <v>1.5490699999999999</v>
      </c>
      <c r="FY30">
        <v>2.34619</v>
      </c>
      <c r="FZ30">
        <v>1.50146</v>
      </c>
      <c r="GA30">
        <v>2.3754900000000001</v>
      </c>
      <c r="GB30">
        <v>29.836400000000001</v>
      </c>
      <c r="GC30">
        <v>23.973700000000001</v>
      </c>
      <c r="GD30">
        <v>19</v>
      </c>
      <c r="GE30">
        <v>262.661</v>
      </c>
      <c r="GF30">
        <v>614.25400000000002</v>
      </c>
      <c r="GG30">
        <v>25.241599999999998</v>
      </c>
      <c r="GH30">
        <v>25.2852</v>
      </c>
      <c r="GI30">
        <v>29.999099999999999</v>
      </c>
      <c r="GJ30">
        <v>25.311800000000002</v>
      </c>
      <c r="GK30">
        <v>25.2607</v>
      </c>
      <c r="GL30">
        <v>35.405000000000001</v>
      </c>
      <c r="GM30">
        <v>-30</v>
      </c>
      <c r="GN30">
        <v>-30</v>
      </c>
      <c r="GO30">
        <v>25.385300000000001</v>
      </c>
      <c r="GP30">
        <v>800</v>
      </c>
      <c r="GQ30">
        <v>0</v>
      </c>
      <c r="GR30">
        <v>99.6203</v>
      </c>
      <c r="GS30">
        <v>99.188900000000004</v>
      </c>
    </row>
    <row r="31" spans="1:201" x14ac:dyDescent="0.25">
      <c r="A31">
        <v>15</v>
      </c>
      <c r="B31">
        <v>1690201035.5</v>
      </c>
      <c r="C31">
        <v>188.5</v>
      </c>
      <c r="D31" t="s">
        <v>363</v>
      </c>
      <c r="E31" t="s">
        <v>364</v>
      </c>
      <c r="F31" t="s">
        <v>330</v>
      </c>
      <c r="H31">
        <v>1690201035.5</v>
      </c>
      <c r="I31">
        <f t="shared" si="0"/>
        <v>2.9066805394743241E-4</v>
      </c>
      <c r="J31">
        <f t="shared" si="1"/>
        <v>0.29066805394743239</v>
      </c>
      <c r="K31">
        <f t="shared" si="2"/>
        <v>1.4106794346129976</v>
      </c>
      <c r="L31">
        <f t="shared" si="3"/>
        <v>781.86500000000001</v>
      </c>
      <c r="M31">
        <f t="shared" si="4"/>
        <v>581.12931598806585</v>
      </c>
      <c r="N31">
        <f t="shared" si="5"/>
        <v>57.581105875116272</v>
      </c>
      <c r="O31">
        <f t="shared" si="6"/>
        <v>77.470969208465021</v>
      </c>
      <c r="P31">
        <f t="shared" si="7"/>
        <v>1.2860697670060848E-2</v>
      </c>
      <c r="Q31">
        <f t="shared" si="8"/>
        <v>2.0795379614305123</v>
      </c>
      <c r="R31">
        <f t="shared" si="9"/>
        <v>1.281667448451683E-2</v>
      </c>
      <c r="S31">
        <f t="shared" si="10"/>
        <v>8.0143642383094325E-3</v>
      </c>
      <c r="T31">
        <f t="shared" si="11"/>
        <v>276.10870079681405</v>
      </c>
      <c r="U31">
        <f t="shared" si="12"/>
        <v>27.316166572025249</v>
      </c>
      <c r="V31">
        <f t="shared" si="13"/>
        <v>27.316166572025249</v>
      </c>
      <c r="W31">
        <f t="shared" si="14"/>
        <v>3.646163111252799</v>
      </c>
      <c r="X31">
        <f t="shared" si="15"/>
        <v>45.316953594047668</v>
      </c>
      <c r="Y31">
        <f t="shared" si="16"/>
        <v>1.4568939596435002</v>
      </c>
      <c r="Z31">
        <f t="shared" si="17"/>
        <v>3.2148982755867812</v>
      </c>
      <c r="AA31">
        <f t="shared" si="18"/>
        <v>2.1892691516092988</v>
      </c>
      <c r="AB31">
        <f t="shared" si="19"/>
        <v>-12.818461179081769</v>
      </c>
      <c r="AC31">
        <f t="shared" si="20"/>
        <v>-238.94066571520082</v>
      </c>
      <c r="AD31">
        <f t="shared" si="21"/>
        <v>-24.611876698563616</v>
      </c>
      <c r="AE31">
        <f t="shared" si="22"/>
        <v>-0.26230279603214512</v>
      </c>
      <c r="AF31">
        <v>17</v>
      </c>
      <c r="AG31">
        <v>6</v>
      </c>
      <c r="AH31">
        <f t="shared" si="23"/>
        <v>1</v>
      </c>
      <c r="AI31">
        <f t="shared" si="24"/>
        <v>0</v>
      </c>
      <c r="AJ31">
        <f t="shared" si="25"/>
        <v>52633.711494952906</v>
      </c>
      <c r="AK31">
        <f t="shared" si="26"/>
        <v>1799.95</v>
      </c>
      <c r="AL31">
        <f t="shared" si="27"/>
        <v>1499.0709555834001</v>
      </c>
      <c r="AM31">
        <f t="shared" si="28"/>
        <v>0.83284033199999996</v>
      </c>
      <c r="AN31">
        <f t="shared" si="29"/>
        <v>0.15339798372000002</v>
      </c>
      <c r="AO31">
        <v>33.299999999999997</v>
      </c>
      <c r="AP31">
        <v>0.5</v>
      </c>
      <c r="AQ31" t="s">
        <v>331</v>
      </c>
      <c r="AR31">
        <v>2</v>
      </c>
      <c r="AS31">
        <v>1690201035.5</v>
      </c>
      <c r="AT31">
        <v>781.86500000000001</v>
      </c>
      <c r="AU31">
        <v>800.02800000000002</v>
      </c>
      <c r="AV31">
        <v>14.7035</v>
      </c>
      <c r="AW31">
        <v>11.527699999999999</v>
      </c>
      <c r="AX31">
        <v>783.38400000000001</v>
      </c>
      <c r="AY31">
        <v>14.6553</v>
      </c>
      <c r="AZ31">
        <v>300.3</v>
      </c>
      <c r="BA31">
        <v>98.984800000000007</v>
      </c>
      <c r="BB31">
        <v>0.100041</v>
      </c>
      <c r="BC31">
        <v>25.184899999999999</v>
      </c>
      <c r="BD31">
        <v>26.846900000000002</v>
      </c>
      <c r="BE31">
        <v>27.072900000000001</v>
      </c>
      <c r="BF31">
        <v>0</v>
      </c>
      <c r="BG31">
        <v>0</v>
      </c>
      <c r="BH31">
        <v>9995</v>
      </c>
      <c r="BI31">
        <v>1078.3599999999999</v>
      </c>
      <c r="BJ31">
        <v>1.07647</v>
      </c>
      <c r="BK31">
        <v>-18.1632</v>
      </c>
      <c r="BL31">
        <v>793.53200000000004</v>
      </c>
      <c r="BM31">
        <v>809.35799999999995</v>
      </c>
      <c r="BN31">
        <v>3.1758299999999999</v>
      </c>
      <c r="BO31">
        <v>800.02800000000002</v>
      </c>
      <c r="BP31">
        <v>11.527699999999999</v>
      </c>
      <c r="BQ31">
        <v>1.45543</v>
      </c>
      <c r="BR31">
        <v>1.14107</v>
      </c>
      <c r="BS31">
        <v>12.5078</v>
      </c>
      <c r="BT31">
        <v>8.8541100000000004</v>
      </c>
      <c r="BU31">
        <v>1799.95</v>
      </c>
      <c r="BV31">
        <v>0.90999399999999997</v>
      </c>
      <c r="BW31">
        <v>3.4002299999999999E-2</v>
      </c>
      <c r="BX31">
        <v>2.2007599999999999E-2</v>
      </c>
      <c r="BY31">
        <v>3.3996199999999997E-2</v>
      </c>
      <c r="BZ31">
        <v>22</v>
      </c>
      <c r="CA31">
        <v>33527.4</v>
      </c>
      <c r="CB31">
        <v>1690200769.5</v>
      </c>
      <c r="CC31" t="s">
        <v>332</v>
      </c>
      <c r="CD31">
        <v>1690200769.5</v>
      </c>
      <c r="CE31">
        <v>1690200753</v>
      </c>
      <c r="CF31">
        <v>2</v>
      </c>
      <c r="CG31">
        <v>-0.245</v>
      </c>
      <c r="CH31">
        <v>3.0000000000000001E-3</v>
      </c>
      <c r="CI31">
        <v>-1.5169999999999999</v>
      </c>
      <c r="CJ31">
        <v>-1.6E-2</v>
      </c>
      <c r="CK31">
        <v>778</v>
      </c>
      <c r="CL31">
        <v>12</v>
      </c>
      <c r="CM31">
        <v>0.01</v>
      </c>
      <c r="CN31">
        <v>0.03</v>
      </c>
      <c r="CO31">
        <v>-14.133802439024389</v>
      </c>
      <c r="CP31">
        <v>-19.4168466898955</v>
      </c>
      <c r="CQ31">
        <v>1.918755422394856</v>
      </c>
      <c r="CR31">
        <v>-1</v>
      </c>
      <c r="CS31">
        <v>3.0095443902439021</v>
      </c>
      <c r="CT31">
        <v>0.79957087108014169</v>
      </c>
      <c r="CU31">
        <v>7.9087178081047468E-2</v>
      </c>
      <c r="CV31">
        <v>-1</v>
      </c>
      <c r="CW31">
        <v>0</v>
      </c>
      <c r="CX31">
        <v>0</v>
      </c>
      <c r="CY31" t="s">
        <v>333</v>
      </c>
      <c r="CZ31">
        <v>2.3659500000000002</v>
      </c>
      <c r="DA31">
        <v>2.7138300000000002</v>
      </c>
      <c r="DB31">
        <v>0.14473</v>
      </c>
      <c r="DC31">
        <v>0.14641699999999999</v>
      </c>
      <c r="DD31">
        <v>8.0421599999999996E-2</v>
      </c>
      <c r="DE31">
        <v>6.6043500000000005E-2</v>
      </c>
      <c r="DF31">
        <v>31200.799999999999</v>
      </c>
      <c r="DG31">
        <v>27423.7</v>
      </c>
      <c r="DH31">
        <v>31140</v>
      </c>
      <c r="DI31">
        <v>27991.5</v>
      </c>
      <c r="DJ31">
        <v>38878.699999999997</v>
      </c>
      <c r="DK31">
        <v>37136.5</v>
      </c>
      <c r="DL31">
        <v>44303.1</v>
      </c>
      <c r="DM31">
        <v>42380.9</v>
      </c>
      <c r="DN31">
        <v>1.4376</v>
      </c>
      <c r="DO31">
        <v>2.0878000000000001</v>
      </c>
      <c r="DP31">
        <v>0.16730300000000001</v>
      </c>
      <c r="DQ31">
        <v>0.188835</v>
      </c>
      <c r="DR31">
        <v>24.103899999999999</v>
      </c>
      <c r="DS31">
        <v>23.9772</v>
      </c>
      <c r="DT31">
        <v>40.1</v>
      </c>
      <c r="DU31">
        <v>24.2</v>
      </c>
      <c r="DV31">
        <v>12.279299999999999</v>
      </c>
      <c r="DW31">
        <v>62.259900000000002</v>
      </c>
      <c r="DX31">
        <v>35.560899999999997</v>
      </c>
      <c r="DY31">
        <v>1</v>
      </c>
      <c r="DZ31">
        <v>-0.16972799999999999</v>
      </c>
      <c r="EA31">
        <v>-1.3964000000000001</v>
      </c>
      <c r="EB31">
        <v>20.183499999999999</v>
      </c>
      <c r="EC31">
        <v>5.24125</v>
      </c>
      <c r="ED31">
        <v>12.039899999999999</v>
      </c>
      <c r="EE31">
        <v>5.0176999999999996</v>
      </c>
      <c r="EF31">
        <v>3.2879999999999998</v>
      </c>
      <c r="EG31">
        <v>9999</v>
      </c>
      <c r="EH31">
        <v>9999</v>
      </c>
      <c r="EI31">
        <v>9999</v>
      </c>
      <c r="EJ31">
        <v>999.9</v>
      </c>
      <c r="EK31">
        <v>1.8687400000000001</v>
      </c>
      <c r="EL31">
        <v>1.8644499999999999</v>
      </c>
      <c r="EM31">
        <v>1.8690500000000001</v>
      </c>
      <c r="EN31">
        <v>1.86707</v>
      </c>
      <c r="EO31">
        <v>1.8632500000000001</v>
      </c>
      <c r="EP31">
        <v>1.86432</v>
      </c>
      <c r="EQ31">
        <v>1.87</v>
      </c>
      <c r="ER31">
        <v>1.86927</v>
      </c>
      <c r="ES31">
        <v>0</v>
      </c>
      <c r="ET31">
        <v>0</v>
      </c>
      <c r="EU31">
        <v>0</v>
      </c>
      <c r="EV31">
        <v>0</v>
      </c>
      <c r="EW31" t="s">
        <v>334</v>
      </c>
      <c r="EX31" t="s">
        <v>335</v>
      </c>
      <c r="EY31" t="s">
        <v>336</v>
      </c>
      <c r="EZ31" t="s">
        <v>336</v>
      </c>
      <c r="FA31" t="s">
        <v>336</v>
      </c>
      <c r="FB31" t="s">
        <v>336</v>
      </c>
      <c r="FC31">
        <v>0</v>
      </c>
      <c r="FD31">
        <v>100</v>
      </c>
      <c r="FE31">
        <v>100</v>
      </c>
      <c r="FF31">
        <v>-1.5189999999999999</v>
      </c>
      <c r="FG31">
        <v>4.82E-2</v>
      </c>
      <c r="FH31">
        <v>-0.98020551812546231</v>
      </c>
      <c r="FI31">
        <v>-6.1462078757559423E-4</v>
      </c>
      <c r="FJ31">
        <v>-1.8861989874597051E-7</v>
      </c>
      <c r="FK31">
        <v>1.1980462299894961E-10</v>
      </c>
      <c r="FL31">
        <v>-4.4410915568505363E-2</v>
      </c>
      <c r="FM31">
        <v>-1.6848085045870601E-2</v>
      </c>
      <c r="FN31">
        <v>1.9789084769509481E-3</v>
      </c>
      <c r="FO31">
        <v>-2.7142391389806329E-5</v>
      </c>
      <c r="FP31">
        <v>3</v>
      </c>
      <c r="FQ31">
        <v>2158</v>
      </c>
      <c r="FR31">
        <v>1</v>
      </c>
      <c r="FS31">
        <v>19</v>
      </c>
      <c r="FT31">
        <v>4.4000000000000004</v>
      </c>
      <c r="FU31">
        <v>4.7</v>
      </c>
      <c r="FV31">
        <v>1.7712399999999999</v>
      </c>
      <c r="FW31">
        <v>2.5317400000000001</v>
      </c>
      <c r="FX31">
        <v>1.5490699999999999</v>
      </c>
      <c r="FY31">
        <v>2.34741</v>
      </c>
      <c r="FZ31">
        <v>1.50146</v>
      </c>
      <c r="GA31">
        <v>2.3645</v>
      </c>
      <c r="GB31">
        <v>29.857800000000001</v>
      </c>
      <c r="GC31">
        <v>23.982399999999998</v>
      </c>
      <c r="GD31">
        <v>19</v>
      </c>
      <c r="GE31">
        <v>262.56200000000001</v>
      </c>
      <c r="GF31">
        <v>613.86400000000003</v>
      </c>
      <c r="GG31">
        <v>25.737300000000001</v>
      </c>
      <c r="GH31">
        <v>25.3017</v>
      </c>
      <c r="GI31">
        <v>30</v>
      </c>
      <c r="GJ31">
        <v>25.324000000000002</v>
      </c>
      <c r="GK31">
        <v>25.269100000000002</v>
      </c>
      <c r="GL31">
        <v>35.4086</v>
      </c>
      <c r="GM31">
        <v>-30</v>
      </c>
      <c r="GN31">
        <v>-30</v>
      </c>
      <c r="GO31">
        <v>25.768899999999999</v>
      </c>
      <c r="GP31">
        <v>800</v>
      </c>
      <c r="GQ31">
        <v>0</v>
      </c>
      <c r="GR31">
        <v>99.618799999999993</v>
      </c>
      <c r="GS31">
        <v>99.185000000000002</v>
      </c>
    </row>
    <row r="32" spans="1:201" x14ac:dyDescent="0.25">
      <c r="A32">
        <v>16</v>
      </c>
      <c r="B32">
        <v>1690201045.5</v>
      </c>
      <c r="C32">
        <v>198.5</v>
      </c>
      <c r="D32" t="s">
        <v>365</v>
      </c>
      <c r="E32" t="s">
        <v>366</v>
      </c>
      <c r="F32" t="s">
        <v>330</v>
      </c>
      <c r="H32">
        <v>1690201045.5</v>
      </c>
      <c r="I32">
        <f t="shared" si="0"/>
        <v>3.1123960366380513E-4</v>
      </c>
      <c r="J32">
        <f t="shared" si="1"/>
        <v>0.31123960366380515</v>
      </c>
      <c r="K32">
        <f t="shared" si="2"/>
        <v>1.8543266638401321</v>
      </c>
      <c r="L32">
        <f t="shared" si="3"/>
        <v>776.69500000000005</v>
      </c>
      <c r="M32">
        <f t="shared" si="4"/>
        <v>536.32397381442513</v>
      </c>
      <c r="N32">
        <f t="shared" si="5"/>
        <v>53.142383481059845</v>
      </c>
      <c r="O32">
        <f t="shared" si="6"/>
        <v>76.959870438503998</v>
      </c>
      <c r="P32">
        <f t="shared" si="7"/>
        <v>1.3746277317233633E-2</v>
      </c>
      <c r="Q32">
        <f t="shared" si="8"/>
        <v>2.0798350538713795</v>
      </c>
      <c r="R32">
        <f t="shared" si="9"/>
        <v>1.3696002521822768E-2</v>
      </c>
      <c r="S32">
        <f t="shared" si="10"/>
        <v>8.5645031725134126E-3</v>
      </c>
      <c r="T32">
        <f t="shared" si="11"/>
        <v>276.10926580418442</v>
      </c>
      <c r="U32">
        <f t="shared" si="12"/>
        <v>27.435201423654334</v>
      </c>
      <c r="V32">
        <f t="shared" si="13"/>
        <v>27.435201423654334</v>
      </c>
      <c r="W32">
        <f t="shared" si="14"/>
        <v>3.6716716999545058</v>
      </c>
      <c r="X32">
        <f t="shared" si="15"/>
        <v>45.642026097410863</v>
      </c>
      <c r="Y32">
        <f t="shared" si="16"/>
        <v>1.4784673865711999</v>
      </c>
      <c r="Z32">
        <f t="shared" si="17"/>
        <v>3.2392676508615135</v>
      </c>
      <c r="AA32">
        <f t="shared" si="18"/>
        <v>2.1932043133833057</v>
      </c>
      <c r="AB32">
        <f t="shared" si="19"/>
        <v>-13.725666521573807</v>
      </c>
      <c r="AC32">
        <f t="shared" si="20"/>
        <v>-238.09289800039693</v>
      </c>
      <c r="AD32">
        <f t="shared" si="21"/>
        <v>-24.551288223989062</v>
      </c>
      <c r="AE32">
        <f t="shared" si="22"/>
        <v>-0.26058694177535813</v>
      </c>
      <c r="AF32">
        <v>17</v>
      </c>
      <c r="AG32">
        <v>6</v>
      </c>
      <c r="AH32">
        <f t="shared" si="23"/>
        <v>1</v>
      </c>
      <c r="AI32">
        <f t="shared" si="24"/>
        <v>0</v>
      </c>
      <c r="AJ32">
        <f t="shared" si="25"/>
        <v>52624.794730579903</v>
      </c>
      <c r="AK32">
        <f t="shared" si="26"/>
        <v>1799.96</v>
      </c>
      <c r="AL32">
        <f t="shared" si="27"/>
        <v>1499.0755706692401</v>
      </c>
      <c r="AM32">
        <f t="shared" si="28"/>
        <v>0.83283826900000002</v>
      </c>
      <c r="AN32">
        <f t="shared" si="29"/>
        <v>0.15339744539</v>
      </c>
      <c r="AO32">
        <v>33.299999999999997</v>
      </c>
      <c r="AP32">
        <v>0.5</v>
      </c>
      <c r="AQ32" t="s">
        <v>331</v>
      </c>
      <c r="AR32">
        <v>2</v>
      </c>
      <c r="AS32">
        <v>1690201045.5</v>
      </c>
      <c r="AT32">
        <v>776.69500000000005</v>
      </c>
      <c r="AU32">
        <v>799.93799999999999</v>
      </c>
      <c r="AV32">
        <v>14.920999999999999</v>
      </c>
      <c r="AW32">
        <v>11.5212</v>
      </c>
      <c r="AX32">
        <v>778.21100000000001</v>
      </c>
      <c r="AY32">
        <v>14.867699999999999</v>
      </c>
      <c r="AZ32">
        <v>300.30099999999999</v>
      </c>
      <c r="BA32">
        <v>98.986400000000003</v>
      </c>
      <c r="BB32">
        <v>9.99472E-2</v>
      </c>
      <c r="BC32">
        <v>25.311800000000002</v>
      </c>
      <c r="BD32">
        <v>27.032699999999998</v>
      </c>
      <c r="BE32">
        <v>27.255800000000001</v>
      </c>
      <c r="BF32">
        <v>0</v>
      </c>
      <c r="BG32">
        <v>0</v>
      </c>
      <c r="BH32">
        <v>9997.5</v>
      </c>
      <c r="BI32">
        <v>1078.02</v>
      </c>
      <c r="BJ32">
        <v>1.3680099999999999</v>
      </c>
      <c r="BK32">
        <v>-23.242999999999999</v>
      </c>
      <c r="BL32">
        <v>788.46</v>
      </c>
      <c r="BM32">
        <v>809.26199999999994</v>
      </c>
      <c r="BN32">
        <v>3.39981</v>
      </c>
      <c r="BO32">
        <v>799.93799999999999</v>
      </c>
      <c r="BP32">
        <v>11.5212</v>
      </c>
      <c r="BQ32">
        <v>1.47698</v>
      </c>
      <c r="BR32">
        <v>1.1404399999999999</v>
      </c>
      <c r="BS32">
        <v>12.7319</v>
      </c>
      <c r="BT32">
        <v>8.8459800000000008</v>
      </c>
      <c r="BU32">
        <v>1799.96</v>
      </c>
      <c r="BV32">
        <v>0.90998400000000002</v>
      </c>
      <c r="BW32">
        <v>3.4006000000000002E-2</v>
      </c>
      <c r="BX32">
        <v>2.1998199999999999E-2</v>
      </c>
      <c r="BY32">
        <v>3.4012100000000003E-2</v>
      </c>
      <c r="BZ32">
        <v>22.666699999999999</v>
      </c>
      <c r="CA32">
        <v>33527.699999999997</v>
      </c>
      <c r="CB32">
        <v>1690200769.5</v>
      </c>
      <c r="CC32" t="s">
        <v>332</v>
      </c>
      <c r="CD32">
        <v>1690200769.5</v>
      </c>
      <c r="CE32">
        <v>1690200753</v>
      </c>
      <c r="CF32">
        <v>2</v>
      </c>
      <c r="CG32">
        <v>-0.245</v>
      </c>
      <c r="CH32">
        <v>3.0000000000000001E-3</v>
      </c>
      <c r="CI32">
        <v>-1.5169999999999999</v>
      </c>
      <c r="CJ32">
        <v>-1.6E-2</v>
      </c>
      <c r="CK32">
        <v>778</v>
      </c>
      <c r="CL32">
        <v>12</v>
      </c>
      <c r="CM32">
        <v>0.01</v>
      </c>
      <c r="CN32">
        <v>0.03</v>
      </c>
      <c r="CO32">
        <v>-17.796250000000001</v>
      </c>
      <c r="CP32">
        <v>-25.583945966228889</v>
      </c>
      <c r="CQ32">
        <v>2.4686114503906849</v>
      </c>
      <c r="CR32">
        <v>-1</v>
      </c>
      <c r="CS32">
        <v>3.162925</v>
      </c>
      <c r="CT32">
        <v>1.0968806003752301</v>
      </c>
      <c r="CU32">
        <v>0.1059315366168168</v>
      </c>
      <c r="CV32">
        <v>-1</v>
      </c>
      <c r="CW32">
        <v>0</v>
      </c>
      <c r="CX32">
        <v>0</v>
      </c>
      <c r="CY32" t="s">
        <v>333</v>
      </c>
      <c r="CZ32">
        <v>2.3659300000000001</v>
      </c>
      <c r="DA32">
        <v>2.71374</v>
      </c>
      <c r="DB32">
        <v>0.144092</v>
      </c>
      <c r="DC32">
        <v>0.14640600000000001</v>
      </c>
      <c r="DD32">
        <v>8.1281300000000001E-2</v>
      </c>
      <c r="DE32">
        <v>6.6014900000000001E-2</v>
      </c>
      <c r="DF32">
        <v>31222.5</v>
      </c>
      <c r="DG32">
        <v>27422.6</v>
      </c>
      <c r="DH32">
        <v>31138.6</v>
      </c>
      <c r="DI32">
        <v>27990</v>
      </c>
      <c r="DJ32">
        <v>38840.400000000001</v>
      </c>
      <c r="DK32">
        <v>37135.800000000003</v>
      </c>
      <c r="DL32">
        <v>44301.2</v>
      </c>
      <c r="DM32">
        <v>42378.7</v>
      </c>
      <c r="DN32">
        <v>1.4374499999999999</v>
      </c>
      <c r="DO32">
        <v>2.0873699999999999</v>
      </c>
      <c r="DP32">
        <v>0.17765900000000001</v>
      </c>
      <c r="DQ32">
        <v>0.19822300000000001</v>
      </c>
      <c r="DR32">
        <v>24.1205</v>
      </c>
      <c r="DS32">
        <v>24.006799999999998</v>
      </c>
      <c r="DT32">
        <v>40.1</v>
      </c>
      <c r="DU32">
        <v>24.3</v>
      </c>
      <c r="DV32">
        <v>12.3546</v>
      </c>
      <c r="DW32">
        <v>62.279899999999998</v>
      </c>
      <c r="DX32">
        <v>36.105800000000002</v>
      </c>
      <c r="DY32">
        <v>1</v>
      </c>
      <c r="DZ32">
        <v>-0.168768</v>
      </c>
      <c r="EA32">
        <v>-0.93582200000000004</v>
      </c>
      <c r="EB32">
        <v>20.188700000000001</v>
      </c>
      <c r="EC32">
        <v>5.2413999999999996</v>
      </c>
      <c r="ED32">
        <v>12.039899999999999</v>
      </c>
      <c r="EE32">
        <v>5.0175999999999998</v>
      </c>
      <c r="EF32">
        <v>3.2879999999999998</v>
      </c>
      <c r="EG32">
        <v>9999</v>
      </c>
      <c r="EH32">
        <v>9999</v>
      </c>
      <c r="EI32">
        <v>9999</v>
      </c>
      <c r="EJ32">
        <v>999.9</v>
      </c>
      <c r="EK32">
        <v>1.8687400000000001</v>
      </c>
      <c r="EL32">
        <v>1.86446</v>
      </c>
      <c r="EM32">
        <v>1.8690500000000001</v>
      </c>
      <c r="EN32">
        <v>1.86707</v>
      </c>
      <c r="EO32">
        <v>1.8632500000000001</v>
      </c>
      <c r="EP32">
        <v>1.86432</v>
      </c>
      <c r="EQ32">
        <v>1.8700300000000001</v>
      </c>
      <c r="ER32">
        <v>1.8692500000000001</v>
      </c>
      <c r="ES32">
        <v>0</v>
      </c>
      <c r="ET32">
        <v>0</v>
      </c>
      <c r="EU32">
        <v>0</v>
      </c>
      <c r="EV32">
        <v>0</v>
      </c>
      <c r="EW32" t="s">
        <v>334</v>
      </c>
      <c r="EX32" t="s">
        <v>335</v>
      </c>
      <c r="EY32" t="s">
        <v>336</v>
      </c>
      <c r="EZ32" t="s">
        <v>336</v>
      </c>
      <c r="FA32" t="s">
        <v>336</v>
      </c>
      <c r="FB32" t="s">
        <v>336</v>
      </c>
      <c r="FC32">
        <v>0</v>
      </c>
      <c r="FD32">
        <v>100</v>
      </c>
      <c r="FE32">
        <v>100</v>
      </c>
      <c r="FF32">
        <v>-1.516</v>
      </c>
      <c r="FG32">
        <v>5.33E-2</v>
      </c>
      <c r="FH32">
        <v>-0.98020551812546231</v>
      </c>
      <c r="FI32">
        <v>-6.1462078757559423E-4</v>
      </c>
      <c r="FJ32">
        <v>-1.8861989874597051E-7</v>
      </c>
      <c r="FK32">
        <v>1.1980462299894961E-10</v>
      </c>
      <c r="FL32">
        <v>-4.4410915568505363E-2</v>
      </c>
      <c r="FM32">
        <v>-1.6848085045870601E-2</v>
      </c>
      <c r="FN32">
        <v>1.9789084769509481E-3</v>
      </c>
      <c r="FO32">
        <v>-2.7142391389806329E-5</v>
      </c>
      <c r="FP32">
        <v>3</v>
      </c>
      <c r="FQ32">
        <v>2158</v>
      </c>
      <c r="FR32">
        <v>1</v>
      </c>
      <c r="FS32">
        <v>19</v>
      </c>
      <c r="FT32">
        <v>4.5999999999999996</v>
      </c>
      <c r="FU32">
        <v>4.9000000000000004</v>
      </c>
      <c r="FV32">
        <v>1.7712399999999999</v>
      </c>
      <c r="FW32">
        <v>2.5329600000000001</v>
      </c>
      <c r="FX32">
        <v>1.5490699999999999</v>
      </c>
      <c r="FY32">
        <v>2.34619</v>
      </c>
      <c r="FZ32">
        <v>1.50146</v>
      </c>
      <c r="GA32">
        <v>2.3718300000000001</v>
      </c>
      <c r="GB32">
        <v>29.879200000000001</v>
      </c>
      <c r="GC32">
        <v>23.982399999999998</v>
      </c>
      <c r="GD32">
        <v>19</v>
      </c>
      <c r="GE32">
        <v>262.55200000000002</v>
      </c>
      <c r="GF32">
        <v>613.60299999999995</v>
      </c>
      <c r="GG32">
        <v>25.912099999999999</v>
      </c>
      <c r="GH32">
        <v>25.3155</v>
      </c>
      <c r="GI32">
        <v>30.000399999999999</v>
      </c>
      <c r="GJ32">
        <v>25.336200000000002</v>
      </c>
      <c r="GK32">
        <v>25.2775</v>
      </c>
      <c r="GL32">
        <v>35.410200000000003</v>
      </c>
      <c r="GM32">
        <v>-30</v>
      </c>
      <c r="GN32">
        <v>-30</v>
      </c>
      <c r="GO32">
        <v>25.857399999999998</v>
      </c>
      <c r="GP32">
        <v>800</v>
      </c>
      <c r="GQ32">
        <v>0</v>
      </c>
      <c r="GR32">
        <v>99.614400000000003</v>
      </c>
      <c r="GS32">
        <v>99.179900000000004</v>
      </c>
    </row>
    <row r="33" spans="1:201" x14ac:dyDescent="0.25">
      <c r="A33">
        <v>17</v>
      </c>
      <c r="B33">
        <v>1690201055.5</v>
      </c>
      <c r="C33">
        <v>208.5</v>
      </c>
      <c r="D33" t="s">
        <v>367</v>
      </c>
      <c r="E33" t="s">
        <v>368</v>
      </c>
      <c r="F33" t="s">
        <v>330</v>
      </c>
      <c r="H33">
        <v>1690201055.5</v>
      </c>
      <c r="I33">
        <f t="shared" si="0"/>
        <v>3.3886622964409476E-4</v>
      </c>
      <c r="J33">
        <f t="shared" si="1"/>
        <v>0.33886622964409474</v>
      </c>
      <c r="K33">
        <f t="shared" si="2"/>
        <v>2.4656620978209958</v>
      </c>
      <c r="L33">
        <f t="shared" si="3"/>
        <v>769.72400000000005</v>
      </c>
      <c r="M33">
        <f t="shared" si="4"/>
        <v>484.56968087248777</v>
      </c>
      <c r="N33">
        <f t="shared" si="5"/>
        <v>48.01514908190159</v>
      </c>
      <c r="O33">
        <f t="shared" si="6"/>
        <v>76.270584130176005</v>
      </c>
      <c r="P33">
        <f t="shared" si="7"/>
        <v>1.5079091116068959E-2</v>
      </c>
      <c r="Q33">
        <f t="shared" si="8"/>
        <v>2.0792971634657378</v>
      </c>
      <c r="R33">
        <f t="shared" si="9"/>
        <v>1.5018602163886416E-2</v>
      </c>
      <c r="S33">
        <f t="shared" si="10"/>
        <v>9.3920407422453684E-3</v>
      </c>
      <c r="T33">
        <f t="shared" si="11"/>
        <v>276.11123979930449</v>
      </c>
      <c r="U33">
        <f t="shared" si="12"/>
        <v>27.49661426267226</v>
      </c>
      <c r="V33">
        <f t="shared" si="13"/>
        <v>27.49661426267226</v>
      </c>
      <c r="W33">
        <f t="shared" si="14"/>
        <v>3.6848929711054512</v>
      </c>
      <c r="X33">
        <f t="shared" si="15"/>
        <v>46.349770537829897</v>
      </c>
      <c r="Y33">
        <f t="shared" si="16"/>
        <v>1.5077363252064004</v>
      </c>
      <c r="Z33">
        <f t="shared" si="17"/>
        <v>3.2529531596619483</v>
      </c>
      <c r="AA33">
        <f t="shared" si="18"/>
        <v>2.1771566458990508</v>
      </c>
      <c r="AB33">
        <f t="shared" si="19"/>
        <v>-14.944000727304578</v>
      </c>
      <c r="AC33">
        <f t="shared" si="20"/>
        <v>-236.96782010809048</v>
      </c>
      <c r="AD33">
        <f t="shared" si="21"/>
        <v>-24.457799567499119</v>
      </c>
      <c r="AE33">
        <f t="shared" si="22"/>
        <v>-0.25838060358967141</v>
      </c>
      <c r="AF33">
        <v>17</v>
      </c>
      <c r="AG33">
        <v>6</v>
      </c>
      <c r="AH33">
        <f t="shared" si="23"/>
        <v>1</v>
      </c>
      <c r="AI33">
        <f t="shared" si="24"/>
        <v>0</v>
      </c>
      <c r="AJ33">
        <f t="shared" si="25"/>
        <v>52588.005908703592</v>
      </c>
      <c r="AK33">
        <f t="shared" si="26"/>
        <v>1799.97</v>
      </c>
      <c r="AL33">
        <f t="shared" si="27"/>
        <v>1499.0901917470499</v>
      </c>
      <c r="AM33">
        <f t="shared" si="28"/>
        <v>0.83284176499999996</v>
      </c>
      <c r="AN33">
        <f t="shared" si="29"/>
        <v>0.15339768984999999</v>
      </c>
      <c r="AO33">
        <v>33.299999999999997</v>
      </c>
      <c r="AP33">
        <v>0.5</v>
      </c>
      <c r="AQ33" t="s">
        <v>331</v>
      </c>
      <c r="AR33">
        <v>2</v>
      </c>
      <c r="AS33">
        <v>1690201055.5</v>
      </c>
      <c r="AT33">
        <v>769.72400000000005</v>
      </c>
      <c r="AU33">
        <v>799.976</v>
      </c>
      <c r="AV33">
        <v>15.216100000000001</v>
      </c>
      <c r="AW33">
        <v>11.513400000000001</v>
      </c>
      <c r="AX33">
        <v>771.23500000000001</v>
      </c>
      <c r="AY33">
        <v>15.155799999999999</v>
      </c>
      <c r="AZ33">
        <v>300.12</v>
      </c>
      <c r="BA33">
        <v>98.988200000000006</v>
      </c>
      <c r="BB33">
        <v>0.100024</v>
      </c>
      <c r="BC33">
        <v>25.3827</v>
      </c>
      <c r="BD33">
        <v>27.110499999999998</v>
      </c>
      <c r="BE33">
        <v>27.381799999999998</v>
      </c>
      <c r="BF33">
        <v>0</v>
      </c>
      <c r="BG33">
        <v>0</v>
      </c>
      <c r="BH33">
        <v>9992.5</v>
      </c>
      <c r="BI33">
        <v>1077.73</v>
      </c>
      <c r="BJ33">
        <v>1.4016500000000001</v>
      </c>
      <c r="BK33">
        <v>-30.251799999999999</v>
      </c>
      <c r="BL33">
        <v>781.61699999999996</v>
      </c>
      <c r="BM33">
        <v>809.29300000000001</v>
      </c>
      <c r="BN33">
        <v>3.7026500000000002</v>
      </c>
      <c r="BO33">
        <v>799.976</v>
      </c>
      <c r="BP33">
        <v>11.513400000000001</v>
      </c>
      <c r="BQ33">
        <v>1.50621</v>
      </c>
      <c r="BR33">
        <v>1.1396900000000001</v>
      </c>
      <c r="BS33">
        <v>13.0314</v>
      </c>
      <c r="BT33">
        <v>8.8362800000000004</v>
      </c>
      <c r="BU33">
        <v>1799.97</v>
      </c>
      <c r="BV33">
        <v>0.91000599999999998</v>
      </c>
      <c r="BW33">
        <v>3.3992599999999998E-2</v>
      </c>
      <c r="BX33">
        <v>2.2003999999999999E-2</v>
      </c>
      <c r="BY33">
        <v>3.3997899999999998E-2</v>
      </c>
      <c r="BZ33">
        <v>23</v>
      </c>
      <c r="CA33">
        <v>33527.800000000003</v>
      </c>
      <c r="CB33">
        <v>1690200769.5</v>
      </c>
      <c r="CC33" t="s">
        <v>332</v>
      </c>
      <c r="CD33">
        <v>1690200769.5</v>
      </c>
      <c r="CE33">
        <v>1690200753</v>
      </c>
      <c r="CF33">
        <v>2</v>
      </c>
      <c r="CG33">
        <v>-0.245</v>
      </c>
      <c r="CH33">
        <v>3.0000000000000001E-3</v>
      </c>
      <c r="CI33">
        <v>-1.5169999999999999</v>
      </c>
      <c r="CJ33">
        <v>-1.6E-2</v>
      </c>
      <c r="CK33">
        <v>778</v>
      </c>
      <c r="CL33">
        <v>12</v>
      </c>
      <c r="CM33">
        <v>0.01</v>
      </c>
      <c r="CN33">
        <v>0.03</v>
      </c>
      <c r="CO33">
        <v>-23.431877499999999</v>
      </c>
      <c r="CP33">
        <v>-35.920537711069407</v>
      </c>
      <c r="CQ33">
        <v>3.468067864855553</v>
      </c>
      <c r="CR33">
        <v>-1</v>
      </c>
      <c r="CS33">
        <v>3.407115249999999</v>
      </c>
      <c r="CT33">
        <v>1.574755384615377</v>
      </c>
      <c r="CU33">
        <v>0.151953197284353</v>
      </c>
      <c r="CV33">
        <v>-1</v>
      </c>
      <c r="CW33">
        <v>0</v>
      </c>
      <c r="CX33">
        <v>0</v>
      </c>
      <c r="CY33" t="s">
        <v>333</v>
      </c>
      <c r="CZ33">
        <v>2.3653200000000001</v>
      </c>
      <c r="DA33">
        <v>2.7138100000000001</v>
      </c>
      <c r="DB33">
        <v>0.143229</v>
      </c>
      <c r="DC33">
        <v>0.14641000000000001</v>
      </c>
      <c r="DD33">
        <v>8.2440700000000006E-2</v>
      </c>
      <c r="DE33">
        <v>6.5981100000000001E-2</v>
      </c>
      <c r="DF33">
        <v>31252.799999999999</v>
      </c>
      <c r="DG33">
        <v>27421.1</v>
      </c>
      <c r="DH33">
        <v>31137.4</v>
      </c>
      <c r="DI33">
        <v>27988.6</v>
      </c>
      <c r="DJ33">
        <v>38789.300000000003</v>
      </c>
      <c r="DK33">
        <v>37135.5</v>
      </c>
      <c r="DL33">
        <v>44299.4</v>
      </c>
      <c r="DM33">
        <v>42376.9</v>
      </c>
      <c r="DN33">
        <v>1.43547</v>
      </c>
      <c r="DO33">
        <v>2.0870500000000001</v>
      </c>
      <c r="DP33">
        <v>0.18093699999999999</v>
      </c>
      <c r="DQ33">
        <v>0.20366200000000001</v>
      </c>
      <c r="DR33">
        <v>24.1447</v>
      </c>
      <c r="DS33">
        <v>24.0441</v>
      </c>
      <c r="DT33">
        <v>40.1</v>
      </c>
      <c r="DU33">
        <v>24.3</v>
      </c>
      <c r="DV33">
        <v>12.352</v>
      </c>
      <c r="DW33">
        <v>62.479900000000001</v>
      </c>
      <c r="DX33">
        <v>36.5184</v>
      </c>
      <c r="DY33">
        <v>1</v>
      </c>
      <c r="DZ33">
        <v>-0.15243599999999999</v>
      </c>
      <c r="EA33">
        <v>7.3274600000000003</v>
      </c>
      <c r="EB33">
        <v>19.978100000000001</v>
      </c>
      <c r="EC33">
        <v>5.24125</v>
      </c>
      <c r="ED33">
        <v>12.039899999999999</v>
      </c>
      <c r="EE33">
        <v>5.0174000000000003</v>
      </c>
      <c r="EF33">
        <v>3.2879999999999998</v>
      </c>
      <c r="EG33">
        <v>9999</v>
      </c>
      <c r="EH33">
        <v>9999</v>
      </c>
      <c r="EI33">
        <v>9999</v>
      </c>
      <c r="EJ33">
        <v>999.9</v>
      </c>
      <c r="EK33">
        <v>1.8687400000000001</v>
      </c>
      <c r="EL33">
        <v>1.86446</v>
      </c>
      <c r="EM33">
        <v>1.86904</v>
      </c>
      <c r="EN33">
        <v>1.86707</v>
      </c>
      <c r="EO33">
        <v>1.8632200000000001</v>
      </c>
      <c r="EP33">
        <v>1.86432</v>
      </c>
      <c r="EQ33">
        <v>1.86998</v>
      </c>
      <c r="ER33">
        <v>1.8692299999999999</v>
      </c>
      <c r="ES33">
        <v>0</v>
      </c>
      <c r="ET33">
        <v>0</v>
      </c>
      <c r="EU33">
        <v>0</v>
      </c>
      <c r="EV33">
        <v>0</v>
      </c>
      <c r="EW33" t="s">
        <v>334</v>
      </c>
      <c r="EX33" t="s">
        <v>335</v>
      </c>
      <c r="EY33" t="s">
        <v>336</v>
      </c>
      <c r="EZ33" t="s">
        <v>336</v>
      </c>
      <c r="FA33" t="s">
        <v>336</v>
      </c>
      <c r="FB33" t="s">
        <v>336</v>
      </c>
      <c r="FC33">
        <v>0</v>
      </c>
      <c r="FD33">
        <v>100</v>
      </c>
      <c r="FE33">
        <v>100</v>
      </c>
      <c r="FF33">
        <v>-1.5109999999999999</v>
      </c>
      <c r="FG33">
        <v>6.0299999999999999E-2</v>
      </c>
      <c r="FH33">
        <v>-0.98020551812546231</v>
      </c>
      <c r="FI33">
        <v>-6.1462078757559423E-4</v>
      </c>
      <c r="FJ33">
        <v>-1.8861989874597051E-7</v>
      </c>
      <c r="FK33">
        <v>1.1980462299894961E-10</v>
      </c>
      <c r="FL33">
        <v>-4.4410915568505363E-2</v>
      </c>
      <c r="FM33">
        <v>-1.6848085045870601E-2</v>
      </c>
      <c r="FN33">
        <v>1.9789084769509481E-3</v>
      </c>
      <c r="FO33">
        <v>-2.7142391389806329E-5</v>
      </c>
      <c r="FP33">
        <v>3</v>
      </c>
      <c r="FQ33">
        <v>2158</v>
      </c>
      <c r="FR33">
        <v>1</v>
      </c>
      <c r="FS33">
        <v>19</v>
      </c>
      <c r="FT33">
        <v>4.8</v>
      </c>
      <c r="FU33">
        <v>5</v>
      </c>
      <c r="FV33">
        <v>1.7712399999999999</v>
      </c>
      <c r="FW33">
        <v>2.5354000000000001</v>
      </c>
      <c r="FX33">
        <v>1.5490699999999999</v>
      </c>
      <c r="FY33">
        <v>2.34619</v>
      </c>
      <c r="FZ33">
        <v>1.50024</v>
      </c>
      <c r="GA33">
        <v>2.3571800000000001</v>
      </c>
      <c r="GB33">
        <v>29.879200000000001</v>
      </c>
      <c r="GC33">
        <v>23.9299</v>
      </c>
      <c r="GD33">
        <v>19</v>
      </c>
      <c r="GE33">
        <v>261.81299999999999</v>
      </c>
      <c r="GF33">
        <v>613.42200000000003</v>
      </c>
      <c r="GG33">
        <v>24.6373</v>
      </c>
      <c r="GH33">
        <v>25.3278</v>
      </c>
      <c r="GI33">
        <v>30.0105</v>
      </c>
      <c r="GJ33">
        <v>25.348400000000002</v>
      </c>
      <c r="GK33">
        <v>25.285499999999999</v>
      </c>
      <c r="GL33">
        <v>35.411299999999997</v>
      </c>
      <c r="GM33">
        <v>-30</v>
      </c>
      <c r="GN33">
        <v>-30</v>
      </c>
      <c r="GO33">
        <v>23.767800000000001</v>
      </c>
      <c r="GP33">
        <v>800</v>
      </c>
      <c r="GQ33">
        <v>0</v>
      </c>
      <c r="GR33">
        <v>99.610600000000005</v>
      </c>
      <c r="GS33">
        <v>99.175399999999996</v>
      </c>
    </row>
    <row r="34" spans="1:201" x14ac:dyDescent="0.25">
      <c r="A34">
        <v>18</v>
      </c>
      <c r="B34">
        <v>1690201065.5</v>
      </c>
      <c r="C34">
        <v>218.5</v>
      </c>
      <c r="D34" t="s">
        <v>369</v>
      </c>
      <c r="E34" t="s">
        <v>370</v>
      </c>
      <c r="F34" t="s">
        <v>330</v>
      </c>
      <c r="H34">
        <v>1690201065.5</v>
      </c>
      <c r="I34">
        <f t="shared" si="0"/>
        <v>3.7095202074993163E-4</v>
      </c>
      <c r="J34">
        <f t="shared" si="1"/>
        <v>0.37095202074993161</v>
      </c>
      <c r="K34">
        <f t="shared" si="2"/>
        <v>3.2526009500929924</v>
      </c>
      <c r="L34">
        <f t="shared" si="3"/>
        <v>760.77</v>
      </c>
      <c r="M34">
        <f t="shared" si="4"/>
        <v>433.64375154903649</v>
      </c>
      <c r="N34">
        <f t="shared" si="5"/>
        <v>42.969416328786551</v>
      </c>
      <c r="O34">
        <f t="shared" si="6"/>
        <v>75.384097530929992</v>
      </c>
      <c r="P34">
        <f t="shared" si="7"/>
        <v>1.7058479011672976E-2</v>
      </c>
      <c r="Q34">
        <f t="shared" si="8"/>
        <v>2.0819507169635201</v>
      </c>
      <c r="R34">
        <f t="shared" si="9"/>
        <v>1.698120946418433E-2</v>
      </c>
      <c r="S34">
        <f t="shared" si="10"/>
        <v>1.0620169014007075E-2</v>
      </c>
      <c r="T34">
        <f t="shared" si="11"/>
        <v>276.11106603020073</v>
      </c>
      <c r="U34">
        <f t="shared" si="12"/>
        <v>27.331823510962199</v>
      </c>
      <c r="V34">
        <f t="shared" si="13"/>
        <v>27.331823510962199</v>
      </c>
      <c r="W34">
        <f t="shared" si="14"/>
        <v>3.6495094578349683</v>
      </c>
      <c r="X34">
        <f t="shared" si="15"/>
        <v>47.819541732795138</v>
      </c>
      <c r="Y34">
        <f t="shared" si="16"/>
        <v>1.5416200047010999</v>
      </c>
      <c r="Z34">
        <f t="shared" si="17"/>
        <v>3.2238284785649483</v>
      </c>
      <c r="AA34">
        <f t="shared" si="18"/>
        <v>2.1078894531338683</v>
      </c>
      <c r="AB34">
        <f t="shared" si="19"/>
        <v>-16.358984115071983</v>
      </c>
      <c r="AC34">
        <f t="shared" si="20"/>
        <v>-235.74477836969041</v>
      </c>
      <c r="AD34">
        <f t="shared" si="21"/>
        <v>-24.262106913974375</v>
      </c>
      <c r="AE34">
        <f t="shared" si="22"/>
        <v>-0.25480336853604513</v>
      </c>
      <c r="AF34">
        <v>17</v>
      </c>
      <c r="AG34">
        <v>6</v>
      </c>
      <c r="AH34">
        <f t="shared" si="23"/>
        <v>1</v>
      </c>
      <c r="AI34">
        <f t="shared" si="24"/>
        <v>0</v>
      </c>
      <c r="AJ34">
        <f t="shared" si="25"/>
        <v>52734.817871947271</v>
      </c>
      <c r="AK34">
        <f t="shared" si="26"/>
        <v>1799.97</v>
      </c>
      <c r="AL34">
        <f t="shared" si="27"/>
        <v>1499.0877725873697</v>
      </c>
      <c r="AM34">
        <f t="shared" si="28"/>
        <v>0.83284042099999989</v>
      </c>
      <c r="AN34">
        <f t="shared" si="29"/>
        <v>0.15339759331000002</v>
      </c>
      <c r="AO34">
        <v>33.299999999999997</v>
      </c>
      <c r="AP34">
        <v>0.5</v>
      </c>
      <c r="AQ34" t="s">
        <v>331</v>
      </c>
      <c r="AR34">
        <v>2</v>
      </c>
      <c r="AS34">
        <v>1690201065.5</v>
      </c>
      <c r="AT34">
        <v>760.77</v>
      </c>
      <c r="AU34">
        <v>799.98599999999999</v>
      </c>
      <c r="AV34">
        <v>15.5579</v>
      </c>
      <c r="AW34">
        <v>11.506500000000001</v>
      </c>
      <c r="AX34">
        <v>762.27499999999998</v>
      </c>
      <c r="AY34">
        <v>15.4893</v>
      </c>
      <c r="AZ34">
        <v>300.15600000000001</v>
      </c>
      <c r="BA34">
        <v>98.989099999999993</v>
      </c>
      <c r="BB34">
        <v>0.100109</v>
      </c>
      <c r="BC34">
        <v>25.2315</v>
      </c>
      <c r="BD34">
        <v>27.0396</v>
      </c>
      <c r="BE34">
        <v>27.3001</v>
      </c>
      <c r="BF34">
        <v>0</v>
      </c>
      <c r="BG34">
        <v>0</v>
      </c>
      <c r="BH34">
        <v>10016.200000000001</v>
      </c>
      <c r="BI34">
        <v>1077.28</v>
      </c>
      <c r="BJ34">
        <v>1.4016500000000001</v>
      </c>
      <c r="BK34">
        <v>-39.216200000000001</v>
      </c>
      <c r="BL34">
        <v>772.79300000000001</v>
      </c>
      <c r="BM34">
        <v>809.298</v>
      </c>
      <c r="BN34">
        <v>4.0514000000000001</v>
      </c>
      <c r="BO34">
        <v>799.98599999999999</v>
      </c>
      <c r="BP34">
        <v>11.506500000000001</v>
      </c>
      <c r="BQ34">
        <v>1.54006</v>
      </c>
      <c r="BR34">
        <v>1.1390199999999999</v>
      </c>
      <c r="BS34">
        <v>13.3718</v>
      </c>
      <c r="BT34">
        <v>8.8274799999999995</v>
      </c>
      <c r="BU34">
        <v>1799.97</v>
      </c>
      <c r="BV34">
        <v>0.909999</v>
      </c>
      <c r="BW34">
        <v>3.4000099999999998E-2</v>
      </c>
      <c r="BX34">
        <v>2.2001799999999998E-2</v>
      </c>
      <c r="BY34">
        <v>3.3999500000000002E-2</v>
      </c>
      <c r="BZ34">
        <v>23</v>
      </c>
      <c r="CA34">
        <v>33527.699999999997</v>
      </c>
      <c r="CB34">
        <v>1690200769.5</v>
      </c>
      <c r="CC34" t="s">
        <v>332</v>
      </c>
      <c r="CD34">
        <v>1690200769.5</v>
      </c>
      <c r="CE34">
        <v>1690200753</v>
      </c>
      <c r="CF34">
        <v>2</v>
      </c>
      <c r="CG34">
        <v>-0.245</v>
      </c>
      <c r="CH34">
        <v>3.0000000000000001E-3</v>
      </c>
      <c r="CI34">
        <v>-1.5169999999999999</v>
      </c>
      <c r="CJ34">
        <v>-1.6E-2</v>
      </c>
      <c r="CK34">
        <v>778</v>
      </c>
      <c r="CL34">
        <v>12</v>
      </c>
      <c r="CM34">
        <v>0.01</v>
      </c>
      <c r="CN34">
        <v>0.03</v>
      </c>
      <c r="CO34">
        <v>-29.608162499999999</v>
      </c>
      <c r="CP34">
        <v>-46.458658536585332</v>
      </c>
      <c r="CQ34">
        <v>4.478208593940634</v>
      </c>
      <c r="CR34">
        <v>-1</v>
      </c>
      <c r="CS34">
        <v>3.6674905</v>
      </c>
      <c r="CT34">
        <v>1.905682176360225</v>
      </c>
      <c r="CU34">
        <v>0.18343682573232131</v>
      </c>
      <c r="CV34">
        <v>-1</v>
      </c>
      <c r="CW34">
        <v>0</v>
      </c>
      <c r="CX34">
        <v>0</v>
      </c>
      <c r="CY34" t="s">
        <v>333</v>
      </c>
      <c r="CZ34">
        <v>2.3654600000000001</v>
      </c>
      <c r="DA34">
        <v>2.7139199999999999</v>
      </c>
      <c r="DB34">
        <v>0.14211299999999999</v>
      </c>
      <c r="DC34">
        <v>0.14641000000000001</v>
      </c>
      <c r="DD34">
        <v>8.3772200000000005E-2</v>
      </c>
      <c r="DE34">
        <v>6.59502E-2</v>
      </c>
      <c r="DF34">
        <v>31290.9</v>
      </c>
      <c r="DG34">
        <v>27419.599999999999</v>
      </c>
      <c r="DH34">
        <v>31134.9</v>
      </c>
      <c r="DI34">
        <v>27987.200000000001</v>
      </c>
      <c r="DJ34">
        <v>38729.300000000003</v>
      </c>
      <c r="DK34">
        <v>37134.9</v>
      </c>
      <c r="DL34">
        <v>44295.8</v>
      </c>
      <c r="DM34">
        <v>42374.8</v>
      </c>
      <c r="DN34">
        <v>1.4365000000000001</v>
      </c>
      <c r="DO34">
        <v>2.0866199999999999</v>
      </c>
      <c r="DP34">
        <v>0.175238</v>
      </c>
      <c r="DQ34">
        <v>0.19673299999999999</v>
      </c>
      <c r="DR34">
        <v>24.167200000000001</v>
      </c>
      <c r="DS34">
        <v>24.075700000000001</v>
      </c>
      <c r="DT34">
        <v>40</v>
      </c>
      <c r="DU34">
        <v>24.3</v>
      </c>
      <c r="DV34">
        <v>12.322100000000001</v>
      </c>
      <c r="DW34">
        <v>62.1999</v>
      </c>
      <c r="DX34">
        <v>36.602600000000002</v>
      </c>
      <c r="DY34">
        <v>1</v>
      </c>
      <c r="DZ34">
        <v>-0.16006600000000001</v>
      </c>
      <c r="EA34">
        <v>2.23421</v>
      </c>
      <c r="EB34">
        <v>20.1707</v>
      </c>
      <c r="EC34">
        <v>5.24125</v>
      </c>
      <c r="ED34">
        <v>12.039899999999999</v>
      </c>
      <c r="EE34">
        <v>5.0175999999999998</v>
      </c>
      <c r="EF34">
        <v>3.2879999999999998</v>
      </c>
      <c r="EG34">
        <v>9999</v>
      </c>
      <c r="EH34">
        <v>9999</v>
      </c>
      <c r="EI34">
        <v>9999</v>
      </c>
      <c r="EJ34">
        <v>999.9</v>
      </c>
      <c r="EK34">
        <v>1.8687400000000001</v>
      </c>
      <c r="EL34">
        <v>1.8644700000000001</v>
      </c>
      <c r="EM34">
        <v>1.86904</v>
      </c>
      <c r="EN34">
        <v>1.86707</v>
      </c>
      <c r="EO34">
        <v>1.8632500000000001</v>
      </c>
      <c r="EP34">
        <v>1.86432</v>
      </c>
      <c r="EQ34">
        <v>1.8699699999999999</v>
      </c>
      <c r="ER34">
        <v>1.8692500000000001</v>
      </c>
      <c r="ES34">
        <v>0</v>
      </c>
      <c r="ET34">
        <v>0</v>
      </c>
      <c r="EU34">
        <v>0</v>
      </c>
      <c r="EV34">
        <v>0</v>
      </c>
      <c r="EW34" t="s">
        <v>334</v>
      </c>
      <c r="EX34" t="s">
        <v>335</v>
      </c>
      <c r="EY34" t="s">
        <v>336</v>
      </c>
      <c r="EZ34" t="s">
        <v>336</v>
      </c>
      <c r="FA34" t="s">
        <v>336</v>
      </c>
      <c r="FB34" t="s">
        <v>336</v>
      </c>
      <c r="FC34">
        <v>0</v>
      </c>
      <c r="FD34">
        <v>100</v>
      </c>
      <c r="FE34">
        <v>100</v>
      </c>
      <c r="FF34">
        <v>-1.5049999999999999</v>
      </c>
      <c r="FG34">
        <v>6.8599999999999994E-2</v>
      </c>
      <c r="FH34">
        <v>-0.98020551812546231</v>
      </c>
      <c r="FI34">
        <v>-6.1462078757559423E-4</v>
      </c>
      <c r="FJ34">
        <v>-1.8861989874597051E-7</v>
      </c>
      <c r="FK34">
        <v>1.1980462299894961E-10</v>
      </c>
      <c r="FL34">
        <v>-4.4410915568505363E-2</v>
      </c>
      <c r="FM34">
        <v>-1.6848085045870601E-2</v>
      </c>
      <c r="FN34">
        <v>1.9789084769509481E-3</v>
      </c>
      <c r="FO34">
        <v>-2.7142391389806329E-5</v>
      </c>
      <c r="FP34">
        <v>3</v>
      </c>
      <c r="FQ34">
        <v>2158</v>
      </c>
      <c r="FR34">
        <v>1</v>
      </c>
      <c r="FS34">
        <v>19</v>
      </c>
      <c r="FT34">
        <v>4.9000000000000004</v>
      </c>
      <c r="FU34">
        <v>5.2</v>
      </c>
      <c r="FV34">
        <v>1.7712399999999999</v>
      </c>
      <c r="FW34">
        <v>2.5366200000000001</v>
      </c>
      <c r="FX34">
        <v>1.5490699999999999</v>
      </c>
      <c r="FY34">
        <v>2.34619</v>
      </c>
      <c r="FZ34">
        <v>1.50146</v>
      </c>
      <c r="GA34">
        <v>2.3120099999999999</v>
      </c>
      <c r="GB34">
        <v>29.900600000000001</v>
      </c>
      <c r="GC34">
        <v>23.973700000000001</v>
      </c>
      <c r="GD34">
        <v>19</v>
      </c>
      <c r="GE34">
        <v>262.26499999999999</v>
      </c>
      <c r="GF34">
        <v>613.16099999999994</v>
      </c>
      <c r="GG34">
        <v>23.363399999999999</v>
      </c>
      <c r="GH34">
        <v>25.3384</v>
      </c>
      <c r="GI34">
        <v>29.997299999999999</v>
      </c>
      <c r="GJ34">
        <v>25.359000000000002</v>
      </c>
      <c r="GK34">
        <v>25.293900000000001</v>
      </c>
      <c r="GL34">
        <v>35.409700000000001</v>
      </c>
      <c r="GM34">
        <v>-30</v>
      </c>
      <c r="GN34">
        <v>-30</v>
      </c>
      <c r="GO34">
        <v>23.6173</v>
      </c>
      <c r="GP34">
        <v>800</v>
      </c>
      <c r="GQ34">
        <v>0</v>
      </c>
      <c r="GR34">
        <v>99.602400000000003</v>
      </c>
      <c r="GS34">
        <v>99.170400000000001</v>
      </c>
    </row>
    <row r="35" spans="1:201" x14ac:dyDescent="0.25">
      <c r="A35">
        <v>19</v>
      </c>
      <c r="B35">
        <v>1690201075.5</v>
      </c>
      <c r="C35">
        <v>228.5</v>
      </c>
      <c r="D35" t="s">
        <v>371</v>
      </c>
      <c r="E35" t="s">
        <v>372</v>
      </c>
      <c r="F35" t="s">
        <v>330</v>
      </c>
      <c r="H35">
        <v>1690201075.5</v>
      </c>
      <c r="I35">
        <f t="shared" si="0"/>
        <v>4.1173274863726806E-4</v>
      </c>
      <c r="J35">
        <f t="shared" si="1"/>
        <v>0.41173274863726805</v>
      </c>
      <c r="K35">
        <f t="shared" si="2"/>
        <v>4.2136003752707394</v>
      </c>
      <c r="L35">
        <f t="shared" si="3"/>
        <v>749.75199999999995</v>
      </c>
      <c r="M35">
        <f t="shared" si="4"/>
        <v>384.38237958225511</v>
      </c>
      <c r="N35">
        <f t="shared" si="5"/>
        <v>38.08704745837904</v>
      </c>
      <c r="O35">
        <f t="shared" si="6"/>
        <v>74.290189984902412</v>
      </c>
      <c r="P35">
        <f t="shared" si="7"/>
        <v>1.9561279257055055E-2</v>
      </c>
      <c r="Q35">
        <f t="shared" si="8"/>
        <v>2.0833910811667105</v>
      </c>
      <c r="R35">
        <f t="shared" si="9"/>
        <v>1.9459815218183546E-2</v>
      </c>
      <c r="S35">
        <f t="shared" si="10"/>
        <v>1.2171456682416258E-2</v>
      </c>
      <c r="T35">
        <f t="shared" si="11"/>
        <v>276.10994565687395</v>
      </c>
      <c r="U35">
        <f t="shared" si="12"/>
        <v>27.22244518065251</v>
      </c>
      <c r="V35">
        <f t="shared" si="13"/>
        <v>27.22244518065251</v>
      </c>
      <c r="W35">
        <f t="shared" si="14"/>
        <v>3.6261880408878628</v>
      </c>
      <c r="X35">
        <f t="shared" si="15"/>
        <v>49.435088379179774</v>
      </c>
      <c r="Y35">
        <f t="shared" si="16"/>
        <v>1.5848366442684003</v>
      </c>
      <c r="Z35">
        <f t="shared" si="17"/>
        <v>3.2058942266114663</v>
      </c>
      <c r="AA35">
        <f t="shared" si="18"/>
        <v>2.0413513966194623</v>
      </c>
      <c r="AB35">
        <f t="shared" si="19"/>
        <v>-18.157414214903522</v>
      </c>
      <c r="AC35">
        <f t="shared" si="20"/>
        <v>-234.14688800194926</v>
      </c>
      <c r="AD35">
        <f t="shared" si="21"/>
        <v>-24.056490815088107</v>
      </c>
      <c r="AE35">
        <f t="shared" si="22"/>
        <v>-0.25084737506693955</v>
      </c>
      <c r="AF35">
        <v>16</v>
      </c>
      <c r="AG35">
        <v>5</v>
      </c>
      <c r="AH35">
        <f t="shared" si="23"/>
        <v>1</v>
      </c>
      <c r="AI35">
        <f t="shared" si="24"/>
        <v>0</v>
      </c>
      <c r="AJ35">
        <f t="shared" si="25"/>
        <v>52816.642149878098</v>
      </c>
      <c r="AK35">
        <f t="shared" si="26"/>
        <v>1799.97</v>
      </c>
      <c r="AL35">
        <f t="shared" si="27"/>
        <v>1499.0831124650401</v>
      </c>
      <c r="AM35">
        <f t="shared" si="28"/>
        <v>0.83283783200000006</v>
      </c>
      <c r="AN35">
        <f t="shared" si="29"/>
        <v>0.15339697087000001</v>
      </c>
      <c r="AO35">
        <v>33.299999999999997</v>
      </c>
      <c r="AP35">
        <v>0.5</v>
      </c>
      <c r="AQ35" t="s">
        <v>331</v>
      </c>
      <c r="AR35">
        <v>2</v>
      </c>
      <c r="AS35">
        <v>1690201075.5</v>
      </c>
      <c r="AT35">
        <v>749.75199999999995</v>
      </c>
      <c r="AU35">
        <v>799.94799999999998</v>
      </c>
      <c r="AV35">
        <v>15.9945</v>
      </c>
      <c r="AW35">
        <v>11.4975</v>
      </c>
      <c r="AX35">
        <v>751.25</v>
      </c>
      <c r="AY35">
        <v>15.9152</v>
      </c>
      <c r="AZ35">
        <v>300.00900000000001</v>
      </c>
      <c r="BA35">
        <v>98.986500000000007</v>
      </c>
      <c r="BB35">
        <v>9.9851200000000001E-2</v>
      </c>
      <c r="BC35">
        <v>25.137799999999999</v>
      </c>
      <c r="BD35">
        <v>26.908000000000001</v>
      </c>
      <c r="BE35">
        <v>27.200099999999999</v>
      </c>
      <c r="BF35">
        <v>0</v>
      </c>
      <c r="BG35">
        <v>0</v>
      </c>
      <c r="BH35">
        <v>10029.4</v>
      </c>
      <c r="BI35">
        <v>1076.72</v>
      </c>
      <c r="BJ35">
        <v>1.4016500000000001</v>
      </c>
      <c r="BK35">
        <v>-50.195399999999999</v>
      </c>
      <c r="BL35">
        <v>761.93899999999996</v>
      </c>
      <c r="BM35">
        <v>809.25199999999995</v>
      </c>
      <c r="BN35">
        <v>4.4970600000000003</v>
      </c>
      <c r="BO35">
        <v>799.94799999999998</v>
      </c>
      <c r="BP35">
        <v>11.4975</v>
      </c>
      <c r="BQ35">
        <v>1.58324</v>
      </c>
      <c r="BR35">
        <v>1.13809</v>
      </c>
      <c r="BS35">
        <v>13.7967</v>
      </c>
      <c r="BT35">
        <v>8.8155000000000001</v>
      </c>
      <c r="BU35">
        <v>1799.97</v>
      </c>
      <c r="BV35">
        <v>0.90999300000000005</v>
      </c>
      <c r="BW35">
        <v>3.4007599999999999E-2</v>
      </c>
      <c r="BX35">
        <v>2.1994099999999999E-2</v>
      </c>
      <c r="BY35">
        <v>3.4004699999999999E-2</v>
      </c>
      <c r="BZ35">
        <v>23</v>
      </c>
      <c r="CA35">
        <v>33527.800000000003</v>
      </c>
      <c r="CB35">
        <v>1690200769.5</v>
      </c>
      <c r="CC35" t="s">
        <v>332</v>
      </c>
      <c r="CD35">
        <v>1690200769.5</v>
      </c>
      <c r="CE35">
        <v>1690200753</v>
      </c>
      <c r="CF35">
        <v>2</v>
      </c>
      <c r="CG35">
        <v>-0.245</v>
      </c>
      <c r="CH35">
        <v>3.0000000000000001E-3</v>
      </c>
      <c r="CI35">
        <v>-1.5169999999999999</v>
      </c>
      <c r="CJ35">
        <v>-1.6E-2</v>
      </c>
      <c r="CK35">
        <v>778</v>
      </c>
      <c r="CL35">
        <v>12</v>
      </c>
      <c r="CM35">
        <v>0.01</v>
      </c>
      <c r="CN35">
        <v>0.03</v>
      </c>
      <c r="CO35">
        <v>-38.592341463414627</v>
      </c>
      <c r="CP35">
        <v>-58.529619512195097</v>
      </c>
      <c r="CQ35">
        <v>5.7793095504978718</v>
      </c>
      <c r="CR35">
        <v>-1</v>
      </c>
      <c r="CS35">
        <v>4.0294387804878049</v>
      </c>
      <c r="CT35">
        <v>2.3235029268292728</v>
      </c>
      <c r="CU35">
        <v>0.22959488671534009</v>
      </c>
      <c r="CV35">
        <v>-1</v>
      </c>
      <c r="CW35">
        <v>0</v>
      </c>
      <c r="CX35">
        <v>0</v>
      </c>
      <c r="CY35" t="s">
        <v>333</v>
      </c>
      <c r="CZ35">
        <v>2.3649300000000002</v>
      </c>
      <c r="DA35">
        <v>2.71367</v>
      </c>
      <c r="DB35">
        <v>0.14072499999999999</v>
      </c>
      <c r="DC35">
        <v>0.146398</v>
      </c>
      <c r="DD35">
        <v>8.5453699999999994E-2</v>
      </c>
      <c r="DE35">
        <v>6.5907999999999994E-2</v>
      </c>
      <c r="DF35">
        <v>31343.4</v>
      </c>
      <c r="DG35">
        <v>27422</v>
      </c>
      <c r="DH35">
        <v>31136.799999999999</v>
      </c>
      <c r="DI35">
        <v>27989.3</v>
      </c>
      <c r="DJ35">
        <v>38659.699999999997</v>
      </c>
      <c r="DK35">
        <v>37139.300000000003</v>
      </c>
      <c r="DL35">
        <v>44298.400000000001</v>
      </c>
      <c r="DM35">
        <v>42377.9</v>
      </c>
      <c r="DN35">
        <v>1.4371</v>
      </c>
      <c r="DO35">
        <v>2.0865499999999999</v>
      </c>
      <c r="DP35">
        <v>0.16622200000000001</v>
      </c>
      <c r="DQ35">
        <v>0.18976599999999999</v>
      </c>
      <c r="DR35">
        <v>24.1831</v>
      </c>
      <c r="DS35">
        <v>24.089700000000001</v>
      </c>
      <c r="DT35">
        <v>40</v>
      </c>
      <c r="DU35">
        <v>24.3</v>
      </c>
      <c r="DV35">
        <v>12.3226</v>
      </c>
      <c r="DW35">
        <v>61.709899999999998</v>
      </c>
      <c r="DX35">
        <v>36.602600000000002</v>
      </c>
      <c r="DY35">
        <v>1</v>
      </c>
      <c r="DZ35">
        <v>-0.164268</v>
      </c>
      <c r="EA35">
        <v>0.58443900000000004</v>
      </c>
      <c r="EB35">
        <v>20.191199999999998</v>
      </c>
      <c r="EC35">
        <v>5.2413999999999996</v>
      </c>
      <c r="ED35">
        <v>12.039899999999999</v>
      </c>
      <c r="EE35">
        <v>5.0174000000000003</v>
      </c>
      <c r="EF35">
        <v>3.2879999999999998</v>
      </c>
      <c r="EG35">
        <v>9999</v>
      </c>
      <c r="EH35">
        <v>9999</v>
      </c>
      <c r="EI35">
        <v>9999</v>
      </c>
      <c r="EJ35">
        <v>999.9</v>
      </c>
      <c r="EK35">
        <v>1.8687400000000001</v>
      </c>
      <c r="EL35">
        <v>1.8644400000000001</v>
      </c>
      <c r="EM35">
        <v>1.86904</v>
      </c>
      <c r="EN35">
        <v>1.86707</v>
      </c>
      <c r="EO35">
        <v>1.8632500000000001</v>
      </c>
      <c r="EP35">
        <v>1.86432</v>
      </c>
      <c r="EQ35">
        <v>1.87</v>
      </c>
      <c r="ER35">
        <v>1.86924</v>
      </c>
      <c r="ES35">
        <v>0</v>
      </c>
      <c r="ET35">
        <v>0</v>
      </c>
      <c r="EU35">
        <v>0</v>
      </c>
      <c r="EV35">
        <v>0</v>
      </c>
      <c r="EW35" t="s">
        <v>334</v>
      </c>
      <c r="EX35" t="s">
        <v>335</v>
      </c>
      <c r="EY35" t="s">
        <v>336</v>
      </c>
      <c r="EZ35" t="s">
        <v>336</v>
      </c>
      <c r="FA35" t="s">
        <v>336</v>
      </c>
      <c r="FB35" t="s">
        <v>336</v>
      </c>
      <c r="FC35">
        <v>0</v>
      </c>
      <c r="FD35">
        <v>100</v>
      </c>
      <c r="FE35">
        <v>100</v>
      </c>
      <c r="FF35">
        <v>-1.498</v>
      </c>
      <c r="FG35">
        <v>7.9299999999999995E-2</v>
      </c>
      <c r="FH35">
        <v>-0.98020551812546231</v>
      </c>
      <c r="FI35">
        <v>-6.1462078757559423E-4</v>
      </c>
      <c r="FJ35">
        <v>-1.8861989874597051E-7</v>
      </c>
      <c r="FK35">
        <v>1.1980462299894961E-10</v>
      </c>
      <c r="FL35">
        <v>-4.4410915568505363E-2</v>
      </c>
      <c r="FM35">
        <v>-1.6848085045870601E-2</v>
      </c>
      <c r="FN35">
        <v>1.9789084769509481E-3</v>
      </c>
      <c r="FO35">
        <v>-2.7142391389806329E-5</v>
      </c>
      <c r="FP35">
        <v>3</v>
      </c>
      <c r="FQ35">
        <v>2158</v>
      </c>
      <c r="FR35">
        <v>1</v>
      </c>
      <c r="FS35">
        <v>19</v>
      </c>
      <c r="FT35">
        <v>5.0999999999999996</v>
      </c>
      <c r="FU35">
        <v>5.4</v>
      </c>
      <c r="FV35">
        <v>1.7712399999999999</v>
      </c>
      <c r="FW35">
        <v>2.5415000000000001</v>
      </c>
      <c r="FX35">
        <v>1.5490699999999999</v>
      </c>
      <c r="FY35">
        <v>2.34619</v>
      </c>
      <c r="FZ35">
        <v>1.50146</v>
      </c>
      <c r="GA35">
        <v>2.2875999999999999</v>
      </c>
      <c r="GB35">
        <v>29.922000000000001</v>
      </c>
      <c r="GC35">
        <v>23.973700000000001</v>
      </c>
      <c r="GD35">
        <v>19</v>
      </c>
      <c r="GE35">
        <v>262.55200000000002</v>
      </c>
      <c r="GF35">
        <v>613.19899999999996</v>
      </c>
      <c r="GG35">
        <v>23.461400000000001</v>
      </c>
      <c r="GH35">
        <v>25.350200000000001</v>
      </c>
      <c r="GI35">
        <v>29.9984</v>
      </c>
      <c r="GJ35">
        <v>25.3706</v>
      </c>
      <c r="GK35">
        <v>25.302399999999999</v>
      </c>
      <c r="GL35">
        <v>35.415199999999999</v>
      </c>
      <c r="GM35">
        <v>-30</v>
      </c>
      <c r="GN35">
        <v>-30</v>
      </c>
      <c r="GO35">
        <v>23.6707</v>
      </c>
      <c r="GP35">
        <v>800</v>
      </c>
      <c r="GQ35">
        <v>0</v>
      </c>
      <c r="GR35">
        <v>99.6083</v>
      </c>
      <c r="GS35">
        <v>99.177800000000005</v>
      </c>
    </row>
    <row r="36" spans="1:201" x14ac:dyDescent="0.25">
      <c r="A36">
        <v>20</v>
      </c>
      <c r="B36">
        <v>1690201085.5</v>
      </c>
      <c r="C36">
        <v>238.5</v>
      </c>
      <c r="D36" t="s">
        <v>373</v>
      </c>
      <c r="E36" t="s">
        <v>374</v>
      </c>
      <c r="F36" t="s">
        <v>330</v>
      </c>
      <c r="H36">
        <v>1690201085.5</v>
      </c>
      <c r="I36">
        <f t="shared" si="0"/>
        <v>4.5855205115629527E-4</v>
      </c>
      <c r="J36">
        <f t="shared" si="1"/>
        <v>0.45855205115629527</v>
      </c>
      <c r="K36">
        <f t="shared" si="2"/>
        <v>5.2914937234423904</v>
      </c>
      <c r="L36">
        <f t="shared" si="3"/>
        <v>737.48599999999999</v>
      </c>
      <c r="M36">
        <f t="shared" si="4"/>
        <v>339.8175861644014</v>
      </c>
      <c r="N36">
        <f t="shared" si="5"/>
        <v>33.671244452219938</v>
      </c>
      <c r="O36">
        <f t="shared" si="6"/>
        <v>73.074709482740801</v>
      </c>
      <c r="P36">
        <f t="shared" si="7"/>
        <v>2.2397971846783986E-2</v>
      </c>
      <c r="Q36">
        <f t="shared" si="8"/>
        <v>2.079904249587706</v>
      </c>
      <c r="R36">
        <f t="shared" si="9"/>
        <v>2.2264832823004836E-2</v>
      </c>
      <c r="S36">
        <f t="shared" si="10"/>
        <v>1.3927416448792779E-2</v>
      </c>
      <c r="T36">
        <f t="shared" si="11"/>
        <v>276.11003735703844</v>
      </c>
      <c r="U36">
        <f t="shared" si="12"/>
        <v>27.198326578935461</v>
      </c>
      <c r="V36">
        <f t="shared" si="13"/>
        <v>27.198326578935461</v>
      </c>
      <c r="W36">
        <f t="shared" si="14"/>
        <v>3.6210630629256899</v>
      </c>
      <c r="X36">
        <f t="shared" si="15"/>
        <v>51.015384413799801</v>
      </c>
      <c r="Y36">
        <f t="shared" si="16"/>
        <v>1.6344670445291201</v>
      </c>
      <c r="Z36">
        <f t="shared" si="17"/>
        <v>3.2038708779914478</v>
      </c>
      <c r="AA36">
        <f t="shared" si="18"/>
        <v>1.9865960183965699</v>
      </c>
      <c r="AB36">
        <f t="shared" si="19"/>
        <v>-20.222145455992621</v>
      </c>
      <c r="AC36">
        <f t="shared" si="20"/>
        <v>-232.23914698232284</v>
      </c>
      <c r="AD36">
        <f t="shared" si="21"/>
        <v>-23.896324388719261</v>
      </c>
      <c r="AE36">
        <f t="shared" si="22"/>
        <v>-0.24757946999628189</v>
      </c>
      <c r="AF36">
        <v>16</v>
      </c>
      <c r="AG36">
        <v>5</v>
      </c>
      <c r="AH36">
        <f t="shared" si="23"/>
        <v>1</v>
      </c>
      <c r="AI36">
        <f t="shared" si="24"/>
        <v>0</v>
      </c>
      <c r="AJ36">
        <f t="shared" si="25"/>
        <v>52660.51220885427</v>
      </c>
      <c r="AK36">
        <f t="shared" si="26"/>
        <v>1799.96</v>
      </c>
      <c r="AL36">
        <f t="shared" si="27"/>
        <v>1499.0806825556399</v>
      </c>
      <c r="AM36">
        <f t="shared" si="28"/>
        <v>0.83284110899999997</v>
      </c>
      <c r="AN36">
        <f t="shared" si="29"/>
        <v>0.15339787404000002</v>
      </c>
      <c r="AO36">
        <v>33.299999999999997</v>
      </c>
      <c r="AP36">
        <v>0.5</v>
      </c>
      <c r="AQ36" t="s">
        <v>331</v>
      </c>
      <c r="AR36">
        <v>2</v>
      </c>
      <c r="AS36">
        <v>1690201085.5</v>
      </c>
      <c r="AT36">
        <v>737.48599999999999</v>
      </c>
      <c r="AU36">
        <v>799.96699999999998</v>
      </c>
      <c r="AV36">
        <v>16.4954</v>
      </c>
      <c r="AW36">
        <v>11.4901</v>
      </c>
      <c r="AX36">
        <v>738.97500000000002</v>
      </c>
      <c r="AY36">
        <v>16.403500000000001</v>
      </c>
      <c r="AZ36">
        <v>300.04000000000002</v>
      </c>
      <c r="BA36">
        <v>98.986400000000003</v>
      </c>
      <c r="BB36">
        <v>9.9832799999999999E-2</v>
      </c>
      <c r="BC36">
        <v>25.127199999999998</v>
      </c>
      <c r="BD36">
        <v>26.863800000000001</v>
      </c>
      <c r="BE36">
        <v>27.1417</v>
      </c>
      <c r="BF36">
        <v>0</v>
      </c>
      <c r="BG36">
        <v>0</v>
      </c>
      <c r="BH36">
        <v>9998.1200000000008</v>
      </c>
      <c r="BI36">
        <v>1076.1600000000001</v>
      </c>
      <c r="BJ36">
        <v>1.4016500000000001</v>
      </c>
      <c r="BK36">
        <v>-62.480699999999999</v>
      </c>
      <c r="BL36">
        <v>749.85500000000002</v>
      </c>
      <c r="BM36">
        <v>809.26499999999999</v>
      </c>
      <c r="BN36">
        <v>5.0053900000000002</v>
      </c>
      <c r="BO36">
        <v>799.96699999999998</v>
      </c>
      <c r="BP36">
        <v>11.4901</v>
      </c>
      <c r="BQ36">
        <v>1.6328199999999999</v>
      </c>
      <c r="BR36">
        <v>1.1373599999999999</v>
      </c>
      <c r="BS36">
        <v>14.2721</v>
      </c>
      <c r="BT36">
        <v>8.8059499999999993</v>
      </c>
      <c r="BU36">
        <v>1799.96</v>
      </c>
      <c r="BV36">
        <v>0.91000199999999998</v>
      </c>
      <c r="BW36">
        <v>3.3996899999999997E-2</v>
      </c>
      <c r="BX36">
        <v>2.2007700000000002E-2</v>
      </c>
      <c r="BY36">
        <v>3.3993200000000001E-2</v>
      </c>
      <c r="BZ36">
        <v>23</v>
      </c>
      <c r="CA36">
        <v>33527.599999999999</v>
      </c>
      <c r="CB36">
        <v>1690200769.5</v>
      </c>
      <c r="CC36" t="s">
        <v>332</v>
      </c>
      <c r="CD36">
        <v>1690200769.5</v>
      </c>
      <c r="CE36">
        <v>1690200753</v>
      </c>
      <c r="CF36">
        <v>2</v>
      </c>
      <c r="CG36">
        <v>-0.245</v>
      </c>
      <c r="CH36">
        <v>3.0000000000000001E-3</v>
      </c>
      <c r="CI36">
        <v>-1.5169999999999999</v>
      </c>
      <c r="CJ36">
        <v>-1.6E-2</v>
      </c>
      <c r="CK36">
        <v>778</v>
      </c>
      <c r="CL36">
        <v>12</v>
      </c>
      <c r="CM36">
        <v>0.01</v>
      </c>
      <c r="CN36">
        <v>0.03</v>
      </c>
      <c r="CO36">
        <v>-48.964224999999999</v>
      </c>
      <c r="CP36">
        <v>-69.16288480300193</v>
      </c>
      <c r="CQ36">
        <v>6.6569002261469263</v>
      </c>
      <c r="CR36">
        <v>-1</v>
      </c>
      <c r="CS36">
        <v>4.4480192499999998</v>
      </c>
      <c r="CT36">
        <v>2.8327637898686682</v>
      </c>
      <c r="CU36">
        <v>0.27270518474524369</v>
      </c>
      <c r="CV36">
        <v>-1</v>
      </c>
      <c r="CW36">
        <v>0</v>
      </c>
      <c r="CX36">
        <v>0</v>
      </c>
      <c r="CY36" t="s">
        <v>333</v>
      </c>
      <c r="CZ36">
        <v>2.36503</v>
      </c>
      <c r="DA36">
        <v>2.7136200000000001</v>
      </c>
      <c r="DB36">
        <v>0.13917299999999999</v>
      </c>
      <c r="DC36">
        <v>0.146398</v>
      </c>
      <c r="DD36">
        <v>8.7362999999999996E-2</v>
      </c>
      <c r="DE36">
        <v>6.58744E-2</v>
      </c>
      <c r="DF36">
        <v>31400.6</v>
      </c>
      <c r="DG36">
        <v>27422.2</v>
      </c>
      <c r="DH36">
        <v>31137.4</v>
      </c>
      <c r="DI36">
        <v>27989.5</v>
      </c>
      <c r="DJ36">
        <v>38579.1</v>
      </c>
      <c r="DK36">
        <v>37141.199999999997</v>
      </c>
      <c r="DL36">
        <v>44299.6</v>
      </c>
      <c r="DM36">
        <v>42378.5</v>
      </c>
      <c r="DN36">
        <v>1.43737</v>
      </c>
      <c r="DO36">
        <v>2.0861000000000001</v>
      </c>
      <c r="DP36">
        <v>0.16286999999999999</v>
      </c>
      <c r="DQ36">
        <v>0.18596599999999999</v>
      </c>
      <c r="DR36">
        <v>24.1938</v>
      </c>
      <c r="DS36">
        <v>24.093499999999999</v>
      </c>
      <c r="DT36">
        <v>39.9</v>
      </c>
      <c r="DU36">
        <v>24.3</v>
      </c>
      <c r="DV36">
        <v>12.2926</v>
      </c>
      <c r="DW36">
        <v>62.2699</v>
      </c>
      <c r="DX36">
        <v>36.085700000000003</v>
      </c>
      <c r="DY36">
        <v>1</v>
      </c>
      <c r="DZ36">
        <v>-0.16486000000000001</v>
      </c>
      <c r="EA36">
        <v>0.16739899999999999</v>
      </c>
      <c r="EB36">
        <v>20.192799999999998</v>
      </c>
      <c r="EC36">
        <v>5.2416999999999998</v>
      </c>
      <c r="ED36">
        <v>12.039899999999999</v>
      </c>
      <c r="EE36">
        <v>5.0174500000000002</v>
      </c>
      <c r="EF36">
        <v>3.2879999999999998</v>
      </c>
      <c r="EG36">
        <v>9999</v>
      </c>
      <c r="EH36">
        <v>9999</v>
      </c>
      <c r="EI36">
        <v>9999</v>
      </c>
      <c r="EJ36">
        <v>999.9</v>
      </c>
      <c r="EK36">
        <v>1.8687400000000001</v>
      </c>
      <c r="EL36">
        <v>1.8644499999999999</v>
      </c>
      <c r="EM36">
        <v>1.8690500000000001</v>
      </c>
      <c r="EN36">
        <v>1.86707</v>
      </c>
      <c r="EO36">
        <v>1.8632500000000001</v>
      </c>
      <c r="EP36">
        <v>1.86432</v>
      </c>
      <c r="EQ36">
        <v>1.87001</v>
      </c>
      <c r="ER36">
        <v>1.86924</v>
      </c>
      <c r="ES36">
        <v>0</v>
      </c>
      <c r="ET36">
        <v>0</v>
      </c>
      <c r="EU36">
        <v>0</v>
      </c>
      <c r="EV36">
        <v>0</v>
      </c>
      <c r="EW36" t="s">
        <v>334</v>
      </c>
      <c r="EX36" t="s">
        <v>335</v>
      </c>
      <c r="EY36" t="s">
        <v>336</v>
      </c>
      <c r="EZ36" t="s">
        <v>336</v>
      </c>
      <c r="FA36" t="s">
        <v>336</v>
      </c>
      <c r="FB36" t="s">
        <v>336</v>
      </c>
      <c r="FC36">
        <v>0</v>
      </c>
      <c r="FD36">
        <v>100</v>
      </c>
      <c r="FE36">
        <v>100</v>
      </c>
      <c r="FF36">
        <v>-1.4890000000000001</v>
      </c>
      <c r="FG36">
        <v>9.1899999999999996E-2</v>
      </c>
      <c r="FH36">
        <v>-0.98020551812546231</v>
      </c>
      <c r="FI36">
        <v>-6.1462078757559423E-4</v>
      </c>
      <c r="FJ36">
        <v>-1.8861989874597051E-7</v>
      </c>
      <c r="FK36">
        <v>1.1980462299894961E-10</v>
      </c>
      <c r="FL36">
        <v>-4.4410915568505363E-2</v>
      </c>
      <c r="FM36">
        <v>-1.6848085045870601E-2</v>
      </c>
      <c r="FN36">
        <v>1.9789084769509481E-3</v>
      </c>
      <c r="FO36">
        <v>-2.7142391389806329E-5</v>
      </c>
      <c r="FP36">
        <v>3</v>
      </c>
      <c r="FQ36">
        <v>2158</v>
      </c>
      <c r="FR36">
        <v>1</v>
      </c>
      <c r="FS36">
        <v>19</v>
      </c>
      <c r="FT36">
        <v>5.3</v>
      </c>
      <c r="FU36">
        <v>5.5</v>
      </c>
      <c r="FV36">
        <v>1.7712399999999999</v>
      </c>
      <c r="FW36">
        <v>2.5354000000000001</v>
      </c>
      <c r="FX36">
        <v>1.5490699999999999</v>
      </c>
      <c r="FY36">
        <v>2.34619</v>
      </c>
      <c r="FZ36">
        <v>1.50146</v>
      </c>
      <c r="GA36">
        <v>2.31934</v>
      </c>
      <c r="GB36">
        <v>29.922000000000001</v>
      </c>
      <c r="GC36">
        <v>23.973700000000001</v>
      </c>
      <c r="GD36">
        <v>19</v>
      </c>
      <c r="GE36">
        <v>262.71100000000001</v>
      </c>
      <c r="GF36">
        <v>612.91700000000003</v>
      </c>
      <c r="GG36">
        <v>23.713999999999999</v>
      </c>
      <c r="GH36">
        <v>25.361899999999999</v>
      </c>
      <c r="GI36">
        <v>29.999600000000001</v>
      </c>
      <c r="GJ36">
        <v>25.382300000000001</v>
      </c>
      <c r="GK36">
        <v>25.3108</v>
      </c>
      <c r="GL36">
        <v>35.417499999999997</v>
      </c>
      <c r="GM36">
        <v>-30</v>
      </c>
      <c r="GN36">
        <v>-30</v>
      </c>
      <c r="GO36">
        <v>23.840399999999999</v>
      </c>
      <c r="GP36">
        <v>800</v>
      </c>
      <c r="GQ36">
        <v>0</v>
      </c>
      <c r="GR36">
        <v>99.610699999999994</v>
      </c>
      <c r="GS36">
        <v>99.178899999999999</v>
      </c>
    </row>
    <row r="37" spans="1:201" x14ac:dyDescent="0.25">
      <c r="A37">
        <v>21</v>
      </c>
      <c r="B37">
        <v>1690201095.5</v>
      </c>
      <c r="C37">
        <v>248.5</v>
      </c>
      <c r="D37" t="s">
        <v>375</v>
      </c>
      <c r="E37" t="s">
        <v>376</v>
      </c>
      <c r="F37" t="s">
        <v>330</v>
      </c>
      <c r="H37">
        <v>1690201095.5</v>
      </c>
      <c r="I37">
        <f t="shared" si="0"/>
        <v>5.0803970498861648E-4</v>
      </c>
      <c r="J37">
        <f t="shared" si="1"/>
        <v>0.5080397049886165</v>
      </c>
      <c r="K37">
        <f t="shared" si="2"/>
        <v>6.4240234343264895</v>
      </c>
      <c r="L37">
        <f t="shared" si="3"/>
        <v>724.61400000000003</v>
      </c>
      <c r="M37">
        <f t="shared" si="4"/>
        <v>302.71501864662508</v>
      </c>
      <c r="N37">
        <f t="shared" si="5"/>
        <v>29.995516279447362</v>
      </c>
      <c r="O37">
        <f t="shared" si="6"/>
        <v>71.800768691586015</v>
      </c>
      <c r="P37">
        <f t="shared" si="7"/>
        <v>2.549974428994032E-2</v>
      </c>
      <c r="Q37">
        <f t="shared" si="8"/>
        <v>2.0802682256195228</v>
      </c>
      <c r="R37">
        <f t="shared" si="9"/>
        <v>2.5327359668817578E-2</v>
      </c>
      <c r="S37">
        <f t="shared" si="10"/>
        <v>1.5844990615198964E-2</v>
      </c>
      <c r="T37">
        <f t="shared" si="11"/>
        <v>276.11257621039817</v>
      </c>
      <c r="U37">
        <f t="shared" si="12"/>
        <v>27.197224638598396</v>
      </c>
      <c r="V37">
        <f t="shared" si="13"/>
        <v>27.197224638598396</v>
      </c>
      <c r="W37">
        <f t="shared" si="14"/>
        <v>3.6208290619790802</v>
      </c>
      <c r="X37">
        <f t="shared" si="15"/>
        <v>52.585031214439837</v>
      </c>
      <c r="Y37">
        <f t="shared" si="16"/>
        <v>1.6864531224903001</v>
      </c>
      <c r="Z37">
        <f t="shared" si="17"/>
        <v>3.2070973118053421</v>
      </c>
      <c r="AA37">
        <f t="shared" si="18"/>
        <v>1.9343759394887801</v>
      </c>
      <c r="AB37">
        <f t="shared" si="19"/>
        <v>-22.404550989997986</v>
      </c>
      <c r="AC37">
        <f t="shared" si="20"/>
        <v>-230.2608448457872</v>
      </c>
      <c r="AD37">
        <f t="shared" si="21"/>
        <v>-23.690492434453098</v>
      </c>
      <c r="AE37">
        <f t="shared" si="22"/>
        <v>-0.24331205984012172</v>
      </c>
      <c r="AF37">
        <v>16</v>
      </c>
      <c r="AG37">
        <v>5</v>
      </c>
      <c r="AH37">
        <f t="shared" si="23"/>
        <v>1</v>
      </c>
      <c r="AI37">
        <f t="shared" si="24"/>
        <v>0</v>
      </c>
      <c r="AJ37">
        <f t="shared" si="25"/>
        <v>52674.043607834428</v>
      </c>
      <c r="AK37">
        <f t="shared" si="26"/>
        <v>1799.98</v>
      </c>
      <c r="AL37">
        <f t="shared" si="27"/>
        <v>1499.0925514310202</v>
      </c>
      <c r="AM37">
        <f t="shared" si="28"/>
        <v>0.83283844900000004</v>
      </c>
      <c r="AN37">
        <f t="shared" si="29"/>
        <v>0.15339758008999999</v>
      </c>
      <c r="AO37">
        <v>33.299999999999997</v>
      </c>
      <c r="AP37">
        <v>0.5</v>
      </c>
      <c r="AQ37" t="s">
        <v>331</v>
      </c>
      <c r="AR37">
        <v>2</v>
      </c>
      <c r="AS37">
        <v>1690201095.5</v>
      </c>
      <c r="AT37">
        <v>724.61400000000003</v>
      </c>
      <c r="AU37">
        <v>799.96799999999996</v>
      </c>
      <c r="AV37">
        <v>17.0197</v>
      </c>
      <c r="AW37">
        <v>11.4793</v>
      </c>
      <c r="AX37">
        <v>726.09500000000003</v>
      </c>
      <c r="AY37">
        <v>16.914300000000001</v>
      </c>
      <c r="AZ37">
        <v>300.15499999999997</v>
      </c>
      <c r="BA37">
        <v>98.988200000000006</v>
      </c>
      <c r="BB37">
        <v>0.10009899999999999</v>
      </c>
      <c r="BC37">
        <v>25.144100000000002</v>
      </c>
      <c r="BD37">
        <v>26.846900000000002</v>
      </c>
      <c r="BE37">
        <v>27.118300000000001</v>
      </c>
      <c r="BF37">
        <v>0</v>
      </c>
      <c r="BG37">
        <v>0</v>
      </c>
      <c r="BH37">
        <v>10001.200000000001</v>
      </c>
      <c r="BI37">
        <v>1075.82</v>
      </c>
      <c r="BJ37">
        <v>1.4016500000000001</v>
      </c>
      <c r="BK37">
        <v>-75.353099999999998</v>
      </c>
      <c r="BL37">
        <v>737.16099999999994</v>
      </c>
      <c r="BM37">
        <v>809.25699999999995</v>
      </c>
      <c r="BN37">
        <v>5.5403900000000004</v>
      </c>
      <c r="BO37">
        <v>799.96799999999996</v>
      </c>
      <c r="BP37">
        <v>11.4793</v>
      </c>
      <c r="BQ37">
        <v>1.68475</v>
      </c>
      <c r="BR37">
        <v>1.13632</v>
      </c>
      <c r="BS37">
        <v>14.756600000000001</v>
      </c>
      <c r="BT37">
        <v>8.79237</v>
      </c>
      <c r="BU37">
        <v>1799.98</v>
      </c>
      <c r="BV37">
        <v>0.90998599999999996</v>
      </c>
      <c r="BW37">
        <v>3.4007200000000001E-2</v>
      </c>
      <c r="BX37">
        <v>2.2001199999999999E-2</v>
      </c>
      <c r="BY37">
        <v>3.4005500000000001E-2</v>
      </c>
      <c r="BZ37">
        <v>23</v>
      </c>
      <c r="CA37">
        <v>33527.9</v>
      </c>
      <c r="CB37">
        <v>1690200769.5</v>
      </c>
      <c r="CC37" t="s">
        <v>332</v>
      </c>
      <c r="CD37">
        <v>1690200769.5</v>
      </c>
      <c r="CE37">
        <v>1690200753</v>
      </c>
      <c r="CF37">
        <v>2</v>
      </c>
      <c r="CG37">
        <v>-0.245</v>
      </c>
      <c r="CH37">
        <v>3.0000000000000001E-3</v>
      </c>
      <c r="CI37">
        <v>-1.5169999999999999</v>
      </c>
      <c r="CJ37">
        <v>-1.6E-2</v>
      </c>
      <c r="CK37">
        <v>778</v>
      </c>
      <c r="CL37">
        <v>12</v>
      </c>
      <c r="CM37">
        <v>0.01</v>
      </c>
      <c r="CN37">
        <v>0.03</v>
      </c>
      <c r="CO37">
        <v>-61.323597560975607</v>
      </c>
      <c r="CP37">
        <v>-75.172576306620215</v>
      </c>
      <c r="CQ37">
        <v>7.4126854671154296</v>
      </c>
      <c r="CR37">
        <v>-1</v>
      </c>
      <c r="CS37">
        <v>4.9577126829268297</v>
      </c>
      <c r="CT37">
        <v>3.1197018815330968</v>
      </c>
      <c r="CU37">
        <v>0.30764095609721998</v>
      </c>
      <c r="CV37">
        <v>-1</v>
      </c>
      <c r="CW37">
        <v>0</v>
      </c>
      <c r="CX37">
        <v>0</v>
      </c>
      <c r="CY37" t="s">
        <v>333</v>
      </c>
      <c r="CZ37">
        <v>2.3653900000000001</v>
      </c>
      <c r="DA37">
        <v>2.7138900000000001</v>
      </c>
      <c r="DB37">
        <v>0.13753299999999999</v>
      </c>
      <c r="DC37">
        <v>0.146398</v>
      </c>
      <c r="DD37">
        <v>8.9338600000000004E-2</v>
      </c>
      <c r="DE37">
        <v>6.58276E-2</v>
      </c>
      <c r="DF37">
        <v>31460.1</v>
      </c>
      <c r="DG37">
        <v>27421.4</v>
      </c>
      <c r="DH37">
        <v>31137.1</v>
      </c>
      <c r="DI37">
        <v>27988.7</v>
      </c>
      <c r="DJ37">
        <v>38493.800000000003</v>
      </c>
      <c r="DK37">
        <v>37142.1</v>
      </c>
      <c r="DL37">
        <v>44298.5</v>
      </c>
      <c r="DM37">
        <v>42377.4</v>
      </c>
      <c r="DN37">
        <v>1.4379200000000001</v>
      </c>
      <c r="DO37">
        <v>2.08575</v>
      </c>
      <c r="DP37">
        <v>0.16145399999999999</v>
      </c>
      <c r="DQ37">
        <v>0.18432699999999999</v>
      </c>
      <c r="DR37">
        <v>24.2</v>
      </c>
      <c r="DS37">
        <v>24.096900000000002</v>
      </c>
      <c r="DT37">
        <v>39.9</v>
      </c>
      <c r="DU37">
        <v>24.3</v>
      </c>
      <c r="DV37">
        <v>12.2905</v>
      </c>
      <c r="DW37">
        <v>62.499899999999997</v>
      </c>
      <c r="DX37">
        <v>35.689100000000003</v>
      </c>
      <c r="DY37">
        <v>1</v>
      </c>
      <c r="DZ37">
        <v>-0.16408800000000001</v>
      </c>
      <c r="EA37">
        <v>1.6631300000000002E-2</v>
      </c>
      <c r="EB37">
        <v>20.192799999999998</v>
      </c>
      <c r="EC37">
        <v>5.24125</v>
      </c>
      <c r="ED37">
        <v>12.039899999999999</v>
      </c>
      <c r="EE37">
        <v>5.0172999999999996</v>
      </c>
      <c r="EF37">
        <v>3.2879999999999998</v>
      </c>
      <c r="EG37">
        <v>9999</v>
      </c>
      <c r="EH37">
        <v>9999</v>
      </c>
      <c r="EI37">
        <v>9999</v>
      </c>
      <c r="EJ37">
        <v>999.9</v>
      </c>
      <c r="EK37">
        <v>1.8687400000000001</v>
      </c>
      <c r="EL37">
        <v>1.8644700000000001</v>
      </c>
      <c r="EM37">
        <v>1.8690500000000001</v>
      </c>
      <c r="EN37">
        <v>1.86707</v>
      </c>
      <c r="EO37">
        <v>1.8632500000000001</v>
      </c>
      <c r="EP37">
        <v>1.86432</v>
      </c>
      <c r="EQ37">
        <v>1.86998</v>
      </c>
      <c r="ER37">
        <v>1.8692299999999999</v>
      </c>
      <c r="ES37">
        <v>0</v>
      </c>
      <c r="ET37">
        <v>0</v>
      </c>
      <c r="EU37">
        <v>0</v>
      </c>
      <c r="EV37">
        <v>0</v>
      </c>
      <c r="EW37" t="s">
        <v>334</v>
      </c>
      <c r="EX37" t="s">
        <v>335</v>
      </c>
      <c r="EY37" t="s">
        <v>336</v>
      </c>
      <c r="EZ37" t="s">
        <v>336</v>
      </c>
      <c r="FA37" t="s">
        <v>336</v>
      </c>
      <c r="FB37" t="s">
        <v>336</v>
      </c>
      <c r="FC37">
        <v>0</v>
      </c>
      <c r="FD37">
        <v>100</v>
      </c>
      <c r="FE37">
        <v>100</v>
      </c>
      <c r="FF37">
        <v>-1.4810000000000001</v>
      </c>
      <c r="FG37">
        <v>0.10539999999999999</v>
      </c>
      <c r="FH37">
        <v>-0.98020551812546231</v>
      </c>
      <c r="FI37">
        <v>-6.1462078757559423E-4</v>
      </c>
      <c r="FJ37">
        <v>-1.8861989874597051E-7</v>
      </c>
      <c r="FK37">
        <v>1.1980462299894961E-10</v>
      </c>
      <c r="FL37">
        <v>-4.4410915568505363E-2</v>
      </c>
      <c r="FM37">
        <v>-1.6848085045870601E-2</v>
      </c>
      <c r="FN37">
        <v>1.9789084769509481E-3</v>
      </c>
      <c r="FO37">
        <v>-2.7142391389806329E-5</v>
      </c>
      <c r="FP37">
        <v>3</v>
      </c>
      <c r="FQ37">
        <v>2158</v>
      </c>
      <c r="FR37">
        <v>1</v>
      </c>
      <c r="FS37">
        <v>19</v>
      </c>
      <c r="FT37">
        <v>5.4</v>
      </c>
      <c r="FU37">
        <v>5.7</v>
      </c>
      <c r="FV37">
        <v>1.7712399999999999</v>
      </c>
      <c r="FW37">
        <v>2.5341800000000001</v>
      </c>
      <c r="FX37">
        <v>1.5490699999999999</v>
      </c>
      <c r="FY37">
        <v>2.34619</v>
      </c>
      <c r="FZ37">
        <v>1.50146</v>
      </c>
      <c r="GA37">
        <v>2.3156699999999999</v>
      </c>
      <c r="GB37">
        <v>29.943300000000001</v>
      </c>
      <c r="GC37">
        <v>23.982399999999998</v>
      </c>
      <c r="GD37">
        <v>19</v>
      </c>
      <c r="GE37">
        <v>262.97500000000002</v>
      </c>
      <c r="GF37">
        <v>612.72</v>
      </c>
      <c r="GG37">
        <v>23.937899999999999</v>
      </c>
      <c r="GH37">
        <v>25.372499999999999</v>
      </c>
      <c r="GI37">
        <v>30.000399999999999</v>
      </c>
      <c r="GJ37">
        <v>25.393000000000001</v>
      </c>
      <c r="GK37">
        <v>25.319299999999998</v>
      </c>
      <c r="GL37">
        <v>35.418900000000001</v>
      </c>
      <c r="GM37">
        <v>-30</v>
      </c>
      <c r="GN37">
        <v>-30</v>
      </c>
      <c r="GO37">
        <v>24.034600000000001</v>
      </c>
      <c r="GP37">
        <v>800</v>
      </c>
      <c r="GQ37">
        <v>0</v>
      </c>
      <c r="GR37">
        <v>99.608900000000006</v>
      </c>
      <c r="GS37">
        <v>99.176199999999994</v>
      </c>
    </row>
    <row r="38" spans="1:201" x14ac:dyDescent="0.25">
      <c r="A38">
        <v>22</v>
      </c>
      <c r="B38">
        <v>1690201105.5</v>
      </c>
      <c r="C38">
        <v>258.5</v>
      </c>
      <c r="D38" t="s">
        <v>377</v>
      </c>
      <c r="E38" t="s">
        <v>378</v>
      </c>
      <c r="F38" t="s">
        <v>330</v>
      </c>
      <c r="H38">
        <v>1690201105.5</v>
      </c>
      <c r="I38">
        <f t="shared" si="0"/>
        <v>5.5733187463518914E-4</v>
      </c>
      <c r="J38">
        <f t="shared" si="1"/>
        <v>0.55733187463518918</v>
      </c>
      <c r="K38">
        <f t="shared" si="2"/>
        <v>7.5684502627891082</v>
      </c>
      <c r="L38">
        <f t="shared" si="3"/>
        <v>711.66499999999996</v>
      </c>
      <c r="M38">
        <f t="shared" si="4"/>
        <v>271.66697959825814</v>
      </c>
      <c r="N38">
        <f t="shared" si="5"/>
        <v>26.918558970662637</v>
      </c>
      <c r="O38">
        <f t="shared" si="6"/>
        <v>70.516469458989988</v>
      </c>
      <c r="P38">
        <f t="shared" si="7"/>
        <v>2.8705316548613802E-2</v>
      </c>
      <c r="Q38">
        <f t="shared" si="8"/>
        <v>2.0801162982463346</v>
      </c>
      <c r="R38">
        <f t="shared" si="9"/>
        <v>2.8487051150322299E-2</v>
      </c>
      <c r="S38">
        <f t="shared" si="10"/>
        <v>1.7823878806131052E-2</v>
      </c>
      <c r="T38">
        <f t="shared" si="11"/>
        <v>276.10825537863883</v>
      </c>
      <c r="U38">
        <f t="shared" si="12"/>
        <v>27.214567236884623</v>
      </c>
      <c r="V38">
        <f t="shared" si="13"/>
        <v>27.214567236884623</v>
      </c>
      <c r="W38">
        <f t="shared" si="14"/>
        <v>3.6245133555120193</v>
      </c>
      <c r="X38">
        <f t="shared" si="15"/>
        <v>54.092408301976178</v>
      </c>
      <c r="Y38">
        <f t="shared" si="16"/>
        <v>1.7384051416458</v>
      </c>
      <c r="Z38">
        <f t="shared" si="17"/>
        <v>3.2137691706033547</v>
      </c>
      <c r="AA38">
        <f t="shared" si="18"/>
        <v>1.8861082138662193</v>
      </c>
      <c r="AB38">
        <f t="shared" si="19"/>
        <v>-24.578335671411843</v>
      </c>
      <c r="AC38">
        <f t="shared" si="20"/>
        <v>-228.27508456394352</v>
      </c>
      <c r="AD38">
        <f t="shared" si="21"/>
        <v>-23.494050092985045</v>
      </c>
      <c r="AE38">
        <f t="shared" si="22"/>
        <v>-0.23921494970159074</v>
      </c>
      <c r="AF38">
        <v>16</v>
      </c>
      <c r="AG38">
        <v>5</v>
      </c>
      <c r="AH38">
        <f t="shared" si="23"/>
        <v>1</v>
      </c>
      <c r="AI38">
        <f t="shared" si="24"/>
        <v>0</v>
      </c>
      <c r="AJ38">
        <f t="shared" si="25"/>
        <v>52660.966216509929</v>
      </c>
      <c r="AK38">
        <f t="shared" si="26"/>
        <v>1799.96</v>
      </c>
      <c r="AL38">
        <f t="shared" si="27"/>
        <v>1499.0776118238798</v>
      </c>
      <c r="AM38">
        <f t="shared" si="28"/>
        <v>0.83283940299999992</v>
      </c>
      <c r="AN38">
        <f t="shared" si="29"/>
        <v>0.15339688403000001</v>
      </c>
      <c r="AO38">
        <v>33.299999999999997</v>
      </c>
      <c r="AP38">
        <v>0.5</v>
      </c>
      <c r="AQ38" t="s">
        <v>331</v>
      </c>
      <c r="AR38">
        <v>2</v>
      </c>
      <c r="AS38">
        <v>1690201105.5</v>
      </c>
      <c r="AT38">
        <v>711.66499999999996</v>
      </c>
      <c r="AU38">
        <v>800.02</v>
      </c>
      <c r="AV38">
        <v>17.5443</v>
      </c>
      <c r="AW38">
        <v>11.4704</v>
      </c>
      <c r="AX38">
        <v>713.13599999999997</v>
      </c>
      <c r="AY38">
        <v>17.425000000000001</v>
      </c>
      <c r="AZ38">
        <v>300.19499999999999</v>
      </c>
      <c r="BA38">
        <v>98.986599999999996</v>
      </c>
      <c r="BB38">
        <v>0.100006</v>
      </c>
      <c r="BC38">
        <v>25.178999999999998</v>
      </c>
      <c r="BD38">
        <v>26.8596</v>
      </c>
      <c r="BE38">
        <v>27.145499999999998</v>
      </c>
      <c r="BF38">
        <v>0</v>
      </c>
      <c r="BG38">
        <v>0</v>
      </c>
      <c r="BH38">
        <v>10000</v>
      </c>
      <c r="BI38">
        <v>1075.3900000000001</v>
      </c>
      <c r="BJ38">
        <v>1.4016500000000001</v>
      </c>
      <c r="BK38">
        <v>-88.354100000000003</v>
      </c>
      <c r="BL38">
        <v>724.37400000000002</v>
      </c>
      <c r="BM38">
        <v>809.303</v>
      </c>
      <c r="BN38">
        <v>6.0738899999999996</v>
      </c>
      <c r="BO38">
        <v>800.02</v>
      </c>
      <c r="BP38">
        <v>11.4704</v>
      </c>
      <c r="BQ38">
        <v>1.73665</v>
      </c>
      <c r="BR38">
        <v>1.1354200000000001</v>
      </c>
      <c r="BS38">
        <v>15.228</v>
      </c>
      <c r="BT38">
        <v>8.7806899999999999</v>
      </c>
      <c r="BU38">
        <v>1799.96</v>
      </c>
      <c r="BV38">
        <v>0.91000400000000004</v>
      </c>
      <c r="BW38">
        <v>3.3996699999999998E-2</v>
      </c>
      <c r="BX38">
        <v>2.1994400000000001E-2</v>
      </c>
      <c r="BY38">
        <v>3.4004300000000001E-2</v>
      </c>
      <c r="BZ38">
        <v>23</v>
      </c>
      <c r="CA38">
        <v>33527.800000000003</v>
      </c>
      <c r="CB38">
        <v>1690200769.5</v>
      </c>
      <c r="CC38" t="s">
        <v>332</v>
      </c>
      <c r="CD38">
        <v>1690200769.5</v>
      </c>
      <c r="CE38">
        <v>1690200753</v>
      </c>
      <c r="CF38">
        <v>2</v>
      </c>
      <c r="CG38">
        <v>-0.245</v>
      </c>
      <c r="CH38">
        <v>3.0000000000000001E-3</v>
      </c>
      <c r="CI38">
        <v>-1.5169999999999999</v>
      </c>
      <c r="CJ38">
        <v>-1.6E-2</v>
      </c>
      <c r="CK38">
        <v>778</v>
      </c>
      <c r="CL38">
        <v>12</v>
      </c>
      <c r="CM38">
        <v>0.01</v>
      </c>
      <c r="CN38">
        <v>0.03</v>
      </c>
      <c r="CO38">
        <v>-74.07488536585366</v>
      </c>
      <c r="CP38">
        <v>-77.690452264808386</v>
      </c>
      <c r="CQ38">
        <v>7.660496307762914</v>
      </c>
      <c r="CR38">
        <v>-1</v>
      </c>
      <c r="CS38">
        <v>5.4858360975609752</v>
      </c>
      <c r="CT38">
        <v>3.2118765156794491</v>
      </c>
      <c r="CU38">
        <v>0.31669786457094301</v>
      </c>
      <c r="CV38">
        <v>-1</v>
      </c>
      <c r="CW38">
        <v>0</v>
      </c>
      <c r="CX38">
        <v>0</v>
      </c>
      <c r="CY38" t="s">
        <v>333</v>
      </c>
      <c r="CZ38">
        <v>2.36551</v>
      </c>
      <c r="DA38">
        <v>2.7138</v>
      </c>
      <c r="DB38">
        <v>0.13586300000000001</v>
      </c>
      <c r="DC38">
        <v>0.146399</v>
      </c>
      <c r="DD38">
        <v>9.1288400000000006E-2</v>
      </c>
      <c r="DE38">
        <v>6.5786700000000004E-2</v>
      </c>
      <c r="DF38">
        <v>31519.9</v>
      </c>
      <c r="DG38">
        <v>27421</v>
      </c>
      <c r="DH38">
        <v>31136.1</v>
      </c>
      <c r="DI38">
        <v>27988.3</v>
      </c>
      <c r="DJ38">
        <v>38409.5</v>
      </c>
      <c r="DK38">
        <v>37143.1</v>
      </c>
      <c r="DL38">
        <v>44297.4</v>
      </c>
      <c r="DM38">
        <v>42376.800000000003</v>
      </c>
      <c r="DN38">
        <v>1.4383999999999999</v>
      </c>
      <c r="DO38">
        <v>2.08568</v>
      </c>
      <c r="DP38">
        <v>0.16201299999999999</v>
      </c>
      <c r="DQ38">
        <v>0.18574299999999999</v>
      </c>
      <c r="DR38">
        <v>24.203600000000002</v>
      </c>
      <c r="DS38">
        <v>24.100999999999999</v>
      </c>
      <c r="DT38">
        <v>39.9</v>
      </c>
      <c r="DU38">
        <v>24.3</v>
      </c>
      <c r="DV38">
        <v>12.290900000000001</v>
      </c>
      <c r="DW38">
        <v>62.609900000000003</v>
      </c>
      <c r="DX38">
        <v>35.572899999999997</v>
      </c>
      <c r="DY38">
        <v>1</v>
      </c>
      <c r="DZ38">
        <v>-0.163046</v>
      </c>
      <c r="EA38">
        <v>-0.17002400000000001</v>
      </c>
      <c r="EB38">
        <v>20.192599999999999</v>
      </c>
      <c r="EC38">
        <v>5.2418500000000003</v>
      </c>
      <c r="ED38">
        <v>12.039899999999999</v>
      </c>
      <c r="EE38">
        <v>5.0175999999999998</v>
      </c>
      <c r="EF38">
        <v>3.2879999999999998</v>
      </c>
      <c r="EG38">
        <v>9999</v>
      </c>
      <c r="EH38">
        <v>9999</v>
      </c>
      <c r="EI38">
        <v>9999</v>
      </c>
      <c r="EJ38">
        <v>999.9</v>
      </c>
      <c r="EK38">
        <v>1.8687400000000001</v>
      </c>
      <c r="EL38">
        <v>1.86446</v>
      </c>
      <c r="EM38">
        <v>1.8690500000000001</v>
      </c>
      <c r="EN38">
        <v>1.86707</v>
      </c>
      <c r="EO38">
        <v>1.8632500000000001</v>
      </c>
      <c r="EP38">
        <v>1.86432</v>
      </c>
      <c r="EQ38">
        <v>1.86998</v>
      </c>
      <c r="ER38">
        <v>1.8692200000000001</v>
      </c>
      <c r="ES38">
        <v>0</v>
      </c>
      <c r="ET38">
        <v>0</v>
      </c>
      <c r="EU38">
        <v>0</v>
      </c>
      <c r="EV38">
        <v>0</v>
      </c>
      <c r="EW38" t="s">
        <v>334</v>
      </c>
      <c r="EX38" t="s">
        <v>335</v>
      </c>
      <c r="EY38" t="s">
        <v>336</v>
      </c>
      <c r="EZ38" t="s">
        <v>336</v>
      </c>
      <c r="FA38" t="s">
        <v>336</v>
      </c>
      <c r="FB38" t="s">
        <v>336</v>
      </c>
      <c r="FC38">
        <v>0</v>
      </c>
      <c r="FD38">
        <v>100</v>
      </c>
      <c r="FE38">
        <v>100</v>
      </c>
      <c r="FF38">
        <v>-1.4710000000000001</v>
      </c>
      <c r="FG38">
        <v>0.1193</v>
      </c>
      <c r="FH38">
        <v>-0.98020551812546231</v>
      </c>
      <c r="FI38">
        <v>-6.1462078757559423E-4</v>
      </c>
      <c r="FJ38">
        <v>-1.8861989874597051E-7</v>
      </c>
      <c r="FK38">
        <v>1.1980462299894961E-10</v>
      </c>
      <c r="FL38">
        <v>-4.4410915568505363E-2</v>
      </c>
      <c r="FM38">
        <v>-1.6848085045870601E-2</v>
      </c>
      <c r="FN38">
        <v>1.9789084769509481E-3</v>
      </c>
      <c r="FO38">
        <v>-2.7142391389806329E-5</v>
      </c>
      <c r="FP38">
        <v>3</v>
      </c>
      <c r="FQ38">
        <v>2158</v>
      </c>
      <c r="FR38">
        <v>1</v>
      </c>
      <c r="FS38">
        <v>19</v>
      </c>
      <c r="FT38">
        <v>5.6</v>
      </c>
      <c r="FU38">
        <v>5.9</v>
      </c>
      <c r="FV38">
        <v>1.7712399999999999</v>
      </c>
      <c r="FW38">
        <v>2.5378400000000001</v>
      </c>
      <c r="FX38">
        <v>1.5490699999999999</v>
      </c>
      <c r="FY38">
        <v>2.34619</v>
      </c>
      <c r="FZ38">
        <v>1.50146</v>
      </c>
      <c r="GA38">
        <v>2.36084</v>
      </c>
      <c r="GB38">
        <v>29.943300000000001</v>
      </c>
      <c r="GC38">
        <v>23.982399999999998</v>
      </c>
      <c r="GD38">
        <v>19</v>
      </c>
      <c r="GE38">
        <v>263.20600000000002</v>
      </c>
      <c r="GF38">
        <v>612.75199999999995</v>
      </c>
      <c r="GG38">
        <v>24.1464</v>
      </c>
      <c r="GH38">
        <v>25.383199999999999</v>
      </c>
      <c r="GI38">
        <v>30.000599999999999</v>
      </c>
      <c r="GJ38">
        <v>25.403099999999998</v>
      </c>
      <c r="GK38">
        <v>25.327200000000001</v>
      </c>
      <c r="GL38">
        <v>35.419499999999999</v>
      </c>
      <c r="GM38">
        <v>-30</v>
      </c>
      <c r="GN38">
        <v>-30</v>
      </c>
      <c r="GO38">
        <v>24.246099999999998</v>
      </c>
      <c r="GP38">
        <v>800</v>
      </c>
      <c r="GQ38">
        <v>0</v>
      </c>
      <c r="GR38">
        <v>99.606200000000001</v>
      </c>
      <c r="GS38">
        <v>99.174800000000005</v>
      </c>
    </row>
    <row r="39" spans="1:201" x14ac:dyDescent="0.25">
      <c r="A39">
        <v>23</v>
      </c>
      <c r="B39">
        <v>1690201115.5</v>
      </c>
      <c r="C39">
        <v>268.5</v>
      </c>
      <c r="D39" t="s">
        <v>379</v>
      </c>
      <c r="E39" t="s">
        <v>380</v>
      </c>
      <c r="F39" t="s">
        <v>330</v>
      </c>
      <c r="H39">
        <v>1690201115.5</v>
      </c>
      <c r="I39">
        <f t="shared" si="0"/>
        <v>6.053708644209358E-4</v>
      </c>
      <c r="J39">
        <f t="shared" si="1"/>
        <v>0.60537086442093579</v>
      </c>
      <c r="K39">
        <f t="shared" si="2"/>
        <v>8.6689542433261142</v>
      </c>
      <c r="L39">
        <f t="shared" si="3"/>
        <v>699.12400000000002</v>
      </c>
      <c r="M39">
        <f t="shared" si="4"/>
        <v>247.9015327247306</v>
      </c>
      <c r="N39">
        <f t="shared" si="5"/>
        <v>24.563489811119002</v>
      </c>
      <c r="O39">
        <f t="shared" si="6"/>
        <v>69.273170931853599</v>
      </c>
      <c r="P39">
        <f t="shared" si="7"/>
        <v>3.1988003621535706E-2</v>
      </c>
      <c r="Q39">
        <f t="shared" si="8"/>
        <v>2.0805300895295433</v>
      </c>
      <c r="R39">
        <f t="shared" si="9"/>
        <v>3.1717270380577006E-2</v>
      </c>
      <c r="S39">
        <f t="shared" si="10"/>
        <v>1.9847427212771874E-2</v>
      </c>
      <c r="T39">
        <f t="shared" si="11"/>
        <v>276.1119567633549</v>
      </c>
      <c r="U39">
        <f t="shared" si="12"/>
        <v>27.233120459025798</v>
      </c>
      <c r="V39">
        <f t="shared" si="13"/>
        <v>27.233120459025798</v>
      </c>
      <c r="W39">
        <f t="shared" si="14"/>
        <v>3.6284584584889603</v>
      </c>
      <c r="X39">
        <f t="shared" si="15"/>
        <v>55.546043025546702</v>
      </c>
      <c r="Y39">
        <f t="shared" si="16"/>
        <v>1.7889620714255801</v>
      </c>
      <c r="Z39">
        <f t="shared" si="17"/>
        <v>3.2206831917852399</v>
      </c>
      <c r="AA39">
        <f t="shared" si="18"/>
        <v>1.8394963870633803</v>
      </c>
      <c r="AB39">
        <f t="shared" si="19"/>
        <v>-26.696855120963271</v>
      </c>
      <c r="AC39">
        <f t="shared" si="20"/>
        <v>-226.35235085843388</v>
      </c>
      <c r="AD39">
        <f t="shared" si="21"/>
        <v>-23.297906987177345</v>
      </c>
      <c r="AE39">
        <f t="shared" si="22"/>
        <v>-0.23515620321961705</v>
      </c>
      <c r="AF39">
        <v>16</v>
      </c>
      <c r="AG39">
        <v>5</v>
      </c>
      <c r="AH39">
        <f t="shared" si="23"/>
        <v>1</v>
      </c>
      <c r="AI39">
        <f t="shared" si="24"/>
        <v>0</v>
      </c>
      <c r="AJ39">
        <f t="shared" si="25"/>
        <v>52673.302370220459</v>
      </c>
      <c r="AK39">
        <f t="shared" si="26"/>
        <v>1799.97</v>
      </c>
      <c r="AL39">
        <f t="shared" si="27"/>
        <v>1499.0862804122398</v>
      </c>
      <c r="AM39">
        <f t="shared" si="28"/>
        <v>0.83283959199999991</v>
      </c>
      <c r="AN39">
        <f t="shared" si="29"/>
        <v>0.15339808817</v>
      </c>
      <c r="AO39">
        <v>33.299999999999997</v>
      </c>
      <c r="AP39">
        <v>0.5</v>
      </c>
      <c r="AQ39" t="s">
        <v>331</v>
      </c>
      <c r="AR39">
        <v>2</v>
      </c>
      <c r="AS39">
        <v>1690201115.5</v>
      </c>
      <c r="AT39">
        <v>699.12400000000002</v>
      </c>
      <c r="AU39">
        <v>799.98</v>
      </c>
      <c r="AV39">
        <v>18.0547</v>
      </c>
      <c r="AW39">
        <v>11.460800000000001</v>
      </c>
      <c r="AX39">
        <v>700.58600000000001</v>
      </c>
      <c r="AY39">
        <v>17.921700000000001</v>
      </c>
      <c r="AZ39">
        <v>300.2</v>
      </c>
      <c r="BA39">
        <v>98.985699999999994</v>
      </c>
      <c r="BB39">
        <v>9.9971400000000002E-2</v>
      </c>
      <c r="BC39">
        <v>25.2151</v>
      </c>
      <c r="BD39">
        <v>26.8735</v>
      </c>
      <c r="BE39">
        <v>27.177199999999999</v>
      </c>
      <c r="BF39">
        <v>0</v>
      </c>
      <c r="BG39">
        <v>0</v>
      </c>
      <c r="BH39">
        <v>10003.799999999999</v>
      </c>
      <c r="BI39">
        <v>1075.06</v>
      </c>
      <c r="BJ39">
        <v>1.4016500000000001</v>
      </c>
      <c r="BK39">
        <v>-100.85599999999999</v>
      </c>
      <c r="BL39">
        <v>711.97900000000004</v>
      </c>
      <c r="BM39">
        <v>809.255</v>
      </c>
      <c r="BN39">
        <v>6.5939800000000002</v>
      </c>
      <c r="BO39">
        <v>799.98</v>
      </c>
      <c r="BP39">
        <v>11.460800000000001</v>
      </c>
      <c r="BQ39">
        <v>1.7871600000000001</v>
      </c>
      <c r="BR39">
        <v>1.13445</v>
      </c>
      <c r="BS39">
        <v>15.675000000000001</v>
      </c>
      <c r="BT39">
        <v>8.7681000000000004</v>
      </c>
      <c r="BU39">
        <v>1799.97</v>
      </c>
      <c r="BV39">
        <v>0.90998900000000005</v>
      </c>
      <c r="BW39">
        <v>3.4007200000000001E-2</v>
      </c>
      <c r="BX39">
        <v>2.20091E-2</v>
      </c>
      <c r="BY39">
        <v>3.3994499999999997E-2</v>
      </c>
      <c r="BZ39">
        <v>23</v>
      </c>
      <c r="CA39">
        <v>33527.699999999997</v>
      </c>
      <c r="CB39">
        <v>1690200769.5</v>
      </c>
      <c r="CC39" t="s">
        <v>332</v>
      </c>
      <c r="CD39">
        <v>1690200769.5</v>
      </c>
      <c r="CE39">
        <v>1690200753</v>
      </c>
      <c r="CF39">
        <v>2</v>
      </c>
      <c r="CG39">
        <v>-0.245</v>
      </c>
      <c r="CH39">
        <v>3.0000000000000001E-3</v>
      </c>
      <c r="CI39">
        <v>-1.5169999999999999</v>
      </c>
      <c r="CJ39">
        <v>-1.6E-2</v>
      </c>
      <c r="CK39">
        <v>778</v>
      </c>
      <c r="CL39">
        <v>12</v>
      </c>
      <c r="CM39">
        <v>0.01</v>
      </c>
      <c r="CN39">
        <v>0.03</v>
      </c>
      <c r="CO39">
        <v>-86.661175</v>
      </c>
      <c r="CP39">
        <v>-77.027927954971432</v>
      </c>
      <c r="CQ39">
        <v>7.4101550180394353</v>
      </c>
      <c r="CR39">
        <v>-1</v>
      </c>
      <c r="CS39">
        <v>6.0069910000000002</v>
      </c>
      <c r="CT39">
        <v>3.1925473170731671</v>
      </c>
      <c r="CU39">
        <v>0.30711094709241482</v>
      </c>
      <c r="CV39">
        <v>-1</v>
      </c>
      <c r="CW39">
        <v>0</v>
      </c>
      <c r="CX39">
        <v>0</v>
      </c>
      <c r="CY39" t="s">
        <v>333</v>
      </c>
      <c r="CZ39">
        <v>2.3655300000000001</v>
      </c>
      <c r="DA39">
        <v>2.7137699999999998</v>
      </c>
      <c r="DB39">
        <v>0.13423199999999999</v>
      </c>
      <c r="DC39">
        <v>0.14638999999999999</v>
      </c>
      <c r="DD39">
        <v>9.3163599999999999E-2</v>
      </c>
      <c r="DE39">
        <v>6.5742900000000007E-2</v>
      </c>
      <c r="DF39">
        <v>31578.6</v>
      </c>
      <c r="DG39">
        <v>27420.799999999999</v>
      </c>
      <c r="DH39">
        <v>31135.4</v>
      </c>
      <c r="DI39">
        <v>27987.9</v>
      </c>
      <c r="DJ39">
        <v>38328.300000000003</v>
      </c>
      <c r="DK39">
        <v>37144.6</v>
      </c>
      <c r="DL39">
        <v>44296.3</v>
      </c>
      <c r="DM39">
        <v>42376.5</v>
      </c>
      <c r="DN39">
        <v>1.43845</v>
      </c>
      <c r="DO39">
        <v>2.0854699999999999</v>
      </c>
      <c r="DP39">
        <v>0.162497</v>
      </c>
      <c r="DQ39">
        <v>0.187308</v>
      </c>
      <c r="DR39">
        <v>24.209599999999998</v>
      </c>
      <c r="DS39">
        <v>24.107099999999999</v>
      </c>
      <c r="DT39">
        <v>39.799999999999997</v>
      </c>
      <c r="DU39">
        <v>24.4</v>
      </c>
      <c r="DV39">
        <v>12.3344</v>
      </c>
      <c r="DW39">
        <v>62.2699</v>
      </c>
      <c r="DX39">
        <v>35.536900000000003</v>
      </c>
      <c r="DY39">
        <v>1</v>
      </c>
      <c r="DZ39">
        <v>-0.16242899999999999</v>
      </c>
      <c r="EA39">
        <v>-0.30082500000000001</v>
      </c>
      <c r="EB39">
        <v>20.1921</v>
      </c>
      <c r="EC39">
        <v>5.242</v>
      </c>
      <c r="ED39">
        <v>12.039899999999999</v>
      </c>
      <c r="EE39">
        <v>5.0175000000000001</v>
      </c>
      <c r="EF39">
        <v>3.2879999999999998</v>
      </c>
      <c r="EG39">
        <v>9999</v>
      </c>
      <c r="EH39">
        <v>9999</v>
      </c>
      <c r="EI39">
        <v>9999</v>
      </c>
      <c r="EJ39">
        <v>999.9</v>
      </c>
      <c r="EK39">
        <v>1.8687400000000001</v>
      </c>
      <c r="EL39">
        <v>1.86446</v>
      </c>
      <c r="EM39">
        <v>1.86904</v>
      </c>
      <c r="EN39">
        <v>1.86707</v>
      </c>
      <c r="EO39">
        <v>1.8632500000000001</v>
      </c>
      <c r="EP39">
        <v>1.86432</v>
      </c>
      <c r="EQ39">
        <v>1.87</v>
      </c>
      <c r="ER39">
        <v>1.86924</v>
      </c>
      <c r="ES39">
        <v>0</v>
      </c>
      <c r="ET39">
        <v>0</v>
      </c>
      <c r="EU39">
        <v>0</v>
      </c>
      <c r="EV39">
        <v>0</v>
      </c>
      <c r="EW39" t="s">
        <v>334</v>
      </c>
      <c r="EX39" t="s">
        <v>335</v>
      </c>
      <c r="EY39" t="s">
        <v>336</v>
      </c>
      <c r="EZ39" t="s">
        <v>336</v>
      </c>
      <c r="FA39" t="s">
        <v>336</v>
      </c>
      <c r="FB39" t="s">
        <v>336</v>
      </c>
      <c r="FC39">
        <v>0</v>
      </c>
      <c r="FD39">
        <v>100</v>
      </c>
      <c r="FE39">
        <v>100</v>
      </c>
      <c r="FF39">
        <v>-1.462</v>
      </c>
      <c r="FG39">
        <v>0.13300000000000001</v>
      </c>
      <c r="FH39">
        <v>-0.98020551812546231</v>
      </c>
      <c r="FI39">
        <v>-6.1462078757559423E-4</v>
      </c>
      <c r="FJ39">
        <v>-1.8861989874597051E-7</v>
      </c>
      <c r="FK39">
        <v>1.1980462299894961E-10</v>
      </c>
      <c r="FL39">
        <v>-4.4410915568505363E-2</v>
      </c>
      <c r="FM39">
        <v>-1.6848085045870601E-2</v>
      </c>
      <c r="FN39">
        <v>1.9789084769509481E-3</v>
      </c>
      <c r="FO39">
        <v>-2.7142391389806329E-5</v>
      </c>
      <c r="FP39">
        <v>3</v>
      </c>
      <c r="FQ39">
        <v>2158</v>
      </c>
      <c r="FR39">
        <v>1</v>
      </c>
      <c r="FS39">
        <v>19</v>
      </c>
      <c r="FT39">
        <v>5.8</v>
      </c>
      <c r="FU39">
        <v>6</v>
      </c>
      <c r="FV39">
        <v>1.7712399999999999</v>
      </c>
      <c r="FW39">
        <v>2.5354000000000001</v>
      </c>
      <c r="FX39">
        <v>1.5490699999999999</v>
      </c>
      <c r="FY39">
        <v>2.34619</v>
      </c>
      <c r="FZ39">
        <v>1.50146</v>
      </c>
      <c r="GA39">
        <v>2.3645</v>
      </c>
      <c r="GB39">
        <v>29.9861</v>
      </c>
      <c r="GC39">
        <v>23.982399999999998</v>
      </c>
      <c r="GD39">
        <v>19</v>
      </c>
      <c r="GE39">
        <v>263.26600000000002</v>
      </c>
      <c r="GF39">
        <v>612.67999999999995</v>
      </c>
      <c r="GG39">
        <v>24.354299999999999</v>
      </c>
      <c r="GH39">
        <v>25.392800000000001</v>
      </c>
      <c r="GI39">
        <v>30.000399999999999</v>
      </c>
      <c r="GJ39">
        <v>25.412700000000001</v>
      </c>
      <c r="GK39">
        <v>25.3355</v>
      </c>
      <c r="GL39">
        <v>35.4221</v>
      </c>
      <c r="GM39">
        <v>-30</v>
      </c>
      <c r="GN39">
        <v>-30</v>
      </c>
      <c r="GO39">
        <v>24.442599999999999</v>
      </c>
      <c r="GP39">
        <v>800</v>
      </c>
      <c r="GQ39">
        <v>0</v>
      </c>
      <c r="GR39">
        <v>99.603700000000003</v>
      </c>
      <c r="GS39">
        <v>99.1738</v>
      </c>
    </row>
    <row r="40" spans="1:201" x14ac:dyDescent="0.25">
      <c r="A40">
        <v>24</v>
      </c>
      <c r="B40">
        <v>1690201125.5</v>
      </c>
      <c r="C40">
        <v>278.5</v>
      </c>
      <c r="D40" t="s">
        <v>381</v>
      </c>
      <c r="E40" t="s">
        <v>382</v>
      </c>
      <c r="F40" t="s">
        <v>330</v>
      </c>
      <c r="H40">
        <v>1690201125.5</v>
      </c>
      <c r="I40">
        <f t="shared" si="0"/>
        <v>6.5046316939351538E-4</v>
      </c>
      <c r="J40">
        <f t="shared" si="1"/>
        <v>0.65046316939351534</v>
      </c>
      <c r="K40">
        <f t="shared" si="2"/>
        <v>9.7126455260648079</v>
      </c>
      <c r="L40">
        <f t="shared" si="3"/>
        <v>687.35299999999995</v>
      </c>
      <c r="M40">
        <f t="shared" si="4"/>
        <v>228.75114635696934</v>
      </c>
      <c r="N40">
        <f t="shared" si="5"/>
        <v>22.665841420701117</v>
      </c>
      <c r="O40">
        <f t="shared" si="6"/>
        <v>68.106474420596996</v>
      </c>
      <c r="P40">
        <f t="shared" si="7"/>
        <v>3.5206659408266588E-2</v>
      </c>
      <c r="Q40">
        <f t="shared" si="8"/>
        <v>2.0798203996625824</v>
      </c>
      <c r="R40">
        <f t="shared" si="9"/>
        <v>3.4878892767739512E-2</v>
      </c>
      <c r="S40">
        <f t="shared" si="10"/>
        <v>2.182850210876789E-2</v>
      </c>
      <c r="T40">
        <f t="shared" si="11"/>
        <v>276.11093052845916</v>
      </c>
      <c r="U40">
        <f t="shared" si="12"/>
        <v>27.254673395186039</v>
      </c>
      <c r="V40">
        <f t="shared" si="13"/>
        <v>27.254673395186039</v>
      </c>
      <c r="W40">
        <f t="shared" si="14"/>
        <v>3.6330461172847177</v>
      </c>
      <c r="X40">
        <f t="shared" si="15"/>
        <v>56.886586394044677</v>
      </c>
      <c r="Y40">
        <f t="shared" si="16"/>
        <v>1.8361865301786002</v>
      </c>
      <c r="Z40">
        <f t="shared" si="17"/>
        <v>3.2278022756711344</v>
      </c>
      <c r="AA40">
        <f t="shared" si="18"/>
        <v>1.7968595871061175</v>
      </c>
      <c r="AB40">
        <f t="shared" si="19"/>
        <v>-28.685425770254028</v>
      </c>
      <c r="AC40">
        <f t="shared" si="20"/>
        <v>-224.53188984133018</v>
      </c>
      <c r="AD40">
        <f t="shared" si="21"/>
        <v>-23.12521118243437</v>
      </c>
      <c r="AE40">
        <f t="shared" si="22"/>
        <v>-0.23159626555943191</v>
      </c>
      <c r="AF40">
        <v>16</v>
      </c>
      <c r="AG40">
        <v>5</v>
      </c>
      <c r="AH40">
        <f t="shared" si="23"/>
        <v>1</v>
      </c>
      <c r="AI40">
        <f t="shared" si="24"/>
        <v>0</v>
      </c>
      <c r="AJ40">
        <f t="shared" si="25"/>
        <v>52634.619523983944</v>
      </c>
      <c r="AK40">
        <f t="shared" si="26"/>
        <v>1799.97</v>
      </c>
      <c r="AL40">
        <f t="shared" si="27"/>
        <v>1499.0881091817598</v>
      </c>
      <c r="AM40">
        <f t="shared" si="28"/>
        <v>0.83284060799999993</v>
      </c>
      <c r="AN40">
        <f t="shared" si="29"/>
        <v>0.15339751803000004</v>
      </c>
      <c r="AO40">
        <v>33.299999999999997</v>
      </c>
      <c r="AP40">
        <v>0.5</v>
      </c>
      <c r="AQ40" t="s">
        <v>331</v>
      </c>
      <c r="AR40">
        <v>2</v>
      </c>
      <c r="AS40">
        <v>1690201125.5</v>
      </c>
      <c r="AT40">
        <v>687.35299999999995</v>
      </c>
      <c r="AU40">
        <v>800.03</v>
      </c>
      <c r="AV40">
        <v>18.531400000000001</v>
      </c>
      <c r="AW40">
        <v>11.4511</v>
      </c>
      <c r="AX40">
        <v>688.80700000000002</v>
      </c>
      <c r="AY40">
        <v>18.385400000000001</v>
      </c>
      <c r="AZ40">
        <v>300.25599999999997</v>
      </c>
      <c r="BA40">
        <v>98.985100000000003</v>
      </c>
      <c r="BB40">
        <v>0.100049</v>
      </c>
      <c r="BC40">
        <v>25.252199999999998</v>
      </c>
      <c r="BD40">
        <v>26.910799999999998</v>
      </c>
      <c r="BE40">
        <v>27.191700000000001</v>
      </c>
      <c r="BF40">
        <v>0</v>
      </c>
      <c r="BG40">
        <v>0</v>
      </c>
      <c r="BH40">
        <v>9997.5</v>
      </c>
      <c r="BI40">
        <v>1074.8399999999999</v>
      </c>
      <c r="BJ40">
        <v>1.4016500000000001</v>
      </c>
      <c r="BK40">
        <v>-112.67700000000001</v>
      </c>
      <c r="BL40">
        <v>700.33100000000002</v>
      </c>
      <c r="BM40">
        <v>809.29700000000003</v>
      </c>
      <c r="BN40">
        <v>7.0803799999999999</v>
      </c>
      <c r="BO40">
        <v>800.03</v>
      </c>
      <c r="BP40">
        <v>11.4511</v>
      </c>
      <c r="BQ40">
        <v>1.8343400000000001</v>
      </c>
      <c r="BR40">
        <v>1.1334900000000001</v>
      </c>
      <c r="BS40">
        <v>16.0825</v>
      </c>
      <c r="BT40">
        <v>8.7554800000000004</v>
      </c>
      <c r="BU40">
        <v>1799.97</v>
      </c>
      <c r="BV40">
        <v>0.91000400000000004</v>
      </c>
      <c r="BW40">
        <v>3.39975E-2</v>
      </c>
      <c r="BX40">
        <v>2.2002899999999999E-2</v>
      </c>
      <c r="BY40">
        <v>3.3995299999999999E-2</v>
      </c>
      <c r="BZ40">
        <v>23</v>
      </c>
      <c r="CA40">
        <v>33527.9</v>
      </c>
      <c r="CB40">
        <v>1690200769.5</v>
      </c>
      <c r="CC40" t="s">
        <v>332</v>
      </c>
      <c r="CD40">
        <v>1690200769.5</v>
      </c>
      <c r="CE40">
        <v>1690200753</v>
      </c>
      <c r="CF40">
        <v>2</v>
      </c>
      <c r="CG40">
        <v>-0.245</v>
      </c>
      <c r="CH40">
        <v>3.0000000000000001E-3</v>
      </c>
      <c r="CI40">
        <v>-1.5169999999999999</v>
      </c>
      <c r="CJ40">
        <v>-1.6E-2</v>
      </c>
      <c r="CK40">
        <v>778</v>
      </c>
      <c r="CL40">
        <v>12</v>
      </c>
      <c r="CM40">
        <v>0.01</v>
      </c>
      <c r="CN40">
        <v>0.03</v>
      </c>
      <c r="CO40">
        <v>-99.499126829268278</v>
      </c>
      <c r="CP40">
        <v>-73.19422996515685</v>
      </c>
      <c r="CQ40">
        <v>7.2179272552418476</v>
      </c>
      <c r="CR40">
        <v>-1</v>
      </c>
      <c r="CS40">
        <v>6.5381841463414636</v>
      </c>
      <c r="CT40">
        <v>3.03187797909407</v>
      </c>
      <c r="CU40">
        <v>0.29900537017753198</v>
      </c>
      <c r="CV40">
        <v>-1</v>
      </c>
      <c r="CW40">
        <v>0</v>
      </c>
      <c r="CX40">
        <v>0</v>
      </c>
      <c r="CY40" t="s">
        <v>333</v>
      </c>
      <c r="CZ40">
        <v>2.3656899999999998</v>
      </c>
      <c r="DA40">
        <v>2.7138399999999998</v>
      </c>
      <c r="DB40">
        <v>0.132688</v>
      </c>
      <c r="DC40">
        <v>0.14639199999999999</v>
      </c>
      <c r="DD40">
        <v>9.4895699999999999E-2</v>
      </c>
      <c r="DE40">
        <v>6.5699099999999996E-2</v>
      </c>
      <c r="DF40">
        <v>31634.1</v>
      </c>
      <c r="DG40">
        <v>27420.6</v>
      </c>
      <c r="DH40">
        <v>31134.6</v>
      </c>
      <c r="DI40">
        <v>27987.9</v>
      </c>
      <c r="DJ40">
        <v>38253.4</v>
      </c>
      <c r="DK40">
        <v>37146.300000000003</v>
      </c>
      <c r="DL40">
        <v>44295.3</v>
      </c>
      <c r="DM40">
        <v>42376.5</v>
      </c>
      <c r="DN40">
        <v>1.43825</v>
      </c>
      <c r="DO40">
        <v>2.08507</v>
      </c>
      <c r="DP40">
        <v>0.16428499999999999</v>
      </c>
      <c r="DQ40">
        <v>0.18768000000000001</v>
      </c>
      <c r="DR40">
        <v>24.2178</v>
      </c>
      <c r="DS40">
        <v>24.115600000000001</v>
      </c>
      <c r="DT40">
        <v>39.799999999999997</v>
      </c>
      <c r="DU40">
        <v>24.4</v>
      </c>
      <c r="DV40">
        <v>12.3347</v>
      </c>
      <c r="DW40">
        <v>62.349899999999998</v>
      </c>
      <c r="DX40">
        <v>35.873399999999997</v>
      </c>
      <c r="DY40">
        <v>1</v>
      </c>
      <c r="DZ40">
        <v>-0.16150200000000001</v>
      </c>
      <c r="EA40">
        <v>-0.35340100000000002</v>
      </c>
      <c r="EB40">
        <v>20.1922</v>
      </c>
      <c r="EC40">
        <v>5.2418500000000003</v>
      </c>
      <c r="ED40">
        <v>12.039899999999999</v>
      </c>
      <c r="EE40">
        <v>5.0174500000000002</v>
      </c>
      <c r="EF40">
        <v>3.2879999999999998</v>
      </c>
      <c r="EG40">
        <v>9999</v>
      </c>
      <c r="EH40">
        <v>9999</v>
      </c>
      <c r="EI40">
        <v>9999</v>
      </c>
      <c r="EJ40">
        <v>999.9</v>
      </c>
      <c r="EK40">
        <v>1.8687400000000001</v>
      </c>
      <c r="EL40">
        <v>1.8644499999999999</v>
      </c>
      <c r="EM40">
        <v>1.86904</v>
      </c>
      <c r="EN40">
        <v>1.86707</v>
      </c>
      <c r="EO40">
        <v>1.86324</v>
      </c>
      <c r="EP40">
        <v>1.86432</v>
      </c>
      <c r="EQ40">
        <v>1.87</v>
      </c>
      <c r="ER40">
        <v>1.8692500000000001</v>
      </c>
      <c r="ES40">
        <v>0</v>
      </c>
      <c r="ET40">
        <v>0</v>
      </c>
      <c r="EU40">
        <v>0</v>
      </c>
      <c r="EV40">
        <v>0</v>
      </c>
      <c r="EW40" t="s">
        <v>334</v>
      </c>
      <c r="EX40" t="s">
        <v>335</v>
      </c>
      <c r="EY40" t="s">
        <v>336</v>
      </c>
      <c r="EZ40" t="s">
        <v>336</v>
      </c>
      <c r="FA40" t="s">
        <v>336</v>
      </c>
      <c r="FB40" t="s">
        <v>336</v>
      </c>
      <c r="FC40">
        <v>0</v>
      </c>
      <c r="FD40">
        <v>100</v>
      </c>
      <c r="FE40">
        <v>100</v>
      </c>
      <c r="FF40">
        <v>-1.454</v>
      </c>
      <c r="FG40">
        <v>0.14599999999999999</v>
      </c>
      <c r="FH40">
        <v>-0.98020551812546231</v>
      </c>
      <c r="FI40">
        <v>-6.1462078757559423E-4</v>
      </c>
      <c r="FJ40">
        <v>-1.8861989874597051E-7</v>
      </c>
      <c r="FK40">
        <v>1.1980462299894961E-10</v>
      </c>
      <c r="FL40">
        <v>-4.4410915568505363E-2</v>
      </c>
      <c r="FM40">
        <v>-1.6848085045870601E-2</v>
      </c>
      <c r="FN40">
        <v>1.9789084769509481E-3</v>
      </c>
      <c r="FO40">
        <v>-2.7142391389806329E-5</v>
      </c>
      <c r="FP40">
        <v>3</v>
      </c>
      <c r="FQ40">
        <v>2158</v>
      </c>
      <c r="FR40">
        <v>1</v>
      </c>
      <c r="FS40">
        <v>19</v>
      </c>
      <c r="FT40">
        <v>5.9</v>
      </c>
      <c r="FU40">
        <v>6.2</v>
      </c>
      <c r="FV40">
        <v>1.7712399999999999</v>
      </c>
      <c r="FW40">
        <v>2.5317400000000001</v>
      </c>
      <c r="FX40">
        <v>1.5490699999999999</v>
      </c>
      <c r="FY40">
        <v>2.34619</v>
      </c>
      <c r="FZ40">
        <v>1.50146</v>
      </c>
      <c r="GA40">
        <v>2.3877000000000002</v>
      </c>
      <c r="GB40">
        <v>29.9861</v>
      </c>
      <c r="GC40">
        <v>23.991199999999999</v>
      </c>
      <c r="GD40">
        <v>19</v>
      </c>
      <c r="GE40">
        <v>263.22199999999998</v>
      </c>
      <c r="GF40">
        <v>612.428</v>
      </c>
      <c r="GG40">
        <v>24.534199999999998</v>
      </c>
      <c r="GH40">
        <v>25.4008</v>
      </c>
      <c r="GI40">
        <v>30.000399999999999</v>
      </c>
      <c r="GJ40">
        <v>25.421700000000001</v>
      </c>
      <c r="GK40">
        <v>25.3429</v>
      </c>
      <c r="GL40">
        <v>35.422600000000003</v>
      </c>
      <c r="GM40">
        <v>-30</v>
      </c>
      <c r="GN40">
        <v>-30</v>
      </c>
      <c r="GO40">
        <v>24.5837</v>
      </c>
      <c r="GP40">
        <v>800</v>
      </c>
      <c r="GQ40">
        <v>0</v>
      </c>
      <c r="GR40">
        <v>99.601299999999995</v>
      </c>
      <c r="GS40">
        <v>99.173699999999997</v>
      </c>
    </row>
    <row r="41" spans="1:201" x14ac:dyDescent="0.25">
      <c r="A41">
        <v>25</v>
      </c>
      <c r="B41">
        <v>1690201135.5</v>
      </c>
      <c r="C41">
        <v>288.5</v>
      </c>
      <c r="D41" t="s">
        <v>383</v>
      </c>
      <c r="E41" t="s">
        <v>384</v>
      </c>
      <c r="F41" t="s">
        <v>330</v>
      </c>
      <c r="H41">
        <v>1690201135.5</v>
      </c>
      <c r="I41">
        <f t="shared" si="0"/>
        <v>6.9138626105747132E-4</v>
      </c>
      <c r="J41">
        <f t="shared" si="1"/>
        <v>0.69138626105747136</v>
      </c>
      <c r="K41">
        <f t="shared" si="2"/>
        <v>10.643953931759528</v>
      </c>
      <c r="L41">
        <f t="shared" si="3"/>
        <v>676.72</v>
      </c>
      <c r="M41">
        <f t="shared" si="4"/>
        <v>214.46641376132777</v>
      </c>
      <c r="N41">
        <f t="shared" si="5"/>
        <v>21.249916910916269</v>
      </c>
      <c r="O41">
        <f t="shared" si="6"/>
        <v>67.051262338719994</v>
      </c>
      <c r="P41">
        <f t="shared" si="7"/>
        <v>3.8239326438067732E-2</v>
      </c>
      <c r="Q41">
        <f t="shared" si="8"/>
        <v>2.0816791410081312</v>
      </c>
      <c r="R41">
        <f t="shared" si="9"/>
        <v>3.7853336251956443E-2</v>
      </c>
      <c r="S41">
        <f t="shared" si="10"/>
        <v>2.3692690071121632E-2</v>
      </c>
      <c r="T41">
        <f t="shared" si="11"/>
        <v>276.11199053290579</v>
      </c>
      <c r="U41">
        <f t="shared" si="12"/>
        <v>27.280387571468118</v>
      </c>
      <c r="V41">
        <f t="shared" si="13"/>
        <v>27.280387571468118</v>
      </c>
      <c r="W41">
        <f t="shared" si="14"/>
        <v>3.638526140987977</v>
      </c>
      <c r="X41">
        <f t="shared" si="15"/>
        <v>58.073358920940585</v>
      </c>
      <c r="Y41">
        <f t="shared" si="16"/>
        <v>1.8791831647707999</v>
      </c>
      <c r="Z41">
        <f t="shared" si="17"/>
        <v>3.2358782059241076</v>
      </c>
      <c r="AA41">
        <f t="shared" si="18"/>
        <v>1.7593429762171771</v>
      </c>
      <c r="AB41">
        <f t="shared" si="19"/>
        <v>-30.490134112634486</v>
      </c>
      <c r="AC41">
        <f t="shared" si="20"/>
        <v>-222.90483757244445</v>
      </c>
      <c r="AD41">
        <f t="shared" si="21"/>
        <v>-22.944919100148624</v>
      </c>
      <c r="AE41">
        <f t="shared" si="22"/>
        <v>-0.22790025232177413</v>
      </c>
      <c r="AF41">
        <v>16</v>
      </c>
      <c r="AG41">
        <v>5</v>
      </c>
      <c r="AH41">
        <f t="shared" si="23"/>
        <v>1</v>
      </c>
      <c r="AI41">
        <f t="shared" si="24"/>
        <v>0</v>
      </c>
      <c r="AJ41">
        <f t="shared" si="25"/>
        <v>52711.294126788787</v>
      </c>
      <c r="AK41">
        <f t="shared" si="26"/>
        <v>1799.98</v>
      </c>
      <c r="AL41">
        <f t="shared" si="27"/>
        <v>1499.0927350289799</v>
      </c>
      <c r="AM41">
        <f t="shared" si="28"/>
        <v>0.83283855099999993</v>
      </c>
      <c r="AN41">
        <f t="shared" si="29"/>
        <v>0.15339725470999999</v>
      </c>
      <c r="AO41">
        <v>33.299999999999997</v>
      </c>
      <c r="AP41">
        <v>0.5</v>
      </c>
      <c r="AQ41" t="s">
        <v>331</v>
      </c>
      <c r="AR41">
        <v>2</v>
      </c>
      <c r="AS41">
        <v>1690201135.5</v>
      </c>
      <c r="AT41">
        <v>676.72</v>
      </c>
      <c r="AU41">
        <v>800.005</v>
      </c>
      <c r="AV41">
        <v>18.965800000000002</v>
      </c>
      <c r="AW41">
        <v>11.4404</v>
      </c>
      <c r="AX41">
        <v>678.16600000000005</v>
      </c>
      <c r="AY41">
        <v>18.807700000000001</v>
      </c>
      <c r="AZ41">
        <v>300.137</v>
      </c>
      <c r="BA41">
        <v>98.982799999999997</v>
      </c>
      <c r="BB41">
        <v>9.9926000000000001E-2</v>
      </c>
      <c r="BC41">
        <v>25.2942</v>
      </c>
      <c r="BD41">
        <v>26.971900000000002</v>
      </c>
      <c r="BE41">
        <v>27.266200000000001</v>
      </c>
      <c r="BF41">
        <v>0</v>
      </c>
      <c r="BG41">
        <v>0</v>
      </c>
      <c r="BH41">
        <v>10014.4</v>
      </c>
      <c r="BI41">
        <v>1074.6500000000001</v>
      </c>
      <c r="BJ41">
        <v>1.4212800000000001</v>
      </c>
      <c r="BK41">
        <v>-123.285</v>
      </c>
      <c r="BL41">
        <v>689.803</v>
      </c>
      <c r="BM41">
        <v>809.26300000000003</v>
      </c>
      <c r="BN41">
        <v>7.5254300000000001</v>
      </c>
      <c r="BO41">
        <v>800.005</v>
      </c>
      <c r="BP41">
        <v>11.4404</v>
      </c>
      <c r="BQ41">
        <v>1.8772899999999999</v>
      </c>
      <c r="BR41">
        <v>1.1324000000000001</v>
      </c>
      <c r="BS41">
        <v>16.445699999999999</v>
      </c>
      <c r="BT41">
        <v>8.7413600000000002</v>
      </c>
      <c r="BU41">
        <v>1799.98</v>
      </c>
      <c r="BV41">
        <v>0.90999099999999999</v>
      </c>
      <c r="BW41">
        <v>3.4005100000000003E-2</v>
      </c>
      <c r="BX41">
        <v>2.19968E-2</v>
      </c>
      <c r="BY41">
        <v>3.4007099999999998E-2</v>
      </c>
      <c r="BZ41">
        <v>23.25</v>
      </c>
      <c r="CA41">
        <v>33528</v>
      </c>
      <c r="CB41">
        <v>1690200769.5</v>
      </c>
      <c r="CC41" t="s">
        <v>332</v>
      </c>
      <c r="CD41">
        <v>1690200769.5</v>
      </c>
      <c r="CE41">
        <v>1690200753</v>
      </c>
      <c r="CF41">
        <v>2</v>
      </c>
      <c r="CG41">
        <v>-0.245</v>
      </c>
      <c r="CH41">
        <v>3.0000000000000001E-3</v>
      </c>
      <c r="CI41">
        <v>-1.5169999999999999</v>
      </c>
      <c r="CJ41">
        <v>-1.6E-2</v>
      </c>
      <c r="CK41">
        <v>778</v>
      </c>
      <c r="CL41">
        <v>12</v>
      </c>
      <c r="CM41">
        <v>0.01</v>
      </c>
      <c r="CN41">
        <v>0.03</v>
      </c>
      <c r="CO41">
        <v>-112.14812499999999</v>
      </c>
      <c r="CP41">
        <v>-67.70693808630368</v>
      </c>
      <c r="CQ41">
        <v>6.5150827246762573</v>
      </c>
      <c r="CR41">
        <v>-1</v>
      </c>
      <c r="CS41">
        <v>7.0615485000000007</v>
      </c>
      <c r="CT41">
        <v>2.8125030393996111</v>
      </c>
      <c r="CU41">
        <v>0.27061769603584679</v>
      </c>
      <c r="CV41">
        <v>-1</v>
      </c>
      <c r="CW41">
        <v>0</v>
      </c>
      <c r="CX41">
        <v>0</v>
      </c>
      <c r="CY41" t="s">
        <v>333</v>
      </c>
      <c r="CZ41">
        <v>2.3653</v>
      </c>
      <c r="DA41">
        <v>2.71373</v>
      </c>
      <c r="DB41">
        <v>0.13127900000000001</v>
      </c>
      <c r="DC41">
        <v>0.14638300000000001</v>
      </c>
      <c r="DD41">
        <v>9.6456899999999998E-2</v>
      </c>
      <c r="DE41">
        <v>6.5650100000000003E-2</v>
      </c>
      <c r="DF41">
        <v>31685.8</v>
      </c>
      <c r="DG41">
        <v>27420.9</v>
      </c>
      <c r="DH41">
        <v>31134.9</v>
      </c>
      <c r="DI41">
        <v>27987.8</v>
      </c>
      <c r="DJ41">
        <v>38187</v>
      </c>
      <c r="DK41">
        <v>37148.300000000003</v>
      </c>
      <c r="DL41">
        <v>44295.8</v>
      </c>
      <c r="DM41">
        <v>42376.5</v>
      </c>
      <c r="DN41">
        <v>1.43855</v>
      </c>
      <c r="DO41">
        <v>2.0849799999999998</v>
      </c>
      <c r="DP41">
        <v>0.167489</v>
      </c>
      <c r="DQ41">
        <v>0.191554</v>
      </c>
      <c r="DR41">
        <v>24.226400000000002</v>
      </c>
      <c r="DS41">
        <v>24.126799999999999</v>
      </c>
      <c r="DT41">
        <v>39.700000000000003</v>
      </c>
      <c r="DU41">
        <v>24.4</v>
      </c>
      <c r="DV41">
        <v>12.303000000000001</v>
      </c>
      <c r="DW41">
        <v>62.429900000000004</v>
      </c>
      <c r="DX41">
        <v>36.069699999999997</v>
      </c>
      <c r="DY41">
        <v>1</v>
      </c>
      <c r="DZ41">
        <v>-0.160965</v>
      </c>
      <c r="EA41">
        <v>-0.347416</v>
      </c>
      <c r="EB41">
        <v>20.192399999999999</v>
      </c>
      <c r="EC41">
        <v>5.2415500000000002</v>
      </c>
      <c r="ED41">
        <v>12.039899999999999</v>
      </c>
      <c r="EE41">
        <v>5.0175000000000001</v>
      </c>
      <c r="EF41">
        <v>3.2879999999999998</v>
      </c>
      <c r="EG41">
        <v>9999</v>
      </c>
      <c r="EH41">
        <v>9999</v>
      </c>
      <c r="EI41">
        <v>9999</v>
      </c>
      <c r="EJ41">
        <v>999.9</v>
      </c>
      <c r="EK41">
        <v>1.8687400000000001</v>
      </c>
      <c r="EL41">
        <v>1.86446</v>
      </c>
      <c r="EM41">
        <v>1.8690500000000001</v>
      </c>
      <c r="EN41">
        <v>1.86707</v>
      </c>
      <c r="EO41">
        <v>1.8632500000000001</v>
      </c>
      <c r="EP41">
        <v>1.86432</v>
      </c>
      <c r="EQ41">
        <v>1.8700300000000001</v>
      </c>
      <c r="ER41">
        <v>1.8692299999999999</v>
      </c>
      <c r="ES41">
        <v>0</v>
      </c>
      <c r="ET41">
        <v>0</v>
      </c>
      <c r="EU41">
        <v>0</v>
      </c>
      <c r="EV41">
        <v>0</v>
      </c>
      <c r="EW41" t="s">
        <v>334</v>
      </c>
      <c r="EX41" t="s">
        <v>335</v>
      </c>
      <c r="EY41" t="s">
        <v>336</v>
      </c>
      <c r="EZ41" t="s">
        <v>336</v>
      </c>
      <c r="FA41" t="s">
        <v>336</v>
      </c>
      <c r="FB41" t="s">
        <v>336</v>
      </c>
      <c r="FC41">
        <v>0</v>
      </c>
      <c r="FD41">
        <v>100</v>
      </c>
      <c r="FE41">
        <v>100</v>
      </c>
      <c r="FF41">
        <v>-1.446</v>
      </c>
      <c r="FG41">
        <v>0.15809999999999999</v>
      </c>
      <c r="FH41">
        <v>-0.98020551812546231</v>
      </c>
      <c r="FI41">
        <v>-6.1462078757559423E-4</v>
      </c>
      <c r="FJ41">
        <v>-1.8861989874597051E-7</v>
      </c>
      <c r="FK41">
        <v>1.1980462299894961E-10</v>
      </c>
      <c r="FL41">
        <v>-4.4410915568505363E-2</v>
      </c>
      <c r="FM41">
        <v>-1.6848085045870601E-2</v>
      </c>
      <c r="FN41">
        <v>1.9789084769509481E-3</v>
      </c>
      <c r="FO41">
        <v>-2.7142391389806329E-5</v>
      </c>
      <c r="FP41">
        <v>3</v>
      </c>
      <c r="FQ41">
        <v>2158</v>
      </c>
      <c r="FR41">
        <v>1</v>
      </c>
      <c r="FS41">
        <v>19</v>
      </c>
      <c r="FT41">
        <v>6.1</v>
      </c>
      <c r="FU41">
        <v>6.4</v>
      </c>
      <c r="FV41">
        <v>1.7724599999999999</v>
      </c>
      <c r="FW41">
        <v>2.5366200000000001</v>
      </c>
      <c r="FX41">
        <v>1.5490699999999999</v>
      </c>
      <c r="FY41">
        <v>2.34619</v>
      </c>
      <c r="FZ41">
        <v>1.50146</v>
      </c>
      <c r="GA41">
        <v>2.3815900000000001</v>
      </c>
      <c r="GB41">
        <v>29.9861</v>
      </c>
      <c r="GC41">
        <v>23.982399999999998</v>
      </c>
      <c r="GD41">
        <v>19</v>
      </c>
      <c r="GE41">
        <v>263.37599999999998</v>
      </c>
      <c r="GF41">
        <v>612.43399999999997</v>
      </c>
      <c r="GG41">
        <v>24.656199999999998</v>
      </c>
      <c r="GH41">
        <v>25.407800000000002</v>
      </c>
      <c r="GI41">
        <v>30.000399999999999</v>
      </c>
      <c r="GJ41">
        <v>25.4297</v>
      </c>
      <c r="GK41">
        <v>25.3504</v>
      </c>
      <c r="GL41">
        <v>35.422800000000002</v>
      </c>
      <c r="GM41">
        <v>-30</v>
      </c>
      <c r="GN41">
        <v>-30</v>
      </c>
      <c r="GO41">
        <v>24.687999999999999</v>
      </c>
      <c r="GP41">
        <v>800</v>
      </c>
      <c r="GQ41">
        <v>0</v>
      </c>
      <c r="GR41">
        <v>99.602400000000003</v>
      </c>
      <c r="GS41">
        <v>99.173599999999993</v>
      </c>
    </row>
    <row r="42" spans="1:201" x14ac:dyDescent="0.25">
      <c r="A42">
        <v>26</v>
      </c>
      <c r="B42">
        <v>1690201145.5</v>
      </c>
      <c r="C42">
        <v>298.5</v>
      </c>
      <c r="D42" t="s">
        <v>385</v>
      </c>
      <c r="E42" t="s">
        <v>386</v>
      </c>
      <c r="F42" t="s">
        <v>330</v>
      </c>
      <c r="H42">
        <v>1690201145.5</v>
      </c>
      <c r="I42">
        <f t="shared" si="0"/>
        <v>7.2871087620987303E-4</v>
      </c>
      <c r="J42">
        <f t="shared" si="1"/>
        <v>0.72871087620987307</v>
      </c>
      <c r="K42">
        <f t="shared" si="2"/>
        <v>11.510436931220514</v>
      </c>
      <c r="L42">
        <f t="shared" si="3"/>
        <v>666.88599999999997</v>
      </c>
      <c r="M42">
        <f t="shared" si="4"/>
        <v>202.68947484615444</v>
      </c>
      <c r="N42">
        <f t="shared" si="5"/>
        <v>20.08393699114432</v>
      </c>
      <c r="O42">
        <f t="shared" si="6"/>
        <v>66.079881130692002</v>
      </c>
      <c r="P42">
        <f t="shared" si="7"/>
        <v>4.1148122803904133E-2</v>
      </c>
      <c r="Q42">
        <f t="shared" si="8"/>
        <v>2.0890154771663827</v>
      </c>
      <c r="R42">
        <f t="shared" si="9"/>
        <v>4.0703095921824209E-2</v>
      </c>
      <c r="S42">
        <f t="shared" si="10"/>
        <v>2.5479017707863198E-2</v>
      </c>
      <c r="T42">
        <f t="shared" si="11"/>
        <v>276.10947152677619</v>
      </c>
      <c r="U42">
        <f t="shared" si="12"/>
        <v>27.29799924962564</v>
      </c>
      <c r="V42">
        <f t="shared" si="13"/>
        <v>27.29799924962564</v>
      </c>
      <c r="W42">
        <f t="shared" si="14"/>
        <v>3.6422835789263988</v>
      </c>
      <c r="X42">
        <f t="shared" si="15"/>
        <v>59.144380147340527</v>
      </c>
      <c r="Y42">
        <f t="shared" si="16"/>
        <v>1.9180908085872002</v>
      </c>
      <c r="Z42">
        <f t="shared" si="17"/>
        <v>3.2430651970801803</v>
      </c>
      <c r="AA42">
        <f t="shared" si="18"/>
        <v>1.7241927703391986</v>
      </c>
      <c r="AB42">
        <f t="shared" si="19"/>
        <v>-32.1361496408554</v>
      </c>
      <c r="AC42">
        <f t="shared" si="20"/>
        <v>-221.47304972000759</v>
      </c>
      <c r="AD42">
        <f t="shared" si="21"/>
        <v>-22.723722564865483</v>
      </c>
      <c r="AE42">
        <f t="shared" si="22"/>
        <v>-0.22345039895228069</v>
      </c>
      <c r="AF42">
        <v>16</v>
      </c>
      <c r="AG42">
        <v>5</v>
      </c>
      <c r="AH42">
        <f t="shared" si="23"/>
        <v>1</v>
      </c>
      <c r="AI42">
        <f t="shared" si="24"/>
        <v>0</v>
      </c>
      <c r="AJ42">
        <f t="shared" si="25"/>
        <v>53037.7596454538</v>
      </c>
      <c r="AK42">
        <f t="shared" si="26"/>
        <v>1799.97</v>
      </c>
      <c r="AL42">
        <f t="shared" si="27"/>
        <v>1499.0864946086699</v>
      </c>
      <c r="AM42">
        <f t="shared" si="28"/>
        <v>0.83283971099999998</v>
      </c>
      <c r="AN42">
        <f t="shared" si="29"/>
        <v>0.15339670746</v>
      </c>
      <c r="AO42">
        <v>33.299999999999997</v>
      </c>
      <c r="AP42">
        <v>0.5</v>
      </c>
      <c r="AQ42" t="s">
        <v>331</v>
      </c>
      <c r="AR42">
        <v>2</v>
      </c>
      <c r="AS42">
        <v>1690201145.5</v>
      </c>
      <c r="AT42">
        <v>666.88599999999997</v>
      </c>
      <c r="AU42">
        <v>799.97199999999998</v>
      </c>
      <c r="AV42">
        <v>19.357600000000001</v>
      </c>
      <c r="AW42">
        <v>11.4299</v>
      </c>
      <c r="AX42">
        <v>668.32600000000002</v>
      </c>
      <c r="AY42">
        <v>19.188400000000001</v>
      </c>
      <c r="AZ42">
        <v>300.16699999999997</v>
      </c>
      <c r="BA42">
        <v>98.987200000000001</v>
      </c>
      <c r="BB42">
        <v>0.100022</v>
      </c>
      <c r="BC42">
        <v>25.331499999999998</v>
      </c>
      <c r="BD42">
        <v>26.9815</v>
      </c>
      <c r="BE42">
        <v>27.260899999999999</v>
      </c>
      <c r="BF42">
        <v>0</v>
      </c>
      <c r="BG42">
        <v>0</v>
      </c>
      <c r="BH42">
        <v>10080</v>
      </c>
      <c r="BI42">
        <v>1074.51</v>
      </c>
      <c r="BJ42">
        <v>1.2278500000000001</v>
      </c>
      <c r="BK42">
        <v>-133.08600000000001</v>
      </c>
      <c r="BL42">
        <v>680.05</v>
      </c>
      <c r="BM42">
        <v>809.221</v>
      </c>
      <c r="BN42">
        <v>7.9276200000000001</v>
      </c>
      <c r="BO42">
        <v>799.97199999999998</v>
      </c>
      <c r="BP42">
        <v>11.4299</v>
      </c>
      <c r="BQ42">
        <v>1.91615</v>
      </c>
      <c r="BR42">
        <v>1.1314200000000001</v>
      </c>
      <c r="BS42">
        <v>16.768000000000001</v>
      </c>
      <c r="BT42">
        <v>8.72851</v>
      </c>
      <c r="BU42">
        <v>1799.97</v>
      </c>
      <c r="BV42">
        <v>0.91000999999999999</v>
      </c>
      <c r="BW42">
        <v>3.39999E-2</v>
      </c>
      <c r="BX42">
        <v>2.1991299999999998E-2</v>
      </c>
      <c r="BY42">
        <v>3.3998599999999997E-2</v>
      </c>
      <c r="BZ42">
        <v>24</v>
      </c>
      <c r="CA42">
        <v>33528</v>
      </c>
      <c r="CB42">
        <v>1690200769.5</v>
      </c>
      <c r="CC42" t="s">
        <v>332</v>
      </c>
      <c r="CD42">
        <v>1690200769.5</v>
      </c>
      <c r="CE42">
        <v>1690200753</v>
      </c>
      <c r="CF42">
        <v>2</v>
      </c>
      <c r="CG42">
        <v>-0.245</v>
      </c>
      <c r="CH42">
        <v>3.0000000000000001E-3</v>
      </c>
      <c r="CI42">
        <v>-1.5169999999999999</v>
      </c>
      <c r="CJ42">
        <v>-1.6E-2</v>
      </c>
      <c r="CK42">
        <v>778</v>
      </c>
      <c r="CL42">
        <v>12</v>
      </c>
      <c r="CM42">
        <v>0.01</v>
      </c>
      <c r="CN42">
        <v>0.03</v>
      </c>
      <c r="CO42">
        <v>-121.879625</v>
      </c>
      <c r="CP42">
        <v>-61.957452157598311</v>
      </c>
      <c r="CQ42">
        <v>5.9614017507944386</v>
      </c>
      <c r="CR42">
        <v>-1</v>
      </c>
      <c r="CS42">
        <v>7.4662134999999994</v>
      </c>
      <c r="CT42">
        <v>2.5842724953095511</v>
      </c>
      <c r="CU42">
        <v>0.2486716834256566</v>
      </c>
      <c r="CV42">
        <v>-1</v>
      </c>
      <c r="CW42">
        <v>0</v>
      </c>
      <c r="CX42">
        <v>0</v>
      </c>
      <c r="CY42" t="s">
        <v>333</v>
      </c>
      <c r="CZ42">
        <v>2.3653900000000001</v>
      </c>
      <c r="DA42">
        <v>2.7138900000000001</v>
      </c>
      <c r="DB42">
        <v>0.12997400000000001</v>
      </c>
      <c r="DC42">
        <v>0.14638300000000001</v>
      </c>
      <c r="DD42">
        <v>9.7858500000000001E-2</v>
      </c>
      <c r="DE42">
        <v>6.5606200000000003E-2</v>
      </c>
      <c r="DF42">
        <v>31733</v>
      </c>
      <c r="DG42">
        <v>27421.1</v>
      </c>
      <c r="DH42">
        <v>31134.5</v>
      </c>
      <c r="DI42">
        <v>27988</v>
      </c>
      <c r="DJ42">
        <v>38126.5</v>
      </c>
      <c r="DK42">
        <v>37150.6</v>
      </c>
      <c r="DL42">
        <v>44295.1</v>
      </c>
      <c r="DM42">
        <v>42377.2</v>
      </c>
      <c r="DN42">
        <v>1.4389000000000001</v>
      </c>
      <c r="DO42">
        <v>2.0848</v>
      </c>
      <c r="DP42">
        <v>0.167489</v>
      </c>
      <c r="DQ42">
        <v>0.190437</v>
      </c>
      <c r="DR42">
        <v>24.2361</v>
      </c>
      <c r="DS42">
        <v>24.139800000000001</v>
      </c>
      <c r="DT42">
        <v>39.700000000000003</v>
      </c>
      <c r="DU42">
        <v>24.4</v>
      </c>
      <c r="DV42">
        <v>12.3028</v>
      </c>
      <c r="DW42">
        <v>61.219900000000003</v>
      </c>
      <c r="DX42">
        <v>36.586500000000001</v>
      </c>
      <c r="DY42">
        <v>1</v>
      </c>
      <c r="DZ42">
        <v>-0.16023599999999999</v>
      </c>
      <c r="EA42">
        <v>-0.22731799999999999</v>
      </c>
      <c r="EB42">
        <v>20.192900000000002</v>
      </c>
      <c r="EC42">
        <v>5.24125</v>
      </c>
      <c r="ED42">
        <v>12.039899999999999</v>
      </c>
      <c r="EE42">
        <v>5.0172499999999998</v>
      </c>
      <c r="EF42">
        <v>3.2879999999999998</v>
      </c>
      <c r="EG42">
        <v>9999</v>
      </c>
      <c r="EH42">
        <v>9999</v>
      </c>
      <c r="EI42">
        <v>9999</v>
      </c>
      <c r="EJ42">
        <v>999.9</v>
      </c>
      <c r="EK42">
        <v>1.8687400000000001</v>
      </c>
      <c r="EL42">
        <v>1.86446</v>
      </c>
      <c r="EM42">
        <v>1.8690500000000001</v>
      </c>
      <c r="EN42">
        <v>1.86707</v>
      </c>
      <c r="EO42">
        <v>1.8632500000000001</v>
      </c>
      <c r="EP42">
        <v>1.86432</v>
      </c>
      <c r="EQ42">
        <v>1.87002</v>
      </c>
      <c r="ER42">
        <v>1.8692599999999999</v>
      </c>
      <c r="ES42">
        <v>0</v>
      </c>
      <c r="ET42">
        <v>0</v>
      </c>
      <c r="EU42">
        <v>0</v>
      </c>
      <c r="EV42">
        <v>0</v>
      </c>
      <c r="EW42" t="s">
        <v>334</v>
      </c>
      <c r="EX42" t="s">
        <v>335</v>
      </c>
      <c r="EY42" t="s">
        <v>336</v>
      </c>
      <c r="EZ42" t="s">
        <v>336</v>
      </c>
      <c r="FA42" t="s">
        <v>336</v>
      </c>
      <c r="FB42" t="s">
        <v>336</v>
      </c>
      <c r="FC42">
        <v>0</v>
      </c>
      <c r="FD42">
        <v>100</v>
      </c>
      <c r="FE42">
        <v>100</v>
      </c>
      <c r="FF42">
        <v>-1.44</v>
      </c>
      <c r="FG42">
        <v>0.16919999999999999</v>
      </c>
      <c r="FH42">
        <v>-0.98020551812546231</v>
      </c>
      <c r="FI42">
        <v>-6.1462078757559423E-4</v>
      </c>
      <c r="FJ42">
        <v>-1.8861989874597051E-7</v>
      </c>
      <c r="FK42">
        <v>1.1980462299894961E-10</v>
      </c>
      <c r="FL42">
        <v>-4.4410915568505363E-2</v>
      </c>
      <c r="FM42">
        <v>-1.6848085045870601E-2</v>
      </c>
      <c r="FN42">
        <v>1.9789084769509481E-3</v>
      </c>
      <c r="FO42">
        <v>-2.7142391389806329E-5</v>
      </c>
      <c r="FP42">
        <v>3</v>
      </c>
      <c r="FQ42">
        <v>2158</v>
      </c>
      <c r="FR42">
        <v>1</v>
      </c>
      <c r="FS42">
        <v>19</v>
      </c>
      <c r="FT42">
        <v>6.3</v>
      </c>
      <c r="FU42">
        <v>6.5</v>
      </c>
      <c r="FV42">
        <v>1.7724599999999999</v>
      </c>
      <c r="FW42">
        <v>2.5463900000000002</v>
      </c>
      <c r="FX42">
        <v>1.5490699999999999</v>
      </c>
      <c r="FY42">
        <v>2.34619</v>
      </c>
      <c r="FZ42">
        <v>1.50146</v>
      </c>
      <c r="GA42">
        <v>2.34131</v>
      </c>
      <c r="GB42">
        <v>30.0076</v>
      </c>
      <c r="GC42">
        <v>23.982399999999998</v>
      </c>
      <c r="GD42">
        <v>19</v>
      </c>
      <c r="GE42">
        <v>263.54700000000003</v>
      </c>
      <c r="GF42">
        <v>612.37900000000002</v>
      </c>
      <c r="GG42">
        <v>24.713899999999999</v>
      </c>
      <c r="GH42">
        <v>25.414200000000001</v>
      </c>
      <c r="GI42">
        <v>30.000499999999999</v>
      </c>
      <c r="GJ42">
        <v>25.437100000000001</v>
      </c>
      <c r="GK42">
        <v>25.3582</v>
      </c>
      <c r="GL42">
        <v>35.426099999999998</v>
      </c>
      <c r="GM42">
        <v>-30</v>
      </c>
      <c r="GN42">
        <v>-30</v>
      </c>
      <c r="GO42">
        <v>24.704699999999999</v>
      </c>
      <c r="GP42">
        <v>800</v>
      </c>
      <c r="GQ42">
        <v>0</v>
      </c>
      <c r="GR42">
        <v>99.600999999999999</v>
      </c>
      <c r="GS42">
        <v>99.174899999999994</v>
      </c>
    </row>
    <row r="43" spans="1:201" x14ac:dyDescent="0.25">
      <c r="A43">
        <v>27</v>
      </c>
      <c r="B43">
        <v>1690201155.5</v>
      </c>
      <c r="C43">
        <v>308.5</v>
      </c>
      <c r="D43" t="s">
        <v>387</v>
      </c>
      <c r="E43" t="s">
        <v>388</v>
      </c>
      <c r="F43" t="s">
        <v>330</v>
      </c>
      <c r="H43">
        <v>1690201155.5</v>
      </c>
      <c r="I43">
        <f t="shared" si="0"/>
        <v>7.6239040740809516E-4</v>
      </c>
      <c r="J43">
        <f t="shared" si="1"/>
        <v>0.76239040740809516</v>
      </c>
      <c r="K43">
        <f t="shared" si="2"/>
        <v>12.295838028009664</v>
      </c>
      <c r="L43">
        <f t="shared" si="3"/>
        <v>657.99400000000003</v>
      </c>
      <c r="M43">
        <f t="shared" si="4"/>
        <v>192.66572468780248</v>
      </c>
      <c r="N43">
        <f t="shared" si="5"/>
        <v>19.090144996700584</v>
      </c>
      <c r="O43">
        <f t="shared" si="6"/>
        <v>65.196863050308011</v>
      </c>
      <c r="P43">
        <f t="shared" si="7"/>
        <v>4.3827762907305758E-2</v>
      </c>
      <c r="Q43">
        <f t="shared" si="8"/>
        <v>2.0810718834120183</v>
      </c>
      <c r="R43">
        <f t="shared" si="9"/>
        <v>4.3321368427333272E-2</v>
      </c>
      <c r="S43">
        <f t="shared" si="10"/>
        <v>2.7120865214085244E-2</v>
      </c>
      <c r="T43">
        <f t="shared" si="11"/>
        <v>276.11288825493102</v>
      </c>
      <c r="U43">
        <f t="shared" si="12"/>
        <v>27.322071831432449</v>
      </c>
      <c r="V43">
        <f t="shared" si="13"/>
        <v>27.322071831432449</v>
      </c>
      <c r="W43">
        <f t="shared" si="14"/>
        <v>3.6474249235259948</v>
      </c>
      <c r="X43">
        <f t="shared" si="15"/>
        <v>60.115082340094972</v>
      </c>
      <c r="Y43">
        <f t="shared" si="16"/>
        <v>1.9529710150764001</v>
      </c>
      <c r="Z43">
        <f t="shared" si="17"/>
        <v>3.2487205191330606</v>
      </c>
      <c r="AA43">
        <f t="shared" si="18"/>
        <v>1.6944539084495946</v>
      </c>
      <c r="AB43">
        <f t="shared" si="19"/>
        <v>-33.621416966696998</v>
      </c>
      <c r="AC43">
        <f t="shared" si="20"/>
        <v>-220.04439766814869</v>
      </c>
      <c r="AD43">
        <f t="shared" si="21"/>
        <v>-22.669378601348718</v>
      </c>
      <c r="AE43">
        <f t="shared" si="22"/>
        <v>-0.22230498126339171</v>
      </c>
      <c r="AF43">
        <v>16</v>
      </c>
      <c r="AG43">
        <v>5</v>
      </c>
      <c r="AH43">
        <f t="shared" si="23"/>
        <v>1</v>
      </c>
      <c r="AI43">
        <f t="shared" si="24"/>
        <v>0</v>
      </c>
      <c r="AJ43">
        <f t="shared" si="25"/>
        <v>52672.069207368775</v>
      </c>
      <c r="AK43">
        <f t="shared" si="26"/>
        <v>1799.98</v>
      </c>
      <c r="AL43">
        <f t="shared" si="27"/>
        <v>1499.0975211757998</v>
      </c>
      <c r="AM43">
        <f t="shared" si="28"/>
        <v>0.83284120999999989</v>
      </c>
      <c r="AN43">
        <f t="shared" si="29"/>
        <v>0.15339775345000001</v>
      </c>
      <c r="AO43">
        <v>33.299999999999997</v>
      </c>
      <c r="AP43">
        <v>0.5</v>
      </c>
      <c r="AQ43" t="s">
        <v>331</v>
      </c>
      <c r="AR43">
        <v>2</v>
      </c>
      <c r="AS43">
        <v>1690201155.5</v>
      </c>
      <c r="AT43">
        <v>657.99400000000003</v>
      </c>
      <c r="AU43">
        <v>799.97699999999998</v>
      </c>
      <c r="AV43">
        <v>19.7102</v>
      </c>
      <c r="AW43">
        <v>11.4185</v>
      </c>
      <c r="AX43">
        <v>659.428</v>
      </c>
      <c r="AY43">
        <v>19.531099999999999</v>
      </c>
      <c r="AZ43">
        <v>300.14600000000002</v>
      </c>
      <c r="BA43">
        <v>98.984300000000005</v>
      </c>
      <c r="BB43">
        <v>9.9982000000000001E-2</v>
      </c>
      <c r="BC43">
        <v>25.360800000000001</v>
      </c>
      <c r="BD43">
        <v>26.986699999999999</v>
      </c>
      <c r="BE43">
        <v>27.315100000000001</v>
      </c>
      <c r="BF43">
        <v>0</v>
      </c>
      <c r="BG43">
        <v>0</v>
      </c>
      <c r="BH43">
        <v>10008.799999999999</v>
      </c>
      <c r="BI43">
        <v>1074.33</v>
      </c>
      <c r="BJ43">
        <v>1.4577199999999999</v>
      </c>
      <c r="BK43">
        <v>-141.983</v>
      </c>
      <c r="BL43">
        <v>671.22400000000005</v>
      </c>
      <c r="BM43">
        <v>809.21699999999998</v>
      </c>
      <c r="BN43">
        <v>8.2917100000000001</v>
      </c>
      <c r="BO43">
        <v>799.97699999999998</v>
      </c>
      <c r="BP43">
        <v>11.4185</v>
      </c>
      <c r="BQ43">
        <v>1.9510000000000001</v>
      </c>
      <c r="BR43">
        <v>1.13026</v>
      </c>
      <c r="BS43">
        <v>17.052199999999999</v>
      </c>
      <c r="BT43">
        <v>8.7133000000000003</v>
      </c>
      <c r="BU43">
        <v>1799.98</v>
      </c>
      <c r="BV43">
        <v>0.91000599999999998</v>
      </c>
      <c r="BW43">
        <v>3.3997699999999999E-2</v>
      </c>
      <c r="BX43">
        <v>2.2006499999999998E-2</v>
      </c>
      <c r="BY43">
        <v>3.3989499999999999E-2</v>
      </c>
      <c r="BZ43">
        <v>24</v>
      </c>
      <c r="CA43">
        <v>33527.9</v>
      </c>
      <c r="CB43">
        <v>1690200769.5</v>
      </c>
      <c r="CC43" t="s">
        <v>332</v>
      </c>
      <c r="CD43">
        <v>1690200769.5</v>
      </c>
      <c r="CE43">
        <v>1690200753</v>
      </c>
      <c r="CF43">
        <v>2</v>
      </c>
      <c r="CG43">
        <v>-0.245</v>
      </c>
      <c r="CH43">
        <v>3.0000000000000001E-3</v>
      </c>
      <c r="CI43">
        <v>-1.5169999999999999</v>
      </c>
      <c r="CJ43">
        <v>-1.6E-2</v>
      </c>
      <c r="CK43">
        <v>778</v>
      </c>
      <c r="CL43">
        <v>12</v>
      </c>
      <c r="CM43">
        <v>0.01</v>
      </c>
      <c r="CN43">
        <v>0.03</v>
      </c>
      <c r="CO43">
        <v>-132.69475</v>
      </c>
      <c r="CP43">
        <v>-56.119744840524959</v>
      </c>
      <c r="CQ43">
        <v>5.4005879344289918</v>
      </c>
      <c r="CR43">
        <v>-1</v>
      </c>
      <c r="CS43">
        <v>7.9127602499999998</v>
      </c>
      <c r="CT43">
        <v>2.2946871669793421</v>
      </c>
      <c r="CU43">
        <v>0.22084045496112681</v>
      </c>
      <c r="CV43">
        <v>-1</v>
      </c>
      <c r="CW43">
        <v>0</v>
      </c>
      <c r="CX43">
        <v>0</v>
      </c>
      <c r="CY43" t="s">
        <v>333</v>
      </c>
      <c r="CZ43">
        <v>2.3653</v>
      </c>
      <c r="DA43">
        <v>2.7137799999999999</v>
      </c>
      <c r="DB43">
        <v>0.128777</v>
      </c>
      <c r="DC43">
        <v>0.14637700000000001</v>
      </c>
      <c r="DD43">
        <v>9.9103800000000006E-2</v>
      </c>
      <c r="DE43">
        <v>6.5553500000000001E-2</v>
      </c>
      <c r="DF43">
        <v>31776.9</v>
      </c>
      <c r="DG43">
        <v>27420.799999999999</v>
      </c>
      <c r="DH43">
        <v>31134.7</v>
      </c>
      <c r="DI43">
        <v>27987.5</v>
      </c>
      <c r="DJ43">
        <v>38073.5</v>
      </c>
      <c r="DK43">
        <v>37151.9</v>
      </c>
      <c r="DL43">
        <v>44295.4</v>
      </c>
      <c r="DM43">
        <v>42376.2</v>
      </c>
      <c r="DN43">
        <v>1.43848</v>
      </c>
      <c r="DO43">
        <v>2.0843699999999998</v>
      </c>
      <c r="DP43">
        <v>0.16700499999999999</v>
      </c>
      <c r="DQ43">
        <v>0.192858</v>
      </c>
      <c r="DR43">
        <v>24.249300000000002</v>
      </c>
      <c r="DS43">
        <v>24.154599999999999</v>
      </c>
      <c r="DT43">
        <v>39.6</v>
      </c>
      <c r="DU43">
        <v>24.4</v>
      </c>
      <c r="DV43">
        <v>12.273300000000001</v>
      </c>
      <c r="DW43">
        <v>62.319899999999997</v>
      </c>
      <c r="DX43">
        <v>36.630600000000001</v>
      </c>
      <c r="DY43">
        <v>1</v>
      </c>
      <c r="DZ43">
        <v>-0.15998499999999999</v>
      </c>
      <c r="EA43">
        <v>-0.27405200000000002</v>
      </c>
      <c r="EB43">
        <v>20.192699999999999</v>
      </c>
      <c r="EC43">
        <v>5.2415500000000002</v>
      </c>
      <c r="ED43">
        <v>12.039899999999999</v>
      </c>
      <c r="EE43">
        <v>5.0174500000000002</v>
      </c>
      <c r="EF43">
        <v>3.2879999999999998</v>
      </c>
      <c r="EG43">
        <v>9999</v>
      </c>
      <c r="EH43">
        <v>9999</v>
      </c>
      <c r="EI43">
        <v>9999</v>
      </c>
      <c r="EJ43">
        <v>999.9</v>
      </c>
      <c r="EK43">
        <v>1.8687400000000001</v>
      </c>
      <c r="EL43">
        <v>1.8644700000000001</v>
      </c>
      <c r="EM43">
        <v>1.8690500000000001</v>
      </c>
      <c r="EN43">
        <v>1.86707</v>
      </c>
      <c r="EO43">
        <v>1.8632500000000001</v>
      </c>
      <c r="EP43">
        <v>1.86432</v>
      </c>
      <c r="EQ43">
        <v>1.87002</v>
      </c>
      <c r="ER43">
        <v>1.8692500000000001</v>
      </c>
      <c r="ES43">
        <v>0</v>
      </c>
      <c r="ET43">
        <v>0</v>
      </c>
      <c r="EU43">
        <v>0</v>
      </c>
      <c r="EV43">
        <v>0</v>
      </c>
      <c r="EW43" t="s">
        <v>334</v>
      </c>
      <c r="EX43" t="s">
        <v>335</v>
      </c>
      <c r="EY43" t="s">
        <v>336</v>
      </c>
      <c r="EZ43" t="s">
        <v>336</v>
      </c>
      <c r="FA43" t="s">
        <v>336</v>
      </c>
      <c r="FB43" t="s">
        <v>336</v>
      </c>
      <c r="FC43">
        <v>0</v>
      </c>
      <c r="FD43">
        <v>100</v>
      </c>
      <c r="FE43">
        <v>100</v>
      </c>
      <c r="FF43">
        <v>-1.4339999999999999</v>
      </c>
      <c r="FG43">
        <v>0.17910000000000001</v>
      </c>
      <c r="FH43">
        <v>-0.98020551812546231</v>
      </c>
      <c r="FI43">
        <v>-6.1462078757559423E-4</v>
      </c>
      <c r="FJ43">
        <v>-1.8861989874597051E-7</v>
      </c>
      <c r="FK43">
        <v>1.1980462299894961E-10</v>
      </c>
      <c r="FL43">
        <v>-4.4410915568505363E-2</v>
      </c>
      <c r="FM43">
        <v>-1.6848085045870601E-2</v>
      </c>
      <c r="FN43">
        <v>1.9789084769509481E-3</v>
      </c>
      <c r="FO43">
        <v>-2.7142391389806329E-5</v>
      </c>
      <c r="FP43">
        <v>3</v>
      </c>
      <c r="FQ43">
        <v>2158</v>
      </c>
      <c r="FR43">
        <v>1</v>
      </c>
      <c r="FS43">
        <v>19</v>
      </c>
      <c r="FT43">
        <v>6.4</v>
      </c>
      <c r="FU43">
        <v>6.7</v>
      </c>
      <c r="FV43">
        <v>1.7724599999999999</v>
      </c>
      <c r="FW43">
        <v>2.5402800000000001</v>
      </c>
      <c r="FX43">
        <v>1.5490699999999999</v>
      </c>
      <c r="FY43">
        <v>2.34619</v>
      </c>
      <c r="FZ43">
        <v>1.50146</v>
      </c>
      <c r="GA43">
        <v>2.3535200000000001</v>
      </c>
      <c r="GB43">
        <v>30.0076</v>
      </c>
      <c r="GC43">
        <v>23.982399999999998</v>
      </c>
      <c r="GD43">
        <v>19</v>
      </c>
      <c r="GE43">
        <v>263.404</v>
      </c>
      <c r="GF43">
        <v>612.10699999999997</v>
      </c>
      <c r="GG43">
        <v>24.729199999999999</v>
      </c>
      <c r="GH43">
        <v>25.419599999999999</v>
      </c>
      <c r="GI43">
        <v>30.000299999999999</v>
      </c>
      <c r="GJ43">
        <v>25.443999999999999</v>
      </c>
      <c r="GK43">
        <v>25.3657</v>
      </c>
      <c r="GL43">
        <v>35.4268</v>
      </c>
      <c r="GM43">
        <v>-30</v>
      </c>
      <c r="GN43">
        <v>-30</v>
      </c>
      <c r="GO43">
        <v>24.7529</v>
      </c>
      <c r="GP43">
        <v>800</v>
      </c>
      <c r="GQ43">
        <v>0</v>
      </c>
      <c r="GR43">
        <v>99.601699999999994</v>
      </c>
      <c r="GS43">
        <v>99.172899999999998</v>
      </c>
    </row>
    <row r="44" spans="1:201" x14ac:dyDescent="0.25">
      <c r="A44">
        <v>28</v>
      </c>
      <c r="B44">
        <v>1690201165.5</v>
      </c>
      <c r="C44">
        <v>318.5</v>
      </c>
      <c r="D44" t="s">
        <v>389</v>
      </c>
      <c r="E44" t="s">
        <v>390</v>
      </c>
      <c r="F44" t="s">
        <v>330</v>
      </c>
      <c r="H44">
        <v>1690201165.5</v>
      </c>
      <c r="I44">
        <f t="shared" si="0"/>
        <v>7.9251616754322945E-4</v>
      </c>
      <c r="J44">
        <f t="shared" si="1"/>
        <v>0.7925161675432294</v>
      </c>
      <c r="K44">
        <f t="shared" si="2"/>
        <v>13.008776127473125</v>
      </c>
      <c r="L44">
        <f t="shared" si="3"/>
        <v>650.01099999999997</v>
      </c>
      <c r="M44">
        <f t="shared" si="4"/>
        <v>184.70583331073584</v>
      </c>
      <c r="N44">
        <f t="shared" si="5"/>
        <v>18.301351856948287</v>
      </c>
      <c r="O44">
        <f t="shared" si="6"/>
        <v>64.405545881562389</v>
      </c>
      <c r="P44">
        <f t="shared" si="7"/>
        <v>4.6354779334427679E-2</v>
      </c>
      <c r="Q44">
        <f t="shared" si="8"/>
        <v>2.0820357918508843</v>
      </c>
      <c r="R44">
        <f t="shared" si="9"/>
        <v>4.5788971482464705E-2</v>
      </c>
      <c r="S44">
        <f t="shared" si="10"/>
        <v>2.8668367289463259E-2</v>
      </c>
      <c r="T44">
        <f t="shared" si="11"/>
        <v>276.1110486964896</v>
      </c>
      <c r="U44">
        <f t="shared" si="12"/>
        <v>27.335047580880939</v>
      </c>
      <c r="V44">
        <f t="shared" si="13"/>
        <v>27.335047580880939</v>
      </c>
      <c r="W44">
        <f t="shared" si="14"/>
        <v>3.6501988687447784</v>
      </c>
      <c r="X44">
        <f t="shared" si="15"/>
        <v>60.981373659266325</v>
      </c>
      <c r="Y44">
        <f t="shared" si="16"/>
        <v>1.9840139451702399</v>
      </c>
      <c r="Z44">
        <f t="shared" si="17"/>
        <v>3.2534753255246853</v>
      </c>
      <c r="AA44">
        <f t="shared" si="18"/>
        <v>1.6661849235745385</v>
      </c>
      <c r="AB44">
        <f t="shared" si="19"/>
        <v>-34.949962988656416</v>
      </c>
      <c r="AC44">
        <f t="shared" si="20"/>
        <v>-218.84153365208843</v>
      </c>
      <c r="AD44">
        <f t="shared" si="21"/>
        <v>-22.539260137266623</v>
      </c>
      <c r="AE44">
        <f t="shared" si="22"/>
        <v>-0.2197080815218726</v>
      </c>
      <c r="AF44">
        <v>16</v>
      </c>
      <c r="AG44">
        <v>5</v>
      </c>
      <c r="AH44">
        <f t="shared" si="23"/>
        <v>1</v>
      </c>
      <c r="AI44">
        <f t="shared" si="24"/>
        <v>0</v>
      </c>
      <c r="AJ44">
        <f t="shared" si="25"/>
        <v>52711.354652094713</v>
      </c>
      <c r="AK44">
        <f t="shared" si="26"/>
        <v>1799.97</v>
      </c>
      <c r="AL44">
        <f t="shared" si="27"/>
        <v>1499.08398725046</v>
      </c>
      <c r="AM44">
        <f t="shared" si="28"/>
        <v>0.83283831799999997</v>
      </c>
      <c r="AN44">
        <f t="shared" si="29"/>
        <v>0.15339758368</v>
      </c>
      <c r="AO44">
        <v>33.299999999999997</v>
      </c>
      <c r="AP44">
        <v>0.5</v>
      </c>
      <c r="AQ44" t="s">
        <v>331</v>
      </c>
      <c r="AR44">
        <v>2</v>
      </c>
      <c r="AS44">
        <v>1690201165.5</v>
      </c>
      <c r="AT44">
        <v>650.01099999999997</v>
      </c>
      <c r="AU44">
        <v>800.03800000000001</v>
      </c>
      <c r="AV44">
        <v>20.023599999999998</v>
      </c>
      <c r="AW44">
        <v>11.4079</v>
      </c>
      <c r="AX44">
        <v>651.43799999999999</v>
      </c>
      <c r="AY44">
        <v>19.8354</v>
      </c>
      <c r="AZ44">
        <v>300.17700000000002</v>
      </c>
      <c r="BA44">
        <v>98.983800000000002</v>
      </c>
      <c r="BB44">
        <v>9.9978399999999995E-2</v>
      </c>
      <c r="BC44">
        <v>25.385400000000001</v>
      </c>
      <c r="BD44">
        <v>26.994499999999999</v>
      </c>
      <c r="BE44">
        <v>27.356400000000001</v>
      </c>
      <c r="BF44">
        <v>0</v>
      </c>
      <c r="BG44">
        <v>0</v>
      </c>
      <c r="BH44">
        <v>10017.5</v>
      </c>
      <c r="BI44">
        <v>1074.29</v>
      </c>
      <c r="BJ44">
        <v>1.5137799999999999</v>
      </c>
      <c r="BK44">
        <v>-150.02699999999999</v>
      </c>
      <c r="BL44">
        <v>663.29200000000003</v>
      </c>
      <c r="BM44">
        <v>809.27</v>
      </c>
      <c r="BN44">
        <v>8.6156299999999995</v>
      </c>
      <c r="BO44">
        <v>800.03800000000001</v>
      </c>
      <c r="BP44">
        <v>11.4079</v>
      </c>
      <c r="BQ44">
        <v>1.98201</v>
      </c>
      <c r="BR44">
        <v>1.1292</v>
      </c>
      <c r="BS44">
        <v>17.301300000000001</v>
      </c>
      <c r="BT44">
        <v>8.6994799999999994</v>
      </c>
      <c r="BU44">
        <v>1799.97</v>
      </c>
      <c r="BV44">
        <v>0.90998299999999999</v>
      </c>
      <c r="BW44">
        <v>3.4003400000000003E-2</v>
      </c>
      <c r="BX44">
        <v>2.2001400000000001E-2</v>
      </c>
      <c r="BY44">
        <v>3.4012000000000001E-2</v>
      </c>
      <c r="BZ44">
        <v>24</v>
      </c>
      <c r="CA44">
        <v>33527.800000000003</v>
      </c>
      <c r="CB44">
        <v>1690200769.5</v>
      </c>
      <c r="CC44" t="s">
        <v>332</v>
      </c>
      <c r="CD44">
        <v>1690200769.5</v>
      </c>
      <c r="CE44">
        <v>1690200753</v>
      </c>
      <c r="CF44">
        <v>2</v>
      </c>
      <c r="CG44">
        <v>-0.245</v>
      </c>
      <c r="CH44">
        <v>3.0000000000000001E-3</v>
      </c>
      <c r="CI44">
        <v>-1.5169999999999999</v>
      </c>
      <c r="CJ44">
        <v>-1.6E-2</v>
      </c>
      <c r="CK44">
        <v>778</v>
      </c>
      <c r="CL44">
        <v>12</v>
      </c>
      <c r="CM44">
        <v>0.01</v>
      </c>
      <c r="CN44">
        <v>0.03</v>
      </c>
      <c r="CO44">
        <v>-141.60544999999999</v>
      </c>
      <c r="CP44">
        <v>-50.746874296435053</v>
      </c>
      <c r="CQ44">
        <v>4.8831966013565333</v>
      </c>
      <c r="CR44">
        <v>-1</v>
      </c>
      <c r="CS44">
        <v>8.2760427499999984</v>
      </c>
      <c r="CT44">
        <v>2.06832393996247</v>
      </c>
      <c r="CU44">
        <v>0.19904208613993549</v>
      </c>
      <c r="CV44">
        <v>-1</v>
      </c>
      <c r="CW44">
        <v>0</v>
      </c>
      <c r="CX44">
        <v>0</v>
      </c>
      <c r="CY44" t="s">
        <v>333</v>
      </c>
      <c r="CZ44">
        <v>2.3653900000000001</v>
      </c>
      <c r="DA44">
        <v>2.7137899999999999</v>
      </c>
      <c r="DB44">
        <v>0.12769800000000001</v>
      </c>
      <c r="DC44">
        <v>0.14638100000000001</v>
      </c>
      <c r="DD44">
        <v>0.100205</v>
      </c>
      <c r="DE44">
        <v>6.5505900000000006E-2</v>
      </c>
      <c r="DF44">
        <v>31815.599999999999</v>
      </c>
      <c r="DG44">
        <v>27420.6</v>
      </c>
      <c r="DH44">
        <v>31134.1</v>
      </c>
      <c r="DI44">
        <v>27987.599999999999</v>
      </c>
      <c r="DJ44">
        <v>38025.699999999997</v>
      </c>
      <c r="DK44">
        <v>37153.9</v>
      </c>
      <c r="DL44">
        <v>44294.6</v>
      </c>
      <c r="DM44">
        <v>42376.4</v>
      </c>
      <c r="DN44">
        <v>1.4387000000000001</v>
      </c>
      <c r="DO44">
        <v>2.0842999999999998</v>
      </c>
      <c r="DP44">
        <v>0.16666900000000001</v>
      </c>
      <c r="DQ44">
        <v>0.19442300000000001</v>
      </c>
      <c r="DR44">
        <v>24.262599999999999</v>
      </c>
      <c r="DS44">
        <v>24.170300000000001</v>
      </c>
      <c r="DT44">
        <v>39.6</v>
      </c>
      <c r="DU44">
        <v>24.4</v>
      </c>
      <c r="DV44">
        <v>12.2737</v>
      </c>
      <c r="DW44">
        <v>62.129899999999999</v>
      </c>
      <c r="DX44">
        <v>36.578499999999998</v>
      </c>
      <c r="DY44">
        <v>1</v>
      </c>
      <c r="DZ44">
        <v>-0.15954499999999999</v>
      </c>
      <c r="EA44">
        <v>-0.27718999999999999</v>
      </c>
      <c r="EB44">
        <v>20.192599999999999</v>
      </c>
      <c r="EC44">
        <v>5.242</v>
      </c>
      <c r="ED44">
        <v>12.039899999999999</v>
      </c>
      <c r="EE44">
        <v>5.0172999999999996</v>
      </c>
      <c r="EF44">
        <v>3.2879999999999998</v>
      </c>
      <c r="EG44">
        <v>9999</v>
      </c>
      <c r="EH44">
        <v>9999</v>
      </c>
      <c r="EI44">
        <v>9999</v>
      </c>
      <c r="EJ44">
        <v>999.9</v>
      </c>
      <c r="EK44">
        <v>1.8687400000000001</v>
      </c>
      <c r="EL44">
        <v>1.86446</v>
      </c>
      <c r="EM44">
        <v>1.86904</v>
      </c>
      <c r="EN44">
        <v>1.86707</v>
      </c>
      <c r="EO44">
        <v>1.8632500000000001</v>
      </c>
      <c r="EP44">
        <v>1.86433</v>
      </c>
      <c r="EQ44">
        <v>1.87002</v>
      </c>
      <c r="ER44">
        <v>1.86927</v>
      </c>
      <c r="ES44">
        <v>0</v>
      </c>
      <c r="ET44">
        <v>0</v>
      </c>
      <c r="EU44">
        <v>0</v>
      </c>
      <c r="EV44">
        <v>0</v>
      </c>
      <c r="EW44" t="s">
        <v>334</v>
      </c>
      <c r="EX44" t="s">
        <v>335</v>
      </c>
      <c r="EY44" t="s">
        <v>336</v>
      </c>
      <c r="EZ44" t="s">
        <v>336</v>
      </c>
      <c r="FA44" t="s">
        <v>336</v>
      </c>
      <c r="FB44" t="s">
        <v>336</v>
      </c>
      <c r="FC44">
        <v>0</v>
      </c>
      <c r="FD44">
        <v>100</v>
      </c>
      <c r="FE44">
        <v>100</v>
      </c>
      <c r="FF44">
        <v>-1.427</v>
      </c>
      <c r="FG44">
        <v>0.18820000000000001</v>
      </c>
      <c r="FH44">
        <v>-0.98020551812546231</v>
      </c>
      <c r="FI44">
        <v>-6.1462078757559423E-4</v>
      </c>
      <c r="FJ44">
        <v>-1.8861989874597051E-7</v>
      </c>
      <c r="FK44">
        <v>1.1980462299894961E-10</v>
      </c>
      <c r="FL44">
        <v>-4.4410915568505363E-2</v>
      </c>
      <c r="FM44">
        <v>-1.6848085045870601E-2</v>
      </c>
      <c r="FN44">
        <v>1.9789084769509481E-3</v>
      </c>
      <c r="FO44">
        <v>-2.7142391389806329E-5</v>
      </c>
      <c r="FP44">
        <v>3</v>
      </c>
      <c r="FQ44">
        <v>2158</v>
      </c>
      <c r="FR44">
        <v>1</v>
      </c>
      <c r="FS44">
        <v>19</v>
      </c>
      <c r="FT44">
        <v>6.6</v>
      </c>
      <c r="FU44">
        <v>6.9</v>
      </c>
      <c r="FV44">
        <v>1.7724599999999999</v>
      </c>
      <c r="FW44">
        <v>2.5402800000000001</v>
      </c>
      <c r="FX44">
        <v>1.5490699999999999</v>
      </c>
      <c r="FY44">
        <v>2.34619</v>
      </c>
      <c r="FZ44">
        <v>1.50146</v>
      </c>
      <c r="GA44">
        <v>2.3303199999999999</v>
      </c>
      <c r="GB44">
        <v>30.029</v>
      </c>
      <c r="GC44">
        <v>23.982399999999998</v>
      </c>
      <c r="GD44">
        <v>19</v>
      </c>
      <c r="GE44">
        <v>263.52100000000002</v>
      </c>
      <c r="GF44">
        <v>612.12599999999998</v>
      </c>
      <c r="GG44">
        <v>24.7652</v>
      </c>
      <c r="GH44">
        <v>25.4238</v>
      </c>
      <c r="GI44">
        <v>30.0002</v>
      </c>
      <c r="GJ44">
        <v>25.450399999999998</v>
      </c>
      <c r="GK44">
        <v>25.372599999999998</v>
      </c>
      <c r="GL44">
        <v>35.427999999999997</v>
      </c>
      <c r="GM44">
        <v>-30</v>
      </c>
      <c r="GN44">
        <v>-30</v>
      </c>
      <c r="GO44">
        <v>24.765599999999999</v>
      </c>
      <c r="GP44">
        <v>800</v>
      </c>
      <c r="GQ44">
        <v>0</v>
      </c>
      <c r="GR44">
        <v>99.599800000000002</v>
      </c>
      <c r="GS44">
        <v>99.173100000000005</v>
      </c>
    </row>
    <row r="45" spans="1:201" x14ac:dyDescent="0.25">
      <c r="A45">
        <v>29</v>
      </c>
      <c r="B45">
        <v>1690201175.5</v>
      </c>
      <c r="C45">
        <v>328.5</v>
      </c>
      <c r="D45" t="s">
        <v>391</v>
      </c>
      <c r="E45" t="s">
        <v>392</v>
      </c>
      <c r="F45" t="s">
        <v>330</v>
      </c>
      <c r="H45">
        <v>1690201175.5</v>
      </c>
      <c r="I45">
        <f t="shared" si="0"/>
        <v>8.1858559437478749E-4</v>
      </c>
      <c r="J45">
        <f t="shared" si="1"/>
        <v>0.81858559437478751</v>
      </c>
      <c r="K45">
        <f t="shared" si="2"/>
        <v>13.63829654638679</v>
      </c>
      <c r="L45">
        <f t="shared" si="3"/>
        <v>642.74800000000005</v>
      </c>
      <c r="M45">
        <f t="shared" si="4"/>
        <v>178.4184861592297</v>
      </c>
      <c r="N45">
        <f t="shared" si="5"/>
        <v>17.679157986946407</v>
      </c>
      <c r="O45">
        <f t="shared" si="6"/>
        <v>63.688711200322011</v>
      </c>
      <c r="P45">
        <f t="shared" si="7"/>
        <v>4.8688911173807178E-2</v>
      </c>
      <c r="Q45">
        <f t="shared" si="8"/>
        <v>2.0806921139135932</v>
      </c>
      <c r="R45">
        <f t="shared" si="9"/>
        <v>4.8064704001617005E-2</v>
      </c>
      <c r="S45">
        <f t="shared" si="10"/>
        <v>3.0095855761724414E-2</v>
      </c>
      <c r="T45">
        <f t="shared" si="11"/>
        <v>276.11024463189091</v>
      </c>
      <c r="U45">
        <f t="shared" si="12"/>
        <v>27.336466385567782</v>
      </c>
      <c r="V45">
        <f t="shared" si="13"/>
        <v>27.336466385567782</v>
      </c>
      <c r="W45">
        <f t="shared" si="14"/>
        <v>3.6505022913024057</v>
      </c>
      <c r="X45">
        <f t="shared" si="15"/>
        <v>61.780250421492312</v>
      </c>
      <c r="Y45">
        <f t="shared" si="16"/>
        <v>2.0111525757349002</v>
      </c>
      <c r="Z45">
        <f t="shared" si="17"/>
        <v>3.2553325083888849</v>
      </c>
      <c r="AA45">
        <f t="shared" si="18"/>
        <v>1.6393497155675054</v>
      </c>
      <c r="AB45">
        <f t="shared" si="19"/>
        <v>-36.099624711928129</v>
      </c>
      <c r="AC45">
        <f t="shared" si="20"/>
        <v>-217.78258083126411</v>
      </c>
      <c r="AD45">
        <f t="shared" si="21"/>
        <v>-22.445917152482934</v>
      </c>
      <c r="AE45">
        <f t="shared" si="22"/>
        <v>-0.21787806378426922</v>
      </c>
      <c r="AF45">
        <v>16</v>
      </c>
      <c r="AG45">
        <v>5</v>
      </c>
      <c r="AH45">
        <f t="shared" si="23"/>
        <v>1</v>
      </c>
      <c r="AI45">
        <f t="shared" si="24"/>
        <v>0</v>
      </c>
      <c r="AJ45">
        <f t="shared" si="25"/>
        <v>52648.931535215874</v>
      </c>
      <c r="AK45">
        <f t="shared" si="26"/>
        <v>1799.97</v>
      </c>
      <c r="AL45">
        <f t="shared" si="27"/>
        <v>1499.0876663891399</v>
      </c>
      <c r="AM45">
        <f t="shared" si="28"/>
        <v>0.832840362</v>
      </c>
      <c r="AN45">
        <f t="shared" si="29"/>
        <v>0.15339713697000001</v>
      </c>
      <c r="AO45">
        <v>33.299999999999997</v>
      </c>
      <c r="AP45">
        <v>0.5</v>
      </c>
      <c r="AQ45" t="s">
        <v>331</v>
      </c>
      <c r="AR45">
        <v>2</v>
      </c>
      <c r="AS45">
        <v>1690201175.5</v>
      </c>
      <c r="AT45">
        <v>642.74800000000005</v>
      </c>
      <c r="AU45">
        <v>799.95600000000002</v>
      </c>
      <c r="AV45">
        <v>20.296600000000002</v>
      </c>
      <c r="AW45">
        <v>11.3957</v>
      </c>
      <c r="AX45">
        <v>644.17100000000005</v>
      </c>
      <c r="AY45">
        <v>20.1005</v>
      </c>
      <c r="AZ45">
        <v>300.03300000000002</v>
      </c>
      <c r="BA45">
        <v>98.988200000000006</v>
      </c>
      <c r="BB45">
        <v>9.9951499999999999E-2</v>
      </c>
      <c r="BC45">
        <v>25.395</v>
      </c>
      <c r="BD45">
        <v>27.038699999999999</v>
      </c>
      <c r="BE45">
        <v>27.4099</v>
      </c>
      <c r="BF45">
        <v>0</v>
      </c>
      <c r="BG45">
        <v>0</v>
      </c>
      <c r="BH45">
        <v>10005</v>
      </c>
      <c r="BI45">
        <v>1074.1600000000001</v>
      </c>
      <c r="BJ45">
        <v>1.4577199999999999</v>
      </c>
      <c r="BK45">
        <v>-157.208</v>
      </c>
      <c r="BL45">
        <v>656.06399999999996</v>
      </c>
      <c r="BM45">
        <v>809.17700000000002</v>
      </c>
      <c r="BN45">
        <v>8.9008299999999991</v>
      </c>
      <c r="BO45">
        <v>799.95600000000002</v>
      </c>
      <c r="BP45">
        <v>11.3957</v>
      </c>
      <c r="BQ45">
        <v>2.0091199999999998</v>
      </c>
      <c r="BR45">
        <v>1.1280399999999999</v>
      </c>
      <c r="BS45">
        <v>17.516400000000001</v>
      </c>
      <c r="BT45">
        <v>8.6843500000000002</v>
      </c>
      <c r="BU45">
        <v>1799.97</v>
      </c>
      <c r="BV45">
        <v>0.91000400000000004</v>
      </c>
      <c r="BW45">
        <v>3.39951E-2</v>
      </c>
      <c r="BX45">
        <v>2.1996100000000001E-2</v>
      </c>
      <c r="BY45">
        <v>3.4005100000000003E-2</v>
      </c>
      <c r="BZ45">
        <v>24</v>
      </c>
      <c r="CA45">
        <v>33528</v>
      </c>
      <c r="CB45">
        <v>1690200769.5</v>
      </c>
      <c r="CC45" t="s">
        <v>332</v>
      </c>
      <c r="CD45">
        <v>1690200769.5</v>
      </c>
      <c r="CE45">
        <v>1690200753</v>
      </c>
      <c r="CF45">
        <v>2</v>
      </c>
      <c r="CG45">
        <v>-0.245</v>
      </c>
      <c r="CH45">
        <v>3.0000000000000001E-3</v>
      </c>
      <c r="CI45">
        <v>-1.5169999999999999</v>
      </c>
      <c r="CJ45">
        <v>-1.6E-2</v>
      </c>
      <c r="CK45">
        <v>778</v>
      </c>
      <c r="CL45">
        <v>12</v>
      </c>
      <c r="CM45">
        <v>0.01</v>
      </c>
      <c r="CN45">
        <v>0.03</v>
      </c>
      <c r="CO45">
        <v>-149.65542500000001</v>
      </c>
      <c r="CP45">
        <v>-45.788881801125619</v>
      </c>
      <c r="CQ45">
        <v>4.4061532819881561</v>
      </c>
      <c r="CR45">
        <v>-1</v>
      </c>
      <c r="CS45">
        <v>8.6010917499999984</v>
      </c>
      <c r="CT45">
        <v>1.833678686679173</v>
      </c>
      <c r="CU45">
        <v>0.17647804921416571</v>
      </c>
      <c r="CV45">
        <v>-1</v>
      </c>
      <c r="CW45">
        <v>0</v>
      </c>
      <c r="CX45">
        <v>0</v>
      </c>
      <c r="CY45" t="s">
        <v>333</v>
      </c>
      <c r="CZ45">
        <v>2.3649300000000002</v>
      </c>
      <c r="DA45">
        <v>2.7137500000000001</v>
      </c>
      <c r="DB45">
        <v>0.126716</v>
      </c>
      <c r="DC45">
        <v>0.14637500000000001</v>
      </c>
      <c r="DD45">
        <v>0.101163</v>
      </c>
      <c r="DE45">
        <v>6.5454700000000005E-2</v>
      </c>
      <c r="DF45">
        <v>31851</v>
      </c>
      <c r="DG45">
        <v>27420.799999999999</v>
      </c>
      <c r="DH45">
        <v>31133.7</v>
      </c>
      <c r="DI45">
        <v>27987.5</v>
      </c>
      <c r="DJ45">
        <v>37984.199999999997</v>
      </c>
      <c r="DK45">
        <v>37155.9</v>
      </c>
      <c r="DL45">
        <v>44294.1</v>
      </c>
      <c r="DM45">
        <v>42376.3</v>
      </c>
      <c r="DN45">
        <v>1.4377500000000001</v>
      </c>
      <c r="DO45">
        <v>2.08433</v>
      </c>
      <c r="DP45">
        <v>0.168569</v>
      </c>
      <c r="DQ45">
        <v>0.19673299999999999</v>
      </c>
      <c r="DR45">
        <v>24.2758</v>
      </c>
      <c r="DS45">
        <v>24.1861</v>
      </c>
      <c r="DT45">
        <v>39.5</v>
      </c>
      <c r="DU45">
        <v>24.4</v>
      </c>
      <c r="DV45">
        <v>12.241099999999999</v>
      </c>
      <c r="DW45">
        <v>61.9099</v>
      </c>
      <c r="DX45">
        <v>36.706699999999998</v>
      </c>
      <c r="DY45">
        <v>1</v>
      </c>
      <c r="DZ45">
        <v>-0.155831</v>
      </c>
      <c r="EA45">
        <v>1.74848</v>
      </c>
      <c r="EB45">
        <v>20.178899999999999</v>
      </c>
      <c r="EC45">
        <v>5.2418500000000003</v>
      </c>
      <c r="ED45">
        <v>12.039899999999999</v>
      </c>
      <c r="EE45">
        <v>5.01755</v>
      </c>
      <c r="EF45">
        <v>3.2879999999999998</v>
      </c>
      <c r="EG45">
        <v>9999</v>
      </c>
      <c r="EH45">
        <v>9999</v>
      </c>
      <c r="EI45">
        <v>9999</v>
      </c>
      <c r="EJ45">
        <v>999.9</v>
      </c>
      <c r="EK45">
        <v>1.8687400000000001</v>
      </c>
      <c r="EL45">
        <v>1.86446</v>
      </c>
      <c r="EM45">
        <v>1.8690500000000001</v>
      </c>
      <c r="EN45">
        <v>1.86707</v>
      </c>
      <c r="EO45">
        <v>1.8632500000000001</v>
      </c>
      <c r="EP45">
        <v>1.86432</v>
      </c>
      <c r="EQ45">
        <v>1.87002</v>
      </c>
      <c r="ER45">
        <v>1.86924</v>
      </c>
      <c r="ES45">
        <v>0</v>
      </c>
      <c r="ET45">
        <v>0</v>
      </c>
      <c r="EU45">
        <v>0</v>
      </c>
      <c r="EV45">
        <v>0</v>
      </c>
      <c r="EW45" t="s">
        <v>334</v>
      </c>
      <c r="EX45" t="s">
        <v>335</v>
      </c>
      <c r="EY45" t="s">
        <v>336</v>
      </c>
      <c r="EZ45" t="s">
        <v>336</v>
      </c>
      <c r="FA45" t="s">
        <v>336</v>
      </c>
      <c r="FB45" t="s">
        <v>336</v>
      </c>
      <c r="FC45">
        <v>0</v>
      </c>
      <c r="FD45">
        <v>100</v>
      </c>
      <c r="FE45">
        <v>100</v>
      </c>
      <c r="FF45">
        <v>-1.423</v>
      </c>
      <c r="FG45">
        <v>0.1961</v>
      </c>
      <c r="FH45">
        <v>-0.98020551812546231</v>
      </c>
      <c r="FI45">
        <v>-6.1462078757559423E-4</v>
      </c>
      <c r="FJ45">
        <v>-1.8861989874597051E-7</v>
      </c>
      <c r="FK45">
        <v>1.1980462299894961E-10</v>
      </c>
      <c r="FL45">
        <v>-4.4410915568505363E-2</v>
      </c>
      <c r="FM45">
        <v>-1.6848085045870601E-2</v>
      </c>
      <c r="FN45">
        <v>1.9789084769509481E-3</v>
      </c>
      <c r="FO45">
        <v>-2.7142391389806329E-5</v>
      </c>
      <c r="FP45">
        <v>3</v>
      </c>
      <c r="FQ45">
        <v>2158</v>
      </c>
      <c r="FR45">
        <v>1</v>
      </c>
      <c r="FS45">
        <v>19</v>
      </c>
      <c r="FT45">
        <v>6.8</v>
      </c>
      <c r="FU45">
        <v>7</v>
      </c>
      <c r="FV45">
        <v>1.7724599999999999</v>
      </c>
      <c r="FW45">
        <v>2.5415000000000001</v>
      </c>
      <c r="FX45">
        <v>1.5490699999999999</v>
      </c>
      <c r="FY45">
        <v>2.34619</v>
      </c>
      <c r="FZ45">
        <v>1.50146</v>
      </c>
      <c r="GA45">
        <v>2.32666</v>
      </c>
      <c r="GB45">
        <v>30.0504</v>
      </c>
      <c r="GC45">
        <v>23.973700000000001</v>
      </c>
      <c r="GD45">
        <v>19</v>
      </c>
      <c r="GE45">
        <v>263.16399999999999</v>
      </c>
      <c r="GF45">
        <v>612.22900000000004</v>
      </c>
      <c r="GG45">
        <v>24.362300000000001</v>
      </c>
      <c r="GH45">
        <v>25.427600000000002</v>
      </c>
      <c r="GI45">
        <v>30.002300000000002</v>
      </c>
      <c r="GJ45">
        <v>25.456299999999999</v>
      </c>
      <c r="GK45">
        <v>25.379300000000001</v>
      </c>
      <c r="GL45">
        <v>35.430799999999998</v>
      </c>
      <c r="GM45">
        <v>-30</v>
      </c>
      <c r="GN45">
        <v>-30</v>
      </c>
      <c r="GO45">
        <v>24.171199999999999</v>
      </c>
      <c r="GP45">
        <v>800</v>
      </c>
      <c r="GQ45">
        <v>0</v>
      </c>
      <c r="GR45">
        <v>99.598600000000005</v>
      </c>
      <c r="GS45">
        <v>99.173000000000002</v>
      </c>
    </row>
    <row r="46" spans="1:201" x14ac:dyDescent="0.25">
      <c r="A46">
        <v>30</v>
      </c>
      <c r="B46">
        <v>1690201185.5</v>
      </c>
      <c r="C46">
        <v>338.5</v>
      </c>
      <c r="D46" t="s">
        <v>393</v>
      </c>
      <c r="E46" t="s">
        <v>394</v>
      </c>
      <c r="F46" t="s">
        <v>330</v>
      </c>
      <c r="H46">
        <v>1690201185.5</v>
      </c>
      <c r="I46">
        <f t="shared" si="0"/>
        <v>8.4003631785313808E-4</v>
      </c>
      <c r="J46">
        <f t="shared" si="1"/>
        <v>0.84003631785313804</v>
      </c>
      <c r="K46">
        <f t="shared" si="2"/>
        <v>14.224546632530146</v>
      </c>
      <c r="L46">
        <f t="shared" si="3"/>
        <v>636.149</v>
      </c>
      <c r="M46">
        <f t="shared" si="4"/>
        <v>173.42106364199859</v>
      </c>
      <c r="N46">
        <f t="shared" si="5"/>
        <v>17.183472463759845</v>
      </c>
      <c r="O46">
        <f t="shared" si="6"/>
        <v>63.032993771242595</v>
      </c>
      <c r="P46">
        <f t="shared" si="7"/>
        <v>5.0945149500163107E-2</v>
      </c>
      <c r="Q46">
        <f t="shared" si="8"/>
        <v>2.086501102938279</v>
      </c>
      <c r="R46">
        <f t="shared" si="9"/>
        <v>5.0264062137343107E-2</v>
      </c>
      <c r="S46">
        <f t="shared" si="10"/>
        <v>3.1475473200984469E-2</v>
      </c>
      <c r="T46">
        <f t="shared" si="11"/>
        <v>276.10952199793502</v>
      </c>
      <c r="U46">
        <f t="shared" si="12"/>
        <v>27.294574594148909</v>
      </c>
      <c r="V46">
        <f t="shared" si="13"/>
        <v>27.294574594148909</v>
      </c>
      <c r="W46">
        <f t="shared" si="14"/>
        <v>3.6415526661984119</v>
      </c>
      <c r="X46">
        <f t="shared" si="15"/>
        <v>62.560985646119669</v>
      </c>
      <c r="Y46">
        <f t="shared" si="16"/>
        <v>2.03301169945972</v>
      </c>
      <c r="Z46">
        <f t="shared" si="17"/>
        <v>3.2496478091946703</v>
      </c>
      <c r="AA46">
        <f t="shared" si="18"/>
        <v>1.6085409667386918</v>
      </c>
      <c r="AB46">
        <f t="shared" si="19"/>
        <v>-37.045601617323392</v>
      </c>
      <c r="AC46">
        <f t="shared" si="20"/>
        <v>-216.9854283141029</v>
      </c>
      <c r="AD46">
        <f t="shared" si="21"/>
        <v>-22.293527121523187</v>
      </c>
      <c r="AE46">
        <f t="shared" si="22"/>
        <v>-0.21503505501448217</v>
      </c>
      <c r="AF46">
        <v>16</v>
      </c>
      <c r="AG46">
        <v>5</v>
      </c>
      <c r="AH46">
        <f t="shared" si="23"/>
        <v>1</v>
      </c>
      <c r="AI46">
        <f t="shared" si="24"/>
        <v>0</v>
      </c>
      <c r="AJ46">
        <f t="shared" si="25"/>
        <v>52917.389409822368</v>
      </c>
      <c r="AK46">
        <f t="shared" si="26"/>
        <v>1799.97</v>
      </c>
      <c r="AL46">
        <f t="shared" si="27"/>
        <v>1499.0846388395998</v>
      </c>
      <c r="AM46">
        <f t="shared" si="28"/>
        <v>0.83283867999999994</v>
      </c>
      <c r="AN46">
        <f t="shared" si="29"/>
        <v>0.15339673550000002</v>
      </c>
      <c r="AO46">
        <v>33.299999999999997</v>
      </c>
      <c r="AP46">
        <v>0.5</v>
      </c>
      <c r="AQ46" t="s">
        <v>331</v>
      </c>
      <c r="AR46">
        <v>2</v>
      </c>
      <c r="AS46">
        <v>1690201185.5</v>
      </c>
      <c r="AT46">
        <v>636.149</v>
      </c>
      <c r="AU46">
        <v>799.97699999999998</v>
      </c>
      <c r="AV46">
        <v>20.517800000000001</v>
      </c>
      <c r="AW46">
        <v>11.384499999999999</v>
      </c>
      <c r="AX46">
        <v>637.56700000000001</v>
      </c>
      <c r="AY46">
        <v>20.315300000000001</v>
      </c>
      <c r="AZ46">
        <v>299.99299999999999</v>
      </c>
      <c r="BA46">
        <v>98.985399999999998</v>
      </c>
      <c r="BB46">
        <v>9.9867399999999995E-2</v>
      </c>
      <c r="BC46">
        <v>25.365600000000001</v>
      </c>
      <c r="BD46">
        <v>27.0017</v>
      </c>
      <c r="BE46">
        <v>27.343900000000001</v>
      </c>
      <c r="BF46">
        <v>0</v>
      </c>
      <c r="BG46">
        <v>0</v>
      </c>
      <c r="BH46">
        <v>10057.5</v>
      </c>
      <c r="BI46">
        <v>1074.06</v>
      </c>
      <c r="BJ46">
        <v>1.4577199999999999</v>
      </c>
      <c r="BK46">
        <v>-163.828</v>
      </c>
      <c r="BL46">
        <v>649.47500000000002</v>
      </c>
      <c r="BM46">
        <v>809.19</v>
      </c>
      <c r="BN46">
        <v>9.1332500000000003</v>
      </c>
      <c r="BO46">
        <v>799.97699999999998</v>
      </c>
      <c r="BP46">
        <v>11.384499999999999</v>
      </c>
      <c r="BQ46">
        <v>2.0309599999999999</v>
      </c>
      <c r="BR46">
        <v>1.1269</v>
      </c>
      <c r="BS46">
        <v>17.687799999999999</v>
      </c>
      <c r="BT46">
        <v>8.6693899999999999</v>
      </c>
      <c r="BU46">
        <v>1799.97</v>
      </c>
      <c r="BV46">
        <v>0.91000400000000004</v>
      </c>
      <c r="BW46">
        <v>3.4007500000000003E-2</v>
      </c>
      <c r="BX46">
        <v>2.1991E-2</v>
      </c>
      <c r="BY46">
        <v>3.3997199999999998E-2</v>
      </c>
      <c r="BZ46">
        <v>24</v>
      </c>
      <c r="CA46">
        <v>33528</v>
      </c>
      <c r="CB46">
        <v>1690200769.5</v>
      </c>
      <c r="CC46" t="s">
        <v>332</v>
      </c>
      <c r="CD46">
        <v>1690200769.5</v>
      </c>
      <c r="CE46">
        <v>1690200753</v>
      </c>
      <c r="CF46">
        <v>2</v>
      </c>
      <c r="CG46">
        <v>-0.245</v>
      </c>
      <c r="CH46">
        <v>3.0000000000000001E-3</v>
      </c>
      <c r="CI46">
        <v>-1.5169999999999999</v>
      </c>
      <c r="CJ46">
        <v>-1.6E-2</v>
      </c>
      <c r="CK46">
        <v>778</v>
      </c>
      <c r="CL46">
        <v>12</v>
      </c>
      <c r="CM46">
        <v>0.01</v>
      </c>
      <c r="CN46">
        <v>0.03</v>
      </c>
      <c r="CO46">
        <v>-156.409756097561</v>
      </c>
      <c r="CP46">
        <v>-41.81634146341441</v>
      </c>
      <c r="CQ46">
        <v>4.1243322166375638</v>
      </c>
      <c r="CR46">
        <v>-1</v>
      </c>
      <c r="CS46">
        <v>8.8633080487804854</v>
      </c>
      <c r="CT46">
        <v>1.577400000000007</v>
      </c>
      <c r="CU46">
        <v>0.15575150584120359</v>
      </c>
      <c r="CV46">
        <v>-1</v>
      </c>
      <c r="CW46">
        <v>0</v>
      </c>
      <c r="CX46">
        <v>0</v>
      </c>
      <c r="CY46" t="s">
        <v>333</v>
      </c>
      <c r="CZ46">
        <v>2.3648199999999999</v>
      </c>
      <c r="DA46">
        <v>2.7137099999999998</v>
      </c>
      <c r="DB46">
        <v>0.12581000000000001</v>
      </c>
      <c r="DC46">
        <v>0.146371</v>
      </c>
      <c r="DD46">
        <v>0.10192900000000001</v>
      </c>
      <c r="DE46">
        <v>6.5403100000000006E-2</v>
      </c>
      <c r="DF46">
        <v>31883.9</v>
      </c>
      <c r="DG46">
        <v>27420.799999999999</v>
      </c>
      <c r="DH46">
        <v>31133.599999999999</v>
      </c>
      <c r="DI46">
        <v>27987.4</v>
      </c>
      <c r="DJ46">
        <v>37951.4</v>
      </c>
      <c r="DK46">
        <v>37158</v>
      </c>
      <c r="DL46">
        <v>44294</v>
      </c>
      <c r="DM46">
        <v>42376.3</v>
      </c>
      <c r="DN46">
        <v>1.4377200000000001</v>
      </c>
      <c r="DO46">
        <v>2.0841799999999999</v>
      </c>
      <c r="DP46">
        <v>0.16558899999999999</v>
      </c>
      <c r="DQ46">
        <v>0.19185199999999999</v>
      </c>
      <c r="DR46">
        <v>24.287700000000001</v>
      </c>
      <c r="DS46">
        <v>24.1999</v>
      </c>
      <c r="DT46">
        <v>39.5</v>
      </c>
      <c r="DU46">
        <v>24.4</v>
      </c>
      <c r="DV46">
        <v>12.241300000000001</v>
      </c>
      <c r="DW46">
        <v>61.599899999999998</v>
      </c>
      <c r="DX46">
        <v>36.975200000000001</v>
      </c>
      <c r="DY46">
        <v>1</v>
      </c>
      <c r="DZ46">
        <v>-0.15734000000000001</v>
      </c>
      <c r="EA46">
        <v>0.457868</v>
      </c>
      <c r="EB46">
        <v>20.191600000000001</v>
      </c>
      <c r="EC46">
        <v>5.2418500000000003</v>
      </c>
      <c r="ED46">
        <v>12.039899999999999</v>
      </c>
      <c r="EE46">
        <v>5.0174000000000003</v>
      </c>
      <c r="EF46">
        <v>3.2879999999999998</v>
      </c>
      <c r="EG46">
        <v>9999</v>
      </c>
      <c r="EH46">
        <v>9999</v>
      </c>
      <c r="EI46">
        <v>9999</v>
      </c>
      <c r="EJ46">
        <v>999.9</v>
      </c>
      <c r="EK46">
        <v>1.8687400000000001</v>
      </c>
      <c r="EL46">
        <v>1.8644700000000001</v>
      </c>
      <c r="EM46">
        <v>1.8690500000000001</v>
      </c>
      <c r="EN46">
        <v>1.86707</v>
      </c>
      <c r="EO46">
        <v>1.8632500000000001</v>
      </c>
      <c r="EP46">
        <v>1.86432</v>
      </c>
      <c r="EQ46">
        <v>1.87001</v>
      </c>
      <c r="ER46">
        <v>1.8692599999999999</v>
      </c>
      <c r="ES46">
        <v>0</v>
      </c>
      <c r="ET46">
        <v>0</v>
      </c>
      <c r="EU46">
        <v>0</v>
      </c>
      <c r="EV46">
        <v>0</v>
      </c>
      <c r="EW46" t="s">
        <v>334</v>
      </c>
      <c r="EX46" t="s">
        <v>335</v>
      </c>
      <c r="EY46" t="s">
        <v>336</v>
      </c>
      <c r="EZ46" t="s">
        <v>336</v>
      </c>
      <c r="FA46" t="s">
        <v>336</v>
      </c>
      <c r="FB46" t="s">
        <v>336</v>
      </c>
      <c r="FC46">
        <v>0</v>
      </c>
      <c r="FD46">
        <v>100</v>
      </c>
      <c r="FE46">
        <v>100</v>
      </c>
      <c r="FF46">
        <v>-1.4179999999999999</v>
      </c>
      <c r="FG46">
        <v>0.20250000000000001</v>
      </c>
      <c r="FH46">
        <v>-0.98020551812546231</v>
      </c>
      <c r="FI46">
        <v>-6.1462078757559423E-4</v>
      </c>
      <c r="FJ46">
        <v>-1.8861989874597051E-7</v>
      </c>
      <c r="FK46">
        <v>1.1980462299894961E-10</v>
      </c>
      <c r="FL46">
        <v>-4.4410915568505363E-2</v>
      </c>
      <c r="FM46">
        <v>-1.6848085045870601E-2</v>
      </c>
      <c r="FN46">
        <v>1.9789084769509481E-3</v>
      </c>
      <c r="FO46">
        <v>-2.7142391389806329E-5</v>
      </c>
      <c r="FP46">
        <v>3</v>
      </c>
      <c r="FQ46">
        <v>2158</v>
      </c>
      <c r="FR46">
        <v>1</v>
      </c>
      <c r="FS46">
        <v>19</v>
      </c>
      <c r="FT46">
        <v>6.9</v>
      </c>
      <c r="FU46">
        <v>7.2</v>
      </c>
      <c r="FV46">
        <v>1.7724599999999999</v>
      </c>
      <c r="FW46">
        <v>2.5439500000000002</v>
      </c>
      <c r="FX46">
        <v>1.5490699999999999</v>
      </c>
      <c r="FY46">
        <v>2.34619</v>
      </c>
      <c r="FZ46">
        <v>1.50146</v>
      </c>
      <c r="GA46">
        <v>2.2973599999999998</v>
      </c>
      <c r="GB46">
        <v>30.0504</v>
      </c>
      <c r="GC46">
        <v>23.982399999999998</v>
      </c>
      <c r="GD46">
        <v>19</v>
      </c>
      <c r="GE46">
        <v>263.17500000000001</v>
      </c>
      <c r="GF46">
        <v>612.17700000000002</v>
      </c>
      <c r="GG46">
        <v>24.0626</v>
      </c>
      <c r="GH46">
        <v>25.430299999999999</v>
      </c>
      <c r="GI46">
        <v>29.9999</v>
      </c>
      <c r="GJ46">
        <v>25.461600000000001</v>
      </c>
      <c r="GK46">
        <v>25.3857</v>
      </c>
      <c r="GL46">
        <v>35.430799999999998</v>
      </c>
      <c r="GM46">
        <v>-30</v>
      </c>
      <c r="GN46">
        <v>-30</v>
      </c>
      <c r="GO46">
        <v>24.1251</v>
      </c>
      <c r="GP46">
        <v>800</v>
      </c>
      <c r="GQ46">
        <v>0</v>
      </c>
      <c r="GR46">
        <v>99.598299999999995</v>
      </c>
      <c r="GS46">
        <v>99.172899999999998</v>
      </c>
    </row>
    <row r="47" spans="1:201" x14ac:dyDescent="0.25">
      <c r="A47">
        <v>31</v>
      </c>
      <c r="B47">
        <v>1690201195.5</v>
      </c>
      <c r="C47">
        <v>348.5</v>
      </c>
      <c r="D47" t="s">
        <v>395</v>
      </c>
      <c r="E47" t="s">
        <v>396</v>
      </c>
      <c r="F47" t="s">
        <v>330</v>
      </c>
      <c r="H47">
        <v>1690201195.5</v>
      </c>
      <c r="I47">
        <f t="shared" si="0"/>
        <v>8.5988143398023624E-4</v>
      </c>
      <c r="J47">
        <f t="shared" si="1"/>
        <v>0.8598814339802362</v>
      </c>
      <c r="K47">
        <f t="shared" si="2"/>
        <v>14.750666790166843</v>
      </c>
      <c r="L47">
        <f t="shared" si="3"/>
        <v>630.27</v>
      </c>
      <c r="M47">
        <f t="shared" si="4"/>
        <v>168.37437990577692</v>
      </c>
      <c r="N47">
        <f t="shared" si="5"/>
        <v>16.683475278971191</v>
      </c>
      <c r="O47">
        <f t="shared" si="6"/>
        <v>62.450676700110002</v>
      </c>
      <c r="P47">
        <f t="shared" si="7"/>
        <v>5.2919215389443157E-2</v>
      </c>
      <c r="Q47">
        <f t="shared" si="8"/>
        <v>2.0750729916038426</v>
      </c>
      <c r="R47">
        <f t="shared" si="9"/>
        <v>5.218074885442147E-2</v>
      </c>
      <c r="S47">
        <f t="shared" si="10"/>
        <v>3.2678457796167446E-2</v>
      </c>
      <c r="T47">
        <f t="shared" si="11"/>
        <v>276.11295363020463</v>
      </c>
      <c r="U47">
        <f t="shared" si="12"/>
        <v>27.281171830795998</v>
      </c>
      <c r="V47">
        <f t="shared" si="13"/>
        <v>27.281171830795998</v>
      </c>
      <c r="W47">
        <f t="shared" si="14"/>
        <v>3.6386933901092902</v>
      </c>
      <c r="X47">
        <f t="shared" si="15"/>
        <v>63.229004450295932</v>
      </c>
      <c r="Y47">
        <f t="shared" si="16"/>
        <v>2.0527661387402998</v>
      </c>
      <c r="Z47">
        <f t="shared" si="17"/>
        <v>3.246557741319446</v>
      </c>
      <c r="AA47">
        <f t="shared" si="18"/>
        <v>1.5859272513689904</v>
      </c>
      <c r="AB47">
        <f t="shared" si="19"/>
        <v>-37.920771238528417</v>
      </c>
      <c r="AC47">
        <f t="shared" si="20"/>
        <v>-216.08751959779491</v>
      </c>
      <c r="AD47">
        <f t="shared" si="21"/>
        <v>-22.320255475057426</v>
      </c>
      <c r="AE47">
        <f t="shared" si="22"/>
        <v>-0.21559268117610486</v>
      </c>
      <c r="AF47">
        <v>15</v>
      </c>
      <c r="AG47">
        <v>5</v>
      </c>
      <c r="AH47">
        <f t="shared" si="23"/>
        <v>1</v>
      </c>
      <c r="AI47">
        <f t="shared" si="24"/>
        <v>0</v>
      </c>
      <c r="AJ47">
        <f t="shared" si="25"/>
        <v>52403.016730666117</v>
      </c>
      <c r="AK47">
        <f t="shared" si="26"/>
        <v>1799.98</v>
      </c>
      <c r="AL47">
        <f t="shared" si="27"/>
        <v>1499.0966967849599</v>
      </c>
      <c r="AM47">
        <f t="shared" si="28"/>
        <v>0.83284075199999996</v>
      </c>
      <c r="AN47">
        <f t="shared" si="29"/>
        <v>0.15339778977000001</v>
      </c>
      <c r="AO47">
        <v>33.299999999999997</v>
      </c>
      <c r="AP47">
        <v>0.5</v>
      </c>
      <c r="AQ47" t="s">
        <v>331</v>
      </c>
      <c r="AR47">
        <v>2</v>
      </c>
      <c r="AS47">
        <v>1690201195.5</v>
      </c>
      <c r="AT47">
        <v>630.27</v>
      </c>
      <c r="AU47">
        <v>799.96100000000001</v>
      </c>
      <c r="AV47">
        <v>20.717099999999999</v>
      </c>
      <c r="AW47">
        <v>11.3733</v>
      </c>
      <c r="AX47">
        <v>631.68299999999999</v>
      </c>
      <c r="AY47">
        <v>20.508800000000001</v>
      </c>
      <c r="AZ47">
        <v>300.101</v>
      </c>
      <c r="BA47">
        <v>98.985600000000005</v>
      </c>
      <c r="BB47">
        <v>9.9992999999999999E-2</v>
      </c>
      <c r="BC47">
        <v>25.349599999999999</v>
      </c>
      <c r="BD47">
        <v>26.95</v>
      </c>
      <c r="BE47">
        <v>27.296600000000002</v>
      </c>
      <c r="BF47">
        <v>0</v>
      </c>
      <c r="BG47">
        <v>0</v>
      </c>
      <c r="BH47">
        <v>9955</v>
      </c>
      <c r="BI47">
        <v>1073.68</v>
      </c>
      <c r="BJ47">
        <v>1.1016999999999999</v>
      </c>
      <c r="BK47">
        <v>-169.691</v>
      </c>
      <c r="BL47">
        <v>643.60400000000004</v>
      </c>
      <c r="BM47">
        <v>809.16399999999999</v>
      </c>
      <c r="BN47">
        <v>9.3437900000000003</v>
      </c>
      <c r="BO47">
        <v>799.96100000000001</v>
      </c>
      <c r="BP47">
        <v>11.3733</v>
      </c>
      <c r="BQ47">
        <v>2.0506899999999999</v>
      </c>
      <c r="BR47">
        <v>1.1257900000000001</v>
      </c>
      <c r="BS47">
        <v>17.8413</v>
      </c>
      <c r="BT47">
        <v>8.6548400000000001</v>
      </c>
      <c r="BU47">
        <v>1799.98</v>
      </c>
      <c r="BV47">
        <v>0.91000300000000001</v>
      </c>
      <c r="BW47">
        <v>3.39999E-2</v>
      </c>
      <c r="BX47">
        <v>2.2007100000000002E-2</v>
      </c>
      <c r="BY47">
        <v>3.3989499999999999E-2</v>
      </c>
      <c r="BZ47">
        <v>24</v>
      </c>
      <c r="CA47">
        <v>33527.800000000003</v>
      </c>
      <c r="CB47">
        <v>1690200769.5</v>
      </c>
      <c r="CC47" t="s">
        <v>332</v>
      </c>
      <c r="CD47">
        <v>1690200769.5</v>
      </c>
      <c r="CE47">
        <v>1690200753</v>
      </c>
      <c r="CF47">
        <v>2</v>
      </c>
      <c r="CG47">
        <v>-0.245</v>
      </c>
      <c r="CH47">
        <v>3.0000000000000001E-3</v>
      </c>
      <c r="CI47">
        <v>-1.5169999999999999</v>
      </c>
      <c r="CJ47">
        <v>-1.6E-2</v>
      </c>
      <c r="CK47">
        <v>778</v>
      </c>
      <c r="CL47">
        <v>12</v>
      </c>
      <c r="CM47">
        <v>0.01</v>
      </c>
      <c r="CN47">
        <v>0.03</v>
      </c>
      <c r="CO47">
        <v>-163.0596585365854</v>
      </c>
      <c r="CP47">
        <v>-37.868299651567909</v>
      </c>
      <c r="CQ47">
        <v>3.7358229616077772</v>
      </c>
      <c r="CR47">
        <v>-1</v>
      </c>
      <c r="CS47">
        <v>9.10669024390244</v>
      </c>
      <c r="CT47">
        <v>1.3395192334494761</v>
      </c>
      <c r="CU47">
        <v>0.13212634480913879</v>
      </c>
      <c r="CV47">
        <v>-1</v>
      </c>
      <c r="CW47">
        <v>0</v>
      </c>
      <c r="CX47">
        <v>0</v>
      </c>
      <c r="CY47" t="s">
        <v>333</v>
      </c>
      <c r="CZ47">
        <v>2.3651599999999999</v>
      </c>
      <c r="DA47">
        <v>2.71374</v>
      </c>
      <c r="DB47">
        <v>0.125002</v>
      </c>
      <c r="DC47">
        <v>0.146367</v>
      </c>
      <c r="DD47">
        <v>0.102619</v>
      </c>
      <c r="DE47">
        <v>6.5353300000000003E-2</v>
      </c>
      <c r="DF47">
        <v>31914.2</v>
      </c>
      <c r="DG47">
        <v>27421.200000000001</v>
      </c>
      <c r="DH47">
        <v>31134.5</v>
      </c>
      <c r="DI47">
        <v>27987.7</v>
      </c>
      <c r="DJ47">
        <v>37922.699999999997</v>
      </c>
      <c r="DK47">
        <v>37160.5</v>
      </c>
      <c r="DL47">
        <v>44295.1</v>
      </c>
      <c r="DM47">
        <v>42377</v>
      </c>
      <c r="DN47">
        <v>1.43862</v>
      </c>
      <c r="DO47">
        <v>2.0839300000000001</v>
      </c>
      <c r="DP47">
        <v>0.16186400000000001</v>
      </c>
      <c r="DQ47">
        <v>0.18842500000000001</v>
      </c>
      <c r="DR47">
        <v>24.296900000000001</v>
      </c>
      <c r="DS47">
        <v>24.2087</v>
      </c>
      <c r="DT47">
        <v>39.4</v>
      </c>
      <c r="DU47">
        <v>24.5</v>
      </c>
      <c r="DV47">
        <v>12.2835</v>
      </c>
      <c r="DW47">
        <v>62.549900000000001</v>
      </c>
      <c r="DX47">
        <v>36.770800000000001</v>
      </c>
      <c r="DY47">
        <v>1</v>
      </c>
      <c r="DZ47">
        <v>-0.158303</v>
      </c>
      <c r="EA47">
        <v>5.9349100000000002E-2</v>
      </c>
      <c r="EB47">
        <v>20.192900000000002</v>
      </c>
      <c r="EC47">
        <v>5.2413999999999996</v>
      </c>
      <c r="ED47">
        <v>12.039899999999999</v>
      </c>
      <c r="EE47">
        <v>5.0174500000000002</v>
      </c>
      <c r="EF47">
        <v>3.2879999999999998</v>
      </c>
      <c r="EG47">
        <v>9999</v>
      </c>
      <c r="EH47">
        <v>9999</v>
      </c>
      <c r="EI47">
        <v>9999</v>
      </c>
      <c r="EJ47">
        <v>999.9</v>
      </c>
      <c r="EK47">
        <v>1.8687400000000001</v>
      </c>
      <c r="EL47">
        <v>1.8644499999999999</v>
      </c>
      <c r="EM47">
        <v>1.8690500000000001</v>
      </c>
      <c r="EN47">
        <v>1.86707</v>
      </c>
      <c r="EO47">
        <v>1.8632500000000001</v>
      </c>
      <c r="EP47">
        <v>1.86432</v>
      </c>
      <c r="EQ47">
        <v>1.87001</v>
      </c>
      <c r="ER47">
        <v>1.86927</v>
      </c>
      <c r="ES47">
        <v>0</v>
      </c>
      <c r="ET47">
        <v>0</v>
      </c>
      <c r="EU47">
        <v>0</v>
      </c>
      <c r="EV47">
        <v>0</v>
      </c>
      <c r="EW47" t="s">
        <v>334</v>
      </c>
      <c r="EX47" t="s">
        <v>335</v>
      </c>
      <c r="EY47" t="s">
        <v>336</v>
      </c>
      <c r="EZ47" t="s">
        <v>336</v>
      </c>
      <c r="FA47" t="s">
        <v>336</v>
      </c>
      <c r="FB47" t="s">
        <v>336</v>
      </c>
      <c r="FC47">
        <v>0</v>
      </c>
      <c r="FD47">
        <v>100</v>
      </c>
      <c r="FE47">
        <v>100</v>
      </c>
      <c r="FF47">
        <v>-1.413</v>
      </c>
      <c r="FG47">
        <v>0.20830000000000001</v>
      </c>
      <c r="FH47">
        <v>-0.98020551812546231</v>
      </c>
      <c r="FI47">
        <v>-6.1462078757559423E-4</v>
      </c>
      <c r="FJ47">
        <v>-1.8861989874597051E-7</v>
      </c>
      <c r="FK47">
        <v>1.1980462299894961E-10</v>
      </c>
      <c r="FL47">
        <v>-4.4410915568505363E-2</v>
      </c>
      <c r="FM47">
        <v>-1.6848085045870601E-2</v>
      </c>
      <c r="FN47">
        <v>1.9789084769509481E-3</v>
      </c>
      <c r="FO47">
        <v>-2.7142391389806329E-5</v>
      </c>
      <c r="FP47">
        <v>3</v>
      </c>
      <c r="FQ47">
        <v>2158</v>
      </c>
      <c r="FR47">
        <v>1</v>
      </c>
      <c r="FS47">
        <v>19</v>
      </c>
      <c r="FT47">
        <v>7.1</v>
      </c>
      <c r="FU47">
        <v>7.4</v>
      </c>
      <c r="FV47">
        <v>1.7724599999999999</v>
      </c>
      <c r="FW47">
        <v>2.5402800000000001</v>
      </c>
      <c r="FX47">
        <v>1.5490699999999999</v>
      </c>
      <c r="FY47">
        <v>2.34619</v>
      </c>
      <c r="FZ47">
        <v>1.50146</v>
      </c>
      <c r="GA47">
        <v>2.3010299999999999</v>
      </c>
      <c r="GB47">
        <v>30.0504</v>
      </c>
      <c r="GC47">
        <v>23.982399999999998</v>
      </c>
      <c r="GD47">
        <v>19</v>
      </c>
      <c r="GE47">
        <v>263.55700000000002</v>
      </c>
      <c r="GF47">
        <v>612.04</v>
      </c>
      <c r="GG47">
        <v>24.092600000000001</v>
      </c>
      <c r="GH47">
        <v>25.4329</v>
      </c>
      <c r="GI47">
        <v>29.999600000000001</v>
      </c>
      <c r="GJ47">
        <v>25.4664</v>
      </c>
      <c r="GK47">
        <v>25.391999999999999</v>
      </c>
      <c r="GL47">
        <v>35.433300000000003</v>
      </c>
      <c r="GM47">
        <v>-30</v>
      </c>
      <c r="GN47">
        <v>-30</v>
      </c>
      <c r="GO47">
        <v>24.158100000000001</v>
      </c>
      <c r="GP47">
        <v>800</v>
      </c>
      <c r="GQ47">
        <v>0</v>
      </c>
      <c r="GR47">
        <v>99.600899999999996</v>
      </c>
      <c r="GS47">
        <v>99.174199999999999</v>
      </c>
    </row>
    <row r="48" spans="1:201" x14ac:dyDescent="0.25">
      <c r="A48">
        <v>32</v>
      </c>
      <c r="B48">
        <v>1690201205.5</v>
      </c>
      <c r="C48">
        <v>358.5</v>
      </c>
      <c r="D48" t="s">
        <v>397</v>
      </c>
      <c r="E48" t="s">
        <v>398</v>
      </c>
      <c r="F48" t="s">
        <v>330</v>
      </c>
      <c r="H48">
        <v>1690201205.5</v>
      </c>
      <c r="I48">
        <f t="shared" si="0"/>
        <v>8.773504903270518E-4</v>
      </c>
      <c r="J48">
        <f t="shared" si="1"/>
        <v>0.87735049032705181</v>
      </c>
      <c r="K48">
        <f t="shared" si="2"/>
        <v>15.227726737537431</v>
      </c>
      <c r="L48">
        <f t="shared" si="3"/>
        <v>624.851</v>
      </c>
      <c r="M48">
        <f t="shared" si="4"/>
        <v>163.71363520489433</v>
      </c>
      <c r="N48">
        <f t="shared" si="5"/>
        <v>16.222099741868629</v>
      </c>
      <c r="O48">
        <f t="shared" si="6"/>
        <v>61.915400223812995</v>
      </c>
      <c r="P48">
        <f t="shared" si="7"/>
        <v>5.471071729737248E-2</v>
      </c>
      <c r="Q48">
        <f t="shared" si="8"/>
        <v>2.081038930503023</v>
      </c>
      <c r="R48">
        <f t="shared" si="9"/>
        <v>5.3924033529798597E-2</v>
      </c>
      <c r="S48">
        <f t="shared" si="10"/>
        <v>3.3772259008187228E-2</v>
      </c>
      <c r="T48">
        <f t="shared" si="11"/>
        <v>276.11093429039641</v>
      </c>
      <c r="U48">
        <f t="shared" si="12"/>
        <v>27.26830242613606</v>
      </c>
      <c r="V48">
        <f t="shared" si="13"/>
        <v>27.26830242613606</v>
      </c>
      <c r="W48">
        <f t="shared" si="14"/>
        <v>3.6359497422416749</v>
      </c>
      <c r="X48">
        <f t="shared" si="15"/>
        <v>63.771808789801412</v>
      </c>
      <c r="Y48">
        <f t="shared" si="16"/>
        <v>2.0701916259011997</v>
      </c>
      <c r="Z48">
        <f t="shared" si="17"/>
        <v>3.2462488757763936</v>
      </c>
      <c r="AA48">
        <f t="shared" si="18"/>
        <v>1.5657581163404752</v>
      </c>
      <c r="AB48">
        <f t="shared" si="19"/>
        <v>-38.691156623422984</v>
      </c>
      <c r="AC48">
        <f t="shared" si="20"/>
        <v>-215.44443406351436</v>
      </c>
      <c r="AD48">
        <f t="shared" si="21"/>
        <v>-22.188420310177058</v>
      </c>
      <c r="AE48">
        <f t="shared" si="22"/>
        <v>-0.21307670671799883</v>
      </c>
      <c r="AF48">
        <v>15</v>
      </c>
      <c r="AG48">
        <v>5</v>
      </c>
      <c r="AH48">
        <f t="shared" si="23"/>
        <v>1</v>
      </c>
      <c r="AI48">
        <f t="shared" si="24"/>
        <v>0</v>
      </c>
      <c r="AJ48">
        <f t="shared" si="25"/>
        <v>52672.924799834807</v>
      </c>
      <c r="AK48">
        <f t="shared" si="26"/>
        <v>1799.97</v>
      </c>
      <c r="AL48">
        <f t="shared" si="27"/>
        <v>1499.0864694090899</v>
      </c>
      <c r="AM48">
        <f t="shared" si="28"/>
        <v>0.83283969699999993</v>
      </c>
      <c r="AN48">
        <f t="shared" si="29"/>
        <v>0.15339752011999999</v>
      </c>
      <c r="AO48">
        <v>33.299999999999997</v>
      </c>
      <c r="AP48">
        <v>0.5</v>
      </c>
      <c r="AQ48" t="s">
        <v>331</v>
      </c>
      <c r="AR48">
        <v>2</v>
      </c>
      <c r="AS48">
        <v>1690201205.5</v>
      </c>
      <c r="AT48">
        <v>624.851</v>
      </c>
      <c r="AU48">
        <v>799.91200000000003</v>
      </c>
      <c r="AV48">
        <v>20.892399999999999</v>
      </c>
      <c r="AW48">
        <v>11.360099999999999</v>
      </c>
      <c r="AX48">
        <v>626.26</v>
      </c>
      <c r="AY48">
        <v>20.678999999999998</v>
      </c>
      <c r="AZ48">
        <v>300.089</v>
      </c>
      <c r="BA48">
        <v>98.988299999999995</v>
      </c>
      <c r="BB48">
        <v>9.9962999999999996E-2</v>
      </c>
      <c r="BC48">
        <v>25.347999999999999</v>
      </c>
      <c r="BD48">
        <v>26.946400000000001</v>
      </c>
      <c r="BE48">
        <v>27.264900000000001</v>
      </c>
      <c r="BF48">
        <v>0</v>
      </c>
      <c r="BG48">
        <v>0</v>
      </c>
      <c r="BH48">
        <v>10008.1</v>
      </c>
      <c r="BI48">
        <v>1073.48</v>
      </c>
      <c r="BJ48">
        <v>1.2194400000000001</v>
      </c>
      <c r="BK48">
        <v>-175.06100000000001</v>
      </c>
      <c r="BL48">
        <v>638.18399999999997</v>
      </c>
      <c r="BM48">
        <v>809.10400000000004</v>
      </c>
      <c r="BN48">
        <v>9.5323200000000003</v>
      </c>
      <c r="BO48">
        <v>799.91200000000003</v>
      </c>
      <c r="BP48">
        <v>11.360099999999999</v>
      </c>
      <c r="BQ48">
        <v>2.0681099999999999</v>
      </c>
      <c r="BR48">
        <v>1.12452</v>
      </c>
      <c r="BS48">
        <v>17.9756</v>
      </c>
      <c r="BT48">
        <v>8.63809</v>
      </c>
      <c r="BU48">
        <v>1799.97</v>
      </c>
      <c r="BV48">
        <v>0.90999200000000002</v>
      </c>
      <c r="BW48">
        <v>3.39922E-2</v>
      </c>
      <c r="BX48">
        <v>2.20021E-2</v>
      </c>
      <c r="BY48">
        <v>3.4013399999999999E-2</v>
      </c>
      <c r="BZ48">
        <v>24</v>
      </c>
      <c r="CA48">
        <v>33527.9</v>
      </c>
      <c r="CB48">
        <v>1690200769.5</v>
      </c>
      <c r="CC48" t="s">
        <v>332</v>
      </c>
      <c r="CD48">
        <v>1690200769.5</v>
      </c>
      <c r="CE48">
        <v>1690200753</v>
      </c>
      <c r="CF48">
        <v>2</v>
      </c>
      <c r="CG48">
        <v>-0.245</v>
      </c>
      <c r="CH48">
        <v>3.0000000000000001E-3</v>
      </c>
      <c r="CI48">
        <v>-1.5169999999999999</v>
      </c>
      <c r="CJ48">
        <v>-1.6E-2</v>
      </c>
      <c r="CK48">
        <v>778</v>
      </c>
      <c r="CL48">
        <v>12</v>
      </c>
      <c r="CM48">
        <v>0.01</v>
      </c>
      <c r="CN48">
        <v>0.03</v>
      </c>
      <c r="CO48">
        <v>-168.95622499999999</v>
      </c>
      <c r="CP48">
        <v>-34.458022514070983</v>
      </c>
      <c r="CQ48">
        <v>3.315437727416247</v>
      </c>
      <c r="CR48">
        <v>-1</v>
      </c>
      <c r="CS48">
        <v>9.3146650000000015</v>
      </c>
      <c r="CT48">
        <v>1.217356547842398</v>
      </c>
      <c r="CU48">
        <v>0.11714011516128869</v>
      </c>
      <c r="CV48">
        <v>-1</v>
      </c>
      <c r="CW48">
        <v>0</v>
      </c>
      <c r="CX48">
        <v>0</v>
      </c>
      <c r="CY48" t="s">
        <v>333</v>
      </c>
      <c r="CZ48">
        <v>2.3651300000000002</v>
      </c>
      <c r="DA48">
        <v>2.7137600000000002</v>
      </c>
      <c r="DB48">
        <v>0.12425700000000001</v>
      </c>
      <c r="DC48">
        <v>0.14636199999999999</v>
      </c>
      <c r="DD48">
        <v>0.103226</v>
      </c>
      <c r="DE48">
        <v>6.5296400000000004E-2</v>
      </c>
      <c r="DF48">
        <v>31940.9</v>
      </c>
      <c r="DG48">
        <v>27422</v>
      </c>
      <c r="DH48">
        <v>31134</v>
      </c>
      <c r="DI48">
        <v>27988.400000000001</v>
      </c>
      <c r="DJ48">
        <v>37896</v>
      </c>
      <c r="DK48">
        <v>37163.5</v>
      </c>
      <c r="DL48">
        <v>44294.2</v>
      </c>
      <c r="DM48">
        <v>42377.8</v>
      </c>
      <c r="DN48">
        <v>1.43862</v>
      </c>
      <c r="DO48">
        <v>2.08372</v>
      </c>
      <c r="DP48">
        <v>0.16111900000000001</v>
      </c>
      <c r="DQ48">
        <v>0.186116</v>
      </c>
      <c r="DR48">
        <v>24.305499999999999</v>
      </c>
      <c r="DS48">
        <v>24.2148</v>
      </c>
      <c r="DT48">
        <v>39.4</v>
      </c>
      <c r="DU48">
        <v>24.5</v>
      </c>
      <c r="DV48">
        <v>12.284599999999999</v>
      </c>
      <c r="DW48">
        <v>62.389899999999997</v>
      </c>
      <c r="DX48">
        <v>36.7027</v>
      </c>
      <c r="DY48">
        <v>1</v>
      </c>
      <c r="DZ48">
        <v>-0.15787599999999999</v>
      </c>
      <c r="EA48">
        <v>-0.14154700000000001</v>
      </c>
      <c r="EB48">
        <v>20.192699999999999</v>
      </c>
      <c r="EC48">
        <v>5.2411000000000003</v>
      </c>
      <c r="ED48">
        <v>12.039899999999999</v>
      </c>
      <c r="EE48">
        <v>5.0173500000000004</v>
      </c>
      <c r="EF48">
        <v>3.2879999999999998</v>
      </c>
      <c r="EG48">
        <v>9999</v>
      </c>
      <c r="EH48">
        <v>9999</v>
      </c>
      <c r="EI48">
        <v>9999</v>
      </c>
      <c r="EJ48">
        <v>999.9</v>
      </c>
      <c r="EK48">
        <v>1.8687400000000001</v>
      </c>
      <c r="EL48">
        <v>1.8644700000000001</v>
      </c>
      <c r="EM48">
        <v>1.86904</v>
      </c>
      <c r="EN48">
        <v>1.86707</v>
      </c>
      <c r="EO48">
        <v>1.8632500000000001</v>
      </c>
      <c r="EP48">
        <v>1.86432</v>
      </c>
      <c r="EQ48">
        <v>1.8700300000000001</v>
      </c>
      <c r="ER48">
        <v>1.86927</v>
      </c>
      <c r="ES48">
        <v>0</v>
      </c>
      <c r="ET48">
        <v>0</v>
      </c>
      <c r="EU48">
        <v>0</v>
      </c>
      <c r="EV48">
        <v>0</v>
      </c>
      <c r="EW48" t="s">
        <v>334</v>
      </c>
      <c r="EX48" t="s">
        <v>335</v>
      </c>
      <c r="EY48" t="s">
        <v>336</v>
      </c>
      <c r="EZ48" t="s">
        <v>336</v>
      </c>
      <c r="FA48" t="s">
        <v>336</v>
      </c>
      <c r="FB48" t="s">
        <v>336</v>
      </c>
      <c r="FC48">
        <v>0</v>
      </c>
      <c r="FD48">
        <v>100</v>
      </c>
      <c r="FE48">
        <v>100</v>
      </c>
      <c r="FF48">
        <v>-1.409</v>
      </c>
      <c r="FG48">
        <v>0.21340000000000001</v>
      </c>
      <c r="FH48">
        <v>-0.98020551812546231</v>
      </c>
      <c r="FI48">
        <v>-6.1462078757559423E-4</v>
      </c>
      <c r="FJ48">
        <v>-1.8861989874597051E-7</v>
      </c>
      <c r="FK48">
        <v>1.1980462299894961E-10</v>
      </c>
      <c r="FL48">
        <v>-4.4410915568505363E-2</v>
      </c>
      <c r="FM48">
        <v>-1.6848085045870601E-2</v>
      </c>
      <c r="FN48">
        <v>1.9789084769509481E-3</v>
      </c>
      <c r="FO48">
        <v>-2.7142391389806329E-5</v>
      </c>
      <c r="FP48">
        <v>3</v>
      </c>
      <c r="FQ48">
        <v>2158</v>
      </c>
      <c r="FR48">
        <v>1</v>
      </c>
      <c r="FS48">
        <v>19</v>
      </c>
      <c r="FT48">
        <v>7.3</v>
      </c>
      <c r="FU48">
        <v>7.5</v>
      </c>
      <c r="FV48">
        <v>1.7724599999999999</v>
      </c>
      <c r="FW48">
        <v>2.5451700000000002</v>
      </c>
      <c r="FX48">
        <v>1.5490699999999999</v>
      </c>
      <c r="FY48">
        <v>2.34619</v>
      </c>
      <c r="FZ48">
        <v>1.50146</v>
      </c>
      <c r="GA48">
        <v>2.32178</v>
      </c>
      <c r="GB48">
        <v>30.0718</v>
      </c>
      <c r="GC48">
        <v>23.973700000000001</v>
      </c>
      <c r="GD48">
        <v>19</v>
      </c>
      <c r="GE48">
        <v>263.57799999999997</v>
      </c>
      <c r="GF48">
        <v>611.94600000000003</v>
      </c>
      <c r="GG48">
        <v>24.188300000000002</v>
      </c>
      <c r="GH48">
        <v>25.435600000000001</v>
      </c>
      <c r="GI48">
        <v>30.000499999999999</v>
      </c>
      <c r="GJ48">
        <v>25.4712</v>
      </c>
      <c r="GK48">
        <v>25.398399999999999</v>
      </c>
      <c r="GL48">
        <v>35.435400000000001</v>
      </c>
      <c r="GM48">
        <v>-30</v>
      </c>
      <c r="GN48">
        <v>-30</v>
      </c>
      <c r="GO48">
        <v>24.244399999999999</v>
      </c>
      <c r="GP48">
        <v>800</v>
      </c>
      <c r="GQ48">
        <v>0</v>
      </c>
      <c r="GR48">
        <v>99.599199999999996</v>
      </c>
      <c r="GS48">
        <v>99.176400000000001</v>
      </c>
    </row>
    <row r="49" spans="1:201" x14ac:dyDescent="0.25">
      <c r="A49">
        <v>33</v>
      </c>
      <c r="B49">
        <v>1690201215.5</v>
      </c>
      <c r="C49">
        <v>368.5</v>
      </c>
      <c r="D49" t="s">
        <v>399</v>
      </c>
      <c r="E49" t="s">
        <v>400</v>
      </c>
      <c r="F49" t="s">
        <v>330</v>
      </c>
      <c r="H49">
        <v>1690201215.5</v>
      </c>
      <c r="I49">
        <f t="shared" si="0"/>
        <v>8.9315762482180617E-4</v>
      </c>
      <c r="J49">
        <f t="shared" si="1"/>
        <v>0.89315762482180616</v>
      </c>
      <c r="K49">
        <f t="shared" si="2"/>
        <v>15.665256244590575</v>
      </c>
      <c r="L49">
        <f t="shared" si="3"/>
        <v>620.03399999999999</v>
      </c>
      <c r="M49">
        <f t="shared" si="4"/>
        <v>157.92322337609656</v>
      </c>
      <c r="N49">
        <f t="shared" si="5"/>
        <v>15.647889547667239</v>
      </c>
      <c r="O49">
        <f t="shared" si="6"/>
        <v>61.436331784416005</v>
      </c>
      <c r="P49">
        <f t="shared" si="7"/>
        <v>5.6154668693717345E-2</v>
      </c>
      <c r="Q49">
        <f t="shared" si="8"/>
        <v>2.0755614727224927</v>
      </c>
      <c r="R49">
        <f t="shared" si="9"/>
        <v>5.5324099540980901E-2</v>
      </c>
      <c r="S49">
        <f t="shared" si="10"/>
        <v>3.4651162161804638E-2</v>
      </c>
      <c r="T49">
        <f t="shared" si="11"/>
        <v>276.11202739649616</v>
      </c>
      <c r="U49">
        <f t="shared" si="12"/>
        <v>27.284326456497471</v>
      </c>
      <c r="V49">
        <f t="shared" si="13"/>
        <v>27.284326456497471</v>
      </c>
      <c r="W49">
        <f t="shared" si="14"/>
        <v>3.6393662052283537</v>
      </c>
      <c r="X49">
        <f t="shared" si="15"/>
        <v>64.191523858806377</v>
      </c>
      <c r="Y49">
        <f t="shared" si="16"/>
        <v>2.0859364375056004</v>
      </c>
      <c r="Z49">
        <f t="shared" si="17"/>
        <v>3.249551205691517</v>
      </c>
      <c r="AA49">
        <f t="shared" si="18"/>
        <v>1.5534297677227533</v>
      </c>
      <c r="AB49">
        <f t="shared" si="19"/>
        <v>-39.388251254641652</v>
      </c>
      <c r="AC49">
        <f t="shared" si="20"/>
        <v>-214.7569689097692</v>
      </c>
      <c r="AD49">
        <f t="shared" si="21"/>
        <v>-22.179669061661336</v>
      </c>
      <c r="AE49">
        <f t="shared" si="22"/>
        <v>-0.21286182957604183</v>
      </c>
      <c r="AF49">
        <v>15</v>
      </c>
      <c r="AG49">
        <v>5</v>
      </c>
      <c r="AH49">
        <f t="shared" si="23"/>
        <v>1</v>
      </c>
      <c r="AI49">
        <f t="shared" si="24"/>
        <v>0</v>
      </c>
      <c r="AJ49">
        <f t="shared" si="25"/>
        <v>52422.324872440367</v>
      </c>
      <c r="AK49">
        <f t="shared" si="26"/>
        <v>1799.98</v>
      </c>
      <c r="AL49">
        <f t="shared" si="27"/>
        <v>1499.0930014260198</v>
      </c>
      <c r="AM49">
        <f t="shared" si="28"/>
        <v>0.83283869899999985</v>
      </c>
      <c r="AN49">
        <f t="shared" si="29"/>
        <v>0.15339727518999999</v>
      </c>
      <c r="AO49">
        <v>33.299999999999997</v>
      </c>
      <c r="AP49">
        <v>0.5</v>
      </c>
      <c r="AQ49" t="s">
        <v>331</v>
      </c>
      <c r="AR49">
        <v>2</v>
      </c>
      <c r="AS49">
        <v>1690201215.5</v>
      </c>
      <c r="AT49">
        <v>620.03399999999999</v>
      </c>
      <c r="AU49">
        <v>800.00900000000001</v>
      </c>
      <c r="AV49">
        <v>21.0519</v>
      </c>
      <c r="AW49">
        <v>11.349600000000001</v>
      </c>
      <c r="AX49">
        <v>621.44000000000005</v>
      </c>
      <c r="AY49">
        <v>20.8339</v>
      </c>
      <c r="AZ49">
        <v>300.09399999999999</v>
      </c>
      <c r="BA49">
        <v>98.985399999999998</v>
      </c>
      <c r="BB49">
        <v>0.100024</v>
      </c>
      <c r="BC49">
        <v>25.365100000000002</v>
      </c>
      <c r="BD49">
        <v>26.938199999999998</v>
      </c>
      <c r="BE49">
        <v>27.323599999999999</v>
      </c>
      <c r="BF49">
        <v>0</v>
      </c>
      <c r="BG49">
        <v>0</v>
      </c>
      <c r="BH49">
        <v>9959.3799999999992</v>
      </c>
      <c r="BI49">
        <v>1073.31</v>
      </c>
      <c r="BJ49">
        <v>1.11572</v>
      </c>
      <c r="BK49">
        <v>-179.97499999999999</v>
      </c>
      <c r="BL49">
        <v>633.36800000000005</v>
      </c>
      <c r="BM49">
        <v>809.19299999999998</v>
      </c>
      <c r="BN49">
        <v>9.7023200000000003</v>
      </c>
      <c r="BO49">
        <v>800.00900000000001</v>
      </c>
      <c r="BP49">
        <v>11.349600000000001</v>
      </c>
      <c r="BQ49">
        <v>2.0838299999999998</v>
      </c>
      <c r="BR49">
        <v>1.1234500000000001</v>
      </c>
      <c r="BS49">
        <v>18.0961</v>
      </c>
      <c r="BT49">
        <v>8.6240000000000006</v>
      </c>
      <c r="BU49">
        <v>1799.98</v>
      </c>
      <c r="BV49">
        <v>0.90999200000000002</v>
      </c>
      <c r="BW49">
        <v>3.4004899999999998E-2</v>
      </c>
      <c r="BX49">
        <v>2.1997200000000001E-2</v>
      </c>
      <c r="BY49">
        <v>3.4005899999999999E-2</v>
      </c>
      <c r="BZ49">
        <v>24</v>
      </c>
      <c r="CA49">
        <v>33528</v>
      </c>
      <c r="CB49">
        <v>1690200769.5</v>
      </c>
      <c r="CC49" t="s">
        <v>332</v>
      </c>
      <c r="CD49">
        <v>1690200769.5</v>
      </c>
      <c r="CE49">
        <v>1690200753</v>
      </c>
      <c r="CF49">
        <v>2</v>
      </c>
      <c r="CG49">
        <v>-0.245</v>
      </c>
      <c r="CH49">
        <v>3.0000000000000001E-3</v>
      </c>
      <c r="CI49">
        <v>-1.5169999999999999</v>
      </c>
      <c r="CJ49">
        <v>-1.6E-2</v>
      </c>
      <c r="CK49">
        <v>778</v>
      </c>
      <c r="CL49">
        <v>12</v>
      </c>
      <c r="CM49">
        <v>0.01</v>
      </c>
      <c r="CN49">
        <v>0.03</v>
      </c>
      <c r="CO49">
        <v>-174.51024390243899</v>
      </c>
      <c r="CP49">
        <v>-30.711972125435249</v>
      </c>
      <c r="CQ49">
        <v>3.030212314709797</v>
      </c>
      <c r="CR49">
        <v>-1</v>
      </c>
      <c r="CS49">
        <v>9.5109931707317088</v>
      </c>
      <c r="CT49">
        <v>1.0834287804877969</v>
      </c>
      <c r="CU49">
        <v>0.1068780655686776</v>
      </c>
      <c r="CV49">
        <v>-1</v>
      </c>
      <c r="CW49">
        <v>0</v>
      </c>
      <c r="CX49">
        <v>0</v>
      </c>
      <c r="CY49" t="s">
        <v>333</v>
      </c>
      <c r="CZ49">
        <v>2.36511</v>
      </c>
      <c r="DA49">
        <v>2.7137799999999999</v>
      </c>
      <c r="DB49">
        <v>0.123586</v>
      </c>
      <c r="DC49">
        <v>0.146368</v>
      </c>
      <c r="DD49">
        <v>0.103771</v>
      </c>
      <c r="DE49">
        <v>6.5248100000000003E-2</v>
      </c>
      <c r="DF49">
        <v>31965.5</v>
      </c>
      <c r="DG49">
        <v>27422.3</v>
      </c>
      <c r="DH49">
        <v>31134.1</v>
      </c>
      <c r="DI49">
        <v>27988.9</v>
      </c>
      <c r="DJ49">
        <v>37872.9</v>
      </c>
      <c r="DK49">
        <v>37166</v>
      </c>
      <c r="DL49">
        <v>44294.5</v>
      </c>
      <c r="DM49">
        <v>42378.400000000001</v>
      </c>
      <c r="DN49">
        <v>1.4384999999999999</v>
      </c>
      <c r="DO49">
        <v>2.08365</v>
      </c>
      <c r="DP49">
        <v>0.16014999999999999</v>
      </c>
      <c r="DQ49">
        <v>0.18928200000000001</v>
      </c>
      <c r="DR49">
        <v>24.313199999999998</v>
      </c>
      <c r="DS49">
        <v>24.221800000000002</v>
      </c>
      <c r="DT49">
        <v>39.299999999999997</v>
      </c>
      <c r="DU49">
        <v>24.5</v>
      </c>
      <c r="DV49">
        <v>12.2531</v>
      </c>
      <c r="DW49">
        <v>62.229900000000001</v>
      </c>
      <c r="DX49">
        <v>36.8309</v>
      </c>
      <c r="DY49">
        <v>1</v>
      </c>
      <c r="DZ49">
        <v>-0.15849299999999999</v>
      </c>
      <c r="EA49">
        <v>-0.18318899999999999</v>
      </c>
      <c r="EB49">
        <v>20.192599999999999</v>
      </c>
      <c r="EC49">
        <v>5.2408000000000001</v>
      </c>
      <c r="ED49">
        <v>12.039899999999999</v>
      </c>
      <c r="EE49">
        <v>5.0173500000000004</v>
      </c>
      <c r="EF49">
        <v>3.2879499999999999</v>
      </c>
      <c r="EG49">
        <v>9999</v>
      </c>
      <c r="EH49">
        <v>9999</v>
      </c>
      <c r="EI49">
        <v>9999</v>
      </c>
      <c r="EJ49">
        <v>999.9</v>
      </c>
      <c r="EK49">
        <v>1.8687400000000001</v>
      </c>
      <c r="EL49">
        <v>1.8644700000000001</v>
      </c>
      <c r="EM49">
        <v>1.86904</v>
      </c>
      <c r="EN49">
        <v>1.86707</v>
      </c>
      <c r="EO49">
        <v>1.8632500000000001</v>
      </c>
      <c r="EP49">
        <v>1.86432</v>
      </c>
      <c r="EQ49">
        <v>1.8700399999999999</v>
      </c>
      <c r="ER49">
        <v>1.8692599999999999</v>
      </c>
      <c r="ES49">
        <v>0</v>
      </c>
      <c r="ET49">
        <v>0</v>
      </c>
      <c r="EU49">
        <v>0</v>
      </c>
      <c r="EV49">
        <v>0</v>
      </c>
      <c r="EW49" t="s">
        <v>334</v>
      </c>
      <c r="EX49" t="s">
        <v>335</v>
      </c>
      <c r="EY49" t="s">
        <v>336</v>
      </c>
      <c r="EZ49" t="s">
        <v>336</v>
      </c>
      <c r="FA49" t="s">
        <v>336</v>
      </c>
      <c r="FB49" t="s">
        <v>336</v>
      </c>
      <c r="FC49">
        <v>0</v>
      </c>
      <c r="FD49">
        <v>100</v>
      </c>
      <c r="FE49">
        <v>100</v>
      </c>
      <c r="FF49">
        <v>-1.4059999999999999</v>
      </c>
      <c r="FG49">
        <v>0.218</v>
      </c>
      <c r="FH49">
        <v>-0.98020551812546231</v>
      </c>
      <c r="FI49">
        <v>-6.1462078757559423E-4</v>
      </c>
      <c r="FJ49">
        <v>-1.8861989874597051E-7</v>
      </c>
      <c r="FK49">
        <v>1.1980462299894961E-10</v>
      </c>
      <c r="FL49">
        <v>-4.4410915568505363E-2</v>
      </c>
      <c r="FM49">
        <v>-1.6848085045870601E-2</v>
      </c>
      <c r="FN49">
        <v>1.9789084769509481E-3</v>
      </c>
      <c r="FO49">
        <v>-2.7142391389806329E-5</v>
      </c>
      <c r="FP49">
        <v>3</v>
      </c>
      <c r="FQ49">
        <v>2158</v>
      </c>
      <c r="FR49">
        <v>1</v>
      </c>
      <c r="FS49">
        <v>19</v>
      </c>
      <c r="FT49">
        <v>7.4</v>
      </c>
      <c r="FU49">
        <v>7.7</v>
      </c>
      <c r="FV49">
        <v>1.7724599999999999</v>
      </c>
      <c r="FW49">
        <v>2.5451700000000002</v>
      </c>
      <c r="FX49">
        <v>1.5490699999999999</v>
      </c>
      <c r="FY49">
        <v>2.34497</v>
      </c>
      <c r="FZ49">
        <v>1.50146</v>
      </c>
      <c r="GA49">
        <v>2.3095699999999999</v>
      </c>
      <c r="GB49">
        <v>30.0932</v>
      </c>
      <c r="GC49">
        <v>23.982399999999998</v>
      </c>
      <c r="GD49">
        <v>19</v>
      </c>
      <c r="GE49">
        <v>263.54500000000002</v>
      </c>
      <c r="GF49">
        <v>611.94799999999998</v>
      </c>
      <c r="GG49">
        <v>24.286200000000001</v>
      </c>
      <c r="GH49">
        <v>25.438199999999998</v>
      </c>
      <c r="GI49">
        <v>29.9999</v>
      </c>
      <c r="GJ49">
        <v>25.475999999999999</v>
      </c>
      <c r="GK49">
        <v>25.4038</v>
      </c>
      <c r="GL49">
        <v>35.434199999999997</v>
      </c>
      <c r="GM49">
        <v>-30</v>
      </c>
      <c r="GN49">
        <v>-30</v>
      </c>
      <c r="GO49">
        <v>24.3232</v>
      </c>
      <c r="GP49">
        <v>800</v>
      </c>
      <c r="GQ49">
        <v>0</v>
      </c>
      <c r="GR49">
        <v>99.599599999999995</v>
      </c>
      <c r="GS49">
        <v>99.177899999999994</v>
      </c>
    </row>
    <row r="50" spans="1:201" x14ac:dyDescent="0.25">
      <c r="A50">
        <v>34</v>
      </c>
      <c r="B50">
        <v>1690201225.5</v>
      </c>
      <c r="C50">
        <v>378.5</v>
      </c>
      <c r="D50" t="s">
        <v>401</v>
      </c>
      <c r="E50" t="s">
        <v>402</v>
      </c>
      <c r="F50" t="s">
        <v>330</v>
      </c>
      <c r="H50">
        <v>1690201225.5</v>
      </c>
      <c r="I50">
        <f t="shared" si="0"/>
        <v>9.1124515157446455E-4</v>
      </c>
      <c r="J50">
        <f t="shared" si="1"/>
        <v>0.91124515157446451</v>
      </c>
      <c r="K50">
        <f t="shared" si="2"/>
        <v>16.071891206357609</v>
      </c>
      <c r="L50">
        <f t="shared" si="3"/>
        <v>615.46299999999997</v>
      </c>
      <c r="M50">
        <f t="shared" si="4"/>
        <v>155.05562831159045</v>
      </c>
      <c r="N50">
        <f t="shared" si="5"/>
        <v>15.363859663223879</v>
      </c>
      <c r="O50">
        <f t="shared" si="6"/>
        <v>60.983836980781987</v>
      </c>
      <c r="P50">
        <f t="shared" si="7"/>
        <v>5.7828795873838136E-2</v>
      </c>
      <c r="Q50">
        <f t="shared" si="8"/>
        <v>2.0745181759661291</v>
      </c>
      <c r="R50">
        <f t="shared" si="9"/>
        <v>5.6947948457356852E-2</v>
      </c>
      <c r="S50">
        <f t="shared" si="10"/>
        <v>3.5670490740090863E-2</v>
      </c>
      <c r="T50">
        <f t="shared" si="11"/>
        <v>276.10955612536628</v>
      </c>
      <c r="U50">
        <f t="shared" si="12"/>
        <v>27.30426633299653</v>
      </c>
      <c r="V50">
        <f t="shared" si="13"/>
        <v>27.30426633299653</v>
      </c>
      <c r="W50">
        <f t="shared" si="14"/>
        <v>3.643621473061561</v>
      </c>
      <c r="X50">
        <f t="shared" si="15"/>
        <v>64.651814031542116</v>
      </c>
      <c r="Y50">
        <f t="shared" si="16"/>
        <v>2.1040936307899996</v>
      </c>
      <c r="Z50">
        <f t="shared" si="17"/>
        <v>3.2545005307406556</v>
      </c>
      <c r="AA50">
        <f t="shared" si="18"/>
        <v>1.5395278422715615</v>
      </c>
      <c r="AB50">
        <f t="shared" si="19"/>
        <v>-40.185911184433884</v>
      </c>
      <c r="AC50">
        <f t="shared" si="20"/>
        <v>-214.01598341457336</v>
      </c>
      <c r="AD50">
        <f t="shared" si="21"/>
        <v>-22.119303238809248</v>
      </c>
      <c r="AE50">
        <f t="shared" si="22"/>
        <v>-0.21164171245018792</v>
      </c>
      <c r="AF50">
        <v>15</v>
      </c>
      <c r="AG50">
        <v>5</v>
      </c>
      <c r="AH50">
        <f t="shared" si="23"/>
        <v>1</v>
      </c>
      <c r="AI50">
        <f t="shared" si="24"/>
        <v>0</v>
      </c>
      <c r="AJ50">
        <f t="shared" si="25"/>
        <v>52370.792193134861</v>
      </c>
      <c r="AK50">
        <f t="shared" si="26"/>
        <v>1799.97</v>
      </c>
      <c r="AL50">
        <f t="shared" si="27"/>
        <v>1499.08726859577</v>
      </c>
      <c r="AM50">
        <f t="shared" si="28"/>
        <v>0.83284014099999992</v>
      </c>
      <c r="AN50">
        <f t="shared" si="29"/>
        <v>0.15339675446000003</v>
      </c>
      <c r="AO50">
        <v>33.299999999999997</v>
      </c>
      <c r="AP50">
        <v>0.5</v>
      </c>
      <c r="AQ50" t="s">
        <v>331</v>
      </c>
      <c r="AR50">
        <v>2</v>
      </c>
      <c r="AS50">
        <v>1690201225.5</v>
      </c>
      <c r="AT50">
        <v>615.46299999999997</v>
      </c>
      <c r="AU50">
        <v>800.02599999999995</v>
      </c>
      <c r="AV50">
        <v>21.234999999999999</v>
      </c>
      <c r="AW50">
        <v>11.338200000000001</v>
      </c>
      <c r="AX50">
        <v>616.86599999999999</v>
      </c>
      <c r="AY50">
        <v>21.011600000000001</v>
      </c>
      <c r="AZ50">
        <v>300.09800000000001</v>
      </c>
      <c r="BA50">
        <v>98.986099999999993</v>
      </c>
      <c r="BB50">
        <v>0.10001400000000001</v>
      </c>
      <c r="BC50">
        <v>25.390699999999999</v>
      </c>
      <c r="BD50">
        <v>26.946400000000001</v>
      </c>
      <c r="BE50">
        <v>27.3262</v>
      </c>
      <c r="BF50">
        <v>0</v>
      </c>
      <c r="BG50">
        <v>0</v>
      </c>
      <c r="BH50">
        <v>9950</v>
      </c>
      <c r="BI50">
        <v>1073.08</v>
      </c>
      <c r="BJ50">
        <v>1.2166300000000001</v>
      </c>
      <c r="BK50">
        <v>-184.56299999999999</v>
      </c>
      <c r="BL50">
        <v>628.81600000000003</v>
      </c>
      <c r="BM50">
        <v>809.20100000000002</v>
      </c>
      <c r="BN50">
        <v>9.8968399999999992</v>
      </c>
      <c r="BO50">
        <v>800.02599999999995</v>
      </c>
      <c r="BP50">
        <v>11.338200000000001</v>
      </c>
      <c r="BQ50">
        <v>2.1019700000000001</v>
      </c>
      <c r="BR50">
        <v>1.12233</v>
      </c>
      <c r="BS50">
        <v>18.234100000000002</v>
      </c>
      <c r="BT50">
        <v>8.6092600000000008</v>
      </c>
      <c r="BU50">
        <v>1799.97</v>
      </c>
      <c r="BV50">
        <v>0.91001200000000004</v>
      </c>
      <c r="BW50">
        <v>3.3997300000000001E-2</v>
      </c>
      <c r="BX50">
        <v>2.1992299999999999E-2</v>
      </c>
      <c r="BY50">
        <v>3.3998199999999999E-2</v>
      </c>
      <c r="BZ50">
        <v>24</v>
      </c>
      <c r="CA50">
        <v>33528</v>
      </c>
      <c r="CB50">
        <v>1690200769.5</v>
      </c>
      <c r="CC50" t="s">
        <v>332</v>
      </c>
      <c r="CD50">
        <v>1690200769.5</v>
      </c>
      <c r="CE50">
        <v>1690200753</v>
      </c>
      <c r="CF50">
        <v>2</v>
      </c>
      <c r="CG50">
        <v>-0.245</v>
      </c>
      <c r="CH50">
        <v>3.0000000000000001E-3</v>
      </c>
      <c r="CI50">
        <v>-1.5169999999999999</v>
      </c>
      <c r="CJ50">
        <v>-1.6E-2</v>
      </c>
      <c r="CK50">
        <v>778</v>
      </c>
      <c r="CL50">
        <v>12</v>
      </c>
      <c r="CM50">
        <v>0.01</v>
      </c>
      <c r="CN50">
        <v>0.03</v>
      </c>
      <c r="CO50">
        <v>-179.44258536585369</v>
      </c>
      <c r="CP50">
        <v>-28.548167247386601</v>
      </c>
      <c r="CQ50">
        <v>2.8152837051127988</v>
      </c>
      <c r="CR50">
        <v>-1</v>
      </c>
      <c r="CS50">
        <v>9.6896117073170736</v>
      </c>
      <c r="CT50">
        <v>1.067655052264785</v>
      </c>
      <c r="CU50">
        <v>0.1053445141568309</v>
      </c>
      <c r="CV50">
        <v>-1</v>
      </c>
      <c r="CW50">
        <v>0</v>
      </c>
      <c r="CX50">
        <v>0</v>
      </c>
      <c r="CY50" t="s">
        <v>333</v>
      </c>
      <c r="CZ50">
        <v>2.3651399999999998</v>
      </c>
      <c r="DA50">
        <v>2.7137600000000002</v>
      </c>
      <c r="DB50">
        <v>0.12295</v>
      </c>
      <c r="DC50">
        <v>0.146369</v>
      </c>
      <c r="DD50">
        <v>0.10439900000000001</v>
      </c>
      <c r="DE50">
        <v>6.5198000000000006E-2</v>
      </c>
      <c r="DF50">
        <v>31988.5</v>
      </c>
      <c r="DG50">
        <v>27421.7</v>
      </c>
      <c r="DH50">
        <v>31134</v>
      </c>
      <c r="DI50">
        <v>27988.3</v>
      </c>
      <c r="DJ50">
        <v>37845.9</v>
      </c>
      <c r="DK50">
        <v>37167.599999999999</v>
      </c>
      <c r="DL50">
        <v>44294.400000000001</v>
      </c>
      <c r="DM50">
        <v>42377.9</v>
      </c>
      <c r="DN50">
        <v>1.43868</v>
      </c>
      <c r="DO50">
        <v>2.0833499999999998</v>
      </c>
      <c r="DP50">
        <v>0.16014999999999999</v>
      </c>
      <c r="DQ50">
        <v>0.18890899999999999</v>
      </c>
      <c r="DR50">
        <v>24.321400000000001</v>
      </c>
      <c r="DS50">
        <v>24.230499999999999</v>
      </c>
      <c r="DT50">
        <v>39.299999999999997</v>
      </c>
      <c r="DU50">
        <v>24.5</v>
      </c>
      <c r="DV50">
        <v>12.254300000000001</v>
      </c>
      <c r="DW50">
        <v>62.5199</v>
      </c>
      <c r="DX50">
        <v>36.674700000000001</v>
      </c>
      <c r="DY50">
        <v>1</v>
      </c>
      <c r="DZ50">
        <v>-0.158138</v>
      </c>
      <c r="EA50">
        <v>-0.229044</v>
      </c>
      <c r="EB50">
        <v>20.192299999999999</v>
      </c>
      <c r="EC50">
        <v>5.24125</v>
      </c>
      <c r="ED50">
        <v>12.039899999999999</v>
      </c>
      <c r="EE50">
        <v>5.0174000000000003</v>
      </c>
      <c r="EF50">
        <v>3.2879999999999998</v>
      </c>
      <c r="EG50">
        <v>9999</v>
      </c>
      <c r="EH50">
        <v>9999</v>
      </c>
      <c r="EI50">
        <v>9999</v>
      </c>
      <c r="EJ50">
        <v>999.9</v>
      </c>
      <c r="EK50">
        <v>1.8687400000000001</v>
      </c>
      <c r="EL50">
        <v>1.8644700000000001</v>
      </c>
      <c r="EM50">
        <v>1.8690500000000001</v>
      </c>
      <c r="EN50">
        <v>1.86707</v>
      </c>
      <c r="EO50">
        <v>1.8632500000000001</v>
      </c>
      <c r="EP50">
        <v>1.86432</v>
      </c>
      <c r="EQ50">
        <v>1.8700300000000001</v>
      </c>
      <c r="ER50">
        <v>1.8692500000000001</v>
      </c>
      <c r="ES50">
        <v>0</v>
      </c>
      <c r="ET50">
        <v>0</v>
      </c>
      <c r="EU50">
        <v>0</v>
      </c>
      <c r="EV50">
        <v>0</v>
      </c>
      <c r="EW50" t="s">
        <v>334</v>
      </c>
      <c r="EX50" t="s">
        <v>335</v>
      </c>
      <c r="EY50" t="s">
        <v>336</v>
      </c>
      <c r="EZ50" t="s">
        <v>336</v>
      </c>
      <c r="FA50" t="s">
        <v>336</v>
      </c>
      <c r="FB50" t="s">
        <v>336</v>
      </c>
      <c r="FC50">
        <v>0</v>
      </c>
      <c r="FD50">
        <v>100</v>
      </c>
      <c r="FE50">
        <v>100</v>
      </c>
      <c r="FF50">
        <v>-1.403</v>
      </c>
      <c r="FG50">
        <v>0.22339999999999999</v>
      </c>
      <c r="FH50">
        <v>-0.98020551812546231</v>
      </c>
      <c r="FI50">
        <v>-6.1462078757559423E-4</v>
      </c>
      <c r="FJ50">
        <v>-1.8861989874597051E-7</v>
      </c>
      <c r="FK50">
        <v>1.1980462299894961E-10</v>
      </c>
      <c r="FL50">
        <v>-4.4410915568505363E-2</v>
      </c>
      <c r="FM50">
        <v>-1.6848085045870601E-2</v>
      </c>
      <c r="FN50">
        <v>1.9789084769509481E-3</v>
      </c>
      <c r="FO50">
        <v>-2.7142391389806329E-5</v>
      </c>
      <c r="FP50">
        <v>3</v>
      </c>
      <c r="FQ50">
        <v>2158</v>
      </c>
      <c r="FR50">
        <v>1</v>
      </c>
      <c r="FS50">
        <v>19</v>
      </c>
      <c r="FT50">
        <v>7.6</v>
      </c>
      <c r="FU50">
        <v>7.9</v>
      </c>
      <c r="FV50">
        <v>1.7724599999999999</v>
      </c>
      <c r="FW50">
        <v>2.5476100000000002</v>
      </c>
      <c r="FX50">
        <v>1.5490699999999999</v>
      </c>
      <c r="FY50">
        <v>2.34497</v>
      </c>
      <c r="FZ50">
        <v>1.50146</v>
      </c>
      <c r="GA50">
        <v>2.3010299999999999</v>
      </c>
      <c r="GB50">
        <v>30.0932</v>
      </c>
      <c r="GC50">
        <v>23.982399999999998</v>
      </c>
      <c r="GD50">
        <v>19</v>
      </c>
      <c r="GE50">
        <v>263.63499999999999</v>
      </c>
      <c r="GF50">
        <v>611.76199999999994</v>
      </c>
      <c r="GG50">
        <v>24.366900000000001</v>
      </c>
      <c r="GH50">
        <v>25.439900000000002</v>
      </c>
      <c r="GI50">
        <v>30.000299999999999</v>
      </c>
      <c r="GJ50">
        <v>25.480799999999999</v>
      </c>
      <c r="GK50">
        <v>25.409600000000001</v>
      </c>
      <c r="GL50">
        <v>35.435200000000002</v>
      </c>
      <c r="GM50">
        <v>-30</v>
      </c>
      <c r="GN50">
        <v>-30</v>
      </c>
      <c r="GO50">
        <v>24.394300000000001</v>
      </c>
      <c r="GP50">
        <v>800</v>
      </c>
      <c r="GQ50">
        <v>0</v>
      </c>
      <c r="GR50">
        <v>99.599299999999999</v>
      </c>
      <c r="GS50">
        <v>99.176400000000001</v>
      </c>
    </row>
    <row r="51" spans="1:201" x14ac:dyDescent="0.25">
      <c r="A51">
        <v>35</v>
      </c>
      <c r="B51">
        <v>1690201235.5</v>
      </c>
      <c r="C51">
        <v>388.5</v>
      </c>
      <c r="D51" t="s">
        <v>403</v>
      </c>
      <c r="E51" t="s">
        <v>404</v>
      </c>
      <c r="F51" t="s">
        <v>330</v>
      </c>
      <c r="H51">
        <v>1690201235.5</v>
      </c>
      <c r="I51">
        <f t="shared" si="0"/>
        <v>9.2923716691417082E-4</v>
      </c>
      <c r="J51">
        <f t="shared" si="1"/>
        <v>0.9292371669141708</v>
      </c>
      <c r="K51">
        <f t="shared" si="2"/>
        <v>16.444280183747342</v>
      </c>
      <c r="L51">
        <f t="shared" si="3"/>
        <v>611.15899999999999</v>
      </c>
      <c r="M51">
        <f t="shared" si="4"/>
        <v>154.42070524088555</v>
      </c>
      <c r="N51">
        <f t="shared" si="5"/>
        <v>15.300953332466946</v>
      </c>
      <c r="O51">
        <f t="shared" si="6"/>
        <v>60.557393020124898</v>
      </c>
      <c r="P51">
        <f t="shared" si="7"/>
        <v>5.9653911821112078E-2</v>
      </c>
      <c r="Q51">
        <f t="shared" si="8"/>
        <v>2.0803907123032461</v>
      </c>
      <c r="R51">
        <f t="shared" si="9"/>
        <v>5.8719672187904498E-2</v>
      </c>
      <c r="S51">
        <f t="shared" si="10"/>
        <v>3.6782514045116871E-2</v>
      </c>
      <c r="T51">
        <f t="shared" si="11"/>
        <v>276.11465002120002</v>
      </c>
      <c r="U51">
        <f t="shared" si="12"/>
        <v>27.309457858379787</v>
      </c>
      <c r="V51">
        <f t="shared" si="13"/>
        <v>27.309457858379787</v>
      </c>
      <c r="W51">
        <f t="shared" si="14"/>
        <v>3.6447300823597382</v>
      </c>
      <c r="X51">
        <f t="shared" si="15"/>
        <v>65.148115839908385</v>
      </c>
      <c r="Y51">
        <f t="shared" si="16"/>
        <v>2.1223262704108996</v>
      </c>
      <c r="Z51">
        <f t="shared" si="17"/>
        <v>3.2576940147067255</v>
      </c>
      <c r="AA51">
        <f t="shared" si="18"/>
        <v>1.5224038119488386</v>
      </c>
      <c r="AB51">
        <f t="shared" si="19"/>
        <v>-40.979359060914931</v>
      </c>
      <c r="AC51">
        <f t="shared" si="20"/>
        <v>-213.3534826897492</v>
      </c>
      <c r="AD51">
        <f t="shared" si="21"/>
        <v>-21.99097372741387</v>
      </c>
      <c r="AE51">
        <f t="shared" si="22"/>
        <v>-0.20916545687796884</v>
      </c>
      <c r="AF51">
        <v>15</v>
      </c>
      <c r="AG51">
        <v>5</v>
      </c>
      <c r="AH51">
        <f t="shared" si="23"/>
        <v>1</v>
      </c>
      <c r="AI51">
        <f t="shared" si="24"/>
        <v>0</v>
      </c>
      <c r="AJ51">
        <f t="shared" si="25"/>
        <v>52633.099298365858</v>
      </c>
      <c r="AK51">
        <f t="shared" si="26"/>
        <v>1799.99</v>
      </c>
      <c r="AL51">
        <f t="shared" si="27"/>
        <v>1499.10494059295</v>
      </c>
      <c r="AM51">
        <f t="shared" si="28"/>
        <v>0.83284070499999996</v>
      </c>
      <c r="AN51">
        <f t="shared" si="29"/>
        <v>0.15339788000000001</v>
      </c>
      <c r="AO51">
        <v>33.299999999999997</v>
      </c>
      <c r="AP51">
        <v>0.5</v>
      </c>
      <c r="AQ51" t="s">
        <v>331</v>
      </c>
      <c r="AR51">
        <v>2</v>
      </c>
      <c r="AS51">
        <v>1690201235.5</v>
      </c>
      <c r="AT51">
        <v>611.15899999999999</v>
      </c>
      <c r="AU51">
        <v>799.98299999999995</v>
      </c>
      <c r="AV51">
        <v>21.419</v>
      </c>
      <c r="AW51">
        <v>11.326000000000001</v>
      </c>
      <c r="AX51">
        <v>612.55899999999997</v>
      </c>
      <c r="AY51">
        <v>21.190100000000001</v>
      </c>
      <c r="AZ51">
        <v>300.01799999999997</v>
      </c>
      <c r="BA51">
        <v>98.986199999999997</v>
      </c>
      <c r="BB51">
        <v>9.9951100000000001E-2</v>
      </c>
      <c r="BC51">
        <v>25.4072</v>
      </c>
      <c r="BD51">
        <v>26.984400000000001</v>
      </c>
      <c r="BE51">
        <v>27.384899999999998</v>
      </c>
      <c r="BF51">
        <v>0</v>
      </c>
      <c r="BG51">
        <v>0</v>
      </c>
      <c r="BH51">
        <v>10002.5</v>
      </c>
      <c r="BI51">
        <v>1072.8499999999999</v>
      </c>
      <c r="BJ51">
        <v>1.32036</v>
      </c>
      <c r="BK51">
        <v>-188.82300000000001</v>
      </c>
      <c r="BL51">
        <v>624.53599999999994</v>
      </c>
      <c r="BM51">
        <v>809.14700000000005</v>
      </c>
      <c r="BN51">
        <v>10.093</v>
      </c>
      <c r="BO51">
        <v>799.98299999999995</v>
      </c>
      <c r="BP51">
        <v>11.326000000000001</v>
      </c>
      <c r="BQ51">
        <v>2.12019</v>
      </c>
      <c r="BR51">
        <v>1.1211199999999999</v>
      </c>
      <c r="BS51">
        <v>18.371700000000001</v>
      </c>
      <c r="BT51">
        <v>8.5934200000000001</v>
      </c>
      <c r="BU51">
        <v>1799.99</v>
      </c>
      <c r="BV51">
        <v>0.91000099999999995</v>
      </c>
      <c r="BW51">
        <v>3.3999099999999997E-2</v>
      </c>
      <c r="BX51">
        <v>2.20085E-2</v>
      </c>
      <c r="BY51">
        <v>3.3990800000000002E-2</v>
      </c>
      <c r="BZ51">
        <v>24</v>
      </c>
      <c r="CA51">
        <v>33528</v>
      </c>
      <c r="CB51">
        <v>1690200769.5</v>
      </c>
      <c r="CC51" t="s">
        <v>332</v>
      </c>
      <c r="CD51">
        <v>1690200769.5</v>
      </c>
      <c r="CE51">
        <v>1690200753</v>
      </c>
      <c r="CF51">
        <v>2</v>
      </c>
      <c r="CG51">
        <v>-0.245</v>
      </c>
      <c r="CH51">
        <v>3.0000000000000001E-3</v>
      </c>
      <c r="CI51">
        <v>-1.5169999999999999</v>
      </c>
      <c r="CJ51">
        <v>-1.6E-2</v>
      </c>
      <c r="CK51">
        <v>778</v>
      </c>
      <c r="CL51">
        <v>12</v>
      </c>
      <c r="CM51">
        <v>0.01</v>
      </c>
      <c r="CN51">
        <v>0.03</v>
      </c>
      <c r="CO51">
        <v>-184.372525</v>
      </c>
      <c r="CP51">
        <v>-26.430135084427761</v>
      </c>
      <c r="CQ51">
        <v>2.5430408862963638</v>
      </c>
      <c r="CR51">
        <v>-1</v>
      </c>
      <c r="CS51">
        <v>9.8908819999999995</v>
      </c>
      <c r="CT51">
        <v>1.1832175609756059</v>
      </c>
      <c r="CU51">
        <v>0.1138271882109015</v>
      </c>
      <c r="CV51">
        <v>-1</v>
      </c>
      <c r="CW51">
        <v>0</v>
      </c>
      <c r="CX51">
        <v>0</v>
      </c>
      <c r="CY51" t="s">
        <v>333</v>
      </c>
      <c r="CZ51">
        <v>2.3648600000000002</v>
      </c>
      <c r="DA51">
        <v>2.71374</v>
      </c>
      <c r="DB51">
        <v>0.12235</v>
      </c>
      <c r="DC51">
        <v>0.14636199999999999</v>
      </c>
      <c r="DD51">
        <v>0.105027</v>
      </c>
      <c r="DE51">
        <v>6.5144099999999996E-2</v>
      </c>
      <c r="DF51">
        <v>32010.2</v>
      </c>
      <c r="DG51">
        <v>27421.5</v>
      </c>
      <c r="DH51">
        <v>31133.8</v>
      </c>
      <c r="DI51">
        <v>27987.9</v>
      </c>
      <c r="DJ51">
        <v>37818.800000000003</v>
      </c>
      <c r="DK51">
        <v>37169.199999999997</v>
      </c>
      <c r="DL51">
        <v>44294.1</v>
      </c>
      <c r="DM51">
        <v>42377.4</v>
      </c>
      <c r="DN51">
        <v>1.4386000000000001</v>
      </c>
      <c r="DO51">
        <v>2.08365</v>
      </c>
      <c r="DP51">
        <v>0.16197600000000001</v>
      </c>
      <c r="DQ51">
        <v>0.19203899999999999</v>
      </c>
      <c r="DR51">
        <v>24.329599999999999</v>
      </c>
      <c r="DS51">
        <v>24.238199999999999</v>
      </c>
      <c r="DT51">
        <v>39.200000000000003</v>
      </c>
      <c r="DU51">
        <v>24.5</v>
      </c>
      <c r="DV51">
        <v>12.2209</v>
      </c>
      <c r="DW51">
        <v>62.029899999999998</v>
      </c>
      <c r="DX51">
        <v>36.674700000000001</v>
      </c>
      <c r="DY51">
        <v>1</v>
      </c>
      <c r="DZ51">
        <v>-0.15692300000000001</v>
      </c>
      <c r="EA51">
        <v>-0.241925</v>
      </c>
      <c r="EB51">
        <v>20.192299999999999</v>
      </c>
      <c r="EC51">
        <v>5.2411000000000003</v>
      </c>
      <c r="ED51">
        <v>12.039899999999999</v>
      </c>
      <c r="EE51">
        <v>5.0173500000000004</v>
      </c>
      <c r="EF51">
        <v>3.2879999999999998</v>
      </c>
      <c r="EG51">
        <v>9999</v>
      </c>
      <c r="EH51">
        <v>9999</v>
      </c>
      <c r="EI51">
        <v>9999</v>
      </c>
      <c r="EJ51">
        <v>999.9</v>
      </c>
      <c r="EK51">
        <v>1.8687400000000001</v>
      </c>
      <c r="EL51">
        <v>1.8644700000000001</v>
      </c>
      <c r="EM51">
        <v>1.8690500000000001</v>
      </c>
      <c r="EN51">
        <v>1.86707</v>
      </c>
      <c r="EO51">
        <v>1.8632500000000001</v>
      </c>
      <c r="EP51">
        <v>1.86432</v>
      </c>
      <c r="EQ51">
        <v>1.8700399999999999</v>
      </c>
      <c r="ER51">
        <v>1.86927</v>
      </c>
      <c r="ES51">
        <v>0</v>
      </c>
      <c r="ET51">
        <v>0</v>
      </c>
      <c r="EU51">
        <v>0</v>
      </c>
      <c r="EV51">
        <v>0</v>
      </c>
      <c r="EW51" t="s">
        <v>334</v>
      </c>
      <c r="EX51" t="s">
        <v>335</v>
      </c>
      <c r="EY51" t="s">
        <v>336</v>
      </c>
      <c r="EZ51" t="s">
        <v>336</v>
      </c>
      <c r="FA51" t="s">
        <v>336</v>
      </c>
      <c r="FB51" t="s">
        <v>336</v>
      </c>
      <c r="FC51">
        <v>0</v>
      </c>
      <c r="FD51">
        <v>100</v>
      </c>
      <c r="FE51">
        <v>100</v>
      </c>
      <c r="FF51">
        <v>-1.4</v>
      </c>
      <c r="FG51">
        <v>0.22889999999999999</v>
      </c>
      <c r="FH51">
        <v>-0.98020551812546231</v>
      </c>
      <c r="FI51">
        <v>-6.1462078757559423E-4</v>
      </c>
      <c r="FJ51">
        <v>-1.8861989874597051E-7</v>
      </c>
      <c r="FK51">
        <v>1.1980462299894961E-10</v>
      </c>
      <c r="FL51">
        <v>-4.4410915568505363E-2</v>
      </c>
      <c r="FM51">
        <v>-1.6848085045870601E-2</v>
      </c>
      <c r="FN51">
        <v>1.9789084769509481E-3</v>
      </c>
      <c r="FO51">
        <v>-2.7142391389806329E-5</v>
      </c>
      <c r="FP51">
        <v>3</v>
      </c>
      <c r="FQ51">
        <v>2158</v>
      </c>
      <c r="FR51">
        <v>1</v>
      </c>
      <c r="FS51">
        <v>19</v>
      </c>
      <c r="FT51">
        <v>7.8</v>
      </c>
      <c r="FU51">
        <v>8</v>
      </c>
      <c r="FV51">
        <v>1.7724599999999999</v>
      </c>
      <c r="FW51">
        <v>2.5427200000000001</v>
      </c>
      <c r="FX51">
        <v>1.5490699999999999</v>
      </c>
      <c r="FY51">
        <v>2.34497</v>
      </c>
      <c r="FZ51">
        <v>1.50146</v>
      </c>
      <c r="GA51">
        <v>2.31934</v>
      </c>
      <c r="GB51">
        <v>30.0932</v>
      </c>
      <c r="GC51">
        <v>23.982399999999998</v>
      </c>
      <c r="GD51">
        <v>19</v>
      </c>
      <c r="GE51">
        <v>263.62299999999999</v>
      </c>
      <c r="GF51">
        <v>612.08199999999999</v>
      </c>
      <c r="GG51">
        <v>24.430700000000002</v>
      </c>
      <c r="GH51">
        <v>25.440999999999999</v>
      </c>
      <c r="GI51">
        <v>30.000699999999998</v>
      </c>
      <c r="GJ51">
        <v>25.485099999999999</v>
      </c>
      <c r="GK51">
        <v>25.414899999999999</v>
      </c>
      <c r="GL51">
        <v>35.436500000000002</v>
      </c>
      <c r="GM51">
        <v>-30</v>
      </c>
      <c r="GN51">
        <v>-30</v>
      </c>
      <c r="GO51">
        <v>24.443999999999999</v>
      </c>
      <c r="GP51">
        <v>800</v>
      </c>
      <c r="GQ51">
        <v>0</v>
      </c>
      <c r="GR51">
        <v>99.598699999999994</v>
      </c>
      <c r="GS51">
        <v>99.1751</v>
      </c>
    </row>
    <row r="52" spans="1:201" x14ac:dyDescent="0.25">
      <c r="A52">
        <v>36</v>
      </c>
      <c r="B52">
        <v>1690201245.5</v>
      </c>
      <c r="C52">
        <v>398.5</v>
      </c>
      <c r="D52" t="s">
        <v>405</v>
      </c>
      <c r="E52" t="s">
        <v>406</v>
      </c>
      <c r="F52" t="s">
        <v>330</v>
      </c>
      <c r="H52">
        <v>1690201245.5</v>
      </c>
      <c r="I52">
        <f t="shared" si="0"/>
        <v>9.4685244612826951E-4</v>
      </c>
      <c r="J52">
        <f t="shared" si="1"/>
        <v>0.94685244612826946</v>
      </c>
      <c r="K52">
        <f t="shared" si="2"/>
        <v>16.811788513092896</v>
      </c>
      <c r="L52">
        <f t="shared" si="3"/>
        <v>607.13499999999999</v>
      </c>
      <c r="M52">
        <f t="shared" si="4"/>
        <v>152.80549085950605</v>
      </c>
      <c r="N52">
        <f t="shared" si="5"/>
        <v>15.140503311994342</v>
      </c>
      <c r="O52">
        <f t="shared" si="6"/>
        <v>60.157062593905003</v>
      </c>
      <c r="P52">
        <f t="shared" si="7"/>
        <v>6.132000395822769E-2</v>
      </c>
      <c r="Q52">
        <f t="shared" si="8"/>
        <v>2.0793837539558799</v>
      </c>
      <c r="R52">
        <f t="shared" si="9"/>
        <v>6.0332846049380676E-2</v>
      </c>
      <c r="S52">
        <f t="shared" si="10"/>
        <v>3.7795397225945965E-2</v>
      </c>
      <c r="T52">
        <f t="shared" si="11"/>
        <v>276.11433477095142</v>
      </c>
      <c r="U52">
        <f t="shared" si="12"/>
        <v>27.329658306532668</v>
      </c>
      <c r="V52">
        <f t="shared" si="13"/>
        <v>27.329658306532668</v>
      </c>
      <c r="W52">
        <f t="shared" si="14"/>
        <v>3.6490465305618356</v>
      </c>
      <c r="X52">
        <f t="shared" si="15"/>
        <v>65.57414975236199</v>
      </c>
      <c r="Y52">
        <f t="shared" si="16"/>
        <v>2.1394704468778003</v>
      </c>
      <c r="Z52">
        <f t="shared" si="17"/>
        <v>3.2626735610868312</v>
      </c>
      <c r="AA52">
        <f t="shared" si="18"/>
        <v>1.5095760836840353</v>
      </c>
      <c r="AB52">
        <f t="shared" si="19"/>
        <v>-41.756192874256683</v>
      </c>
      <c r="AC52">
        <f t="shared" si="20"/>
        <v>-212.63369424049935</v>
      </c>
      <c r="AD52">
        <f t="shared" si="21"/>
        <v>-21.932438632540272</v>
      </c>
      <c r="AE52">
        <f t="shared" si="22"/>
        <v>-0.20799097634491659</v>
      </c>
      <c r="AF52">
        <v>15</v>
      </c>
      <c r="AG52">
        <v>5</v>
      </c>
      <c r="AH52">
        <f t="shared" si="23"/>
        <v>1</v>
      </c>
      <c r="AI52">
        <f t="shared" si="24"/>
        <v>0</v>
      </c>
      <c r="AJ52">
        <f t="shared" si="25"/>
        <v>52582.972762577454</v>
      </c>
      <c r="AK52">
        <f t="shared" si="26"/>
        <v>1799.99</v>
      </c>
      <c r="AL52">
        <f t="shared" si="27"/>
        <v>1499.1027374051903</v>
      </c>
      <c r="AM52">
        <f t="shared" si="28"/>
        <v>0.83283948100000016</v>
      </c>
      <c r="AN52">
        <f t="shared" si="29"/>
        <v>0.15339770486000001</v>
      </c>
      <c r="AO52">
        <v>33.299999999999997</v>
      </c>
      <c r="AP52">
        <v>0.5</v>
      </c>
      <c r="AQ52" t="s">
        <v>331</v>
      </c>
      <c r="AR52">
        <v>2</v>
      </c>
      <c r="AS52">
        <v>1690201245.5</v>
      </c>
      <c r="AT52">
        <v>607.13499999999999</v>
      </c>
      <c r="AU52">
        <v>800.04200000000003</v>
      </c>
      <c r="AV52">
        <v>21.592600000000001</v>
      </c>
      <c r="AW52">
        <v>11.314</v>
      </c>
      <c r="AX52">
        <v>608.53300000000002</v>
      </c>
      <c r="AY52">
        <v>21.358599999999999</v>
      </c>
      <c r="AZ52">
        <v>300.13200000000001</v>
      </c>
      <c r="BA52">
        <v>98.983500000000006</v>
      </c>
      <c r="BB52">
        <v>0.10000299999999999</v>
      </c>
      <c r="BC52">
        <v>25.4329</v>
      </c>
      <c r="BD52">
        <v>26.988199999999999</v>
      </c>
      <c r="BE52">
        <v>27.359300000000001</v>
      </c>
      <c r="BF52">
        <v>0</v>
      </c>
      <c r="BG52">
        <v>0</v>
      </c>
      <c r="BH52">
        <v>9993.75</v>
      </c>
      <c r="BI52">
        <v>1072.8499999999999</v>
      </c>
      <c r="BJ52">
        <v>1.1689799999999999</v>
      </c>
      <c r="BK52">
        <v>-192.90700000000001</v>
      </c>
      <c r="BL52">
        <v>620.53399999999999</v>
      </c>
      <c r="BM52">
        <v>809.19799999999998</v>
      </c>
      <c r="BN52">
        <v>10.278600000000001</v>
      </c>
      <c r="BO52">
        <v>800.04200000000003</v>
      </c>
      <c r="BP52">
        <v>11.314</v>
      </c>
      <c r="BQ52">
        <v>2.1373099999999998</v>
      </c>
      <c r="BR52">
        <v>1.1198999999999999</v>
      </c>
      <c r="BS52">
        <v>18.5</v>
      </c>
      <c r="BT52">
        <v>8.5773600000000005</v>
      </c>
      <c r="BU52">
        <v>1799.99</v>
      </c>
      <c r="BV52">
        <v>0.90999300000000005</v>
      </c>
      <c r="BW52">
        <v>3.4003600000000002E-2</v>
      </c>
      <c r="BX52">
        <v>2.2004300000000001E-2</v>
      </c>
      <c r="BY52">
        <v>3.3998800000000003E-2</v>
      </c>
      <c r="BZ52">
        <v>24</v>
      </c>
      <c r="CA52">
        <v>33528</v>
      </c>
      <c r="CB52">
        <v>1690200769.5</v>
      </c>
      <c r="CC52" t="s">
        <v>332</v>
      </c>
      <c r="CD52">
        <v>1690200769.5</v>
      </c>
      <c r="CE52">
        <v>1690200753</v>
      </c>
      <c r="CF52">
        <v>2</v>
      </c>
      <c r="CG52">
        <v>-0.245</v>
      </c>
      <c r="CH52">
        <v>3.0000000000000001E-3</v>
      </c>
      <c r="CI52">
        <v>-1.5169999999999999</v>
      </c>
      <c r="CJ52">
        <v>-1.6E-2</v>
      </c>
      <c r="CK52">
        <v>778</v>
      </c>
      <c r="CL52">
        <v>12</v>
      </c>
      <c r="CM52">
        <v>0.01</v>
      </c>
      <c r="CN52">
        <v>0.03</v>
      </c>
      <c r="CO52">
        <v>-188.33404878048779</v>
      </c>
      <c r="CP52">
        <v>-24.952536585365849</v>
      </c>
      <c r="CQ52">
        <v>2.460703309647116</v>
      </c>
      <c r="CR52">
        <v>-1</v>
      </c>
      <c r="CS52">
        <v>10.07129317073171</v>
      </c>
      <c r="CT52">
        <v>1.1536628571428491</v>
      </c>
      <c r="CU52">
        <v>0.1137640438811419</v>
      </c>
      <c r="CV52">
        <v>-1</v>
      </c>
      <c r="CW52">
        <v>0</v>
      </c>
      <c r="CX52">
        <v>0</v>
      </c>
      <c r="CY52" t="s">
        <v>333</v>
      </c>
      <c r="CZ52">
        <v>2.3652600000000001</v>
      </c>
      <c r="DA52">
        <v>2.7137899999999999</v>
      </c>
      <c r="DB52">
        <v>0.121783</v>
      </c>
      <c r="DC52">
        <v>0.14636299999999999</v>
      </c>
      <c r="DD52">
        <v>0.105615</v>
      </c>
      <c r="DE52">
        <v>6.50892E-2</v>
      </c>
      <c r="DF52">
        <v>32031.5</v>
      </c>
      <c r="DG52">
        <v>27422</v>
      </c>
      <c r="DH52">
        <v>31134.400000000001</v>
      </c>
      <c r="DI52">
        <v>27988.400000000001</v>
      </c>
      <c r="DJ52">
        <v>37794.400000000001</v>
      </c>
      <c r="DK52">
        <v>37172.199999999997</v>
      </c>
      <c r="DL52">
        <v>44295</v>
      </c>
      <c r="DM52">
        <v>42378.3</v>
      </c>
      <c r="DN52">
        <v>1.4387700000000001</v>
      </c>
      <c r="DO52">
        <v>2.08325</v>
      </c>
      <c r="DP52">
        <v>0.16167799999999999</v>
      </c>
      <c r="DQ52">
        <v>0.19006400000000001</v>
      </c>
      <c r="DR52">
        <v>24.3383</v>
      </c>
      <c r="DS52">
        <v>24.244900000000001</v>
      </c>
      <c r="DT52">
        <v>39.200000000000003</v>
      </c>
      <c r="DU52">
        <v>24.5</v>
      </c>
      <c r="DV52">
        <v>12.222200000000001</v>
      </c>
      <c r="DW52">
        <v>62.139899999999997</v>
      </c>
      <c r="DX52">
        <v>36.658700000000003</v>
      </c>
      <c r="DY52">
        <v>1</v>
      </c>
      <c r="DZ52">
        <v>-0.156441</v>
      </c>
      <c r="EA52">
        <v>-0.21073800000000001</v>
      </c>
      <c r="EB52">
        <v>20.192299999999999</v>
      </c>
      <c r="EC52">
        <v>5.2411000000000003</v>
      </c>
      <c r="ED52">
        <v>12.039899999999999</v>
      </c>
      <c r="EE52">
        <v>5.0174000000000003</v>
      </c>
      <c r="EF52">
        <v>3.2879700000000001</v>
      </c>
      <c r="EG52">
        <v>9999</v>
      </c>
      <c r="EH52">
        <v>9999</v>
      </c>
      <c r="EI52">
        <v>9999</v>
      </c>
      <c r="EJ52">
        <v>999.9</v>
      </c>
      <c r="EK52">
        <v>1.8687400000000001</v>
      </c>
      <c r="EL52">
        <v>1.8644700000000001</v>
      </c>
      <c r="EM52">
        <v>1.8690500000000001</v>
      </c>
      <c r="EN52">
        <v>1.86707</v>
      </c>
      <c r="EO52">
        <v>1.86324</v>
      </c>
      <c r="EP52">
        <v>1.86432</v>
      </c>
      <c r="EQ52">
        <v>1.87005</v>
      </c>
      <c r="ER52">
        <v>1.8693</v>
      </c>
      <c r="ES52">
        <v>0</v>
      </c>
      <c r="ET52">
        <v>0</v>
      </c>
      <c r="EU52">
        <v>0</v>
      </c>
      <c r="EV52">
        <v>0</v>
      </c>
      <c r="EW52" t="s">
        <v>334</v>
      </c>
      <c r="EX52" t="s">
        <v>335</v>
      </c>
      <c r="EY52" t="s">
        <v>336</v>
      </c>
      <c r="EZ52" t="s">
        <v>336</v>
      </c>
      <c r="FA52" t="s">
        <v>336</v>
      </c>
      <c r="FB52" t="s">
        <v>336</v>
      </c>
      <c r="FC52">
        <v>0</v>
      </c>
      <c r="FD52">
        <v>100</v>
      </c>
      <c r="FE52">
        <v>100</v>
      </c>
      <c r="FF52">
        <v>-1.3979999999999999</v>
      </c>
      <c r="FG52">
        <v>0.23400000000000001</v>
      </c>
      <c r="FH52">
        <v>-0.98020551812546231</v>
      </c>
      <c r="FI52">
        <v>-6.1462078757559423E-4</v>
      </c>
      <c r="FJ52">
        <v>-1.8861989874597051E-7</v>
      </c>
      <c r="FK52">
        <v>1.1980462299894961E-10</v>
      </c>
      <c r="FL52">
        <v>-4.4410915568505363E-2</v>
      </c>
      <c r="FM52">
        <v>-1.6848085045870601E-2</v>
      </c>
      <c r="FN52">
        <v>1.9789084769509481E-3</v>
      </c>
      <c r="FO52">
        <v>-2.7142391389806329E-5</v>
      </c>
      <c r="FP52">
        <v>3</v>
      </c>
      <c r="FQ52">
        <v>2158</v>
      </c>
      <c r="FR52">
        <v>1</v>
      </c>
      <c r="FS52">
        <v>19</v>
      </c>
      <c r="FT52">
        <v>7.9</v>
      </c>
      <c r="FU52">
        <v>8.1999999999999993</v>
      </c>
      <c r="FV52">
        <v>1.7724599999999999</v>
      </c>
      <c r="FW52">
        <v>2.5439500000000002</v>
      </c>
      <c r="FX52">
        <v>1.5490699999999999</v>
      </c>
      <c r="FY52">
        <v>2.34497</v>
      </c>
      <c r="FZ52">
        <v>1.50146</v>
      </c>
      <c r="GA52">
        <v>2.32544</v>
      </c>
      <c r="GB52">
        <v>30.114699999999999</v>
      </c>
      <c r="GC52">
        <v>23.982399999999998</v>
      </c>
      <c r="GD52">
        <v>19</v>
      </c>
      <c r="GE52">
        <v>263.70999999999998</v>
      </c>
      <c r="GF52">
        <v>611.80399999999997</v>
      </c>
      <c r="GG52">
        <v>24.465</v>
      </c>
      <c r="GH52">
        <v>25.443100000000001</v>
      </c>
      <c r="GI52">
        <v>30.000399999999999</v>
      </c>
      <c r="GJ52">
        <v>25.4893</v>
      </c>
      <c r="GK52">
        <v>25.420200000000001</v>
      </c>
      <c r="GL52">
        <v>35.436399999999999</v>
      </c>
      <c r="GM52">
        <v>-30</v>
      </c>
      <c r="GN52">
        <v>-30</v>
      </c>
      <c r="GO52">
        <v>24.471499999999999</v>
      </c>
      <c r="GP52">
        <v>800</v>
      </c>
      <c r="GQ52">
        <v>0</v>
      </c>
      <c r="GR52">
        <v>99.600700000000003</v>
      </c>
      <c r="GS52">
        <v>99.177099999999996</v>
      </c>
    </row>
    <row r="53" spans="1:201" x14ac:dyDescent="0.25">
      <c r="A53">
        <v>37</v>
      </c>
      <c r="B53">
        <v>1690201255.5</v>
      </c>
      <c r="C53">
        <v>408.5</v>
      </c>
      <c r="D53" t="s">
        <v>407</v>
      </c>
      <c r="E53" t="s">
        <v>408</v>
      </c>
      <c r="F53" t="s">
        <v>330</v>
      </c>
      <c r="H53">
        <v>1690201255.5</v>
      </c>
      <c r="I53">
        <f t="shared" si="0"/>
        <v>9.571217133541762E-4</v>
      </c>
      <c r="J53">
        <f t="shared" si="1"/>
        <v>0.95712171335417617</v>
      </c>
      <c r="K53">
        <f t="shared" si="2"/>
        <v>17.156626877414062</v>
      </c>
      <c r="L53">
        <f t="shared" si="3"/>
        <v>603.22299999999996</v>
      </c>
      <c r="M53">
        <f t="shared" si="4"/>
        <v>146.34824158561531</v>
      </c>
      <c r="N53">
        <f t="shared" si="5"/>
        <v>14.500844684961764</v>
      </c>
      <c r="O53">
        <f t="shared" si="6"/>
        <v>59.770058995067991</v>
      </c>
      <c r="P53">
        <f t="shared" si="7"/>
        <v>6.2210663476408697E-2</v>
      </c>
      <c r="Q53">
        <f t="shared" si="8"/>
        <v>2.0817651611856975</v>
      </c>
      <c r="R53">
        <f t="shared" si="9"/>
        <v>6.1196018445036665E-2</v>
      </c>
      <c r="S53">
        <f t="shared" si="10"/>
        <v>3.8337294872047616E-2</v>
      </c>
      <c r="T53">
        <f t="shared" si="11"/>
        <v>276.11240821826487</v>
      </c>
      <c r="U53">
        <f t="shared" si="12"/>
        <v>27.350765202177257</v>
      </c>
      <c r="V53">
        <f t="shared" si="13"/>
        <v>27.350765202177257</v>
      </c>
      <c r="W53">
        <f t="shared" si="14"/>
        <v>3.6535614348931311</v>
      </c>
      <c r="X53">
        <f t="shared" si="15"/>
        <v>65.768532518661019</v>
      </c>
      <c r="Y53">
        <f t="shared" si="16"/>
        <v>2.1492323281043997</v>
      </c>
      <c r="Z53">
        <f t="shared" si="17"/>
        <v>3.26787332147723</v>
      </c>
      <c r="AA53">
        <f t="shared" si="18"/>
        <v>1.5043291067887314</v>
      </c>
      <c r="AB53">
        <f t="shared" si="19"/>
        <v>-42.209067558919173</v>
      </c>
      <c r="AC53">
        <f t="shared" si="20"/>
        <v>-212.23826307117548</v>
      </c>
      <c r="AD53">
        <f t="shared" si="21"/>
        <v>-21.871856300504959</v>
      </c>
      <c r="AE53">
        <f t="shared" si="22"/>
        <v>-0.20677871233473866</v>
      </c>
      <c r="AF53">
        <v>15</v>
      </c>
      <c r="AG53">
        <v>5</v>
      </c>
      <c r="AH53">
        <f t="shared" si="23"/>
        <v>1</v>
      </c>
      <c r="AI53">
        <f t="shared" si="24"/>
        <v>0</v>
      </c>
      <c r="AJ53">
        <f t="shared" si="25"/>
        <v>52685.996090439017</v>
      </c>
      <c r="AK53">
        <f t="shared" si="26"/>
        <v>1799.98</v>
      </c>
      <c r="AL53">
        <f t="shared" si="27"/>
        <v>1499.09478700618</v>
      </c>
      <c r="AM53">
        <f t="shared" si="28"/>
        <v>0.83283969099999999</v>
      </c>
      <c r="AN53">
        <f t="shared" si="29"/>
        <v>0.15339748676000003</v>
      </c>
      <c r="AO53">
        <v>33.299999999999997</v>
      </c>
      <c r="AP53">
        <v>0.5</v>
      </c>
      <c r="AQ53" t="s">
        <v>331</v>
      </c>
      <c r="AR53">
        <v>2</v>
      </c>
      <c r="AS53">
        <v>1690201255.5</v>
      </c>
      <c r="AT53">
        <v>603.22299999999996</v>
      </c>
      <c r="AU53">
        <v>799.98299999999995</v>
      </c>
      <c r="AV53">
        <v>21.690899999999999</v>
      </c>
      <c r="AW53">
        <v>11.3019</v>
      </c>
      <c r="AX53">
        <v>604.61800000000005</v>
      </c>
      <c r="AY53">
        <v>21.512699999999999</v>
      </c>
      <c r="AZ53">
        <v>300.13299999999998</v>
      </c>
      <c r="BA53">
        <v>98.984499999999997</v>
      </c>
      <c r="BB53">
        <v>0.10001599999999999</v>
      </c>
      <c r="BC53">
        <v>25.459700000000002</v>
      </c>
      <c r="BD53">
        <v>26.996099999999998</v>
      </c>
      <c r="BE53">
        <v>27.385200000000001</v>
      </c>
      <c r="BF53">
        <v>0</v>
      </c>
      <c r="BG53">
        <v>0</v>
      </c>
      <c r="BH53">
        <v>10015</v>
      </c>
      <c r="BI53">
        <v>1072.8</v>
      </c>
      <c r="BJ53">
        <v>1.4577199999999999</v>
      </c>
      <c r="BK53">
        <v>-196.75899999999999</v>
      </c>
      <c r="BL53">
        <v>616.59799999999996</v>
      </c>
      <c r="BM53">
        <v>809.12699999999995</v>
      </c>
      <c r="BN53">
        <v>10.389099999999999</v>
      </c>
      <c r="BO53">
        <v>799.98299999999995</v>
      </c>
      <c r="BP53">
        <v>11.3019</v>
      </c>
      <c r="BQ53">
        <v>2.1470699999999998</v>
      </c>
      <c r="BR53">
        <v>1.1187100000000001</v>
      </c>
      <c r="BS53">
        <v>18.572700000000001</v>
      </c>
      <c r="BT53">
        <v>8.5615900000000007</v>
      </c>
      <c r="BU53">
        <v>1799.98</v>
      </c>
      <c r="BV53">
        <v>0.90999300000000005</v>
      </c>
      <c r="BW53">
        <v>3.3997300000000001E-2</v>
      </c>
      <c r="BX53">
        <v>2.20003E-2</v>
      </c>
      <c r="BY53">
        <v>3.4009600000000001E-2</v>
      </c>
      <c r="BZ53">
        <v>24</v>
      </c>
      <c r="CA53">
        <v>33528</v>
      </c>
      <c r="CB53">
        <v>1690200769.5</v>
      </c>
      <c r="CC53" t="s">
        <v>332</v>
      </c>
      <c r="CD53">
        <v>1690200769.5</v>
      </c>
      <c r="CE53">
        <v>1690200753</v>
      </c>
      <c r="CF53">
        <v>2</v>
      </c>
      <c r="CG53">
        <v>-0.245</v>
      </c>
      <c r="CH53">
        <v>3.0000000000000001E-3</v>
      </c>
      <c r="CI53">
        <v>-1.5169999999999999</v>
      </c>
      <c r="CJ53">
        <v>-1.6E-2</v>
      </c>
      <c r="CK53">
        <v>778</v>
      </c>
      <c r="CL53">
        <v>12</v>
      </c>
      <c r="CM53">
        <v>0.01</v>
      </c>
      <c r="CN53">
        <v>0.03</v>
      </c>
      <c r="CO53">
        <v>-192.71732499999999</v>
      </c>
      <c r="CP53">
        <v>-23.88554971857377</v>
      </c>
      <c r="CQ53">
        <v>2.2980536806991689</v>
      </c>
      <c r="CR53">
        <v>-1</v>
      </c>
      <c r="CS53">
        <v>10.249115</v>
      </c>
      <c r="CT53">
        <v>0.8224367729830937</v>
      </c>
      <c r="CU53">
        <v>8.082492360033515E-2</v>
      </c>
      <c r="CV53">
        <v>-1</v>
      </c>
      <c r="CW53">
        <v>0</v>
      </c>
      <c r="CX53">
        <v>0</v>
      </c>
      <c r="CY53" t="s">
        <v>333</v>
      </c>
      <c r="CZ53">
        <v>2.3652500000000001</v>
      </c>
      <c r="DA53">
        <v>2.7138200000000001</v>
      </c>
      <c r="DB53">
        <v>0.121235</v>
      </c>
      <c r="DC53">
        <v>0.14635600000000001</v>
      </c>
      <c r="DD53">
        <v>0.106155</v>
      </c>
      <c r="DE53">
        <v>6.5035800000000005E-2</v>
      </c>
      <c r="DF53">
        <v>32052.1</v>
      </c>
      <c r="DG53">
        <v>27422.7</v>
      </c>
      <c r="DH53">
        <v>31135</v>
      </c>
      <c r="DI53">
        <v>27989</v>
      </c>
      <c r="DJ53">
        <v>37771.9</v>
      </c>
      <c r="DK53">
        <v>37175.1</v>
      </c>
      <c r="DL53">
        <v>44295.8</v>
      </c>
      <c r="DM53">
        <v>42379.1</v>
      </c>
      <c r="DN53">
        <v>1.43872</v>
      </c>
      <c r="DO53">
        <v>2.08297</v>
      </c>
      <c r="DP53">
        <v>0.16175200000000001</v>
      </c>
      <c r="DQ53">
        <v>0.191219</v>
      </c>
      <c r="DR53">
        <v>24.345099999999999</v>
      </c>
      <c r="DS53">
        <v>24.251899999999999</v>
      </c>
      <c r="DT53">
        <v>39.1</v>
      </c>
      <c r="DU53">
        <v>24.5</v>
      </c>
      <c r="DV53">
        <v>12.189299999999999</v>
      </c>
      <c r="DW53">
        <v>62.3399</v>
      </c>
      <c r="DX53">
        <v>36.694699999999997</v>
      </c>
      <c r="DY53">
        <v>1</v>
      </c>
      <c r="DZ53">
        <v>-0.15734200000000001</v>
      </c>
      <c r="EA53">
        <v>-0.18626400000000001</v>
      </c>
      <c r="EB53">
        <v>20.192599999999999</v>
      </c>
      <c r="EC53">
        <v>5.2411000000000003</v>
      </c>
      <c r="ED53">
        <v>12.039899999999999</v>
      </c>
      <c r="EE53">
        <v>5.0171999999999999</v>
      </c>
      <c r="EF53">
        <v>3.2879499999999999</v>
      </c>
      <c r="EG53">
        <v>9999</v>
      </c>
      <c r="EH53">
        <v>9999</v>
      </c>
      <c r="EI53">
        <v>9999</v>
      </c>
      <c r="EJ53">
        <v>999.9</v>
      </c>
      <c r="EK53">
        <v>1.8687499999999999</v>
      </c>
      <c r="EL53">
        <v>1.8644700000000001</v>
      </c>
      <c r="EM53">
        <v>1.8690500000000001</v>
      </c>
      <c r="EN53">
        <v>1.8670800000000001</v>
      </c>
      <c r="EO53">
        <v>1.8632500000000001</v>
      </c>
      <c r="EP53">
        <v>1.86433</v>
      </c>
      <c r="EQ53">
        <v>1.8700300000000001</v>
      </c>
      <c r="ER53">
        <v>1.8692899999999999</v>
      </c>
      <c r="ES53">
        <v>0</v>
      </c>
      <c r="ET53">
        <v>0</v>
      </c>
      <c r="EU53">
        <v>0</v>
      </c>
      <c r="EV53">
        <v>0</v>
      </c>
      <c r="EW53" t="s">
        <v>334</v>
      </c>
      <c r="EX53" t="s">
        <v>335</v>
      </c>
      <c r="EY53" t="s">
        <v>336</v>
      </c>
      <c r="EZ53" t="s">
        <v>336</v>
      </c>
      <c r="FA53" t="s">
        <v>336</v>
      </c>
      <c r="FB53" t="s">
        <v>336</v>
      </c>
      <c r="FC53">
        <v>0</v>
      </c>
      <c r="FD53">
        <v>100</v>
      </c>
      <c r="FE53">
        <v>100</v>
      </c>
      <c r="FF53">
        <v>-1.395</v>
      </c>
      <c r="FG53">
        <v>0.1782</v>
      </c>
      <c r="FH53">
        <v>-0.98020551812546231</v>
      </c>
      <c r="FI53">
        <v>-6.1462078757559423E-4</v>
      </c>
      <c r="FJ53">
        <v>-1.8861989874597051E-7</v>
      </c>
      <c r="FK53">
        <v>1.1980462299894961E-10</v>
      </c>
      <c r="FL53">
        <v>0.1782306200647516</v>
      </c>
      <c r="FM53">
        <v>0</v>
      </c>
      <c r="FN53">
        <v>0</v>
      </c>
      <c r="FO53">
        <v>0</v>
      </c>
      <c r="FP53">
        <v>3</v>
      </c>
      <c r="FQ53">
        <v>2158</v>
      </c>
      <c r="FR53">
        <v>1</v>
      </c>
      <c r="FS53">
        <v>19</v>
      </c>
      <c r="FT53">
        <v>8.1</v>
      </c>
      <c r="FU53">
        <v>8.4</v>
      </c>
      <c r="FV53">
        <v>1.7724599999999999</v>
      </c>
      <c r="FW53">
        <v>2.5439500000000002</v>
      </c>
      <c r="FX53">
        <v>1.5490699999999999</v>
      </c>
      <c r="FY53">
        <v>2.34497</v>
      </c>
      <c r="FZ53">
        <v>1.50146</v>
      </c>
      <c r="GA53">
        <v>2.33765</v>
      </c>
      <c r="GB53">
        <v>30.136099999999999</v>
      </c>
      <c r="GC53">
        <v>23.982399999999998</v>
      </c>
      <c r="GD53">
        <v>19</v>
      </c>
      <c r="GE53">
        <v>263.70600000000002</v>
      </c>
      <c r="GF53">
        <v>611.63300000000004</v>
      </c>
      <c r="GG53">
        <v>24.482099999999999</v>
      </c>
      <c r="GH53">
        <v>25.443100000000001</v>
      </c>
      <c r="GI53">
        <v>30</v>
      </c>
      <c r="GJ53">
        <v>25.493099999999998</v>
      </c>
      <c r="GK53">
        <v>25.4255</v>
      </c>
      <c r="GL53">
        <v>35.439900000000002</v>
      </c>
      <c r="GM53">
        <v>-30</v>
      </c>
      <c r="GN53">
        <v>-30</v>
      </c>
      <c r="GO53">
        <v>24.483899999999998</v>
      </c>
      <c r="GP53">
        <v>800</v>
      </c>
      <c r="GQ53">
        <v>0</v>
      </c>
      <c r="GR53">
        <v>99.602500000000006</v>
      </c>
      <c r="GS53">
        <v>99.179000000000002</v>
      </c>
    </row>
    <row r="54" spans="1:201" x14ac:dyDescent="0.25">
      <c r="A54">
        <v>38</v>
      </c>
      <c r="B54">
        <v>1690201265.5</v>
      </c>
      <c r="C54">
        <v>418.5</v>
      </c>
      <c r="D54" t="s">
        <v>409</v>
      </c>
      <c r="E54" t="s">
        <v>410</v>
      </c>
      <c r="F54" t="s">
        <v>330</v>
      </c>
      <c r="H54">
        <v>1690201265.5</v>
      </c>
      <c r="I54">
        <f t="shared" si="0"/>
        <v>9.7076836445430788E-4</v>
      </c>
      <c r="J54">
        <f t="shared" si="1"/>
        <v>0.97076836445430792</v>
      </c>
      <c r="K54">
        <f t="shared" si="2"/>
        <v>17.468015757440529</v>
      </c>
      <c r="L54">
        <f t="shared" si="3"/>
        <v>599.64099999999996</v>
      </c>
      <c r="M54">
        <f t="shared" si="4"/>
        <v>145.55112845523431</v>
      </c>
      <c r="N54">
        <f t="shared" si="5"/>
        <v>14.421595287609248</v>
      </c>
      <c r="O54">
        <f t="shared" si="6"/>
        <v>59.414034859351894</v>
      </c>
      <c r="P54">
        <f t="shared" si="7"/>
        <v>6.373888984486159E-2</v>
      </c>
      <c r="Q54">
        <f t="shared" si="8"/>
        <v>2.0786767197274925</v>
      </c>
      <c r="R54">
        <f t="shared" si="9"/>
        <v>6.2672688883576869E-2</v>
      </c>
      <c r="S54">
        <f t="shared" si="10"/>
        <v>3.9264738869109909E-2</v>
      </c>
      <c r="T54">
        <f t="shared" si="11"/>
        <v>276.11318972531279</v>
      </c>
      <c r="U54">
        <f t="shared" si="12"/>
        <v>27.345254120795687</v>
      </c>
      <c r="V54">
        <f t="shared" si="13"/>
        <v>27.345254120795687</v>
      </c>
      <c r="W54">
        <f t="shared" si="14"/>
        <v>3.6523821081515999</v>
      </c>
      <c r="X54">
        <f t="shared" si="15"/>
        <v>66.192553184264497</v>
      </c>
      <c r="Y54">
        <f t="shared" si="16"/>
        <v>2.1626775668693003</v>
      </c>
      <c r="Z54">
        <f t="shared" si="17"/>
        <v>3.2672520741856186</v>
      </c>
      <c r="AA54">
        <f t="shared" si="18"/>
        <v>1.4897045412822996</v>
      </c>
      <c r="AB54">
        <f t="shared" si="19"/>
        <v>-42.810884872434976</v>
      </c>
      <c r="AC54">
        <f t="shared" si="20"/>
        <v>-211.66440027874131</v>
      </c>
      <c r="AD54">
        <f t="shared" si="21"/>
        <v>-21.844172706904995</v>
      </c>
      <c r="AE54">
        <f t="shared" si="22"/>
        <v>-0.20626813276848566</v>
      </c>
      <c r="AF54">
        <v>15</v>
      </c>
      <c r="AG54">
        <v>5</v>
      </c>
      <c r="AH54">
        <f t="shared" si="23"/>
        <v>1</v>
      </c>
      <c r="AI54">
        <f t="shared" si="24"/>
        <v>0</v>
      </c>
      <c r="AJ54">
        <f t="shared" si="25"/>
        <v>52546.843998206481</v>
      </c>
      <c r="AK54">
        <f t="shared" si="26"/>
        <v>1799.99</v>
      </c>
      <c r="AL54">
        <f t="shared" si="27"/>
        <v>1499.1055381896301</v>
      </c>
      <c r="AM54">
        <f t="shared" si="28"/>
        <v>0.83284103700000001</v>
      </c>
      <c r="AN54">
        <f t="shared" si="29"/>
        <v>0.15339706872</v>
      </c>
      <c r="AO54">
        <v>33.299999999999997</v>
      </c>
      <c r="AP54">
        <v>0.5</v>
      </c>
      <c r="AQ54" t="s">
        <v>331</v>
      </c>
      <c r="AR54">
        <v>2</v>
      </c>
      <c r="AS54">
        <v>1690201265.5</v>
      </c>
      <c r="AT54">
        <v>599.64099999999996</v>
      </c>
      <c r="AU54">
        <v>799.93600000000004</v>
      </c>
      <c r="AV54">
        <v>21.827000000000002</v>
      </c>
      <c r="AW54">
        <v>11.289899999999999</v>
      </c>
      <c r="AX54">
        <v>601.03200000000004</v>
      </c>
      <c r="AY54">
        <v>21.648800000000001</v>
      </c>
      <c r="AZ54">
        <v>300.09199999999998</v>
      </c>
      <c r="BA54">
        <v>98.982699999999994</v>
      </c>
      <c r="BB54">
        <v>9.9975900000000006E-2</v>
      </c>
      <c r="BC54">
        <v>25.456499999999998</v>
      </c>
      <c r="BD54">
        <v>26.998000000000001</v>
      </c>
      <c r="BE54">
        <v>27.398499999999999</v>
      </c>
      <c r="BF54">
        <v>0</v>
      </c>
      <c r="BG54">
        <v>0</v>
      </c>
      <c r="BH54">
        <v>9987.5</v>
      </c>
      <c r="BI54">
        <v>1072.81</v>
      </c>
      <c r="BJ54">
        <v>1.4577199999999999</v>
      </c>
      <c r="BK54">
        <v>-200.29599999999999</v>
      </c>
      <c r="BL54">
        <v>613.02099999999996</v>
      </c>
      <c r="BM54">
        <v>809.07</v>
      </c>
      <c r="BN54">
        <v>10.537100000000001</v>
      </c>
      <c r="BO54">
        <v>799.93600000000004</v>
      </c>
      <c r="BP54">
        <v>11.289899999999999</v>
      </c>
      <c r="BQ54">
        <v>2.1604899999999998</v>
      </c>
      <c r="BR54">
        <v>1.1174999999999999</v>
      </c>
      <c r="BS54">
        <v>18.6723</v>
      </c>
      <c r="BT54">
        <v>8.5457000000000001</v>
      </c>
      <c r="BU54">
        <v>1799.99</v>
      </c>
      <c r="BV54">
        <v>0.91000999999999999</v>
      </c>
      <c r="BW54">
        <v>3.3990899999999998E-2</v>
      </c>
      <c r="BX54">
        <v>2.1996100000000001E-2</v>
      </c>
      <c r="BY54">
        <v>3.4003199999999997E-2</v>
      </c>
      <c r="BZ54">
        <v>24</v>
      </c>
      <c r="CA54">
        <v>33528.300000000003</v>
      </c>
      <c r="CB54">
        <v>1690200769.5</v>
      </c>
      <c r="CC54" t="s">
        <v>332</v>
      </c>
      <c r="CD54">
        <v>1690200769.5</v>
      </c>
      <c r="CE54">
        <v>1690200753</v>
      </c>
      <c r="CF54">
        <v>2</v>
      </c>
      <c r="CG54">
        <v>-0.245</v>
      </c>
      <c r="CH54">
        <v>3.0000000000000001E-3</v>
      </c>
      <c r="CI54">
        <v>-1.5169999999999999</v>
      </c>
      <c r="CJ54">
        <v>-1.6E-2</v>
      </c>
      <c r="CK54">
        <v>778</v>
      </c>
      <c r="CL54">
        <v>12</v>
      </c>
      <c r="CM54">
        <v>0.01</v>
      </c>
      <c r="CN54">
        <v>0.03</v>
      </c>
      <c r="CO54">
        <v>-196.22947500000001</v>
      </c>
      <c r="CP54">
        <v>-22.843711069418021</v>
      </c>
      <c r="CQ54">
        <v>2.1977748745890668</v>
      </c>
      <c r="CR54">
        <v>-1</v>
      </c>
      <c r="CS54">
        <v>10.375575</v>
      </c>
      <c r="CT54">
        <v>0.81147467166975973</v>
      </c>
      <c r="CU54">
        <v>7.936994944561826E-2</v>
      </c>
      <c r="CV54">
        <v>-1</v>
      </c>
      <c r="CW54">
        <v>0</v>
      </c>
      <c r="CX54">
        <v>0</v>
      </c>
      <c r="CY54" t="s">
        <v>333</v>
      </c>
      <c r="CZ54">
        <v>2.36511</v>
      </c>
      <c r="DA54">
        <v>2.7137500000000001</v>
      </c>
      <c r="DB54">
        <v>0.120727</v>
      </c>
      <c r="DC54">
        <v>0.146346</v>
      </c>
      <c r="DD54">
        <v>0.106627</v>
      </c>
      <c r="DE54">
        <v>6.4981800000000006E-2</v>
      </c>
      <c r="DF54">
        <v>32070.5</v>
      </c>
      <c r="DG54">
        <v>27423.200000000001</v>
      </c>
      <c r="DH54">
        <v>31134.9</v>
      </c>
      <c r="DI54">
        <v>27989.200000000001</v>
      </c>
      <c r="DJ54">
        <v>37751.4</v>
      </c>
      <c r="DK54">
        <v>37177.699999999997</v>
      </c>
      <c r="DL54">
        <v>44295.4</v>
      </c>
      <c r="DM54">
        <v>42379.7</v>
      </c>
      <c r="DN54">
        <v>1.43848</v>
      </c>
      <c r="DO54">
        <v>2.0831200000000001</v>
      </c>
      <c r="DP54">
        <v>0.161491</v>
      </c>
      <c r="DQ54">
        <v>0.19159200000000001</v>
      </c>
      <c r="DR54">
        <v>24.351199999999999</v>
      </c>
      <c r="DS54">
        <v>24.2592</v>
      </c>
      <c r="DT54">
        <v>39.1</v>
      </c>
      <c r="DU54">
        <v>24.5</v>
      </c>
      <c r="DV54">
        <v>12.191000000000001</v>
      </c>
      <c r="DW54">
        <v>62.149900000000002</v>
      </c>
      <c r="DX54">
        <v>36.5304</v>
      </c>
      <c r="DY54">
        <v>1</v>
      </c>
      <c r="DZ54">
        <v>-0.15647900000000001</v>
      </c>
      <c r="EA54">
        <v>-0.18088000000000001</v>
      </c>
      <c r="EB54">
        <v>20.192599999999999</v>
      </c>
      <c r="EC54">
        <v>5.2411000000000003</v>
      </c>
      <c r="ED54">
        <v>12.039899999999999</v>
      </c>
      <c r="EE54">
        <v>5.0172999999999996</v>
      </c>
      <c r="EF54">
        <v>3.2879999999999998</v>
      </c>
      <c r="EG54">
        <v>9999</v>
      </c>
      <c r="EH54">
        <v>9999</v>
      </c>
      <c r="EI54">
        <v>9999</v>
      </c>
      <c r="EJ54">
        <v>999.9</v>
      </c>
      <c r="EK54">
        <v>1.8687400000000001</v>
      </c>
      <c r="EL54">
        <v>1.8644700000000001</v>
      </c>
      <c r="EM54">
        <v>1.8690500000000001</v>
      </c>
      <c r="EN54">
        <v>1.86707</v>
      </c>
      <c r="EO54">
        <v>1.8632500000000001</v>
      </c>
      <c r="EP54">
        <v>1.86432</v>
      </c>
      <c r="EQ54">
        <v>1.87</v>
      </c>
      <c r="ER54">
        <v>1.8692899999999999</v>
      </c>
      <c r="ES54">
        <v>0</v>
      </c>
      <c r="ET54">
        <v>0</v>
      </c>
      <c r="EU54">
        <v>0</v>
      </c>
      <c r="EV54">
        <v>0</v>
      </c>
      <c r="EW54" t="s">
        <v>334</v>
      </c>
      <c r="EX54" t="s">
        <v>335</v>
      </c>
      <c r="EY54" t="s">
        <v>336</v>
      </c>
      <c r="EZ54" t="s">
        <v>336</v>
      </c>
      <c r="FA54" t="s">
        <v>336</v>
      </c>
      <c r="FB54" t="s">
        <v>336</v>
      </c>
      <c r="FC54">
        <v>0</v>
      </c>
      <c r="FD54">
        <v>100</v>
      </c>
      <c r="FE54">
        <v>100</v>
      </c>
      <c r="FF54">
        <v>-1.391</v>
      </c>
      <c r="FG54">
        <v>0.1782</v>
      </c>
      <c r="FH54">
        <v>-0.98020551812546231</v>
      </c>
      <c r="FI54">
        <v>-6.1462078757559423E-4</v>
      </c>
      <c r="FJ54">
        <v>-1.8861989874597051E-7</v>
      </c>
      <c r="FK54">
        <v>1.1980462299894961E-10</v>
      </c>
      <c r="FL54">
        <v>0.1782306200647516</v>
      </c>
      <c r="FM54">
        <v>0</v>
      </c>
      <c r="FN54">
        <v>0</v>
      </c>
      <c r="FO54">
        <v>0</v>
      </c>
      <c r="FP54">
        <v>3</v>
      </c>
      <c r="FQ54">
        <v>2158</v>
      </c>
      <c r="FR54">
        <v>1</v>
      </c>
      <c r="FS54">
        <v>19</v>
      </c>
      <c r="FT54">
        <v>8.3000000000000007</v>
      </c>
      <c r="FU54">
        <v>8.5</v>
      </c>
      <c r="FV54">
        <v>1.7724599999999999</v>
      </c>
      <c r="FW54">
        <v>2.5439500000000002</v>
      </c>
      <c r="FX54">
        <v>1.5490699999999999</v>
      </c>
      <c r="FY54">
        <v>2.34497</v>
      </c>
      <c r="FZ54">
        <v>1.50146</v>
      </c>
      <c r="GA54">
        <v>2.33521</v>
      </c>
      <c r="GB54">
        <v>30.136099999999999</v>
      </c>
      <c r="GC54">
        <v>23.982399999999998</v>
      </c>
      <c r="GD54">
        <v>19</v>
      </c>
      <c r="GE54">
        <v>263.61900000000003</v>
      </c>
      <c r="GF54">
        <v>611.81899999999996</v>
      </c>
      <c r="GG54">
        <v>24.488299999999999</v>
      </c>
      <c r="GH54">
        <v>25.4452</v>
      </c>
      <c r="GI54">
        <v>30.000399999999999</v>
      </c>
      <c r="GJ54">
        <v>25.496300000000002</v>
      </c>
      <c r="GK54">
        <v>25.430199999999999</v>
      </c>
      <c r="GL54">
        <v>35.440100000000001</v>
      </c>
      <c r="GM54">
        <v>-30</v>
      </c>
      <c r="GN54">
        <v>-30</v>
      </c>
      <c r="GO54">
        <v>24.49</v>
      </c>
      <c r="GP54">
        <v>800</v>
      </c>
      <c r="GQ54">
        <v>0</v>
      </c>
      <c r="GR54">
        <v>99.601900000000001</v>
      </c>
      <c r="GS54">
        <v>99.18</v>
      </c>
    </row>
    <row r="55" spans="1:201" x14ac:dyDescent="0.25">
      <c r="A55">
        <v>39</v>
      </c>
      <c r="B55">
        <v>1690201275.5</v>
      </c>
      <c r="C55">
        <v>428.5</v>
      </c>
      <c r="D55" t="s">
        <v>411</v>
      </c>
      <c r="E55" t="s">
        <v>412</v>
      </c>
      <c r="F55" t="s">
        <v>330</v>
      </c>
      <c r="H55">
        <v>1690201275.5</v>
      </c>
      <c r="I55">
        <f t="shared" si="0"/>
        <v>9.8425500864501273E-4</v>
      </c>
      <c r="J55">
        <f t="shared" si="1"/>
        <v>0.9842550086450127</v>
      </c>
      <c r="K55">
        <f t="shared" si="2"/>
        <v>17.809849818934559</v>
      </c>
      <c r="L55">
        <f t="shared" si="3"/>
        <v>595.89</v>
      </c>
      <c r="M55">
        <f t="shared" si="4"/>
        <v>142.82948805167578</v>
      </c>
      <c r="N55">
        <f t="shared" si="5"/>
        <v>14.152433789916742</v>
      </c>
      <c r="O55">
        <f t="shared" si="6"/>
        <v>59.044486444020002</v>
      </c>
      <c r="P55">
        <f t="shared" si="7"/>
        <v>6.5133427563194138E-2</v>
      </c>
      <c r="Q55">
        <f t="shared" si="8"/>
        <v>2.0832430410380463</v>
      </c>
      <c r="R55">
        <f t="shared" si="9"/>
        <v>6.4022895307938948E-2</v>
      </c>
      <c r="S55">
        <f t="shared" si="10"/>
        <v>4.0112509295572148E-2</v>
      </c>
      <c r="T55">
        <f t="shared" si="11"/>
        <v>276.11284275924038</v>
      </c>
      <c r="U55">
        <f t="shared" si="12"/>
        <v>27.3532600174658</v>
      </c>
      <c r="V55">
        <f t="shared" si="13"/>
        <v>27.3532600174658</v>
      </c>
      <c r="W55">
        <f t="shared" si="14"/>
        <v>3.6540954144094528</v>
      </c>
      <c r="X55">
        <f t="shared" si="15"/>
        <v>66.522622973997514</v>
      </c>
      <c r="Y55">
        <f t="shared" si="16"/>
        <v>2.1756063627606004</v>
      </c>
      <c r="Z55">
        <f t="shared" si="17"/>
        <v>3.2704759155558332</v>
      </c>
      <c r="AA55">
        <f t="shared" si="18"/>
        <v>1.4784890516488525</v>
      </c>
      <c r="AB55">
        <f t="shared" si="19"/>
        <v>-43.405645881245064</v>
      </c>
      <c r="AC55">
        <f t="shared" si="20"/>
        <v>-211.16415364690124</v>
      </c>
      <c r="AD55">
        <f t="shared" si="21"/>
        <v>-21.747457304636622</v>
      </c>
      <c r="AE55">
        <f t="shared" si="22"/>
        <v>-0.20441407354252306</v>
      </c>
      <c r="AF55">
        <v>15</v>
      </c>
      <c r="AG55">
        <v>5</v>
      </c>
      <c r="AH55">
        <f t="shared" si="23"/>
        <v>1</v>
      </c>
      <c r="AI55">
        <f t="shared" si="24"/>
        <v>0</v>
      </c>
      <c r="AJ55">
        <f t="shared" si="25"/>
        <v>52750.59475398044</v>
      </c>
      <c r="AK55">
        <f t="shared" si="26"/>
        <v>1799.99</v>
      </c>
      <c r="AL55">
        <f t="shared" si="27"/>
        <v>1499.1017924104401</v>
      </c>
      <c r="AM55">
        <f t="shared" si="28"/>
        <v>0.83283895600000002</v>
      </c>
      <c r="AN55">
        <f t="shared" si="29"/>
        <v>0.15339687595999998</v>
      </c>
      <c r="AO55">
        <v>33.299999999999997</v>
      </c>
      <c r="AP55">
        <v>0.5</v>
      </c>
      <c r="AQ55" t="s">
        <v>331</v>
      </c>
      <c r="AR55">
        <v>2</v>
      </c>
      <c r="AS55">
        <v>1690201275.5</v>
      </c>
      <c r="AT55">
        <v>595.89</v>
      </c>
      <c r="AU55">
        <v>799.995</v>
      </c>
      <c r="AV55">
        <v>21.956700000000001</v>
      </c>
      <c r="AW55">
        <v>11.276300000000001</v>
      </c>
      <c r="AX55">
        <v>597.279</v>
      </c>
      <c r="AY55">
        <v>21.778400000000001</v>
      </c>
      <c r="AZ55">
        <v>300.13900000000001</v>
      </c>
      <c r="BA55">
        <v>98.986199999999997</v>
      </c>
      <c r="BB55">
        <v>0.100018</v>
      </c>
      <c r="BC55">
        <v>25.473099999999999</v>
      </c>
      <c r="BD55">
        <v>27.012499999999999</v>
      </c>
      <c r="BE55">
        <v>27.433499999999999</v>
      </c>
      <c r="BF55">
        <v>0</v>
      </c>
      <c r="BG55">
        <v>0</v>
      </c>
      <c r="BH55">
        <v>10028.1</v>
      </c>
      <c r="BI55">
        <v>1072.93</v>
      </c>
      <c r="BJ55">
        <v>1.4577199999999999</v>
      </c>
      <c r="BK55">
        <v>-204.10400000000001</v>
      </c>
      <c r="BL55">
        <v>609.26800000000003</v>
      </c>
      <c r="BM55">
        <v>809.11800000000005</v>
      </c>
      <c r="BN55">
        <v>10.680400000000001</v>
      </c>
      <c r="BO55">
        <v>799.995</v>
      </c>
      <c r="BP55">
        <v>11.276300000000001</v>
      </c>
      <c r="BQ55">
        <v>2.1734100000000001</v>
      </c>
      <c r="BR55">
        <v>1.1162000000000001</v>
      </c>
      <c r="BS55">
        <v>18.767600000000002</v>
      </c>
      <c r="BT55">
        <v>8.5284499999999994</v>
      </c>
      <c r="BU55">
        <v>1799.99</v>
      </c>
      <c r="BV55">
        <v>0.91000300000000001</v>
      </c>
      <c r="BW55">
        <v>3.4006000000000002E-2</v>
      </c>
      <c r="BX55">
        <v>2.19928E-2</v>
      </c>
      <c r="BY55">
        <v>3.3998E-2</v>
      </c>
      <c r="BZ55">
        <v>24</v>
      </c>
      <c r="CA55">
        <v>33528.199999999997</v>
      </c>
      <c r="CB55">
        <v>1690200769.5</v>
      </c>
      <c r="CC55" t="s">
        <v>332</v>
      </c>
      <c r="CD55">
        <v>1690200769.5</v>
      </c>
      <c r="CE55">
        <v>1690200753</v>
      </c>
      <c r="CF55">
        <v>2</v>
      </c>
      <c r="CG55">
        <v>-0.245</v>
      </c>
      <c r="CH55">
        <v>3.0000000000000001E-3</v>
      </c>
      <c r="CI55">
        <v>-1.5169999999999999</v>
      </c>
      <c r="CJ55">
        <v>-1.6E-2</v>
      </c>
      <c r="CK55">
        <v>778</v>
      </c>
      <c r="CL55">
        <v>12</v>
      </c>
      <c r="CM55">
        <v>0.01</v>
      </c>
      <c r="CN55">
        <v>0.03</v>
      </c>
      <c r="CO55">
        <v>-200.04492682926829</v>
      </c>
      <c r="CP55">
        <v>-22.028174216028169</v>
      </c>
      <c r="CQ55">
        <v>2.172806899822056</v>
      </c>
      <c r="CR55">
        <v>-1</v>
      </c>
      <c r="CS55">
        <v>10.522039024390249</v>
      </c>
      <c r="CT55">
        <v>0.87070871080142487</v>
      </c>
      <c r="CU55">
        <v>8.5862947737485262E-2</v>
      </c>
      <c r="CV55">
        <v>-1</v>
      </c>
      <c r="CW55">
        <v>0</v>
      </c>
      <c r="CX55">
        <v>0</v>
      </c>
      <c r="CY55" t="s">
        <v>333</v>
      </c>
      <c r="CZ55">
        <v>2.3652600000000001</v>
      </c>
      <c r="DA55">
        <v>2.7138300000000002</v>
      </c>
      <c r="DB55">
        <v>0.120201</v>
      </c>
      <c r="DC55">
        <v>0.14635600000000001</v>
      </c>
      <c r="DD55">
        <v>0.107081</v>
      </c>
      <c r="DE55">
        <v>6.4923900000000007E-2</v>
      </c>
      <c r="DF55">
        <v>32090.1</v>
      </c>
      <c r="DG55">
        <v>27423.200000000001</v>
      </c>
      <c r="DH55">
        <v>31135.3</v>
      </c>
      <c r="DI55">
        <v>27989.4</v>
      </c>
      <c r="DJ55">
        <v>37732.5</v>
      </c>
      <c r="DK55">
        <v>37180.300000000003</v>
      </c>
      <c r="DL55">
        <v>44296.1</v>
      </c>
      <c r="DM55">
        <v>42380</v>
      </c>
      <c r="DN55">
        <v>1.43868</v>
      </c>
      <c r="DO55">
        <v>2.08297</v>
      </c>
      <c r="DP55">
        <v>0.162162</v>
      </c>
      <c r="DQ55">
        <v>0.19345399999999999</v>
      </c>
      <c r="DR55">
        <v>24.354800000000001</v>
      </c>
      <c r="DS55">
        <v>24.2638</v>
      </c>
      <c r="DT55">
        <v>39</v>
      </c>
      <c r="DU55">
        <v>24.6</v>
      </c>
      <c r="DV55">
        <v>12.2331</v>
      </c>
      <c r="DW55">
        <v>61.989899999999999</v>
      </c>
      <c r="DX55">
        <v>36.238</v>
      </c>
      <c r="DY55">
        <v>1</v>
      </c>
      <c r="DZ55">
        <v>-0.15689800000000001</v>
      </c>
      <c r="EA55">
        <v>-7.6696600000000004E-2</v>
      </c>
      <c r="EB55">
        <v>20.192399999999999</v>
      </c>
      <c r="EC55">
        <v>5.2415500000000002</v>
      </c>
      <c r="ED55">
        <v>12.039899999999999</v>
      </c>
      <c r="EE55">
        <v>5.0170500000000002</v>
      </c>
      <c r="EF55">
        <v>3.2879999999999998</v>
      </c>
      <c r="EG55">
        <v>9999</v>
      </c>
      <c r="EH55">
        <v>9999</v>
      </c>
      <c r="EI55">
        <v>9999</v>
      </c>
      <c r="EJ55">
        <v>999.9</v>
      </c>
      <c r="EK55">
        <v>1.8687499999999999</v>
      </c>
      <c r="EL55">
        <v>1.8644700000000001</v>
      </c>
      <c r="EM55">
        <v>1.8690500000000001</v>
      </c>
      <c r="EN55">
        <v>1.8670800000000001</v>
      </c>
      <c r="EO55">
        <v>1.8632500000000001</v>
      </c>
      <c r="EP55">
        <v>1.86433</v>
      </c>
      <c r="EQ55">
        <v>1.87002</v>
      </c>
      <c r="ER55">
        <v>1.8693200000000001</v>
      </c>
      <c r="ES55">
        <v>0</v>
      </c>
      <c r="ET55">
        <v>0</v>
      </c>
      <c r="EU55">
        <v>0</v>
      </c>
      <c r="EV55">
        <v>0</v>
      </c>
      <c r="EW55" t="s">
        <v>334</v>
      </c>
      <c r="EX55" t="s">
        <v>335</v>
      </c>
      <c r="EY55" t="s">
        <v>336</v>
      </c>
      <c r="EZ55" t="s">
        <v>336</v>
      </c>
      <c r="FA55" t="s">
        <v>336</v>
      </c>
      <c r="FB55" t="s">
        <v>336</v>
      </c>
      <c r="FC55">
        <v>0</v>
      </c>
      <c r="FD55">
        <v>100</v>
      </c>
      <c r="FE55">
        <v>100</v>
      </c>
      <c r="FF55">
        <v>-1.389</v>
      </c>
      <c r="FG55">
        <v>0.17829999999999999</v>
      </c>
      <c r="FH55">
        <v>-0.98020551812546231</v>
      </c>
      <c r="FI55">
        <v>-6.1462078757559423E-4</v>
      </c>
      <c r="FJ55">
        <v>-1.8861989874597051E-7</v>
      </c>
      <c r="FK55">
        <v>1.1980462299894961E-10</v>
      </c>
      <c r="FL55">
        <v>0.1782306200647516</v>
      </c>
      <c r="FM55">
        <v>0</v>
      </c>
      <c r="FN55">
        <v>0</v>
      </c>
      <c r="FO55">
        <v>0</v>
      </c>
      <c r="FP55">
        <v>3</v>
      </c>
      <c r="FQ55">
        <v>2158</v>
      </c>
      <c r="FR55">
        <v>1</v>
      </c>
      <c r="FS55">
        <v>19</v>
      </c>
      <c r="FT55">
        <v>8.4</v>
      </c>
      <c r="FU55">
        <v>8.6999999999999993</v>
      </c>
      <c r="FV55">
        <v>1.7724599999999999</v>
      </c>
      <c r="FW55">
        <v>2.5415000000000001</v>
      </c>
      <c r="FX55">
        <v>1.5490699999999999</v>
      </c>
      <c r="FY55">
        <v>2.34497</v>
      </c>
      <c r="FZ55">
        <v>1.50146</v>
      </c>
      <c r="GA55">
        <v>2.3742700000000001</v>
      </c>
      <c r="GB55">
        <v>30.136099999999999</v>
      </c>
      <c r="GC55">
        <v>23.982399999999998</v>
      </c>
      <c r="GD55">
        <v>19</v>
      </c>
      <c r="GE55">
        <v>263.71600000000001</v>
      </c>
      <c r="GF55">
        <v>611.74900000000002</v>
      </c>
      <c r="GG55">
        <v>24.4924</v>
      </c>
      <c r="GH55">
        <v>25.4452</v>
      </c>
      <c r="GI55">
        <v>29.9999</v>
      </c>
      <c r="GJ55">
        <v>25.500599999999999</v>
      </c>
      <c r="GK55">
        <v>25.434999999999999</v>
      </c>
      <c r="GL55">
        <v>35.4435</v>
      </c>
      <c r="GM55">
        <v>-30</v>
      </c>
      <c r="GN55">
        <v>-30</v>
      </c>
      <c r="GO55">
        <v>24.310199999999998</v>
      </c>
      <c r="GP55">
        <v>800</v>
      </c>
      <c r="GQ55">
        <v>0</v>
      </c>
      <c r="GR55">
        <v>99.603200000000001</v>
      </c>
      <c r="GS55">
        <v>99.180899999999994</v>
      </c>
    </row>
    <row r="56" spans="1:201" x14ac:dyDescent="0.25">
      <c r="A56">
        <v>40</v>
      </c>
      <c r="B56">
        <v>1690201285.5</v>
      </c>
      <c r="C56">
        <v>438.5</v>
      </c>
      <c r="D56" t="s">
        <v>413</v>
      </c>
      <c r="E56" t="s">
        <v>414</v>
      </c>
      <c r="F56" t="s">
        <v>330</v>
      </c>
      <c r="H56">
        <v>1690201285.5</v>
      </c>
      <c r="I56">
        <f t="shared" si="0"/>
        <v>9.9705065642605021E-4</v>
      </c>
      <c r="J56">
        <f t="shared" si="1"/>
        <v>0.99705065642605017</v>
      </c>
      <c r="K56">
        <f t="shared" si="2"/>
        <v>18.132673296991459</v>
      </c>
      <c r="L56">
        <f t="shared" si="3"/>
        <v>592.33000000000004</v>
      </c>
      <c r="M56">
        <f t="shared" si="4"/>
        <v>140.80856370653115</v>
      </c>
      <c r="N56">
        <f t="shared" si="5"/>
        <v>13.951929613735262</v>
      </c>
      <c r="O56">
        <f t="shared" si="6"/>
        <v>58.690652404691001</v>
      </c>
      <c r="P56">
        <f t="shared" si="7"/>
        <v>6.6548152960899221E-2</v>
      </c>
      <c r="Q56">
        <f t="shared" si="8"/>
        <v>2.0756196503577264</v>
      </c>
      <c r="R56">
        <f t="shared" si="9"/>
        <v>6.5385140947766415E-2</v>
      </c>
      <c r="S56">
        <f t="shared" si="10"/>
        <v>4.0968512130763822E-2</v>
      </c>
      <c r="T56">
        <f t="shared" si="11"/>
        <v>276.11492903764986</v>
      </c>
      <c r="U56">
        <f t="shared" si="12"/>
        <v>27.352870348211074</v>
      </c>
      <c r="V56">
        <f t="shared" si="13"/>
        <v>27.352870348211074</v>
      </c>
      <c r="W56">
        <f t="shared" si="14"/>
        <v>3.654012006792736</v>
      </c>
      <c r="X56">
        <f t="shared" si="15"/>
        <v>66.898446271753045</v>
      </c>
      <c r="Y56">
        <f t="shared" si="16"/>
        <v>2.1876246350036794</v>
      </c>
      <c r="Z56">
        <f t="shared" si="17"/>
        <v>3.2700679267156225</v>
      </c>
      <c r="AA56">
        <f t="shared" si="18"/>
        <v>1.4663873717890565</v>
      </c>
      <c r="AB56">
        <f t="shared" si="19"/>
        <v>-43.969933948388814</v>
      </c>
      <c r="AC56">
        <f t="shared" si="20"/>
        <v>-210.58280986278467</v>
      </c>
      <c r="AD56">
        <f t="shared" si="21"/>
        <v>-21.766969274960687</v>
      </c>
      <c r="AE56">
        <f t="shared" si="22"/>
        <v>-0.20478404848429932</v>
      </c>
      <c r="AF56">
        <v>15</v>
      </c>
      <c r="AG56">
        <v>5</v>
      </c>
      <c r="AH56">
        <f t="shared" si="23"/>
        <v>1</v>
      </c>
      <c r="AI56">
        <f t="shared" si="24"/>
        <v>0</v>
      </c>
      <c r="AJ56">
        <f t="shared" si="25"/>
        <v>52406.327668314989</v>
      </c>
      <c r="AK56">
        <f t="shared" si="26"/>
        <v>1799.99</v>
      </c>
      <c r="AL56">
        <f t="shared" si="27"/>
        <v>1499.1058693877901</v>
      </c>
      <c r="AM56">
        <f t="shared" si="28"/>
        <v>0.83284122100000002</v>
      </c>
      <c r="AN56">
        <f t="shared" si="29"/>
        <v>0.15339803500999999</v>
      </c>
      <c r="AO56">
        <v>33.299999999999997</v>
      </c>
      <c r="AP56">
        <v>0.5</v>
      </c>
      <c r="AQ56" t="s">
        <v>331</v>
      </c>
      <c r="AR56">
        <v>2</v>
      </c>
      <c r="AS56">
        <v>1690201285.5</v>
      </c>
      <c r="AT56">
        <v>592.33000000000004</v>
      </c>
      <c r="AU56">
        <v>800.01</v>
      </c>
      <c r="AV56">
        <v>22.078399999999998</v>
      </c>
      <c r="AW56">
        <v>11.263199999999999</v>
      </c>
      <c r="AX56">
        <v>593.71600000000001</v>
      </c>
      <c r="AY56">
        <v>21.900200000000002</v>
      </c>
      <c r="AZ56">
        <v>300.214</v>
      </c>
      <c r="BA56">
        <v>98.984399999999994</v>
      </c>
      <c r="BB56">
        <v>9.9982699999999994E-2</v>
      </c>
      <c r="BC56">
        <v>25.471</v>
      </c>
      <c r="BD56">
        <v>27.022099999999998</v>
      </c>
      <c r="BE56">
        <v>27.3917</v>
      </c>
      <c r="BF56">
        <v>0</v>
      </c>
      <c r="BG56">
        <v>0</v>
      </c>
      <c r="BH56">
        <v>9960</v>
      </c>
      <c r="BI56">
        <v>1072.92</v>
      </c>
      <c r="BJ56">
        <v>1.4577199999999999</v>
      </c>
      <c r="BK56">
        <v>-207.68</v>
      </c>
      <c r="BL56">
        <v>605.70299999999997</v>
      </c>
      <c r="BM56">
        <v>809.12300000000005</v>
      </c>
      <c r="BN56">
        <v>10.815200000000001</v>
      </c>
      <c r="BO56">
        <v>800.01</v>
      </c>
      <c r="BP56">
        <v>11.263199999999999</v>
      </c>
      <c r="BQ56">
        <v>2.1854200000000001</v>
      </c>
      <c r="BR56">
        <v>1.1148899999999999</v>
      </c>
      <c r="BS56">
        <v>18.855799999999999</v>
      </c>
      <c r="BT56">
        <v>8.5110600000000005</v>
      </c>
      <c r="BU56">
        <v>1799.99</v>
      </c>
      <c r="BV56">
        <v>0.91</v>
      </c>
      <c r="BW56">
        <v>3.3999700000000001E-2</v>
      </c>
      <c r="BX56">
        <v>2.2008799999999999E-2</v>
      </c>
      <c r="BY56">
        <v>3.39917E-2</v>
      </c>
      <c r="BZ56">
        <v>24</v>
      </c>
      <c r="CA56">
        <v>33528</v>
      </c>
      <c r="CB56">
        <v>1690200769.5</v>
      </c>
      <c r="CC56" t="s">
        <v>332</v>
      </c>
      <c r="CD56">
        <v>1690200769.5</v>
      </c>
      <c r="CE56">
        <v>1690200753</v>
      </c>
      <c r="CF56">
        <v>2</v>
      </c>
      <c r="CG56">
        <v>-0.245</v>
      </c>
      <c r="CH56">
        <v>3.0000000000000001E-3</v>
      </c>
      <c r="CI56">
        <v>-1.5169999999999999</v>
      </c>
      <c r="CJ56">
        <v>-1.6E-2</v>
      </c>
      <c r="CK56">
        <v>778</v>
      </c>
      <c r="CL56">
        <v>12</v>
      </c>
      <c r="CM56">
        <v>0.01</v>
      </c>
      <c r="CN56">
        <v>0.03</v>
      </c>
      <c r="CO56">
        <v>-203.6916341463415</v>
      </c>
      <c r="CP56">
        <v>-22.125888501742299</v>
      </c>
      <c r="CQ56">
        <v>2.182368826623811</v>
      </c>
      <c r="CR56">
        <v>-1</v>
      </c>
      <c r="CS56">
        <v>10.66565853658537</v>
      </c>
      <c r="CT56">
        <v>0.85005993031361327</v>
      </c>
      <c r="CU56">
        <v>8.3826213885894854E-2</v>
      </c>
      <c r="CV56">
        <v>-1</v>
      </c>
      <c r="CW56">
        <v>0</v>
      </c>
      <c r="CX56">
        <v>0</v>
      </c>
      <c r="CY56" t="s">
        <v>333</v>
      </c>
      <c r="CZ56">
        <v>2.3655200000000001</v>
      </c>
      <c r="DA56">
        <v>2.71374</v>
      </c>
      <c r="DB56">
        <v>0.11969399999999999</v>
      </c>
      <c r="DC56">
        <v>0.14635400000000001</v>
      </c>
      <c r="DD56">
        <v>0.107502</v>
      </c>
      <c r="DE56">
        <v>6.4865300000000001E-2</v>
      </c>
      <c r="DF56">
        <v>32108.7</v>
      </c>
      <c r="DG56">
        <v>27423.8</v>
      </c>
      <c r="DH56">
        <v>31135.4</v>
      </c>
      <c r="DI56">
        <v>27990</v>
      </c>
      <c r="DJ56">
        <v>37714.5</v>
      </c>
      <c r="DK56">
        <v>37183.4</v>
      </c>
      <c r="DL56">
        <v>44296.2</v>
      </c>
      <c r="DM56">
        <v>42380.9</v>
      </c>
      <c r="DN56">
        <v>1.43842</v>
      </c>
      <c r="DO56">
        <v>2.0829499999999999</v>
      </c>
      <c r="DP56">
        <v>0.16234799999999999</v>
      </c>
      <c r="DQ56">
        <v>0.19058600000000001</v>
      </c>
      <c r="DR56">
        <v>24.3613</v>
      </c>
      <c r="DS56">
        <v>24.268899999999999</v>
      </c>
      <c r="DT56">
        <v>39</v>
      </c>
      <c r="DU56">
        <v>24.6</v>
      </c>
      <c r="DV56">
        <v>12.230600000000001</v>
      </c>
      <c r="DW56">
        <v>62.219900000000003</v>
      </c>
      <c r="DX56">
        <v>36.037700000000001</v>
      </c>
      <c r="DY56">
        <v>1</v>
      </c>
      <c r="DZ56">
        <v>-0.156278</v>
      </c>
      <c r="EA56">
        <v>0.16402800000000001</v>
      </c>
      <c r="EB56">
        <v>20.192599999999999</v>
      </c>
      <c r="EC56">
        <v>5.2413999999999996</v>
      </c>
      <c r="ED56">
        <v>12.039899999999999</v>
      </c>
      <c r="EE56">
        <v>5.0170500000000002</v>
      </c>
      <c r="EF56">
        <v>3.2879999999999998</v>
      </c>
      <c r="EG56">
        <v>9999</v>
      </c>
      <c r="EH56">
        <v>9999</v>
      </c>
      <c r="EI56">
        <v>9999</v>
      </c>
      <c r="EJ56">
        <v>999.9</v>
      </c>
      <c r="EK56">
        <v>1.8687499999999999</v>
      </c>
      <c r="EL56">
        <v>1.8644700000000001</v>
      </c>
      <c r="EM56">
        <v>1.8690500000000001</v>
      </c>
      <c r="EN56">
        <v>1.86707</v>
      </c>
      <c r="EO56">
        <v>1.8632500000000001</v>
      </c>
      <c r="EP56">
        <v>1.86432</v>
      </c>
      <c r="EQ56">
        <v>1.87002</v>
      </c>
      <c r="ER56">
        <v>1.8693200000000001</v>
      </c>
      <c r="ES56">
        <v>0</v>
      </c>
      <c r="ET56">
        <v>0</v>
      </c>
      <c r="EU56">
        <v>0</v>
      </c>
      <c r="EV56">
        <v>0</v>
      </c>
      <c r="EW56" t="s">
        <v>334</v>
      </c>
      <c r="EX56" t="s">
        <v>335</v>
      </c>
      <c r="EY56" t="s">
        <v>336</v>
      </c>
      <c r="EZ56" t="s">
        <v>336</v>
      </c>
      <c r="FA56" t="s">
        <v>336</v>
      </c>
      <c r="FB56" t="s">
        <v>336</v>
      </c>
      <c r="FC56">
        <v>0</v>
      </c>
      <c r="FD56">
        <v>100</v>
      </c>
      <c r="FE56">
        <v>100</v>
      </c>
      <c r="FF56">
        <v>-1.3859999999999999</v>
      </c>
      <c r="FG56">
        <v>0.1782</v>
      </c>
      <c r="FH56">
        <v>-0.98020551812546231</v>
      </c>
      <c r="FI56">
        <v>-6.1462078757559423E-4</v>
      </c>
      <c r="FJ56">
        <v>-1.8861989874597051E-7</v>
      </c>
      <c r="FK56">
        <v>1.1980462299894961E-10</v>
      </c>
      <c r="FL56">
        <v>0.1782306200647516</v>
      </c>
      <c r="FM56">
        <v>0</v>
      </c>
      <c r="FN56">
        <v>0</v>
      </c>
      <c r="FO56">
        <v>0</v>
      </c>
      <c r="FP56">
        <v>3</v>
      </c>
      <c r="FQ56">
        <v>2158</v>
      </c>
      <c r="FR56">
        <v>1</v>
      </c>
      <c r="FS56">
        <v>19</v>
      </c>
      <c r="FT56">
        <v>8.6</v>
      </c>
      <c r="FU56">
        <v>8.9</v>
      </c>
      <c r="FV56">
        <v>1.7724599999999999</v>
      </c>
      <c r="FW56">
        <v>2.5390600000000001</v>
      </c>
      <c r="FX56">
        <v>1.5490699999999999</v>
      </c>
      <c r="FY56">
        <v>2.34497</v>
      </c>
      <c r="FZ56">
        <v>1.50146</v>
      </c>
      <c r="GA56">
        <v>2.3742700000000001</v>
      </c>
      <c r="GB56">
        <v>30.157599999999999</v>
      </c>
      <c r="GC56">
        <v>23.982399999999998</v>
      </c>
      <c r="GD56">
        <v>19</v>
      </c>
      <c r="GE56">
        <v>263.625</v>
      </c>
      <c r="GF56">
        <v>611.77800000000002</v>
      </c>
      <c r="GG56">
        <v>24.282399999999999</v>
      </c>
      <c r="GH56">
        <v>25.4452</v>
      </c>
      <c r="GI56">
        <v>30.0002</v>
      </c>
      <c r="GJ56">
        <v>25.502700000000001</v>
      </c>
      <c r="GK56">
        <v>25.439299999999999</v>
      </c>
      <c r="GL56">
        <v>35.441299999999998</v>
      </c>
      <c r="GM56">
        <v>-30</v>
      </c>
      <c r="GN56">
        <v>-30</v>
      </c>
      <c r="GO56">
        <v>24.288399999999999</v>
      </c>
      <c r="GP56">
        <v>800</v>
      </c>
      <c r="GQ56">
        <v>0</v>
      </c>
      <c r="GR56">
        <v>99.6036</v>
      </c>
      <c r="GS56">
        <v>99.182900000000004</v>
      </c>
    </row>
    <row r="57" spans="1:201" x14ac:dyDescent="0.25">
      <c r="A57">
        <v>41</v>
      </c>
      <c r="B57">
        <v>1690201295.5</v>
      </c>
      <c r="C57">
        <v>448.5</v>
      </c>
      <c r="D57" t="s">
        <v>415</v>
      </c>
      <c r="E57" t="s">
        <v>416</v>
      </c>
      <c r="F57" t="s">
        <v>330</v>
      </c>
      <c r="H57">
        <v>1690201295.5</v>
      </c>
      <c r="I57">
        <f t="shared" si="0"/>
        <v>1.0085906276542371E-3</v>
      </c>
      <c r="J57">
        <f t="shared" si="1"/>
        <v>1.0085906276542371</v>
      </c>
      <c r="K57">
        <f t="shared" si="2"/>
        <v>18.447782153576217</v>
      </c>
      <c r="L57">
        <f t="shared" si="3"/>
        <v>588.85699999999997</v>
      </c>
      <c r="M57">
        <f t="shared" si="4"/>
        <v>139.02294863237168</v>
      </c>
      <c r="N57">
        <f t="shared" si="5"/>
        <v>13.774955125161963</v>
      </c>
      <c r="O57">
        <f t="shared" si="6"/>
        <v>58.346329364565996</v>
      </c>
      <c r="P57">
        <f t="shared" si="7"/>
        <v>6.7959152657804153E-2</v>
      </c>
      <c r="Q57">
        <f t="shared" si="8"/>
        <v>2.0832182384226114</v>
      </c>
      <c r="R57">
        <f t="shared" si="9"/>
        <v>6.6751121515952846E-2</v>
      </c>
      <c r="S57">
        <f t="shared" si="10"/>
        <v>4.1826199113867778E-2</v>
      </c>
      <c r="T57">
        <f t="shared" si="11"/>
        <v>276.11272137878518</v>
      </c>
      <c r="U57">
        <f t="shared" si="12"/>
        <v>27.338718594060811</v>
      </c>
      <c r="V57">
        <f t="shared" si="13"/>
        <v>27.338718594060811</v>
      </c>
      <c r="W57">
        <f t="shared" si="14"/>
        <v>3.6509839890343492</v>
      </c>
      <c r="X57">
        <f t="shared" si="15"/>
        <v>67.232149008251767</v>
      </c>
      <c r="Y57">
        <f t="shared" si="16"/>
        <v>2.1980406653767997</v>
      </c>
      <c r="Z57">
        <f t="shared" si="17"/>
        <v>3.2693297742230758</v>
      </c>
      <c r="AA57">
        <f t="shared" si="18"/>
        <v>1.4529433236575495</v>
      </c>
      <c r="AB57">
        <f t="shared" si="19"/>
        <v>-44.478846679551857</v>
      </c>
      <c r="AC57">
        <f t="shared" si="20"/>
        <v>-210.19111732265947</v>
      </c>
      <c r="AD57">
        <f t="shared" si="21"/>
        <v>-21.645284853317989</v>
      </c>
      <c r="AE57">
        <f t="shared" si="22"/>
        <v>-0.2025274767441374</v>
      </c>
      <c r="AF57">
        <v>15</v>
      </c>
      <c r="AG57">
        <v>5</v>
      </c>
      <c r="AH57">
        <f t="shared" si="23"/>
        <v>1</v>
      </c>
      <c r="AI57">
        <f t="shared" si="24"/>
        <v>0</v>
      </c>
      <c r="AJ57">
        <f t="shared" si="25"/>
        <v>52750.465088092838</v>
      </c>
      <c r="AK57">
        <f t="shared" si="26"/>
        <v>1799.98</v>
      </c>
      <c r="AL57">
        <f t="shared" si="27"/>
        <v>1499.0987703619201</v>
      </c>
      <c r="AM57">
        <f t="shared" si="28"/>
        <v>0.83284190400000002</v>
      </c>
      <c r="AN57">
        <f t="shared" si="29"/>
        <v>0.15339766074</v>
      </c>
      <c r="AO57">
        <v>33.299999999999997</v>
      </c>
      <c r="AP57">
        <v>0.5</v>
      </c>
      <c r="AQ57" t="s">
        <v>331</v>
      </c>
      <c r="AR57">
        <v>2</v>
      </c>
      <c r="AS57">
        <v>1690201295.5</v>
      </c>
      <c r="AT57">
        <v>588.85699999999997</v>
      </c>
      <c r="AU57">
        <v>799.96299999999997</v>
      </c>
      <c r="AV57">
        <v>22.183599999999998</v>
      </c>
      <c r="AW57">
        <v>11.2499</v>
      </c>
      <c r="AX57">
        <v>590.24099999999999</v>
      </c>
      <c r="AY57">
        <v>22.005400000000002</v>
      </c>
      <c r="AZ57">
        <v>300.36500000000001</v>
      </c>
      <c r="BA57">
        <v>98.983999999999995</v>
      </c>
      <c r="BB57">
        <v>0.100038</v>
      </c>
      <c r="BC57">
        <v>25.467199999999998</v>
      </c>
      <c r="BD57">
        <v>27.0106</v>
      </c>
      <c r="BE57">
        <v>27.363800000000001</v>
      </c>
      <c r="BF57">
        <v>0</v>
      </c>
      <c r="BG57">
        <v>0</v>
      </c>
      <c r="BH57">
        <v>10028.1</v>
      </c>
      <c r="BI57">
        <v>1072.9100000000001</v>
      </c>
      <c r="BJ57">
        <v>1.4577199999999999</v>
      </c>
      <c r="BK57">
        <v>-211.107</v>
      </c>
      <c r="BL57">
        <v>602.21600000000001</v>
      </c>
      <c r="BM57">
        <v>809.06500000000005</v>
      </c>
      <c r="BN57">
        <v>10.9338</v>
      </c>
      <c r="BO57">
        <v>799.96299999999997</v>
      </c>
      <c r="BP57">
        <v>11.2499</v>
      </c>
      <c r="BQ57">
        <v>2.1958299999999999</v>
      </c>
      <c r="BR57">
        <v>1.1135600000000001</v>
      </c>
      <c r="BS57">
        <v>18.931899999999999</v>
      </c>
      <c r="BT57">
        <v>8.4934700000000003</v>
      </c>
      <c r="BU57">
        <v>1799.98</v>
      </c>
      <c r="BV57">
        <v>0.91001299999999996</v>
      </c>
      <c r="BW57">
        <v>3.3994200000000002E-2</v>
      </c>
      <c r="BX57">
        <v>2.20062E-2</v>
      </c>
      <c r="BY57">
        <v>3.3986200000000001E-2</v>
      </c>
      <c r="BZ57">
        <v>24</v>
      </c>
      <c r="CA57">
        <v>33528</v>
      </c>
      <c r="CB57">
        <v>1690200769.5</v>
      </c>
      <c r="CC57" t="s">
        <v>332</v>
      </c>
      <c r="CD57">
        <v>1690200769.5</v>
      </c>
      <c r="CE57">
        <v>1690200753</v>
      </c>
      <c r="CF57">
        <v>2</v>
      </c>
      <c r="CG57">
        <v>-0.245</v>
      </c>
      <c r="CH57">
        <v>3.0000000000000001E-3</v>
      </c>
      <c r="CI57">
        <v>-1.5169999999999999</v>
      </c>
      <c r="CJ57">
        <v>-1.6E-2</v>
      </c>
      <c r="CK57">
        <v>778</v>
      </c>
      <c r="CL57">
        <v>12</v>
      </c>
      <c r="CM57">
        <v>0.01</v>
      </c>
      <c r="CN57">
        <v>0.03</v>
      </c>
      <c r="CO57">
        <v>-207.190775</v>
      </c>
      <c r="CP57">
        <v>-21.02891932457754</v>
      </c>
      <c r="CQ57">
        <v>2.0230946157743079</v>
      </c>
      <c r="CR57">
        <v>-1</v>
      </c>
      <c r="CS57">
        <v>10.7958775</v>
      </c>
      <c r="CT57">
        <v>0.7536371482176305</v>
      </c>
      <c r="CU57">
        <v>7.2567962929587532E-2</v>
      </c>
      <c r="CV57">
        <v>-1</v>
      </c>
      <c r="CW57">
        <v>0</v>
      </c>
      <c r="CX57">
        <v>0</v>
      </c>
      <c r="CY57" t="s">
        <v>333</v>
      </c>
      <c r="CZ57">
        <v>2.3660199999999998</v>
      </c>
      <c r="DA57">
        <v>2.7138599999999999</v>
      </c>
      <c r="DB57">
        <v>0.119199</v>
      </c>
      <c r="DC57">
        <v>0.146346</v>
      </c>
      <c r="DD57">
        <v>0.107865</v>
      </c>
      <c r="DE57">
        <v>6.4805799999999997E-2</v>
      </c>
      <c r="DF57">
        <v>32127</v>
      </c>
      <c r="DG57">
        <v>27424.799999999999</v>
      </c>
      <c r="DH57">
        <v>31135.599999999999</v>
      </c>
      <c r="DI57">
        <v>27990.7</v>
      </c>
      <c r="DJ57">
        <v>37699.4</v>
      </c>
      <c r="DK57">
        <v>37186.699999999997</v>
      </c>
      <c r="DL57">
        <v>44296.7</v>
      </c>
      <c r="DM57">
        <v>42381.9</v>
      </c>
      <c r="DN57">
        <v>1.4389000000000001</v>
      </c>
      <c r="DO57">
        <v>2.0825499999999999</v>
      </c>
      <c r="DP57">
        <v>0.16123100000000001</v>
      </c>
      <c r="DQ57">
        <v>0.18853700000000001</v>
      </c>
      <c r="DR57">
        <v>24.368099999999998</v>
      </c>
      <c r="DS57">
        <v>24.2745</v>
      </c>
      <c r="DT57">
        <v>38.9</v>
      </c>
      <c r="DU57">
        <v>24.6</v>
      </c>
      <c r="DV57">
        <v>12.2035</v>
      </c>
      <c r="DW57">
        <v>61.789900000000003</v>
      </c>
      <c r="DX57">
        <v>35.681100000000001</v>
      </c>
      <c r="DY57">
        <v>1</v>
      </c>
      <c r="DZ57">
        <v>-0.15753300000000001</v>
      </c>
      <c r="EA57">
        <v>4.35185E-3</v>
      </c>
      <c r="EB57">
        <v>20.193000000000001</v>
      </c>
      <c r="EC57">
        <v>5.24125</v>
      </c>
      <c r="ED57">
        <v>12.039899999999999</v>
      </c>
      <c r="EE57">
        <v>5.0171000000000001</v>
      </c>
      <c r="EF57">
        <v>3.2879999999999998</v>
      </c>
      <c r="EG57">
        <v>9999</v>
      </c>
      <c r="EH57">
        <v>9999</v>
      </c>
      <c r="EI57">
        <v>9999</v>
      </c>
      <c r="EJ57">
        <v>999.9</v>
      </c>
      <c r="EK57">
        <v>1.86876</v>
      </c>
      <c r="EL57">
        <v>1.8644700000000001</v>
      </c>
      <c r="EM57">
        <v>1.8690500000000001</v>
      </c>
      <c r="EN57">
        <v>1.86707</v>
      </c>
      <c r="EO57">
        <v>1.8632500000000001</v>
      </c>
      <c r="EP57">
        <v>1.86432</v>
      </c>
      <c r="EQ57">
        <v>1.8700600000000001</v>
      </c>
      <c r="ER57">
        <v>1.8692800000000001</v>
      </c>
      <c r="ES57">
        <v>0</v>
      </c>
      <c r="ET57">
        <v>0</v>
      </c>
      <c r="EU57">
        <v>0</v>
      </c>
      <c r="EV57">
        <v>0</v>
      </c>
      <c r="EW57" t="s">
        <v>334</v>
      </c>
      <c r="EX57" t="s">
        <v>335</v>
      </c>
      <c r="EY57" t="s">
        <v>336</v>
      </c>
      <c r="EZ57" t="s">
        <v>336</v>
      </c>
      <c r="FA57" t="s">
        <v>336</v>
      </c>
      <c r="FB57" t="s">
        <v>336</v>
      </c>
      <c r="FC57">
        <v>0</v>
      </c>
      <c r="FD57">
        <v>100</v>
      </c>
      <c r="FE57">
        <v>100</v>
      </c>
      <c r="FF57">
        <v>-1.3839999999999999</v>
      </c>
      <c r="FG57">
        <v>0.1782</v>
      </c>
      <c r="FH57">
        <v>-0.98020551812546231</v>
      </c>
      <c r="FI57">
        <v>-6.1462078757559423E-4</v>
      </c>
      <c r="FJ57">
        <v>-1.8861989874597051E-7</v>
      </c>
      <c r="FK57">
        <v>1.1980462299894961E-10</v>
      </c>
      <c r="FL57">
        <v>0.1782306200647516</v>
      </c>
      <c r="FM57">
        <v>0</v>
      </c>
      <c r="FN57">
        <v>0</v>
      </c>
      <c r="FO57">
        <v>0</v>
      </c>
      <c r="FP57">
        <v>3</v>
      </c>
      <c r="FQ57">
        <v>2158</v>
      </c>
      <c r="FR57">
        <v>1</v>
      </c>
      <c r="FS57">
        <v>19</v>
      </c>
      <c r="FT57">
        <v>8.8000000000000007</v>
      </c>
      <c r="FU57">
        <v>9</v>
      </c>
      <c r="FV57">
        <v>1.7724599999999999</v>
      </c>
      <c r="FW57">
        <v>2.5390600000000001</v>
      </c>
      <c r="FX57">
        <v>1.5490699999999999</v>
      </c>
      <c r="FY57">
        <v>2.34497</v>
      </c>
      <c r="FZ57">
        <v>1.50146</v>
      </c>
      <c r="GA57">
        <v>2.3938000000000001</v>
      </c>
      <c r="GB57">
        <v>30.157599999999999</v>
      </c>
      <c r="GC57">
        <v>23.982399999999998</v>
      </c>
      <c r="GD57">
        <v>19</v>
      </c>
      <c r="GE57">
        <v>263.82900000000001</v>
      </c>
      <c r="GF57">
        <v>611.48199999999997</v>
      </c>
      <c r="GG57">
        <v>24.255500000000001</v>
      </c>
      <c r="GH57">
        <v>25.4452</v>
      </c>
      <c r="GI57">
        <v>29.999500000000001</v>
      </c>
      <c r="GJ57">
        <v>25.5059</v>
      </c>
      <c r="GK57">
        <v>25.443000000000001</v>
      </c>
      <c r="GL57">
        <v>35.443899999999999</v>
      </c>
      <c r="GM57">
        <v>-30</v>
      </c>
      <c r="GN57">
        <v>-30</v>
      </c>
      <c r="GO57">
        <v>24.257899999999999</v>
      </c>
      <c r="GP57">
        <v>800</v>
      </c>
      <c r="GQ57">
        <v>0</v>
      </c>
      <c r="GR57">
        <v>99.604600000000005</v>
      </c>
      <c r="GS57">
        <v>99.185400000000001</v>
      </c>
    </row>
    <row r="58" spans="1:201" x14ac:dyDescent="0.25">
      <c r="A58">
        <v>42</v>
      </c>
      <c r="B58">
        <v>1690201305.5</v>
      </c>
      <c r="C58">
        <v>458.5</v>
      </c>
      <c r="D58" t="s">
        <v>417</v>
      </c>
      <c r="E58" t="s">
        <v>418</v>
      </c>
      <c r="F58" t="s">
        <v>330</v>
      </c>
      <c r="H58">
        <v>1690201305.5</v>
      </c>
      <c r="I58">
        <f t="shared" si="0"/>
        <v>1.0201378167149307E-3</v>
      </c>
      <c r="J58">
        <f t="shared" si="1"/>
        <v>1.0201378167149306</v>
      </c>
      <c r="K58">
        <f t="shared" si="2"/>
        <v>18.75906610863683</v>
      </c>
      <c r="L58">
        <f t="shared" si="3"/>
        <v>585.32899999999995</v>
      </c>
      <c r="M58">
        <f t="shared" si="4"/>
        <v>136.91155891588858</v>
      </c>
      <c r="N58">
        <f t="shared" si="5"/>
        <v>13.565473408000573</v>
      </c>
      <c r="O58">
        <f t="shared" si="6"/>
        <v>57.995577928592986</v>
      </c>
      <c r="P58">
        <f t="shared" si="7"/>
        <v>6.9329383287950339E-2</v>
      </c>
      <c r="Q58">
        <f t="shared" si="8"/>
        <v>2.0802764308522588</v>
      </c>
      <c r="R58">
        <f t="shared" si="9"/>
        <v>6.8070890120855695E-2</v>
      </c>
      <c r="S58">
        <f t="shared" si="10"/>
        <v>4.2655474140013958E-2</v>
      </c>
      <c r="T58">
        <f t="shared" si="11"/>
        <v>276.1144076525465</v>
      </c>
      <c r="U58">
        <f t="shared" si="12"/>
        <v>27.335915749115113</v>
      </c>
      <c r="V58">
        <f t="shared" si="13"/>
        <v>27.335915749115113</v>
      </c>
      <c r="W58">
        <f t="shared" si="14"/>
        <v>3.6503845307461815</v>
      </c>
      <c r="X58">
        <f t="shared" si="15"/>
        <v>67.584325418404845</v>
      </c>
      <c r="Y58">
        <f t="shared" si="16"/>
        <v>2.2094100806796</v>
      </c>
      <c r="Z58">
        <f t="shared" si="17"/>
        <v>3.2691161256718324</v>
      </c>
      <c r="AA58">
        <f t="shared" si="18"/>
        <v>1.4409744500665815</v>
      </c>
      <c r="AB58">
        <f t="shared" si="19"/>
        <v>-44.988077717128441</v>
      </c>
      <c r="AC58">
        <f t="shared" si="20"/>
        <v>-209.70331961801151</v>
      </c>
      <c r="AD58">
        <f t="shared" si="21"/>
        <v>-21.625167157988873</v>
      </c>
      <c r="AE58">
        <f t="shared" si="22"/>
        <v>-0.20215684058231886</v>
      </c>
      <c r="AF58">
        <v>15</v>
      </c>
      <c r="AG58">
        <v>5</v>
      </c>
      <c r="AH58">
        <f t="shared" si="23"/>
        <v>1</v>
      </c>
      <c r="AI58">
        <f t="shared" si="24"/>
        <v>0</v>
      </c>
      <c r="AJ58">
        <f t="shared" si="25"/>
        <v>52617.452505243789</v>
      </c>
      <c r="AK58">
        <f t="shared" si="26"/>
        <v>1799.99</v>
      </c>
      <c r="AL58">
        <f t="shared" si="27"/>
        <v>1499.1013676127998</v>
      </c>
      <c r="AM58">
        <f t="shared" si="28"/>
        <v>0.83283871999999992</v>
      </c>
      <c r="AN58">
        <f t="shared" si="29"/>
        <v>0.15339774535</v>
      </c>
      <c r="AO58">
        <v>33.299999999999997</v>
      </c>
      <c r="AP58">
        <v>0.5</v>
      </c>
      <c r="AQ58" t="s">
        <v>331</v>
      </c>
      <c r="AR58">
        <v>2</v>
      </c>
      <c r="AS58">
        <v>1690201305.5</v>
      </c>
      <c r="AT58">
        <v>585.32899999999995</v>
      </c>
      <c r="AU58">
        <v>799.98800000000006</v>
      </c>
      <c r="AV58">
        <v>22.2988</v>
      </c>
      <c r="AW58">
        <v>11.2378</v>
      </c>
      <c r="AX58">
        <v>586.71</v>
      </c>
      <c r="AY58">
        <v>22.1206</v>
      </c>
      <c r="AZ58">
        <v>300.27199999999999</v>
      </c>
      <c r="BA58">
        <v>98.981999999999999</v>
      </c>
      <c r="BB58">
        <v>0.10001699999999999</v>
      </c>
      <c r="BC58">
        <v>25.466100000000001</v>
      </c>
      <c r="BD58">
        <v>26.977900000000002</v>
      </c>
      <c r="BE58">
        <v>27.374500000000001</v>
      </c>
      <c r="BF58">
        <v>0</v>
      </c>
      <c r="BG58">
        <v>0</v>
      </c>
      <c r="BH58">
        <v>10001.9</v>
      </c>
      <c r="BI58">
        <v>1072.8599999999999</v>
      </c>
      <c r="BJ58">
        <v>1.4577199999999999</v>
      </c>
      <c r="BK58">
        <v>-214.65899999999999</v>
      </c>
      <c r="BL58">
        <v>598.678</v>
      </c>
      <c r="BM58">
        <v>809.08</v>
      </c>
      <c r="BN58">
        <v>11.061</v>
      </c>
      <c r="BO58">
        <v>799.98800000000006</v>
      </c>
      <c r="BP58">
        <v>11.2378</v>
      </c>
      <c r="BQ58">
        <v>2.2071800000000001</v>
      </c>
      <c r="BR58">
        <v>1.1123400000000001</v>
      </c>
      <c r="BS58">
        <v>19.014500000000002</v>
      </c>
      <c r="BT58">
        <v>8.4773300000000003</v>
      </c>
      <c r="BU58">
        <v>1799.99</v>
      </c>
      <c r="BV58">
        <v>0.90998199999999996</v>
      </c>
      <c r="BW58">
        <v>3.4003699999999998E-2</v>
      </c>
      <c r="BX58">
        <v>2.2002500000000001E-2</v>
      </c>
      <c r="BY58">
        <v>3.4012100000000003E-2</v>
      </c>
      <c r="BZ58">
        <v>24</v>
      </c>
      <c r="CA58">
        <v>33528.1</v>
      </c>
      <c r="CB58">
        <v>1690200769.5</v>
      </c>
      <c r="CC58" t="s">
        <v>332</v>
      </c>
      <c r="CD58">
        <v>1690200769.5</v>
      </c>
      <c r="CE58">
        <v>1690200753</v>
      </c>
      <c r="CF58">
        <v>2</v>
      </c>
      <c r="CG58">
        <v>-0.245</v>
      </c>
      <c r="CH58">
        <v>3.0000000000000001E-3</v>
      </c>
      <c r="CI58">
        <v>-1.5169999999999999</v>
      </c>
      <c r="CJ58">
        <v>-1.6E-2</v>
      </c>
      <c r="CK58">
        <v>778</v>
      </c>
      <c r="CL58">
        <v>12</v>
      </c>
      <c r="CM58">
        <v>0.01</v>
      </c>
      <c r="CN58">
        <v>0.03</v>
      </c>
      <c r="CO58">
        <v>-210.7762195121951</v>
      </c>
      <c r="CP58">
        <v>-20.94959581881557</v>
      </c>
      <c r="CQ58">
        <v>2.0658112386579801</v>
      </c>
      <c r="CR58">
        <v>-1</v>
      </c>
      <c r="CS58">
        <v>10.922275609756101</v>
      </c>
      <c r="CT58">
        <v>0.73007874564461905</v>
      </c>
      <c r="CU58">
        <v>7.2002018198299253E-2</v>
      </c>
      <c r="CV58">
        <v>-1</v>
      </c>
      <c r="CW58">
        <v>0</v>
      </c>
      <c r="CX58">
        <v>0</v>
      </c>
      <c r="CY58" t="s">
        <v>333</v>
      </c>
      <c r="CZ58">
        <v>2.36571</v>
      </c>
      <c r="DA58">
        <v>2.7138100000000001</v>
      </c>
      <c r="DB58">
        <v>0.11869300000000001</v>
      </c>
      <c r="DC58">
        <v>0.146344</v>
      </c>
      <c r="DD58">
        <v>0.108261</v>
      </c>
      <c r="DE58">
        <v>6.4751100000000006E-2</v>
      </c>
      <c r="DF58">
        <v>32145.9</v>
      </c>
      <c r="DG58">
        <v>27425.1</v>
      </c>
      <c r="DH58">
        <v>31136</v>
      </c>
      <c r="DI58">
        <v>27991</v>
      </c>
      <c r="DJ58">
        <v>37683.1</v>
      </c>
      <c r="DK58">
        <v>37189.5</v>
      </c>
      <c r="DL58">
        <v>44297.4</v>
      </c>
      <c r="DM58">
        <v>42382.6</v>
      </c>
      <c r="DN58">
        <v>1.4387700000000001</v>
      </c>
      <c r="DO58">
        <v>2.0825499999999999</v>
      </c>
      <c r="DP58">
        <v>0.15906999999999999</v>
      </c>
      <c r="DQ58">
        <v>0.189058</v>
      </c>
      <c r="DR58">
        <v>24.370799999999999</v>
      </c>
      <c r="DS58">
        <v>24.276599999999998</v>
      </c>
      <c r="DT58">
        <v>38.799999999999997</v>
      </c>
      <c r="DU58">
        <v>24.6</v>
      </c>
      <c r="DV58">
        <v>12.17</v>
      </c>
      <c r="DW58">
        <v>61.929900000000004</v>
      </c>
      <c r="DX58">
        <v>35.504800000000003</v>
      </c>
      <c r="DY58">
        <v>1</v>
      </c>
      <c r="DZ58">
        <v>-0.156893</v>
      </c>
      <c r="EA58">
        <v>-0.13170999999999999</v>
      </c>
      <c r="EB58">
        <v>20.192900000000002</v>
      </c>
      <c r="EC58">
        <v>5.2416999999999998</v>
      </c>
      <c r="ED58">
        <v>12.039899999999999</v>
      </c>
      <c r="EE58">
        <v>5.0168999999999997</v>
      </c>
      <c r="EF58">
        <v>3.2879999999999998</v>
      </c>
      <c r="EG58">
        <v>9999</v>
      </c>
      <c r="EH58">
        <v>9999</v>
      </c>
      <c r="EI58">
        <v>9999</v>
      </c>
      <c r="EJ58">
        <v>999.9</v>
      </c>
      <c r="EK58">
        <v>1.86876</v>
      </c>
      <c r="EL58">
        <v>1.8644700000000001</v>
      </c>
      <c r="EM58">
        <v>1.8690500000000001</v>
      </c>
      <c r="EN58">
        <v>1.8670800000000001</v>
      </c>
      <c r="EO58">
        <v>1.8632500000000001</v>
      </c>
      <c r="EP58">
        <v>1.86432</v>
      </c>
      <c r="EQ58">
        <v>1.8700300000000001</v>
      </c>
      <c r="ER58">
        <v>1.8693200000000001</v>
      </c>
      <c r="ES58">
        <v>0</v>
      </c>
      <c r="ET58">
        <v>0</v>
      </c>
      <c r="EU58">
        <v>0</v>
      </c>
      <c r="EV58">
        <v>0</v>
      </c>
      <c r="EW58" t="s">
        <v>334</v>
      </c>
      <c r="EX58" t="s">
        <v>335</v>
      </c>
      <c r="EY58" t="s">
        <v>336</v>
      </c>
      <c r="EZ58" t="s">
        <v>336</v>
      </c>
      <c r="FA58" t="s">
        <v>336</v>
      </c>
      <c r="FB58" t="s">
        <v>336</v>
      </c>
      <c r="FC58">
        <v>0</v>
      </c>
      <c r="FD58">
        <v>100</v>
      </c>
      <c r="FE58">
        <v>100</v>
      </c>
      <c r="FF58">
        <v>-1.381</v>
      </c>
      <c r="FG58">
        <v>0.1782</v>
      </c>
      <c r="FH58">
        <v>-0.98020551812546231</v>
      </c>
      <c r="FI58">
        <v>-6.1462078757559423E-4</v>
      </c>
      <c r="FJ58">
        <v>-1.8861989874597051E-7</v>
      </c>
      <c r="FK58">
        <v>1.1980462299894961E-10</v>
      </c>
      <c r="FL58">
        <v>0.1782306200647516</v>
      </c>
      <c r="FM58">
        <v>0</v>
      </c>
      <c r="FN58">
        <v>0</v>
      </c>
      <c r="FO58">
        <v>0</v>
      </c>
      <c r="FP58">
        <v>3</v>
      </c>
      <c r="FQ58">
        <v>2158</v>
      </c>
      <c r="FR58">
        <v>1</v>
      </c>
      <c r="FS58">
        <v>19</v>
      </c>
      <c r="FT58">
        <v>8.9</v>
      </c>
      <c r="FU58">
        <v>9.1999999999999993</v>
      </c>
      <c r="FV58">
        <v>1.7724599999999999</v>
      </c>
      <c r="FW58">
        <v>2.5366200000000001</v>
      </c>
      <c r="FX58">
        <v>1.5490699999999999</v>
      </c>
      <c r="FY58">
        <v>2.34497</v>
      </c>
      <c r="FZ58">
        <v>1.50146</v>
      </c>
      <c r="GA58">
        <v>2.36084</v>
      </c>
      <c r="GB58">
        <v>30.178999999999998</v>
      </c>
      <c r="GC58">
        <v>23.991199999999999</v>
      </c>
      <c r="GD58">
        <v>19</v>
      </c>
      <c r="GE58">
        <v>263.79300000000001</v>
      </c>
      <c r="GF58">
        <v>611.52800000000002</v>
      </c>
      <c r="GG58">
        <v>24.267399999999999</v>
      </c>
      <c r="GH58">
        <v>25.4452</v>
      </c>
      <c r="GI58">
        <v>30.0002</v>
      </c>
      <c r="GJ58">
        <v>25.5091</v>
      </c>
      <c r="GK58">
        <v>25.4468</v>
      </c>
      <c r="GL58">
        <v>35.445</v>
      </c>
      <c r="GM58">
        <v>-30</v>
      </c>
      <c r="GN58">
        <v>-30</v>
      </c>
      <c r="GO58">
        <v>24.299700000000001</v>
      </c>
      <c r="GP58">
        <v>800</v>
      </c>
      <c r="GQ58">
        <v>0</v>
      </c>
      <c r="GR58">
        <v>99.605999999999995</v>
      </c>
      <c r="GS58">
        <v>99.186800000000005</v>
      </c>
    </row>
    <row r="59" spans="1:201" x14ac:dyDescent="0.25">
      <c r="A59">
        <v>43</v>
      </c>
      <c r="B59">
        <v>1690201315.5</v>
      </c>
      <c r="C59">
        <v>468.5</v>
      </c>
      <c r="D59" t="s">
        <v>419</v>
      </c>
      <c r="E59" t="s">
        <v>420</v>
      </c>
      <c r="F59" t="s">
        <v>330</v>
      </c>
      <c r="H59">
        <v>1690201315.5</v>
      </c>
      <c r="I59">
        <f t="shared" si="0"/>
        <v>1.0322172497718451E-3</v>
      </c>
      <c r="J59">
        <f t="shared" si="1"/>
        <v>1.0322172497718451</v>
      </c>
      <c r="K59">
        <f t="shared" si="2"/>
        <v>19.062605407017777</v>
      </c>
      <c r="L59">
        <f t="shared" si="3"/>
        <v>581.88900000000001</v>
      </c>
      <c r="M59">
        <f t="shared" si="4"/>
        <v>136.16148512288501</v>
      </c>
      <c r="N59">
        <f t="shared" si="5"/>
        <v>13.491319938198474</v>
      </c>
      <c r="O59">
        <f t="shared" si="6"/>
        <v>57.655442436114598</v>
      </c>
      <c r="P59">
        <f t="shared" si="7"/>
        <v>7.088456277703227E-2</v>
      </c>
      <c r="Q59">
        <f t="shared" si="8"/>
        <v>2.0855115987385631</v>
      </c>
      <c r="R59">
        <f t="shared" si="9"/>
        <v>6.9572788274707392E-2</v>
      </c>
      <c r="S59">
        <f t="shared" si="10"/>
        <v>4.3598828447579369E-2</v>
      </c>
      <c r="T59">
        <f t="shared" si="11"/>
        <v>276.1121821767764</v>
      </c>
      <c r="U59">
        <f t="shared" si="12"/>
        <v>27.323544953623994</v>
      </c>
      <c r="V59">
        <f t="shared" si="13"/>
        <v>27.323544953623994</v>
      </c>
      <c r="W59">
        <f t="shared" si="14"/>
        <v>3.6477397537873828</v>
      </c>
      <c r="X59">
        <f t="shared" si="15"/>
        <v>67.961170817349441</v>
      </c>
      <c r="Y59">
        <f t="shared" si="16"/>
        <v>2.22122806487892</v>
      </c>
      <c r="Z59">
        <f t="shared" si="17"/>
        <v>3.2683781608892981</v>
      </c>
      <c r="AA59">
        <f t="shared" si="18"/>
        <v>1.4265116889084628</v>
      </c>
      <c r="AB59">
        <f t="shared" si="19"/>
        <v>-45.520780714938368</v>
      </c>
      <c r="AC59">
        <f t="shared" si="20"/>
        <v>-209.26740368070776</v>
      </c>
      <c r="AD59">
        <f t="shared" si="21"/>
        <v>-21.524296669920783</v>
      </c>
      <c r="AE59">
        <f t="shared" si="22"/>
        <v>-0.20029888879051327</v>
      </c>
      <c r="AF59">
        <v>15</v>
      </c>
      <c r="AG59">
        <v>5</v>
      </c>
      <c r="AH59">
        <f t="shared" si="23"/>
        <v>1</v>
      </c>
      <c r="AI59">
        <f t="shared" si="24"/>
        <v>0</v>
      </c>
      <c r="AJ59">
        <f t="shared" si="25"/>
        <v>52855.290949560695</v>
      </c>
      <c r="AK59">
        <f t="shared" si="26"/>
        <v>1799.98</v>
      </c>
      <c r="AL59">
        <f t="shared" si="27"/>
        <v>1499.0930806251399</v>
      </c>
      <c r="AM59">
        <f t="shared" si="28"/>
        <v>0.83283874299999994</v>
      </c>
      <c r="AN59">
        <f t="shared" si="29"/>
        <v>0.15339736118</v>
      </c>
      <c r="AO59">
        <v>33.299999999999997</v>
      </c>
      <c r="AP59">
        <v>0.5</v>
      </c>
      <c r="AQ59" t="s">
        <v>331</v>
      </c>
      <c r="AR59">
        <v>2</v>
      </c>
      <c r="AS59">
        <v>1690201315.5</v>
      </c>
      <c r="AT59">
        <v>581.88900000000001</v>
      </c>
      <c r="AU59">
        <v>800.03099999999995</v>
      </c>
      <c r="AV59">
        <v>22.4178</v>
      </c>
      <c r="AW59">
        <v>11.2232</v>
      </c>
      <c r="AX59">
        <v>583.26800000000003</v>
      </c>
      <c r="AY59">
        <v>22.239599999999999</v>
      </c>
      <c r="AZ59">
        <v>300.16500000000002</v>
      </c>
      <c r="BA59">
        <v>98.9833</v>
      </c>
      <c r="BB59">
        <v>9.9931400000000004E-2</v>
      </c>
      <c r="BC59">
        <v>25.462299999999999</v>
      </c>
      <c r="BD59">
        <v>26.998200000000001</v>
      </c>
      <c r="BE59">
        <v>27.398399999999999</v>
      </c>
      <c r="BF59">
        <v>0</v>
      </c>
      <c r="BG59">
        <v>0</v>
      </c>
      <c r="BH59">
        <v>10048.799999999999</v>
      </c>
      <c r="BI59">
        <v>1072.83</v>
      </c>
      <c r="BJ59">
        <v>1.4577199999999999</v>
      </c>
      <c r="BK59">
        <v>-218.142</v>
      </c>
      <c r="BL59">
        <v>595.23299999999995</v>
      </c>
      <c r="BM59">
        <v>809.11099999999999</v>
      </c>
      <c r="BN59">
        <v>11.194599999999999</v>
      </c>
      <c r="BO59">
        <v>800.03099999999995</v>
      </c>
      <c r="BP59">
        <v>11.2232</v>
      </c>
      <c r="BQ59">
        <v>2.2189899999999998</v>
      </c>
      <c r="BR59">
        <v>1.1109</v>
      </c>
      <c r="BS59">
        <v>19.100000000000001</v>
      </c>
      <c r="BT59">
        <v>8.4582800000000002</v>
      </c>
      <c r="BU59">
        <v>1799.98</v>
      </c>
      <c r="BV59">
        <v>0.90999099999999999</v>
      </c>
      <c r="BW59">
        <v>3.40033E-2</v>
      </c>
      <c r="BX59">
        <v>2.1998899999999998E-2</v>
      </c>
      <c r="BY59">
        <v>3.4006599999999998E-2</v>
      </c>
      <c r="BZ59">
        <v>24</v>
      </c>
      <c r="CA59">
        <v>33528.1</v>
      </c>
      <c r="CB59">
        <v>1690200769.5</v>
      </c>
      <c r="CC59" t="s">
        <v>332</v>
      </c>
      <c r="CD59">
        <v>1690200769.5</v>
      </c>
      <c r="CE59">
        <v>1690200753</v>
      </c>
      <c r="CF59">
        <v>2</v>
      </c>
      <c r="CG59">
        <v>-0.245</v>
      </c>
      <c r="CH59">
        <v>3.0000000000000001E-3</v>
      </c>
      <c r="CI59">
        <v>-1.5169999999999999</v>
      </c>
      <c r="CJ59">
        <v>-1.6E-2</v>
      </c>
      <c r="CK59">
        <v>778</v>
      </c>
      <c r="CL59">
        <v>12</v>
      </c>
      <c r="CM59">
        <v>0.01</v>
      </c>
      <c r="CN59">
        <v>0.03</v>
      </c>
      <c r="CO59">
        <v>-214.52555000000001</v>
      </c>
      <c r="CP59">
        <v>-20.887699812382461</v>
      </c>
      <c r="CQ59">
        <v>2.009519618590474</v>
      </c>
      <c r="CR59">
        <v>-1</v>
      </c>
      <c r="CS59">
        <v>11.05805</v>
      </c>
      <c r="CT59">
        <v>0.78357748592871412</v>
      </c>
      <c r="CU59">
        <v>7.539067913210494E-2</v>
      </c>
      <c r="CV59">
        <v>-1</v>
      </c>
      <c r="CW59">
        <v>0</v>
      </c>
      <c r="CX59">
        <v>0</v>
      </c>
      <c r="CY59" t="s">
        <v>333</v>
      </c>
      <c r="CZ59">
        <v>2.3653499999999998</v>
      </c>
      <c r="DA59">
        <v>2.7137699999999998</v>
      </c>
      <c r="DB59">
        <v>0.118202</v>
      </c>
      <c r="DC59">
        <v>0.14635000000000001</v>
      </c>
      <c r="DD59">
        <v>0.10867300000000001</v>
      </c>
      <c r="DE59">
        <v>6.4687300000000003E-2</v>
      </c>
      <c r="DF59">
        <v>32163.8</v>
      </c>
      <c r="DG59">
        <v>27424.5</v>
      </c>
      <c r="DH59">
        <v>31136.1</v>
      </c>
      <c r="DI59">
        <v>27990.6</v>
      </c>
      <c r="DJ59">
        <v>37665.4</v>
      </c>
      <c r="DK59">
        <v>37191.5</v>
      </c>
      <c r="DL59">
        <v>44297.4</v>
      </c>
      <c r="DM59">
        <v>42382</v>
      </c>
      <c r="DN59">
        <v>1.4388700000000001</v>
      </c>
      <c r="DO59">
        <v>2.0825499999999999</v>
      </c>
      <c r="DP59">
        <v>0.160187</v>
      </c>
      <c r="DQ59">
        <v>0.19040000000000001</v>
      </c>
      <c r="DR59">
        <v>24.372800000000002</v>
      </c>
      <c r="DS59">
        <v>24.278700000000001</v>
      </c>
      <c r="DT59">
        <v>38.799999999999997</v>
      </c>
      <c r="DU59">
        <v>24.6</v>
      </c>
      <c r="DV59">
        <v>12.169600000000001</v>
      </c>
      <c r="DW59">
        <v>61.5899</v>
      </c>
      <c r="DX59">
        <v>35.829300000000003</v>
      </c>
      <c r="DY59">
        <v>1</v>
      </c>
      <c r="DZ59">
        <v>-0.15704299999999999</v>
      </c>
      <c r="EA59">
        <v>-0.12850500000000001</v>
      </c>
      <c r="EB59">
        <v>20.192799999999998</v>
      </c>
      <c r="EC59">
        <v>5.2415500000000002</v>
      </c>
      <c r="ED59">
        <v>12.039899999999999</v>
      </c>
      <c r="EE59">
        <v>5.0172499999999998</v>
      </c>
      <c r="EF59">
        <v>3.2879999999999998</v>
      </c>
      <c r="EG59">
        <v>9999</v>
      </c>
      <c r="EH59">
        <v>9999</v>
      </c>
      <c r="EI59">
        <v>9999</v>
      </c>
      <c r="EJ59">
        <v>999.9</v>
      </c>
      <c r="EK59">
        <v>1.8687400000000001</v>
      </c>
      <c r="EL59">
        <v>1.8644700000000001</v>
      </c>
      <c r="EM59">
        <v>1.8690500000000001</v>
      </c>
      <c r="EN59">
        <v>1.86707</v>
      </c>
      <c r="EO59">
        <v>1.8632500000000001</v>
      </c>
      <c r="EP59">
        <v>1.86432</v>
      </c>
      <c r="EQ59">
        <v>1.87002</v>
      </c>
      <c r="ER59">
        <v>1.86931</v>
      </c>
      <c r="ES59">
        <v>0</v>
      </c>
      <c r="ET59">
        <v>0</v>
      </c>
      <c r="EU59">
        <v>0</v>
      </c>
      <c r="EV59">
        <v>0</v>
      </c>
      <c r="EW59" t="s">
        <v>334</v>
      </c>
      <c r="EX59" t="s">
        <v>335</v>
      </c>
      <c r="EY59" t="s">
        <v>336</v>
      </c>
      <c r="EZ59" t="s">
        <v>336</v>
      </c>
      <c r="FA59" t="s">
        <v>336</v>
      </c>
      <c r="FB59" t="s">
        <v>336</v>
      </c>
      <c r="FC59">
        <v>0</v>
      </c>
      <c r="FD59">
        <v>100</v>
      </c>
      <c r="FE59">
        <v>100</v>
      </c>
      <c r="FF59">
        <v>-1.379</v>
      </c>
      <c r="FG59">
        <v>0.1782</v>
      </c>
      <c r="FH59">
        <v>-0.98020551812546231</v>
      </c>
      <c r="FI59">
        <v>-6.1462078757559423E-4</v>
      </c>
      <c r="FJ59">
        <v>-1.8861989874597051E-7</v>
      </c>
      <c r="FK59">
        <v>1.1980462299894961E-10</v>
      </c>
      <c r="FL59">
        <v>0.1782306200647516</v>
      </c>
      <c r="FM59">
        <v>0</v>
      </c>
      <c r="FN59">
        <v>0</v>
      </c>
      <c r="FO59">
        <v>0</v>
      </c>
      <c r="FP59">
        <v>3</v>
      </c>
      <c r="FQ59">
        <v>2158</v>
      </c>
      <c r="FR59">
        <v>1</v>
      </c>
      <c r="FS59">
        <v>19</v>
      </c>
      <c r="FT59">
        <v>9.1</v>
      </c>
      <c r="FU59">
        <v>9.4</v>
      </c>
      <c r="FV59">
        <v>1.7724599999999999</v>
      </c>
      <c r="FW59">
        <v>2.5366200000000001</v>
      </c>
      <c r="FX59">
        <v>1.5490699999999999</v>
      </c>
      <c r="FY59">
        <v>2.34497</v>
      </c>
      <c r="FZ59">
        <v>1.50146</v>
      </c>
      <c r="GA59">
        <v>2.3803700000000001</v>
      </c>
      <c r="GB59">
        <v>30.178999999999998</v>
      </c>
      <c r="GC59">
        <v>23.982399999999998</v>
      </c>
      <c r="GD59">
        <v>19</v>
      </c>
      <c r="GE59">
        <v>263.84100000000001</v>
      </c>
      <c r="GF59">
        <v>611.58000000000004</v>
      </c>
      <c r="GG59">
        <v>24.3093</v>
      </c>
      <c r="GH59">
        <v>25.4452</v>
      </c>
      <c r="GI59">
        <v>30.000399999999999</v>
      </c>
      <c r="GJ59">
        <v>25.511299999999999</v>
      </c>
      <c r="GK59">
        <v>25.451000000000001</v>
      </c>
      <c r="GL59">
        <v>35.444800000000001</v>
      </c>
      <c r="GM59">
        <v>-30</v>
      </c>
      <c r="GN59">
        <v>-30</v>
      </c>
      <c r="GO59">
        <v>24.294</v>
      </c>
      <c r="GP59">
        <v>800</v>
      </c>
      <c r="GQ59">
        <v>0</v>
      </c>
      <c r="GR59">
        <v>99.606099999999998</v>
      </c>
      <c r="GS59">
        <v>99.185400000000001</v>
      </c>
    </row>
    <row r="60" spans="1:201" x14ac:dyDescent="0.25">
      <c r="A60">
        <v>44</v>
      </c>
      <c r="B60">
        <v>1690201325.5</v>
      </c>
      <c r="C60">
        <v>478.5</v>
      </c>
      <c r="D60" t="s">
        <v>421</v>
      </c>
      <c r="E60" t="s">
        <v>422</v>
      </c>
      <c r="F60" t="s">
        <v>330</v>
      </c>
      <c r="H60">
        <v>1690201325.5</v>
      </c>
      <c r="I60">
        <f t="shared" si="0"/>
        <v>1.0441449059660753E-3</v>
      </c>
      <c r="J60">
        <f t="shared" si="1"/>
        <v>1.0441449059660752</v>
      </c>
      <c r="K60">
        <f t="shared" si="2"/>
        <v>19.353579029501425</v>
      </c>
      <c r="L60">
        <f t="shared" si="3"/>
        <v>578.572</v>
      </c>
      <c r="M60">
        <f t="shared" si="4"/>
        <v>133.53332565626278</v>
      </c>
      <c r="N60">
        <f t="shared" si="5"/>
        <v>13.230671523344947</v>
      </c>
      <c r="O60">
        <f t="shared" si="6"/>
        <v>57.325735332239994</v>
      </c>
      <c r="P60">
        <f t="shared" si="7"/>
        <v>7.2087300820957864E-2</v>
      </c>
      <c r="Q60">
        <f t="shared" si="8"/>
        <v>2.0742544082087062</v>
      </c>
      <c r="R60">
        <f t="shared" si="9"/>
        <v>7.0723882197276294E-2</v>
      </c>
      <c r="S60">
        <f t="shared" si="10"/>
        <v>4.4322776290704316E-2</v>
      </c>
      <c r="T60">
        <f t="shared" si="11"/>
        <v>276.11160818115428</v>
      </c>
      <c r="U60">
        <f t="shared" si="12"/>
        <v>27.344008915905938</v>
      </c>
      <c r="V60">
        <f t="shared" si="13"/>
        <v>27.344008915905938</v>
      </c>
      <c r="W60">
        <f t="shared" si="14"/>
        <v>3.652115690418019</v>
      </c>
      <c r="X60">
        <f t="shared" si="15"/>
        <v>68.250423978129632</v>
      </c>
      <c r="Y60">
        <f t="shared" si="16"/>
        <v>2.2327502589899999</v>
      </c>
      <c r="Z60">
        <f t="shared" si="17"/>
        <v>3.271408628473091</v>
      </c>
      <c r="AA60">
        <f t="shared" si="18"/>
        <v>1.4193654314280191</v>
      </c>
      <c r="AB60">
        <f t="shared" si="19"/>
        <v>-46.046790353103923</v>
      </c>
      <c r="AC60">
        <f t="shared" si="20"/>
        <v>-208.68174178207343</v>
      </c>
      <c r="AD60">
        <f t="shared" si="21"/>
        <v>-21.584446368764038</v>
      </c>
      <c r="AE60">
        <f t="shared" si="22"/>
        <v>-0.20137032278711331</v>
      </c>
      <c r="AF60">
        <v>15</v>
      </c>
      <c r="AG60">
        <v>5</v>
      </c>
      <c r="AH60">
        <f t="shared" si="23"/>
        <v>1</v>
      </c>
      <c r="AI60">
        <f t="shared" si="24"/>
        <v>0</v>
      </c>
      <c r="AJ60">
        <f t="shared" si="25"/>
        <v>52343.506484755555</v>
      </c>
      <c r="AK60">
        <f t="shared" si="26"/>
        <v>1799.98</v>
      </c>
      <c r="AL60">
        <f t="shared" si="27"/>
        <v>1499.09493640452</v>
      </c>
      <c r="AM60">
        <f t="shared" si="28"/>
        <v>0.83283977399999998</v>
      </c>
      <c r="AN60">
        <f t="shared" si="29"/>
        <v>0.15339704229000004</v>
      </c>
      <c r="AO60">
        <v>33.299999999999997</v>
      </c>
      <c r="AP60">
        <v>0.5</v>
      </c>
      <c r="AQ60" t="s">
        <v>331</v>
      </c>
      <c r="AR60">
        <v>2</v>
      </c>
      <c r="AS60">
        <v>1690201325.5</v>
      </c>
      <c r="AT60">
        <v>578.572</v>
      </c>
      <c r="AU60">
        <v>800.00199999999995</v>
      </c>
      <c r="AV60">
        <v>22.534500000000001</v>
      </c>
      <c r="AW60">
        <v>11.210800000000001</v>
      </c>
      <c r="AX60">
        <v>579.94799999999998</v>
      </c>
      <c r="AY60">
        <v>22.356300000000001</v>
      </c>
      <c r="AZ60">
        <v>300.13600000000002</v>
      </c>
      <c r="BA60">
        <v>98.981399999999994</v>
      </c>
      <c r="BB60">
        <v>0.10002</v>
      </c>
      <c r="BC60">
        <v>25.477900000000002</v>
      </c>
      <c r="BD60">
        <v>26.985700000000001</v>
      </c>
      <c r="BE60">
        <v>27.395800000000001</v>
      </c>
      <c r="BF60">
        <v>0</v>
      </c>
      <c r="BG60">
        <v>0</v>
      </c>
      <c r="BH60">
        <v>9948.1200000000008</v>
      </c>
      <c r="BI60">
        <v>1072.77</v>
      </c>
      <c r="BJ60">
        <v>1.4577199999999999</v>
      </c>
      <c r="BK60">
        <v>-221.43100000000001</v>
      </c>
      <c r="BL60">
        <v>591.91</v>
      </c>
      <c r="BM60">
        <v>809.07299999999998</v>
      </c>
      <c r="BN60">
        <v>11.3238</v>
      </c>
      <c r="BO60">
        <v>800.00199999999995</v>
      </c>
      <c r="BP60">
        <v>11.210800000000001</v>
      </c>
      <c r="BQ60">
        <v>2.2305000000000001</v>
      </c>
      <c r="BR60">
        <v>1.1096600000000001</v>
      </c>
      <c r="BS60">
        <v>19.1831</v>
      </c>
      <c r="BT60">
        <v>8.4417000000000009</v>
      </c>
      <c r="BU60">
        <v>1799.98</v>
      </c>
      <c r="BV60">
        <v>0.91000400000000004</v>
      </c>
      <c r="BW60">
        <v>3.3998399999999998E-2</v>
      </c>
      <c r="BX60">
        <v>2.19957E-2</v>
      </c>
      <c r="BY60">
        <v>3.4001700000000003E-2</v>
      </c>
      <c r="BZ60">
        <v>24</v>
      </c>
      <c r="CA60">
        <v>33528.1</v>
      </c>
      <c r="CB60">
        <v>1690200769.5</v>
      </c>
      <c r="CC60" t="s">
        <v>332</v>
      </c>
      <c r="CD60">
        <v>1690200769.5</v>
      </c>
      <c r="CE60">
        <v>1690200753</v>
      </c>
      <c r="CF60">
        <v>2</v>
      </c>
      <c r="CG60">
        <v>-0.245</v>
      </c>
      <c r="CH60">
        <v>3.0000000000000001E-3</v>
      </c>
      <c r="CI60">
        <v>-1.5169999999999999</v>
      </c>
      <c r="CJ60">
        <v>-1.6E-2</v>
      </c>
      <c r="CK60">
        <v>778</v>
      </c>
      <c r="CL60">
        <v>12</v>
      </c>
      <c r="CM60">
        <v>0.01</v>
      </c>
      <c r="CN60">
        <v>0.03</v>
      </c>
      <c r="CO60">
        <v>-217.70746341463411</v>
      </c>
      <c r="CP60">
        <v>-20.275149825783839</v>
      </c>
      <c r="CQ60">
        <v>2.0000137694350508</v>
      </c>
      <c r="CR60">
        <v>-1</v>
      </c>
      <c r="CS60">
        <v>11.17953170731707</v>
      </c>
      <c r="CT60">
        <v>0.79108432055749922</v>
      </c>
      <c r="CU60">
        <v>7.8005723489273898E-2</v>
      </c>
      <c r="CV60">
        <v>-1</v>
      </c>
      <c r="CW60">
        <v>0</v>
      </c>
      <c r="CX60">
        <v>0</v>
      </c>
      <c r="CY60" t="s">
        <v>333</v>
      </c>
      <c r="CZ60">
        <v>2.3652500000000001</v>
      </c>
      <c r="DA60">
        <v>2.7137699999999998</v>
      </c>
      <c r="DB60">
        <v>0.117724</v>
      </c>
      <c r="DC60">
        <v>0.146342</v>
      </c>
      <c r="DD60">
        <v>0.109072</v>
      </c>
      <c r="DE60">
        <v>6.4631300000000003E-2</v>
      </c>
      <c r="DF60">
        <v>32181.3</v>
      </c>
      <c r="DG60">
        <v>27424.6</v>
      </c>
      <c r="DH60">
        <v>31136.1</v>
      </c>
      <c r="DI60">
        <v>27990.400000000001</v>
      </c>
      <c r="DJ60">
        <v>37648.400000000001</v>
      </c>
      <c r="DK60">
        <v>37193.599999999999</v>
      </c>
      <c r="DL60">
        <v>44297.599999999999</v>
      </c>
      <c r="DM60">
        <v>42381.9</v>
      </c>
      <c r="DN60">
        <v>1.4390000000000001</v>
      </c>
      <c r="DO60">
        <v>2.0824500000000001</v>
      </c>
      <c r="DP60">
        <v>0.15918199999999999</v>
      </c>
      <c r="DQ60">
        <v>0.18998999999999999</v>
      </c>
      <c r="DR60">
        <v>24.376799999999999</v>
      </c>
      <c r="DS60">
        <v>24.282699999999998</v>
      </c>
      <c r="DT60">
        <v>38.700000000000003</v>
      </c>
      <c r="DU60">
        <v>24.6</v>
      </c>
      <c r="DV60">
        <v>12.139200000000001</v>
      </c>
      <c r="DW60">
        <v>62.329900000000002</v>
      </c>
      <c r="DX60">
        <v>35.817300000000003</v>
      </c>
      <c r="DY60">
        <v>1</v>
      </c>
      <c r="DZ60">
        <v>-0.15690299999999999</v>
      </c>
      <c r="EA60">
        <v>-9.7336599999999995E-2</v>
      </c>
      <c r="EB60">
        <v>20.192799999999998</v>
      </c>
      <c r="EC60">
        <v>5.2416999999999998</v>
      </c>
      <c r="ED60">
        <v>12.039899999999999</v>
      </c>
      <c r="EE60">
        <v>5.0170500000000002</v>
      </c>
      <c r="EF60">
        <v>3.2879999999999998</v>
      </c>
      <c r="EG60">
        <v>9999</v>
      </c>
      <c r="EH60">
        <v>9999</v>
      </c>
      <c r="EI60">
        <v>9999</v>
      </c>
      <c r="EJ60">
        <v>999.9</v>
      </c>
      <c r="EK60">
        <v>1.8687400000000001</v>
      </c>
      <c r="EL60">
        <v>1.8644700000000001</v>
      </c>
      <c r="EM60">
        <v>1.8690500000000001</v>
      </c>
      <c r="EN60">
        <v>1.86707</v>
      </c>
      <c r="EO60">
        <v>1.8632500000000001</v>
      </c>
      <c r="EP60">
        <v>1.86432</v>
      </c>
      <c r="EQ60">
        <v>1.8700300000000001</v>
      </c>
      <c r="ER60">
        <v>1.86927</v>
      </c>
      <c r="ES60">
        <v>0</v>
      </c>
      <c r="ET60">
        <v>0</v>
      </c>
      <c r="EU60">
        <v>0</v>
      </c>
      <c r="EV60">
        <v>0</v>
      </c>
      <c r="EW60" t="s">
        <v>334</v>
      </c>
      <c r="EX60" t="s">
        <v>335</v>
      </c>
      <c r="EY60" t="s">
        <v>336</v>
      </c>
      <c r="EZ60" t="s">
        <v>336</v>
      </c>
      <c r="FA60" t="s">
        <v>336</v>
      </c>
      <c r="FB60" t="s">
        <v>336</v>
      </c>
      <c r="FC60">
        <v>0</v>
      </c>
      <c r="FD60">
        <v>100</v>
      </c>
      <c r="FE60">
        <v>100</v>
      </c>
      <c r="FF60">
        <v>-1.3759999999999999</v>
      </c>
      <c r="FG60">
        <v>0.1782</v>
      </c>
      <c r="FH60">
        <v>-0.98020551812546231</v>
      </c>
      <c r="FI60">
        <v>-6.1462078757559423E-4</v>
      </c>
      <c r="FJ60">
        <v>-1.8861989874597051E-7</v>
      </c>
      <c r="FK60">
        <v>1.1980462299894961E-10</v>
      </c>
      <c r="FL60">
        <v>0.1782306200647516</v>
      </c>
      <c r="FM60">
        <v>0</v>
      </c>
      <c r="FN60">
        <v>0</v>
      </c>
      <c r="FO60">
        <v>0</v>
      </c>
      <c r="FP60">
        <v>3</v>
      </c>
      <c r="FQ60">
        <v>2158</v>
      </c>
      <c r="FR60">
        <v>1</v>
      </c>
      <c r="FS60">
        <v>19</v>
      </c>
      <c r="FT60">
        <v>9.3000000000000007</v>
      </c>
      <c r="FU60">
        <v>9.5</v>
      </c>
      <c r="FV60">
        <v>1.7724599999999999</v>
      </c>
      <c r="FW60">
        <v>2.5390600000000001</v>
      </c>
      <c r="FX60">
        <v>1.5490699999999999</v>
      </c>
      <c r="FY60">
        <v>2.34497</v>
      </c>
      <c r="FZ60">
        <v>1.50146</v>
      </c>
      <c r="GA60">
        <v>2.31812</v>
      </c>
      <c r="GB60">
        <v>30.200500000000002</v>
      </c>
      <c r="GC60">
        <v>23.982399999999998</v>
      </c>
      <c r="GD60">
        <v>19</v>
      </c>
      <c r="GE60">
        <v>263.89999999999998</v>
      </c>
      <c r="GF60">
        <v>611.53700000000003</v>
      </c>
      <c r="GG60">
        <v>24.2986</v>
      </c>
      <c r="GH60">
        <v>25.4452</v>
      </c>
      <c r="GI60">
        <v>30.0001</v>
      </c>
      <c r="GJ60">
        <v>25.513400000000001</v>
      </c>
      <c r="GK60">
        <v>25.454699999999999</v>
      </c>
      <c r="GL60">
        <v>35.445</v>
      </c>
      <c r="GM60">
        <v>-30</v>
      </c>
      <c r="GN60">
        <v>-30</v>
      </c>
      <c r="GO60">
        <v>24.312100000000001</v>
      </c>
      <c r="GP60">
        <v>800</v>
      </c>
      <c r="GQ60">
        <v>0</v>
      </c>
      <c r="GR60">
        <v>99.606399999999994</v>
      </c>
      <c r="GS60">
        <v>99.184899999999999</v>
      </c>
    </row>
    <row r="61" spans="1:201" x14ac:dyDescent="0.25">
      <c r="A61">
        <v>45</v>
      </c>
      <c r="B61">
        <v>1690201335.5</v>
      </c>
      <c r="C61">
        <v>488.5</v>
      </c>
      <c r="D61" t="s">
        <v>423</v>
      </c>
      <c r="E61" t="s">
        <v>424</v>
      </c>
      <c r="F61" t="s">
        <v>330</v>
      </c>
      <c r="H61">
        <v>1690201335.5</v>
      </c>
      <c r="I61">
        <f t="shared" si="0"/>
        <v>1.0564449709613696E-3</v>
      </c>
      <c r="J61">
        <f t="shared" si="1"/>
        <v>1.0564449709613697</v>
      </c>
      <c r="K61">
        <f t="shared" si="2"/>
        <v>19.667529314471579</v>
      </c>
      <c r="L61">
        <f t="shared" si="3"/>
        <v>575.03499999999997</v>
      </c>
      <c r="M61">
        <f t="shared" si="4"/>
        <v>132.93117127543363</v>
      </c>
      <c r="N61">
        <f t="shared" si="5"/>
        <v>13.17144819084008</v>
      </c>
      <c r="O61">
        <f t="shared" si="6"/>
        <v>56.977183287780498</v>
      </c>
      <c r="P61">
        <f t="shared" si="7"/>
        <v>7.3751665826148949E-2</v>
      </c>
      <c r="Q61">
        <f t="shared" si="8"/>
        <v>2.0824591556866734</v>
      </c>
      <c r="R61">
        <f t="shared" si="9"/>
        <v>7.2330737380722473E-2</v>
      </c>
      <c r="S61">
        <f t="shared" si="10"/>
        <v>4.5332095455759822E-2</v>
      </c>
      <c r="T61">
        <f t="shared" si="11"/>
        <v>276.11097685616897</v>
      </c>
      <c r="U61">
        <f t="shared" si="12"/>
        <v>27.328156601463398</v>
      </c>
      <c r="V61">
        <f t="shared" si="13"/>
        <v>27.328156601463398</v>
      </c>
      <c r="W61">
        <f t="shared" si="14"/>
        <v>3.6487254915634053</v>
      </c>
      <c r="X61">
        <f t="shared" si="15"/>
        <v>68.630877087752438</v>
      </c>
      <c r="Y61">
        <f t="shared" si="16"/>
        <v>2.2445563057896702</v>
      </c>
      <c r="Z61">
        <f t="shared" si="17"/>
        <v>3.2704759155558332</v>
      </c>
      <c r="AA61">
        <f t="shared" si="18"/>
        <v>1.4041691857737351</v>
      </c>
      <c r="AB61">
        <f t="shared" si="19"/>
        <v>-46.589223219396402</v>
      </c>
      <c r="AC61">
        <f t="shared" si="20"/>
        <v>-208.26634761270583</v>
      </c>
      <c r="AD61">
        <f t="shared" si="21"/>
        <v>-21.454386823735021</v>
      </c>
      <c r="AE61">
        <f t="shared" si="22"/>
        <v>-0.19898079966827709</v>
      </c>
      <c r="AF61">
        <v>15</v>
      </c>
      <c r="AG61">
        <v>5</v>
      </c>
      <c r="AH61">
        <f t="shared" si="23"/>
        <v>1</v>
      </c>
      <c r="AI61">
        <f t="shared" si="24"/>
        <v>0</v>
      </c>
      <c r="AJ61">
        <f t="shared" si="25"/>
        <v>52715.057781201554</v>
      </c>
      <c r="AK61">
        <f t="shared" si="26"/>
        <v>1799.98</v>
      </c>
      <c r="AL61">
        <f t="shared" si="27"/>
        <v>1499.0965311867999</v>
      </c>
      <c r="AM61">
        <f t="shared" si="28"/>
        <v>0.8328406599999999</v>
      </c>
      <c r="AN61">
        <f t="shared" si="29"/>
        <v>0.15339669154999999</v>
      </c>
      <c r="AO61">
        <v>33.299999999999997</v>
      </c>
      <c r="AP61">
        <v>0.5</v>
      </c>
      <c r="AQ61" t="s">
        <v>331</v>
      </c>
      <c r="AR61">
        <v>2</v>
      </c>
      <c r="AS61">
        <v>1690201335.5</v>
      </c>
      <c r="AT61">
        <v>575.03499999999997</v>
      </c>
      <c r="AU61">
        <v>800.02099999999996</v>
      </c>
      <c r="AV61">
        <v>22.652899999999999</v>
      </c>
      <c r="AW61">
        <v>11.195399999999999</v>
      </c>
      <c r="AX61">
        <v>576.40899999999999</v>
      </c>
      <c r="AY61">
        <v>22.474699999999999</v>
      </c>
      <c r="AZ61">
        <v>300.089</v>
      </c>
      <c r="BA61">
        <v>98.984800000000007</v>
      </c>
      <c r="BB61">
        <v>9.9922300000000006E-2</v>
      </c>
      <c r="BC61">
        <v>25.473099999999999</v>
      </c>
      <c r="BD61">
        <v>26.983499999999999</v>
      </c>
      <c r="BE61">
        <v>27.417400000000001</v>
      </c>
      <c r="BF61">
        <v>0</v>
      </c>
      <c r="BG61">
        <v>0</v>
      </c>
      <c r="BH61">
        <v>10021.200000000001</v>
      </c>
      <c r="BI61">
        <v>1072.78</v>
      </c>
      <c r="BJ61">
        <v>1.4577199999999999</v>
      </c>
      <c r="BK61">
        <v>-224.98699999999999</v>
      </c>
      <c r="BL61">
        <v>588.36300000000006</v>
      </c>
      <c r="BM61">
        <v>809.07899999999995</v>
      </c>
      <c r="BN61">
        <v>11.4575</v>
      </c>
      <c r="BO61">
        <v>800.02099999999996</v>
      </c>
      <c r="BP61">
        <v>11.195399999999999</v>
      </c>
      <c r="BQ61">
        <v>2.2423000000000002</v>
      </c>
      <c r="BR61">
        <v>1.1081799999999999</v>
      </c>
      <c r="BS61">
        <v>19.267700000000001</v>
      </c>
      <c r="BT61">
        <v>8.4220100000000002</v>
      </c>
      <c r="BU61">
        <v>1799.98</v>
      </c>
      <c r="BV61">
        <v>0.91001699999999996</v>
      </c>
      <c r="BW61">
        <v>3.39934E-2</v>
      </c>
      <c r="BX61">
        <v>2.1992500000000002E-2</v>
      </c>
      <c r="BY61">
        <v>3.3996699999999998E-2</v>
      </c>
      <c r="BZ61">
        <v>24</v>
      </c>
      <c r="CA61">
        <v>33528.199999999997</v>
      </c>
      <c r="CB61">
        <v>1690200769.5</v>
      </c>
      <c r="CC61" t="s">
        <v>332</v>
      </c>
      <c r="CD61">
        <v>1690200769.5</v>
      </c>
      <c r="CE61">
        <v>1690200753</v>
      </c>
      <c r="CF61">
        <v>2</v>
      </c>
      <c r="CG61">
        <v>-0.245</v>
      </c>
      <c r="CH61">
        <v>3.0000000000000001E-3</v>
      </c>
      <c r="CI61">
        <v>-1.5169999999999999</v>
      </c>
      <c r="CJ61">
        <v>-1.6E-2</v>
      </c>
      <c r="CK61">
        <v>778</v>
      </c>
      <c r="CL61">
        <v>12</v>
      </c>
      <c r="CM61">
        <v>0.01</v>
      </c>
      <c r="CN61">
        <v>0.03</v>
      </c>
      <c r="CO61">
        <v>-221.1343902439024</v>
      </c>
      <c r="CP61">
        <v>-20.415533101045479</v>
      </c>
      <c r="CQ61">
        <v>2.0141087344160828</v>
      </c>
      <c r="CR61">
        <v>-1</v>
      </c>
      <c r="CS61">
        <v>11.311953658536581</v>
      </c>
      <c r="CT61">
        <v>0.7946926829268296</v>
      </c>
      <c r="CU61">
        <v>7.8366366284675137E-2</v>
      </c>
      <c r="CV61">
        <v>-1</v>
      </c>
      <c r="CW61">
        <v>0</v>
      </c>
      <c r="CX61">
        <v>0</v>
      </c>
      <c r="CY61" t="s">
        <v>333</v>
      </c>
      <c r="CZ61">
        <v>2.3650899999999999</v>
      </c>
      <c r="DA61">
        <v>2.71373</v>
      </c>
      <c r="DB61">
        <v>0.117219</v>
      </c>
      <c r="DC61">
        <v>0.14634800000000001</v>
      </c>
      <c r="DD61">
        <v>0.109482</v>
      </c>
      <c r="DE61">
        <v>6.4565700000000004E-2</v>
      </c>
      <c r="DF61">
        <v>32199.4</v>
      </c>
      <c r="DG61">
        <v>27425.200000000001</v>
      </c>
      <c r="DH61">
        <v>31135.8</v>
      </c>
      <c r="DI61">
        <v>27991.200000000001</v>
      </c>
      <c r="DJ61">
        <v>37630.6</v>
      </c>
      <c r="DK61">
        <v>37197.199999999997</v>
      </c>
      <c r="DL61">
        <v>44297.3</v>
      </c>
      <c r="DM61">
        <v>42383</v>
      </c>
      <c r="DN61">
        <v>1.4388700000000001</v>
      </c>
      <c r="DO61">
        <v>2.0823499999999999</v>
      </c>
      <c r="DP61">
        <v>0.15873499999999999</v>
      </c>
      <c r="DQ61">
        <v>0.19106999999999999</v>
      </c>
      <c r="DR61">
        <v>24.382000000000001</v>
      </c>
      <c r="DS61">
        <v>24.286799999999999</v>
      </c>
      <c r="DT61">
        <v>38.700000000000003</v>
      </c>
      <c r="DU61">
        <v>24.6</v>
      </c>
      <c r="DV61">
        <v>12.1395</v>
      </c>
      <c r="DW61">
        <v>62.169899999999998</v>
      </c>
      <c r="DX61">
        <v>36.314100000000003</v>
      </c>
      <c r="DY61">
        <v>1</v>
      </c>
      <c r="DZ61">
        <v>-0.15645600000000001</v>
      </c>
      <c r="EA61">
        <v>-0.20999699999999999</v>
      </c>
      <c r="EB61">
        <v>20.192499999999999</v>
      </c>
      <c r="EC61">
        <v>5.2421499999999996</v>
      </c>
      <c r="ED61">
        <v>12.039899999999999</v>
      </c>
      <c r="EE61">
        <v>5.01715</v>
      </c>
      <c r="EF61">
        <v>3.2879999999999998</v>
      </c>
      <c r="EG61">
        <v>9999</v>
      </c>
      <c r="EH61">
        <v>9999</v>
      </c>
      <c r="EI61">
        <v>9999</v>
      </c>
      <c r="EJ61">
        <v>999.9</v>
      </c>
      <c r="EK61">
        <v>1.8687400000000001</v>
      </c>
      <c r="EL61">
        <v>1.8644700000000001</v>
      </c>
      <c r="EM61">
        <v>1.8690500000000001</v>
      </c>
      <c r="EN61">
        <v>1.86707</v>
      </c>
      <c r="EO61">
        <v>1.8632500000000001</v>
      </c>
      <c r="EP61">
        <v>1.86432</v>
      </c>
      <c r="EQ61">
        <v>1.8700399999999999</v>
      </c>
      <c r="ER61">
        <v>1.8693200000000001</v>
      </c>
      <c r="ES61">
        <v>0</v>
      </c>
      <c r="ET61">
        <v>0</v>
      </c>
      <c r="EU61">
        <v>0</v>
      </c>
      <c r="EV61">
        <v>0</v>
      </c>
      <c r="EW61" t="s">
        <v>334</v>
      </c>
      <c r="EX61" t="s">
        <v>335</v>
      </c>
      <c r="EY61" t="s">
        <v>336</v>
      </c>
      <c r="EZ61" t="s">
        <v>336</v>
      </c>
      <c r="FA61" t="s">
        <v>336</v>
      </c>
      <c r="FB61" t="s">
        <v>336</v>
      </c>
      <c r="FC61">
        <v>0</v>
      </c>
      <c r="FD61">
        <v>100</v>
      </c>
      <c r="FE61">
        <v>100</v>
      </c>
      <c r="FF61">
        <v>-1.3740000000000001</v>
      </c>
      <c r="FG61">
        <v>0.1782</v>
      </c>
      <c r="FH61">
        <v>-0.98020551812546231</v>
      </c>
      <c r="FI61">
        <v>-6.1462078757559423E-4</v>
      </c>
      <c r="FJ61">
        <v>-1.8861989874597051E-7</v>
      </c>
      <c r="FK61">
        <v>1.1980462299894961E-10</v>
      </c>
      <c r="FL61">
        <v>0.1782306200647516</v>
      </c>
      <c r="FM61">
        <v>0</v>
      </c>
      <c r="FN61">
        <v>0</v>
      </c>
      <c r="FO61">
        <v>0</v>
      </c>
      <c r="FP61">
        <v>3</v>
      </c>
      <c r="FQ61">
        <v>2158</v>
      </c>
      <c r="FR61">
        <v>1</v>
      </c>
      <c r="FS61">
        <v>19</v>
      </c>
      <c r="FT61">
        <v>9.4</v>
      </c>
      <c r="FU61">
        <v>9.6999999999999993</v>
      </c>
      <c r="FV61">
        <v>1.7724599999999999</v>
      </c>
      <c r="FW61">
        <v>2.5415000000000001</v>
      </c>
      <c r="FX61">
        <v>1.5490699999999999</v>
      </c>
      <c r="FY61">
        <v>2.34497</v>
      </c>
      <c r="FZ61">
        <v>1.50146</v>
      </c>
      <c r="GA61">
        <v>2.3083499999999999</v>
      </c>
      <c r="GB61">
        <v>30.200500000000002</v>
      </c>
      <c r="GC61">
        <v>23.973700000000001</v>
      </c>
      <c r="GD61">
        <v>19</v>
      </c>
      <c r="GE61">
        <v>263.858</v>
      </c>
      <c r="GF61">
        <v>611.48500000000001</v>
      </c>
      <c r="GG61">
        <v>24.330400000000001</v>
      </c>
      <c r="GH61">
        <v>25.444199999999999</v>
      </c>
      <c r="GI61">
        <v>30.000499999999999</v>
      </c>
      <c r="GJ61">
        <v>25.515499999999999</v>
      </c>
      <c r="GK61">
        <v>25.4574</v>
      </c>
      <c r="GL61">
        <v>35.445999999999998</v>
      </c>
      <c r="GM61">
        <v>-30</v>
      </c>
      <c r="GN61">
        <v>-30</v>
      </c>
      <c r="GO61">
        <v>24.367599999999999</v>
      </c>
      <c r="GP61">
        <v>800</v>
      </c>
      <c r="GQ61">
        <v>0</v>
      </c>
      <c r="GR61">
        <v>99.605599999999995</v>
      </c>
      <c r="GS61">
        <v>99.187700000000007</v>
      </c>
    </row>
    <row r="62" spans="1:201" x14ac:dyDescent="0.25">
      <c r="A62">
        <v>46</v>
      </c>
      <c r="B62">
        <v>1690201345.5</v>
      </c>
      <c r="C62">
        <v>498.5</v>
      </c>
      <c r="D62" t="s">
        <v>425</v>
      </c>
      <c r="E62" t="s">
        <v>426</v>
      </c>
      <c r="F62" t="s">
        <v>330</v>
      </c>
      <c r="H62">
        <v>1690201345.5</v>
      </c>
      <c r="I62">
        <f t="shared" si="0"/>
        <v>1.0697677563199668E-3</v>
      </c>
      <c r="J62">
        <f t="shared" si="1"/>
        <v>1.0697677563199668</v>
      </c>
      <c r="K62">
        <f t="shared" si="2"/>
        <v>19.972385861465728</v>
      </c>
      <c r="L62">
        <f t="shared" si="3"/>
        <v>571.53399999999999</v>
      </c>
      <c r="M62">
        <f t="shared" si="4"/>
        <v>130.85945756222699</v>
      </c>
      <c r="N62">
        <f t="shared" si="5"/>
        <v>12.965968741268641</v>
      </c>
      <c r="O62">
        <f t="shared" si="6"/>
        <v>56.6293955104342</v>
      </c>
      <c r="P62">
        <f t="shared" si="7"/>
        <v>7.5146422141654193E-2</v>
      </c>
      <c r="Q62">
        <f t="shared" si="8"/>
        <v>2.0821749600977197</v>
      </c>
      <c r="R62">
        <f t="shared" si="9"/>
        <v>7.3671623714847173E-2</v>
      </c>
      <c r="S62">
        <f t="shared" si="10"/>
        <v>4.6174858854965813E-2</v>
      </c>
      <c r="T62">
        <f t="shared" si="11"/>
        <v>276.11350233610784</v>
      </c>
      <c r="U62">
        <f t="shared" si="12"/>
        <v>27.34931328131313</v>
      </c>
      <c r="V62">
        <f t="shared" si="13"/>
        <v>27.34931328131313</v>
      </c>
      <c r="W62">
        <f t="shared" si="14"/>
        <v>3.6532507033574753</v>
      </c>
      <c r="X62">
        <f t="shared" si="15"/>
        <v>68.918354164080796</v>
      </c>
      <c r="Y62">
        <f t="shared" si="16"/>
        <v>2.2574017555817698</v>
      </c>
      <c r="Z62">
        <f t="shared" si="17"/>
        <v>3.2754725253701626</v>
      </c>
      <c r="AA62">
        <f t="shared" si="18"/>
        <v>1.3958489477757055</v>
      </c>
      <c r="AB62">
        <f t="shared" si="19"/>
        <v>-47.176758053710536</v>
      </c>
      <c r="AC62">
        <f t="shared" si="20"/>
        <v>-207.72791842188158</v>
      </c>
      <c r="AD62">
        <f t="shared" si="21"/>
        <v>-21.406865206573315</v>
      </c>
      <c r="AE62">
        <f t="shared" si="22"/>
        <v>-0.198039346057584</v>
      </c>
      <c r="AF62">
        <v>15</v>
      </c>
      <c r="AG62">
        <v>5</v>
      </c>
      <c r="AH62">
        <f t="shared" si="23"/>
        <v>1</v>
      </c>
      <c r="AI62">
        <f t="shared" si="24"/>
        <v>0</v>
      </c>
      <c r="AJ62">
        <f t="shared" si="25"/>
        <v>52697.618780101693</v>
      </c>
      <c r="AK62">
        <f t="shared" si="26"/>
        <v>1799.98</v>
      </c>
      <c r="AL62">
        <f t="shared" si="27"/>
        <v>1499.0947510065798</v>
      </c>
      <c r="AM62">
        <f t="shared" si="28"/>
        <v>0.83283967099999989</v>
      </c>
      <c r="AN62">
        <f t="shared" si="29"/>
        <v>0.15339809461000001</v>
      </c>
      <c r="AO62">
        <v>33.299999999999997</v>
      </c>
      <c r="AP62">
        <v>0.5</v>
      </c>
      <c r="AQ62" t="s">
        <v>331</v>
      </c>
      <c r="AR62">
        <v>2</v>
      </c>
      <c r="AS62">
        <v>1690201345.5</v>
      </c>
      <c r="AT62">
        <v>571.53399999999999</v>
      </c>
      <c r="AU62">
        <v>799.97299999999996</v>
      </c>
      <c r="AV62">
        <v>22.782900000000001</v>
      </c>
      <c r="AW62">
        <v>11.181100000000001</v>
      </c>
      <c r="AX62">
        <v>572.90599999999995</v>
      </c>
      <c r="AY62">
        <v>22.604700000000001</v>
      </c>
      <c r="AZ62">
        <v>300.05399999999997</v>
      </c>
      <c r="BA62">
        <v>98.9833</v>
      </c>
      <c r="BB62">
        <v>9.98613E-2</v>
      </c>
      <c r="BC62">
        <v>25.498799999999999</v>
      </c>
      <c r="BD62">
        <v>26.974</v>
      </c>
      <c r="BE62">
        <v>27.432600000000001</v>
      </c>
      <c r="BF62">
        <v>0</v>
      </c>
      <c r="BG62">
        <v>0</v>
      </c>
      <c r="BH62">
        <v>10018.799999999999</v>
      </c>
      <c r="BI62">
        <v>1072.75</v>
      </c>
      <c r="BJ62">
        <v>1.19981</v>
      </c>
      <c r="BK62">
        <v>-228.43799999999999</v>
      </c>
      <c r="BL62">
        <v>584.85900000000004</v>
      </c>
      <c r="BM62">
        <v>809.01800000000003</v>
      </c>
      <c r="BN62">
        <v>11.601800000000001</v>
      </c>
      <c r="BO62">
        <v>799.97299999999996</v>
      </c>
      <c r="BP62">
        <v>11.181100000000001</v>
      </c>
      <c r="BQ62">
        <v>2.2551299999999999</v>
      </c>
      <c r="BR62">
        <v>1.1067400000000001</v>
      </c>
      <c r="BS62">
        <v>19.359400000000001</v>
      </c>
      <c r="BT62">
        <v>8.4028799999999997</v>
      </c>
      <c r="BU62">
        <v>1799.98</v>
      </c>
      <c r="BV62">
        <v>0.90999099999999999</v>
      </c>
      <c r="BW62">
        <v>3.4007900000000001E-2</v>
      </c>
      <c r="BX62">
        <v>2.20098E-2</v>
      </c>
      <c r="BY62">
        <v>3.3990899999999998E-2</v>
      </c>
      <c r="BZ62">
        <v>24</v>
      </c>
      <c r="CA62">
        <v>33527.9</v>
      </c>
      <c r="CB62">
        <v>1690200769.5</v>
      </c>
      <c r="CC62" t="s">
        <v>332</v>
      </c>
      <c r="CD62">
        <v>1690200769.5</v>
      </c>
      <c r="CE62">
        <v>1690200753</v>
      </c>
      <c r="CF62">
        <v>2</v>
      </c>
      <c r="CG62">
        <v>-0.245</v>
      </c>
      <c r="CH62">
        <v>3.0000000000000001E-3</v>
      </c>
      <c r="CI62">
        <v>-1.5169999999999999</v>
      </c>
      <c r="CJ62">
        <v>-1.6E-2</v>
      </c>
      <c r="CK62">
        <v>778</v>
      </c>
      <c r="CL62">
        <v>12</v>
      </c>
      <c r="CM62">
        <v>0.01</v>
      </c>
      <c r="CN62">
        <v>0.03</v>
      </c>
      <c r="CO62">
        <v>-224.58904878048779</v>
      </c>
      <c r="CP62">
        <v>-20.823303135888501</v>
      </c>
      <c r="CQ62">
        <v>2.0535503218693552</v>
      </c>
      <c r="CR62">
        <v>-1</v>
      </c>
      <c r="CS62">
        <v>11.44642682926829</v>
      </c>
      <c r="CT62">
        <v>0.81955609756096492</v>
      </c>
      <c r="CU62">
        <v>8.0820252304910425E-2</v>
      </c>
      <c r="CV62">
        <v>-1</v>
      </c>
      <c r="CW62">
        <v>0</v>
      </c>
      <c r="CX62">
        <v>0</v>
      </c>
      <c r="CY62" t="s">
        <v>333</v>
      </c>
      <c r="CZ62">
        <v>2.3649900000000001</v>
      </c>
      <c r="DA62">
        <v>2.71367</v>
      </c>
      <c r="DB62">
        <v>0.116713</v>
      </c>
      <c r="DC62">
        <v>0.14634</v>
      </c>
      <c r="DD62">
        <v>0.109927</v>
      </c>
      <c r="DE62">
        <v>6.4502100000000007E-2</v>
      </c>
      <c r="DF62">
        <v>32218.5</v>
      </c>
      <c r="DG62">
        <v>27425.7</v>
      </c>
      <c r="DH62">
        <v>31136.400000000001</v>
      </c>
      <c r="DI62">
        <v>27991.5</v>
      </c>
      <c r="DJ62">
        <v>37612.199999999997</v>
      </c>
      <c r="DK62">
        <v>37200.400000000001</v>
      </c>
      <c r="DL62">
        <v>44298.1</v>
      </c>
      <c r="DM62">
        <v>42383.7</v>
      </c>
      <c r="DN62">
        <v>1.4390700000000001</v>
      </c>
      <c r="DO62">
        <v>2.0828000000000002</v>
      </c>
      <c r="DP62">
        <v>0.157692</v>
      </c>
      <c r="DQ62">
        <v>0.19162899999999999</v>
      </c>
      <c r="DR62">
        <v>24.389500000000002</v>
      </c>
      <c r="DS62">
        <v>24.292899999999999</v>
      </c>
      <c r="DT62">
        <v>38.6</v>
      </c>
      <c r="DU62">
        <v>24.7</v>
      </c>
      <c r="DV62">
        <v>12.179500000000001</v>
      </c>
      <c r="DW62">
        <v>62.069899999999997</v>
      </c>
      <c r="DX62">
        <v>36.802900000000001</v>
      </c>
      <c r="DY62">
        <v>1</v>
      </c>
      <c r="DZ62">
        <v>-0.15739800000000001</v>
      </c>
      <c r="EA62">
        <v>-0.21131800000000001</v>
      </c>
      <c r="EB62">
        <v>20.192699999999999</v>
      </c>
      <c r="EC62">
        <v>5.2416999999999998</v>
      </c>
      <c r="ED62">
        <v>12.039899999999999</v>
      </c>
      <c r="EE62">
        <v>5.0173500000000004</v>
      </c>
      <c r="EF62">
        <v>3.2879999999999998</v>
      </c>
      <c r="EG62">
        <v>9999</v>
      </c>
      <c r="EH62">
        <v>9999</v>
      </c>
      <c r="EI62">
        <v>9999</v>
      </c>
      <c r="EJ62">
        <v>999.9</v>
      </c>
      <c r="EK62">
        <v>1.8687400000000001</v>
      </c>
      <c r="EL62">
        <v>1.8644700000000001</v>
      </c>
      <c r="EM62">
        <v>1.8690500000000001</v>
      </c>
      <c r="EN62">
        <v>1.86707</v>
      </c>
      <c r="EO62">
        <v>1.8632500000000001</v>
      </c>
      <c r="EP62">
        <v>1.86432</v>
      </c>
      <c r="EQ62">
        <v>1.8700399999999999</v>
      </c>
      <c r="ER62">
        <v>1.8692800000000001</v>
      </c>
      <c r="ES62">
        <v>0</v>
      </c>
      <c r="ET62">
        <v>0</v>
      </c>
      <c r="EU62">
        <v>0</v>
      </c>
      <c r="EV62">
        <v>0</v>
      </c>
      <c r="EW62" t="s">
        <v>334</v>
      </c>
      <c r="EX62" t="s">
        <v>335</v>
      </c>
      <c r="EY62" t="s">
        <v>336</v>
      </c>
      <c r="EZ62" t="s">
        <v>336</v>
      </c>
      <c r="FA62" t="s">
        <v>336</v>
      </c>
      <c r="FB62" t="s">
        <v>336</v>
      </c>
      <c r="FC62">
        <v>0</v>
      </c>
      <c r="FD62">
        <v>100</v>
      </c>
      <c r="FE62">
        <v>100</v>
      </c>
      <c r="FF62">
        <v>-1.3720000000000001</v>
      </c>
      <c r="FG62">
        <v>0.1782</v>
      </c>
      <c r="FH62">
        <v>-0.98020551812546231</v>
      </c>
      <c r="FI62">
        <v>-6.1462078757559423E-4</v>
      </c>
      <c r="FJ62">
        <v>-1.8861989874597051E-7</v>
      </c>
      <c r="FK62">
        <v>1.1980462299894961E-10</v>
      </c>
      <c r="FL62">
        <v>0.1782306200647516</v>
      </c>
      <c r="FM62">
        <v>0</v>
      </c>
      <c r="FN62">
        <v>0</v>
      </c>
      <c r="FO62">
        <v>0</v>
      </c>
      <c r="FP62">
        <v>3</v>
      </c>
      <c r="FQ62">
        <v>2158</v>
      </c>
      <c r="FR62">
        <v>1</v>
      </c>
      <c r="FS62">
        <v>19</v>
      </c>
      <c r="FT62">
        <v>9.6</v>
      </c>
      <c r="FU62">
        <v>9.9</v>
      </c>
      <c r="FV62">
        <v>1.7736799999999999</v>
      </c>
      <c r="FW62">
        <v>2.5439500000000002</v>
      </c>
      <c r="FX62">
        <v>1.5490699999999999</v>
      </c>
      <c r="FY62">
        <v>2.34497</v>
      </c>
      <c r="FZ62">
        <v>1.50146</v>
      </c>
      <c r="GA62">
        <v>2.2729499999999998</v>
      </c>
      <c r="GB62">
        <v>30.222000000000001</v>
      </c>
      <c r="GC62">
        <v>23.982399999999998</v>
      </c>
      <c r="GD62">
        <v>19</v>
      </c>
      <c r="GE62">
        <v>263.94900000000001</v>
      </c>
      <c r="GF62">
        <v>611.91300000000001</v>
      </c>
      <c r="GG62">
        <v>24.3795</v>
      </c>
      <c r="GH62">
        <v>25.443100000000001</v>
      </c>
      <c r="GI62">
        <v>29.9999</v>
      </c>
      <c r="GJ62">
        <v>25.5182</v>
      </c>
      <c r="GK62">
        <v>25.460999999999999</v>
      </c>
      <c r="GL62">
        <v>35.449100000000001</v>
      </c>
      <c r="GM62">
        <v>-30</v>
      </c>
      <c r="GN62">
        <v>-30</v>
      </c>
      <c r="GO62">
        <v>24.389099999999999</v>
      </c>
      <c r="GP62">
        <v>800</v>
      </c>
      <c r="GQ62">
        <v>0</v>
      </c>
      <c r="GR62">
        <v>99.607500000000002</v>
      </c>
      <c r="GS62">
        <v>99.188999999999993</v>
      </c>
    </row>
    <row r="63" spans="1:201" x14ac:dyDescent="0.25">
      <c r="A63">
        <v>47</v>
      </c>
      <c r="B63">
        <v>1690201355.5</v>
      </c>
      <c r="C63">
        <v>508.5</v>
      </c>
      <c r="D63" t="s">
        <v>427</v>
      </c>
      <c r="E63" t="s">
        <v>428</v>
      </c>
      <c r="F63" t="s">
        <v>330</v>
      </c>
      <c r="H63">
        <v>1690201355.5</v>
      </c>
      <c r="I63">
        <f t="shared" si="0"/>
        <v>1.0829880340922193E-3</v>
      </c>
      <c r="J63">
        <f t="shared" si="1"/>
        <v>1.0829880340922193</v>
      </c>
      <c r="K63">
        <f t="shared" si="2"/>
        <v>20.292487361347103</v>
      </c>
      <c r="L63">
        <f t="shared" si="3"/>
        <v>568.07000000000005</v>
      </c>
      <c r="M63">
        <f t="shared" si="4"/>
        <v>129.4495996385325</v>
      </c>
      <c r="N63">
        <f t="shared" si="5"/>
        <v>12.826206266834452</v>
      </c>
      <c r="O63">
        <f t="shared" si="6"/>
        <v>56.285867351820009</v>
      </c>
      <c r="P63">
        <f t="shared" si="7"/>
        <v>7.672136894739294E-2</v>
      </c>
      <c r="Q63">
        <f t="shared" si="8"/>
        <v>2.0808408716701265</v>
      </c>
      <c r="R63">
        <f t="shared" si="9"/>
        <v>7.5183821234309722E-2</v>
      </c>
      <c r="S63">
        <f t="shared" si="10"/>
        <v>4.7125464374865922E-2</v>
      </c>
      <c r="T63">
        <f t="shared" si="11"/>
        <v>276.1129974057182</v>
      </c>
      <c r="U63">
        <f t="shared" si="12"/>
        <v>27.354754694122118</v>
      </c>
      <c r="V63">
        <f t="shared" si="13"/>
        <v>27.354754694122118</v>
      </c>
      <c r="W63">
        <f t="shared" si="14"/>
        <v>3.6544153611880903</v>
      </c>
      <c r="X63">
        <f t="shared" si="15"/>
        <v>69.260778124372024</v>
      </c>
      <c r="Y63">
        <f t="shared" si="16"/>
        <v>2.2698442459836001</v>
      </c>
      <c r="Z63">
        <f t="shared" si="17"/>
        <v>3.2772433510747256</v>
      </c>
      <c r="AA63">
        <f t="shared" si="18"/>
        <v>1.3845711152044902</v>
      </c>
      <c r="AB63">
        <f t="shared" si="19"/>
        <v>-47.759772303466868</v>
      </c>
      <c r="AC63">
        <f t="shared" si="20"/>
        <v>-207.18439456013951</v>
      </c>
      <c r="AD63">
        <f t="shared" si="21"/>
        <v>-21.366097980770967</v>
      </c>
      <c r="AE63">
        <f t="shared" si="22"/>
        <v>-0.19726743865913932</v>
      </c>
      <c r="AF63">
        <v>15</v>
      </c>
      <c r="AG63">
        <v>5</v>
      </c>
      <c r="AH63">
        <f t="shared" si="23"/>
        <v>1</v>
      </c>
      <c r="AI63">
        <f t="shared" si="24"/>
        <v>0</v>
      </c>
      <c r="AJ63">
        <f t="shared" si="25"/>
        <v>52635.625601283602</v>
      </c>
      <c r="AK63">
        <f t="shared" si="26"/>
        <v>1799.98</v>
      </c>
      <c r="AL63">
        <f t="shared" si="27"/>
        <v>1499.0968983827199</v>
      </c>
      <c r="AM63">
        <f t="shared" si="28"/>
        <v>0.83284086400000001</v>
      </c>
      <c r="AN63">
        <f t="shared" si="29"/>
        <v>0.15339781409</v>
      </c>
      <c r="AO63">
        <v>33.299999999999997</v>
      </c>
      <c r="AP63">
        <v>0.5</v>
      </c>
      <c r="AQ63" t="s">
        <v>331</v>
      </c>
      <c r="AR63">
        <v>2</v>
      </c>
      <c r="AS63">
        <v>1690201355.5</v>
      </c>
      <c r="AT63">
        <v>568.07000000000005</v>
      </c>
      <c r="AU63">
        <v>800.05499999999995</v>
      </c>
      <c r="AV63">
        <v>22.9086</v>
      </c>
      <c r="AW63">
        <v>11.167400000000001</v>
      </c>
      <c r="AX63">
        <v>569.43899999999996</v>
      </c>
      <c r="AY63">
        <v>22.730399999999999</v>
      </c>
      <c r="AZ63">
        <v>300.11700000000002</v>
      </c>
      <c r="BA63">
        <v>98.982600000000005</v>
      </c>
      <c r="BB63">
        <v>0.100026</v>
      </c>
      <c r="BC63">
        <v>25.507899999999999</v>
      </c>
      <c r="BD63">
        <v>26.987400000000001</v>
      </c>
      <c r="BE63">
        <v>27.434799999999999</v>
      </c>
      <c r="BF63">
        <v>0</v>
      </c>
      <c r="BG63">
        <v>0</v>
      </c>
      <c r="BH63">
        <v>10006.9</v>
      </c>
      <c r="BI63">
        <v>1072.71</v>
      </c>
      <c r="BJ63">
        <v>1.45492</v>
      </c>
      <c r="BK63">
        <v>-231.98500000000001</v>
      </c>
      <c r="BL63">
        <v>581.38900000000001</v>
      </c>
      <c r="BM63">
        <v>809.09</v>
      </c>
      <c r="BN63">
        <v>11.741199999999999</v>
      </c>
      <c r="BO63">
        <v>800.05499999999995</v>
      </c>
      <c r="BP63">
        <v>11.167400000000001</v>
      </c>
      <c r="BQ63">
        <v>2.26755</v>
      </c>
      <c r="BR63">
        <v>1.10538</v>
      </c>
      <c r="BS63">
        <v>19.447700000000001</v>
      </c>
      <c r="BT63">
        <v>8.3847199999999997</v>
      </c>
      <c r="BU63">
        <v>1799.98</v>
      </c>
      <c r="BV63">
        <v>0.91000400000000004</v>
      </c>
      <c r="BW63">
        <v>3.4002999999999999E-2</v>
      </c>
      <c r="BX63">
        <v>2.2006700000000001E-2</v>
      </c>
      <c r="BY63">
        <v>3.3986099999999998E-2</v>
      </c>
      <c r="BZ63">
        <v>24</v>
      </c>
      <c r="CA63">
        <v>33527.9</v>
      </c>
      <c r="CB63">
        <v>1690200769.5</v>
      </c>
      <c r="CC63" t="s">
        <v>332</v>
      </c>
      <c r="CD63">
        <v>1690200769.5</v>
      </c>
      <c r="CE63">
        <v>1690200753</v>
      </c>
      <c r="CF63">
        <v>2</v>
      </c>
      <c r="CG63">
        <v>-0.245</v>
      </c>
      <c r="CH63">
        <v>3.0000000000000001E-3</v>
      </c>
      <c r="CI63">
        <v>-1.5169999999999999</v>
      </c>
      <c r="CJ63">
        <v>-1.6E-2</v>
      </c>
      <c r="CK63">
        <v>778</v>
      </c>
      <c r="CL63">
        <v>12</v>
      </c>
      <c r="CM63">
        <v>0.01</v>
      </c>
      <c r="CN63">
        <v>0.03</v>
      </c>
      <c r="CO63">
        <v>-228.09095121951219</v>
      </c>
      <c r="CP63">
        <v>-21.013714285714421</v>
      </c>
      <c r="CQ63">
        <v>2.072273841862907</v>
      </c>
      <c r="CR63">
        <v>-1</v>
      </c>
      <c r="CS63">
        <v>11.586356097560969</v>
      </c>
      <c r="CT63">
        <v>0.85626271777006213</v>
      </c>
      <c r="CU63">
        <v>8.4440384653202083E-2</v>
      </c>
      <c r="CV63">
        <v>-1</v>
      </c>
      <c r="CW63">
        <v>0</v>
      </c>
      <c r="CX63">
        <v>0</v>
      </c>
      <c r="CY63" t="s">
        <v>333</v>
      </c>
      <c r="CZ63">
        <v>2.3651900000000001</v>
      </c>
      <c r="DA63">
        <v>2.7138200000000001</v>
      </c>
      <c r="DB63">
        <v>0.11620900000000001</v>
      </c>
      <c r="DC63">
        <v>0.146345</v>
      </c>
      <c r="DD63">
        <v>0.11035399999999999</v>
      </c>
      <c r="DE63">
        <v>6.4440200000000003E-2</v>
      </c>
      <c r="DF63">
        <v>32236.7</v>
      </c>
      <c r="DG63">
        <v>27425.5</v>
      </c>
      <c r="DH63">
        <v>31136.2</v>
      </c>
      <c r="DI63">
        <v>27991.5</v>
      </c>
      <c r="DJ63">
        <v>37593.800000000003</v>
      </c>
      <c r="DK63">
        <v>37202.6</v>
      </c>
      <c r="DL63">
        <v>44298</v>
      </c>
      <c r="DM63">
        <v>42383.4</v>
      </c>
      <c r="DN63">
        <v>1.43912</v>
      </c>
      <c r="DO63">
        <v>2.0821800000000001</v>
      </c>
      <c r="DP63">
        <v>0.15810099999999999</v>
      </c>
      <c r="DQ63">
        <v>0.19148000000000001</v>
      </c>
      <c r="DR63">
        <v>24.3963</v>
      </c>
      <c r="DS63">
        <v>24.297499999999999</v>
      </c>
      <c r="DT63">
        <v>38.6</v>
      </c>
      <c r="DU63">
        <v>24.7</v>
      </c>
      <c r="DV63">
        <v>12.1799</v>
      </c>
      <c r="DW63">
        <v>62.059899999999999</v>
      </c>
      <c r="DX63">
        <v>36.642600000000002</v>
      </c>
      <c r="DY63">
        <v>1</v>
      </c>
      <c r="DZ63">
        <v>-0.15624199999999999</v>
      </c>
      <c r="EA63">
        <v>-0.26122299999999998</v>
      </c>
      <c r="EB63">
        <v>20.192</v>
      </c>
      <c r="EC63">
        <v>5.2421499999999996</v>
      </c>
      <c r="ED63">
        <v>12.039899999999999</v>
      </c>
      <c r="EE63">
        <v>5.0172499999999998</v>
      </c>
      <c r="EF63">
        <v>3.2879999999999998</v>
      </c>
      <c r="EG63">
        <v>9999</v>
      </c>
      <c r="EH63">
        <v>9999</v>
      </c>
      <c r="EI63">
        <v>9999</v>
      </c>
      <c r="EJ63">
        <v>999.9</v>
      </c>
      <c r="EK63">
        <v>1.8687400000000001</v>
      </c>
      <c r="EL63">
        <v>1.8644700000000001</v>
      </c>
      <c r="EM63">
        <v>1.8690500000000001</v>
      </c>
      <c r="EN63">
        <v>1.86707</v>
      </c>
      <c r="EO63">
        <v>1.8632500000000001</v>
      </c>
      <c r="EP63">
        <v>1.86432</v>
      </c>
      <c r="EQ63">
        <v>1.8700600000000001</v>
      </c>
      <c r="ER63">
        <v>1.8692899999999999</v>
      </c>
      <c r="ES63">
        <v>0</v>
      </c>
      <c r="ET63">
        <v>0</v>
      </c>
      <c r="EU63">
        <v>0</v>
      </c>
      <c r="EV63">
        <v>0</v>
      </c>
      <c r="EW63" t="s">
        <v>334</v>
      </c>
      <c r="EX63" t="s">
        <v>335</v>
      </c>
      <c r="EY63" t="s">
        <v>336</v>
      </c>
      <c r="EZ63" t="s">
        <v>336</v>
      </c>
      <c r="FA63" t="s">
        <v>336</v>
      </c>
      <c r="FB63" t="s">
        <v>336</v>
      </c>
      <c r="FC63">
        <v>0</v>
      </c>
      <c r="FD63">
        <v>100</v>
      </c>
      <c r="FE63">
        <v>100</v>
      </c>
      <c r="FF63">
        <v>-1.369</v>
      </c>
      <c r="FG63">
        <v>0.1782</v>
      </c>
      <c r="FH63">
        <v>-0.98020551812546231</v>
      </c>
      <c r="FI63">
        <v>-6.1462078757559423E-4</v>
      </c>
      <c r="FJ63">
        <v>-1.8861989874597051E-7</v>
      </c>
      <c r="FK63">
        <v>1.1980462299894961E-10</v>
      </c>
      <c r="FL63">
        <v>0.1782306200647516</v>
      </c>
      <c r="FM63">
        <v>0</v>
      </c>
      <c r="FN63">
        <v>0</v>
      </c>
      <c r="FO63">
        <v>0</v>
      </c>
      <c r="FP63">
        <v>3</v>
      </c>
      <c r="FQ63">
        <v>2158</v>
      </c>
      <c r="FR63">
        <v>1</v>
      </c>
      <c r="FS63">
        <v>19</v>
      </c>
      <c r="FT63">
        <v>9.8000000000000007</v>
      </c>
      <c r="FU63">
        <v>10</v>
      </c>
      <c r="FV63">
        <v>1.7736799999999999</v>
      </c>
      <c r="FW63">
        <v>2.5463900000000002</v>
      </c>
      <c r="FX63">
        <v>1.5490699999999999</v>
      </c>
      <c r="FY63">
        <v>2.34497</v>
      </c>
      <c r="FZ63">
        <v>1.50146</v>
      </c>
      <c r="GA63">
        <v>2.3290999999999999</v>
      </c>
      <c r="GB63">
        <v>30.243400000000001</v>
      </c>
      <c r="GC63">
        <v>23.982399999999998</v>
      </c>
      <c r="GD63">
        <v>19</v>
      </c>
      <c r="GE63">
        <v>263.976</v>
      </c>
      <c r="GF63">
        <v>611.41200000000003</v>
      </c>
      <c r="GG63">
        <v>24.414400000000001</v>
      </c>
      <c r="GH63">
        <v>25.443100000000001</v>
      </c>
      <c r="GI63">
        <v>30.000599999999999</v>
      </c>
      <c r="GJ63">
        <v>25.5198</v>
      </c>
      <c r="GK63">
        <v>25.463699999999999</v>
      </c>
      <c r="GL63">
        <v>35.447400000000002</v>
      </c>
      <c r="GM63">
        <v>-30</v>
      </c>
      <c r="GN63">
        <v>-30</v>
      </c>
      <c r="GO63">
        <v>24.429600000000001</v>
      </c>
      <c r="GP63">
        <v>800</v>
      </c>
      <c r="GQ63">
        <v>0</v>
      </c>
      <c r="GR63">
        <v>99.607100000000003</v>
      </c>
      <c r="GS63">
        <v>99.188599999999994</v>
      </c>
    </row>
    <row r="64" spans="1:201" x14ac:dyDescent="0.25">
      <c r="A64">
        <v>48</v>
      </c>
      <c r="B64">
        <v>1690201365.5</v>
      </c>
      <c r="C64">
        <v>518.5</v>
      </c>
      <c r="D64" t="s">
        <v>429</v>
      </c>
      <c r="E64" t="s">
        <v>430</v>
      </c>
      <c r="F64" t="s">
        <v>330</v>
      </c>
      <c r="H64">
        <v>1690201365.5</v>
      </c>
      <c r="I64">
        <f t="shared" si="0"/>
        <v>1.095928204675989E-3</v>
      </c>
      <c r="J64">
        <f t="shared" si="1"/>
        <v>1.0959282046759891</v>
      </c>
      <c r="K64">
        <f t="shared" si="2"/>
        <v>20.598282816997976</v>
      </c>
      <c r="L64">
        <f t="shared" si="3"/>
        <v>564.64099999999996</v>
      </c>
      <c r="M64">
        <f t="shared" si="4"/>
        <v>127.87370626956125</v>
      </c>
      <c r="N64">
        <f t="shared" si="5"/>
        <v>12.670001183012301</v>
      </c>
      <c r="O64">
        <f t="shared" si="6"/>
        <v>55.945841773729597</v>
      </c>
      <c r="P64">
        <f t="shared" si="7"/>
        <v>7.8219422172355765E-2</v>
      </c>
      <c r="Q64">
        <f t="shared" si="8"/>
        <v>2.0810482095381038</v>
      </c>
      <c r="R64">
        <f t="shared" si="9"/>
        <v>7.662207360394635E-2</v>
      </c>
      <c r="S64">
        <f t="shared" si="10"/>
        <v>4.8029594517490948E-2</v>
      </c>
      <c r="T64">
        <f t="shared" si="11"/>
        <v>276.1126632754308</v>
      </c>
      <c r="U64">
        <f t="shared" si="12"/>
        <v>27.364445232369491</v>
      </c>
      <c r="V64">
        <f t="shared" si="13"/>
        <v>27.364445232369491</v>
      </c>
      <c r="W64">
        <f t="shared" si="14"/>
        <v>3.6564902869492841</v>
      </c>
      <c r="X64">
        <f t="shared" si="15"/>
        <v>69.565125927606246</v>
      </c>
      <c r="Y64">
        <f t="shared" si="16"/>
        <v>2.2817825474515203</v>
      </c>
      <c r="Z64">
        <f t="shared" si="17"/>
        <v>3.2800667245626549</v>
      </c>
      <c r="AA64">
        <f t="shared" si="18"/>
        <v>1.3747077394977638</v>
      </c>
      <c r="AB64">
        <f t="shared" si="19"/>
        <v>-48.330433826211113</v>
      </c>
      <c r="AC64">
        <f t="shared" si="20"/>
        <v>-206.66544849230073</v>
      </c>
      <c r="AD64">
        <f t="shared" si="21"/>
        <v>-21.313039230907819</v>
      </c>
      <c r="AE64">
        <f t="shared" si="22"/>
        <v>-0.19625827398883189</v>
      </c>
      <c r="AF64">
        <v>15</v>
      </c>
      <c r="AG64">
        <v>5</v>
      </c>
      <c r="AH64">
        <f t="shared" si="23"/>
        <v>1</v>
      </c>
      <c r="AI64">
        <f t="shared" si="24"/>
        <v>0</v>
      </c>
      <c r="AJ64">
        <f t="shared" si="25"/>
        <v>52642.439224168775</v>
      </c>
      <c r="AK64">
        <f t="shared" si="26"/>
        <v>1799.98</v>
      </c>
      <c r="AL64">
        <f t="shared" si="27"/>
        <v>1499.0933110225799</v>
      </c>
      <c r="AM64">
        <f t="shared" si="28"/>
        <v>0.83283887099999987</v>
      </c>
      <c r="AN64">
        <f t="shared" si="29"/>
        <v>0.15339762845999999</v>
      </c>
      <c r="AO64">
        <v>33.299999999999997</v>
      </c>
      <c r="AP64">
        <v>0.5</v>
      </c>
      <c r="AQ64" t="s">
        <v>331</v>
      </c>
      <c r="AR64">
        <v>2</v>
      </c>
      <c r="AS64">
        <v>1690201365.5</v>
      </c>
      <c r="AT64">
        <v>564.64099999999996</v>
      </c>
      <c r="AU64">
        <v>799.99300000000005</v>
      </c>
      <c r="AV64">
        <v>23.029199999999999</v>
      </c>
      <c r="AW64">
        <v>11.1525</v>
      </c>
      <c r="AX64">
        <v>566.00699999999995</v>
      </c>
      <c r="AY64">
        <v>22.850999999999999</v>
      </c>
      <c r="AZ64">
        <v>300.20100000000002</v>
      </c>
      <c r="BA64">
        <v>98.982200000000006</v>
      </c>
      <c r="BB64">
        <v>9.9945599999999996E-2</v>
      </c>
      <c r="BC64">
        <v>25.522400000000001</v>
      </c>
      <c r="BD64">
        <v>26.998100000000001</v>
      </c>
      <c r="BE64">
        <v>27.461300000000001</v>
      </c>
      <c r="BF64">
        <v>0</v>
      </c>
      <c r="BG64">
        <v>0</v>
      </c>
      <c r="BH64">
        <v>10008.799999999999</v>
      </c>
      <c r="BI64">
        <v>1072.6099999999999</v>
      </c>
      <c r="BJ64">
        <v>1.4577199999999999</v>
      </c>
      <c r="BK64">
        <v>-235.35300000000001</v>
      </c>
      <c r="BL64">
        <v>577.95000000000005</v>
      </c>
      <c r="BM64">
        <v>809.01599999999996</v>
      </c>
      <c r="BN64">
        <v>11.8767</v>
      </c>
      <c r="BO64">
        <v>799.99300000000005</v>
      </c>
      <c r="BP64">
        <v>11.1525</v>
      </c>
      <c r="BQ64">
        <v>2.27949</v>
      </c>
      <c r="BR64">
        <v>1.1039000000000001</v>
      </c>
      <c r="BS64">
        <v>19.5322</v>
      </c>
      <c r="BT64">
        <v>8.3650199999999995</v>
      </c>
      <c r="BU64">
        <v>1799.98</v>
      </c>
      <c r="BV64">
        <v>0.90998599999999996</v>
      </c>
      <c r="BW64">
        <v>3.3997800000000002E-2</v>
      </c>
      <c r="BX64">
        <v>2.20033E-2</v>
      </c>
      <c r="BY64">
        <v>3.4012399999999998E-2</v>
      </c>
      <c r="BZ64">
        <v>24</v>
      </c>
      <c r="CA64">
        <v>33528</v>
      </c>
      <c r="CB64">
        <v>1690200769.5</v>
      </c>
      <c r="CC64" t="s">
        <v>332</v>
      </c>
      <c r="CD64">
        <v>1690200769.5</v>
      </c>
      <c r="CE64">
        <v>1690200753</v>
      </c>
      <c r="CF64">
        <v>2</v>
      </c>
      <c r="CG64">
        <v>-0.245</v>
      </c>
      <c r="CH64">
        <v>3.0000000000000001E-3</v>
      </c>
      <c r="CI64">
        <v>-1.5169999999999999</v>
      </c>
      <c r="CJ64">
        <v>-1.6E-2</v>
      </c>
      <c r="CK64">
        <v>778</v>
      </c>
      <c r="CL64">
        <v>12</v>
      </c>
      <c r="CM64">
        <v>0.01</v>
      </c>
      <c r="CN64">
        <v>0.03</v>
      </c>
      <c r="CO64">
        <v>-231.508725</v>
      </c>
      <c r="CP64">
        <v>-20.92762851782285</v>
      </c>
      <c r="CQ64">
        <v>2.0134437537152632</v>
      </c>
      <c r="CR64">
        <v>-1</v>
      </c>
      <c r="CS64">
        <v>11.723839999999999</v>
      </c>
      <c r="CT64">
        <v>0.83003302063787798</v>
      </c>
      <c r="CU64">
        <v>7.9849764558200156E-2</v>
      </c>
      <c r="CV64">
        <v>-1</v>
      </c>
      <c r="CW64">
        <v>0</v>
      </c>
      <c r="CX64">
        <v>0</v>
      </c>
      <c r="CY64" t="s">
        <v>333</v>
      </c>
      <c r="CZ64">
        <v>2.3654700000000002</v>
      </c>
      <c r="DA64">
        <v>2.7137500000000001</v>
      </c>
      <c r="DB64">
        <v>0.115712</v>
      </c>
      <c r="DC64">
        <v>0.14633699999999999</v>
      </c>
      <c r="DD64">
        <v>0.110766</v>
      </c>
      <c r="DE64">
        <v>6.4374799999999996E-2</v>
      </c>
      <c r="DF64">
        <v>32255.5</v>
      </c>
      <c r="DG64">
        <v>27426.3</v>
      </c>
      <c r="DH64">
        <v>31136.799999999999</v>
      </c>
      <c r="DI64">
        <v>27992</v>
      </c>
      <c r="DJ64">
        <v>37576.800000000003</v>
      </c>
      <c r="DK64">
        <v>37206.1</v>
      </c>
      <c r="DL64">
        <v>44298.7</v>
      </c>
      <c r="DM64">
        <v>42384.4</v>
      </c>
      <c r="DN64">
        <v>1.43963</v>
      </c>
      <c r="DO64">
        <v>2.0819700000000001</v>
      </c>
      <c r="DP64">
        <v>0.15828800000000001</v>
      </c>
      <c r="DQ64">
        <v>0.19282099999999999</v>
      </c>
      <c r="DR64">
        <v>24.4039</v>
      </c>
      <c r="DS64">
        <v>24.302099999999999</v>
      </c>
      <c r="DT64">
        <v>38.5</v>
      </c>
      <c r="DU64">
        <v>24.7</v>
      </c>
      <c r="DV64">
        <v>12.1502</v>
      </c>
      <c r="DW64">
        <v>61.8399</v>
      </c>
      <c r="DX64">
        <v>36.225999999999999</v>
      </c>
      <c r="DY64">
        <v>1</v>
      </c>
      <c r="DZ64">
        <v>-0.15724099999999999</v>
      </c>
      <c r="EA64">
        <v>-0.19844200000000001</v>
      </c>
      <c r="EB64">
        <v>20.192499999999999</v>
      </c>
      <c r="EC64">
        <v>5.2418500000000003</v>
      </c>
      <c r="ED64">
        <v>12.039899999999999</v>
      </c>
      <c r="EE64">
        <v>5.0174000000000003</v>
      </c>
      <c r="EF64">
        <v>3.2879999999999998</v>
      </c>
      <c r="EG64">
        <v>9999</v>
      </c>
      <c r="EH64">
        <v>9999</v>
      </c>
      <c r="EI64">
        <v>9999</v>
      </c>
      <c r="EJ64">
        <v>999.9</v>
      </c>
      <c r="EK64">
        <v>1.8687400000000001</v>
      </c>
      <c r="EL64">
        <v>1.8644700000000001</v>
      </c>
      <c r="EM64">
        <v>1.8690500000000001</v>
      </c>
      <c r="EN64">
        <v>1.86707</v>
      </c>
      <c r="EO64">
        <v>1.8632500000000001</v>
      </c>
      <c r="EP64">
        <v>1.86432</v>
      </c>
      <c r="EQ64">
        <v>1.87008</v>
      </c>
      <c r="ER64">
        <v>1.8692599999999999</v>
      </c>
      <c r="ES64">
        <v>0</v>
      </c>
      <c r="ET64">
        <v>0</v>
      </c>
      <c r="EU64">
        <v>0</v>
      </c>
      <c r="EV64">
        <v>0</v>
      </c>
      <c r="EW64" t="s">
        <v>334</v>
      </c>
      <c r="EX64" t="s">
        <v>335</v>
      </c>
      <c r="EY64" t="s">
        <v>336</v>
      </c>
      <c r="EZ64" t="s">
        <v>336</v>
      </c>
      <c r="FA64" t="s">
        <v>336</v>
      </c>
      <c r="FB64" t="s">
        <v>336</v>
      </c>
      <c r="FC64">
        <v>0</v>
      </c>
      <c r="FD64">
        <v>100</v>
      </c>
      <c r="FE64">
        <v>100</v>
      </c>
      <c r="FF64">
        <v>-1.3660000000000001</v>
      </c>
      <c r="FG64">
        <v>0.1782</v>
      </c>
      <c r="FH64">
        <v>-0.98020551812546231</v>
      </c>
      <c r="FI64">
        <v>-6.1462078757559423E-4</v>
      </c>
      <c r="FJ64">
        <v>-1.8861989874597051E-7</v>
      </c>
      <c r="FK64">
        <v>1.1980462299894961E-10</v>
      </c>
      <c r="FL64">
        <v>0.1782306200647516</v>
      </c>
      <c r="FM64">
        <v>0</v>
      </c>
      <c r="FN64">
        <v>0</v>
      </c>
      <c r="FO64">
        <v>0</v>
      </c>
      <c r="FP64">
        <v>3</v>
      </c>
      <c r="FQ64">
        <v>2158</v>
      </c>
      <c r="FR64">
        <v>1</v>
      </c>
      <c r="FS64">
        <v>19</v>
      </c>
      <c r="FT64">
        <v>9.9</v>
      </c>
      <c r="FU64">
        <v>10.199999999999999</v>
      </c>
      <c r="FV64">
        <v>1.7724599999999999</v>
      </c>
      <c r="FW64">
        <v>2.5500500000000001</v>
      </c>
      <c r="FX64">
        <v>1.5490699999999999</v>
      </c>
      <c r="FY64">
        <v>2.34497</v>
      </c>
      <c r="FZ64">
        <v>1.50146</v>
      </c>
      <c r="GA64">
        <v>2.35107</v>
      </c>
      <c r="GB64">
        <v>30.243400000000001</v>
      </c>
      <c r="GC64">
        <v>23.982399999999998</v>
      </c>
      <c r="GD64">
        <v>19</v>
      </c>
      <c r="GE64">
        <v>264.18599999999998</v>
      </c>
      <c r="GF64">
        <v>611.27200000000005</v>
      </c>
      <c r="GG64">
        <v>24.4361</v>
      </c>
      <c r="GH64">
        <v>25.443100000000001</v>
      </c>
      <c r="GI64">
        <v>29.9999</v>
      </c>
      <c r="GJ64">
        <v>25.521899999999999</v>
      </c>
      <c r="GK64">
        <v>25.4663</v>
      </c>
      <c r="GL64">
        <v>35.4495</v>
      </c>
      <c r="GM64">
        <v>-30</v>
      </c>
      <c r="GN64">
        <v>-30</v>
      </c>
      <c r="GO64">
        <v>24.430099999999999</v>
      </c>
      <c r="GP64">
        <v>800</v>
      </c>
      <c r="GQ64">
        <v>0</v>
      </c>
      <c r="GR64">
        <v>99.608800000000002</v>
      </c>
      <c r="GS64">
        <v>99.190700000000007</v>
      </c>
    </row>
    <row r="65" spans="1:201" x14ac:dyDescent="0.25">
      <c r="A65">
        <v>49</v>
      </c>
      <c r="B65">
        <v>1690201375.5</v>
      </c>
      <c r="C65">
        <v>528.5</v>
      </c>
      <c r="D65" t="s">
        <v>431</v>
      </c>
      <c r="E65" t="s">
        <v>432</v>
      </c>
      <c r="F65" t="s">
        <v>330</v>
      </c>
      <c r="H65">
        <v>1690201375.5</v>
      </c>
      <c r="I65">
        <f t="shared" si="0"/>
        <v>1.1083132718849344E-3</v>
      </c>
      <c r="J65">
        <f t="shared" si="1"/>
        <v>1.1083132718849344</v>
      </c>
      <c r="K65">
        <f t="shared" si="2"/>
        <v>20.924711081413538</v>
      </c>
      <c r="L65">
        <f t="shared" si="3"/>
        <v>560.97699999999998</v>
      </c>
      <c r="M65">
        <f t="shared" si="4"/>
        <v>125.35709928117569</v>
      </c>
      <c r="N65">
        <f t="shared" si="5"/>
        <v>12.420671473106626</v>
      </c>
      <c r="O65">
        <f t="shared" si="6"/>
        <v>55.582899260777999</v>
      </c>
      <c r="P65">
        <f t="shared" si="7"/>
        <v>7.9676402522573075E-2</v>
      </c>
      <c r="Q65">
        <f t="shared" si="8"/>
        <v>2.0790195853264555</v>
      </c>
      <c r="R65">
        <f t="shared" si="9"/>
        <v>7.8018091441671766E-2</v>
      </c>
      <c r="S65">
        <f t="shared" si="10"/>
        <v>4.8907425124168916E-2</v>
      </c>
      <c r="T65">
        <f t="shared" si="11"/>
        <v>276.11228536962977</v>
      </c>
      <c r="U65">
        <f t="shared" si="12"/>
        <v>27.374529857764497</v>
      </c>
      <c r="V65">
        <f t="shared" si="13"/>
        <v>27.374529857764497</v>
      </c>
      <c r="W65">
        <f t="shared" si="14"/>
        <v>3.658650685848801</v>
      </c>
      <c r="X65">
        <f t="shared" si="15"/>
        <v>69.865131062340325</v>
      </c>
      <c r="Y65">
        <f t="shared" si="16"/>
        <v>2.2933790563067999</v>
      </c>
      <c r="Z65">
        <f t="shared" si="17"/>
        <v>3.2825803393404196</v>
      </c>
      <c r="AA65">
        <f t="shared" si="18"/>
        <v>1.3652716295420011</v>
      </c>
      <c r="AB65">
        <f t="shared" si="19"/>
        <v>-48.876615290125606</v>
      </c>
      <c r="AC65">
        <f t="shared" si="20"/>
        <v>-206.14843044445095</v>
      </c>
      <c r="AD65">
        <f t="shared" si="21"/>
        <v>-21.282914093375577</v>
      </c>
      <c r="AE65">
        <f t="shared" si="22"/>
        <v>-0.1956744583223724</v>
      </c>
      <c r="AF65">
        <v>15</v>
      </c>
      <c r="AG65">
        <v>5</v>
      </c>
      <c r="AH65">
        <f t="shared" si="23"/>
        <v>1</v>
      </c>
      <c r="AI65">
        <f t="shared" si="24"/>
        <v>0</v>
      </c>
      <c r="AJ65">
        <f t="shared" si="25"/>
        <v>52548.452805019981</v>
      </c>
      <c r="AK65">
        <f t="shared" si="26"/>
        <v>1799.98</v>
      </c>
      <c r="AL65">
        <f t="shared" si="27"/>
        <v>1499.0960019926797</v>
      </c>
      <c r="AM65">
        <f t="shared" si="28"/>
        <v>0.83284036599999989</v>
      </c>
      <c r="AN65">
        <f t="shared" si="29"/>
        <v>0.15339741850999999</v>
      </c>
      <c r="AO65">
        <v>33.299999999999997</v>
      </c>
      <c r="AP65">
        <v>0.5</v>
      </c>
      <c r="AQ65" t="s">
        <v>331</v>
      </c>
      <c r="AR65">
        <v>2</v>
      </c>
      <c r="AS65">
        <v>1690201375.5</v>
      </c>
      <c r="AT65">
        <v>560.97699999999998</v>
      </c>
      <c r="AU65">
        <v>799.95299999999997</v>
      </c>
      <c r="AV65">
        <v>23.1462</v>
      </c>
      <c r="AW65">
        <v>11.138199999999999</v>
      </c>
      <c r="AX65">
        <v>562.34100000000001</v>
      </c>
      <c r="AY65">
        <v>22.968</v>
      </c>
      <c r="AZ65">
        <v>300.238</v>
      </c>
      <c r="BA65">
        <v>98.982200000000006</v>
      </c>
      <c r="BB65">
        <v>0.10011399999999999</v>
      </c>
      <c r="BC65">
        <v>25.535299999999999</v>
      </c>
      <c r="BD65">
        <v>27.011800000000001</v>
      </c>
      <c r="BE65">
        <v>27.474799999999998</v>
      </c>
      <c r="BF65">
        <v>0</v>
      </c>
      <c r="BG65">
        <v>0</v>
      </c>
      <c r="BH65">
        <v>9990.6200000000008</v>
      </c>
      <c r="BI65">
        <v>1072.6400000000001</v>
      </c>
      <c r="BJ65">
        <v>1.4577199999999999</v>
      </c>
      <c r="BK65">
        <v>-238.97499999999999</v>
      </c>
      <c r="BL65">
        <v>574.26900000000001</v>
      </c>
      <c r="BM65">
        <v>808.96299999999997</v>
      </c>
      <c r="BN65">
        <v>12.007999999999999</v>
      </c>
      <c r="BO65">
        <v>799.95299999999997</v>
      </c>
      <c r="BP65">
        <v>11.138199999999999</v>
      </c>
      <c r="BQ65">
        <v>2.2910599999999999</v>
      </c>
      <c r="BR65">
        <v>1.1024799999999999</v>
      </c>
      <c r="BS65">
        <v>19.613700000000001</v>
      </c>
      <c r="BT65">
        <v>8.3460699999999992</v>
      </c>
      <c r="BU65">
        <v>1799.98</v>
      </c>
      <c r="BV65">
        <v>0.909999</v>
      </c>
      <c r="BW65">
        <v>3.3993099999999998E-2</v>
      </c>
      <c r="BX65">
        <v>2.20003E-2</v>
      </c>
      <c r="BY65">
        <v>3.4007700000000002E-2</v>
      </c>
      <c r="BZ65">
        <v>24</v>
      </c>
      <c r="CA65">
        <v>33528.1</v>
      </c>
      <c r="CB65">
        <v>1690200769.5</v>
      </c>
      <c r="CC65" t="s">
        <v>332</v>
      </c>
      <c r="CD65">
        <v>1690200769.5</v>
      </c>
      <c r="CE65">
        <v>1690200753</v>
      </c>
      <c r="CF65">
        <v>2</v>
      </c>
      <c r="CG65">
        <v>-0.245</v>
      </c>
      <c r="CH65">
        <v>3.0000000000000001E-3</v>
      </c>
      <c r="CI65">
        <v>-1.5169999999999999</v>
      </c>
      <c r="CJ65">
        <v>-1.6E-2</v>
      </c>
      <c r="CK65">
        <v>778</v>
      </c>
      <c r="CL65">
        <v>12</v>
      </c>
      <c r="CM65">
        <v>0.01</v>
      </c>
      <c r="CN65">
        <v>0.03</v>
      </c>
      <c r="CO65">
        <v>-234.97290000000001</v>
      </c>
      <c r="CP65">
        <v>-20.74178611632269</v>
      </c>
      <c r="CQ65">
        <v>1.995915063323086</v>
      </c>
      <c r="CR65">
        <v>-1</v>
      </c>
      <c r="CS65">
        <v>11.858855</v>
      </c>
      <c r="CT65">
        <v>0.79408705440900418</v>
      </c>
      <c r="CU65">
        <v>7.6403412718281188E-2</v>
      </c>
      <c r="CV65">
        <v>-1</v>
      </c>
      <c r="CW65">
        <v>0</v>
      </c>
      <c r="CX65">
        <v>0</v>
      </c>
      <c r="CY65" t="s">
        <v>333</v>
      </c>
      <c r="CZ65">
        <v>2.3655900000000001</v>
      </c>
      <c r="DA65">
        <v>2.7139000000000002</v>
      </c>
      <c r="DB65">
        <v>0.115178</v>
      </c>
      <c r="DC65">
        <v>0.14633099999999999</v>
      </c>
      <c r="DD65">
        <v>0.111164</v>
      </c>
      <c r="DE65">
        <v>6.4311599999999997E-2</v>
      </c>
      <c r="DF65">
        <v>32275.200000000001</v>
      </c>
      <c r="DG65">
        <v>27426.6</v>
      </c>
      <c r="DH65">
        <v>31137</v>
      </c>
      <c r="DI65">
        <v>27992</v>
      </c>
      <c r="DJ65">
        <v>37560.1</v>
      </c>
      <c r="DK65">
        <v>37208.699999999997</v>
      </c>
      <c r="DL65">
        <v>44299.199999999997</v>
      </c>
      <c r="DM65">
        <v>42384.5</v>
      </c>
      <c r="DN65">
        <v>1.4394499999999999</v>
      </c>
      <c r="DO65">
        <v>2.0823</v>
      </c>
      <c r="DP65">
        <v>0.15880900000000001</v>
      </c>
      <c r="DQ65">
        <v>0.193305</v>
      </c>
      <c r="DR65">
        <v>24.409199999999998</v>
      </c>
      <c r="DS65">
        <v>24.307700000000001</v>
      </c>
      <c r="DT65">
        <v>38.5</v>
      </c>
      <c r="DU65">
        <v>24.7</v>
      </c>
      <c r="DV65">
        <v>12.147500000000001</v>
      </c>
      <c r="DW65">
        <v>62.279899999999998</v>
      </c>
      <c r="DX65">
        <v>35.681100000000001</v>
      </c>
      <c r="DY65">
        <v>1</v>
      </c>
      <c r="DZ65">
        <v>-0.156555</v>
      </c>
      <c r="EA65">
        <v>3.64733E-2</v>
      </c>
      <c r="EB65">
        <v>20.192799999999998</v>
      </c>
      <c r="EC65">
        <v>5.2418500000000003</v>
      </c>
      <c r="ED65">
        <v>12.039899999999999</v>
      </c>
      <c r="EE65">
        <v>5.0173500000000004</v>
      </c>
      <c r="EF65">
        <v>3.2879999999999998</v>
      </c>
      <c r="EG65">
        <v>9999</v>
      </c>
      <c r="EH65">
        <v>9999</v>
      </c>
      <c r="EI65">
        <v>9999</v>
      </c>
      <c r="EJ65">
        <v>999.9</v>
      </c>
      <c r="EK65">
        <v>1.8687499999999999</v>
      </c>
      <c r="EL65">
        <v>1.8644700000000001</v>
      </c>
      <c r="EM65">
        <v>1.8690500000000001</v>
      </c>
      <c r="EN65">
        <v>1.86707</v>
      </c>
      <c r="EO65">
        <v>1.8632500000000001</v>
      </c>
      <c r="EP65">
        <v>1.86433</v>
      </c>
      <c r="EQ65">
        <v>1.87008</v>
      </c>
      <c r="ER65">
        <v>1.8692599999999999</v>
      </c>
      <c r="ES65">
        <v>0</v>
      </c>
      <c r="ET65">
        <v>0</v>
      </c>
      <c r="EU65">
        <v>0</v>
      </c>
      <c r="EV65">
        <v>0</v>
      </c>
      <c r="EW65" t="s">
        <v>334</v>
      </c>
      <c r="EX65" t="s">
        <v>335</v>
      </c>
      <c r="EY65" t="s">
        <v>336</v>
      </c>
      <c r="EZ65" t="s">
        <v>336</v>
      </c>
      <c r="FA65" t="s">
        <v>336</v>
      </c>
      <c r="FB65" t="s">
        <v>336</v>
      </c>
      <c r="FC65">
        <v>0</v>
      </c>
      <c r="FD65">
        <v>100</v>
      </c>
      <c r="FE65">
        <v>100</v>
      </c>
      <c r="FF65">
        <v>-1.3640000000000001</v>
      </c>
      <c r="FG65">
        <v>0.1782</v>
      </c>
      <c r="FH65">
        <v>-0.98020551812546231</v>
      </c>
      <c r="FI65">
        <v>-6.1462078757559423E-4</v>
      </c>
      <c r="FJ65">
        <v>-1.8861989874597051E-7</v>
      </c>
      <c r="FK65">
        <v>1.1980462299894961E-10</v>
      </c>
      <c r="FL65">
        <v>0.1782306200647516</v>
      </c>
      <c r="FM65">
        <v>0</v>
      </c>
      <c r="FN65">
        <v>0</v>
      </c>
      <c r="FO65">
        <v>0</v>
      </c>
      <c r="FP65">
        <v>3</v>
      </c>
      <c r="FQ65">
        <v>2158</v>
      </c>
      <c r="FR65">
        <v>1</v>
      </c>
      <c r="FS65">
        <v>19</v>
      </c>
      <c r="FT65">
        <v>10.1</v>
      </c>
      <c r="FU65">
        <v>10.4</v>
      </c>
      <c r="FV65">
        <v>1.7736799999999999</v>
      </c>
      <c r="FW65">
        <v>2.5415000000000001</v>
      </c>
      <c r="FX65">
        <v>1.5490699999999999</v>
      </c>
      <c r="FY65">
        <v>2.34497</v>
      </c>
      <c r="FZ65">
        <v>1.50146</v>
      </c>
      <c r="GA65">
        <v>2.3815900000000001</v>
      </c>
      <c r="GB65">
        <v>30.243400000000001</v>
      </c>
      <c r="GC65">
        <v>23.982399999999998</v>
      </c>
      <c r="GD65">
        <v>19</v>
      </c>
      <c r="GE65">
        <v>264.12400000000002</v>
      </c>
      <c r="GF65">
        <v>611.58799999999997</v>
      </c>
      <c r="GG65">
        <v>24.385300000000001</v>
      </c>
      <c r="GH65">
        <v>25.440999999999999</v>
      </c>
      <c r="GI65">
        <v>30.0001</v>
      </c>
      <c r="GJ65">
        <v>25.524000000000001</v>
      </c>
      <c r="GK65">
        <v>25.4695</v>
      </c>
      <c r="GL65">
        <v>35.453299999999999</v>
      </c>
      <c r="GM65">
        <v>-30</v>
      </c>
      <c r="GN65">
        <v>-30</v>
      </c>
      <c r="GO65">
        <v>24.3553</v>
      </c>
      <c r="GP65">
        <v>800</v>
      </c>
      <c r="GQ65">
        <v>0</v>
      </c>
      <c r="GR65">
        <v>99.609700000000004</v>
      </c>
      <c r="GS65">
        <v>99.190899999999999</v>
      </c>
    </row>
    <row r="66" spans="1:201" x14ac:dyDescent="0.25">
      <c r="A66">
        <v>50</v>
      </c>
      <c r="B66">
        <v>1690201385.5</v>
      </c>
      <c r="C66">
        <v>538.5</v>
      </c>
      <c r="D66" t="s">
        <v>433</v>
      </c>
      <c r="E66" t="s">
        <v>434</v>
      </c>
      <c r="F66" t="s">
        <v>330</v>
      </c>
      <c r="H66">
        <v>1690201385.5</v>
      </c>
      <c r="I66">
        <f t="shared" si="0"/>
        <v>1.1196721147539313E-3</v>
      </c>
      <c r="J66">
        <f t="shared" si="1"/>
        <v>1.1196721147539312</v>
      </c>
      <c r="K66">
        <f t="shared" si="2"/>
        <v>21.236978808666631</v>
      </c>
      <c r="L66">
        <f t="shared" si="3"/>
        <v>557.48800000000006</v>
      </c>
      <c r="M66">
        <f t="shared" si="4"/>
        <v>122.98736316133098</v>
      </c>
      <c r="N66">
        <f t="shared" si="5"/>
        <v>12.185968538718711</v>
      </c>
      <c r="O66">
        <f t="shared" si="6"/>
        <v>55.2376362423648</v>
      </c>
      <c r="P66">
        <f t="shared" si="7"/>
        <v>8.1079523318632316E-2</v>
      </c>
      <c r="Q66">
        <f t="shared" si="8"/>
        <v>2.0800768438435808</v>
      </c>
      <c r="R66">
        <f t="shared" si="9"/>
        <v>7.9363822000989653E-2</v>
      </c>
      <c r="S66">
        <f t="shared" si="10"/>
        <v>4.9753513850769822E-2</v>
      </c>
      <c r="T66">
        <f t="shared" si="11"/>
        <v>276.11197699705616</v>
      </c>
      <c r="U66">
        <f t="shared" si="12"/>
        <v>27.379909040192402</v>
      </c>
      <c r="V66">
        <f t="shared" si="13"/>
        <v>27.379909040192402</v>
      </c>
      <c r="W66">
        <f t="shared" si="14"/>
        <v>3.6598035074106434</v>
      </c>
      <c r="X66">
        <f t="shared" si="15"/>
        <v>70.145742329048872</v>
      </c>
      <c r="Y66">
        <f t="shared" si="16"/>
        <v>2.3039990153527197</v>
      </c>
      <c r="Z66">
        <f t="shared" si="17"/>
        <v>3.2845885421595775</v>
      </c>
      <c r="AA66">
        <f t="shared" si="18"/>
        <v>1.3558044920579237</v>
      </c>
      <c r="AB66">
        <f t="shared" si="19"/>
        <v>-49.377540260648374</v>
      </c>
      <c r="AC66">
        <f t="shared" si="20"/>
        <v>-205.70143865289836</v>
      </c>
      <c r="AD66">
        <f t="shared" si="21"/>
        <v>-21.227638163554925</v>
      </c>
      <c r="AE66">
        <f t="shared" si="22"/>
        <v>-0.19464008004550237</v>
      </c>
      <c r="AF66">
        <v>15</v>
      </c>
      <c r="AG66">
        <v>5</v>
      </c>
      <c r="AH66">
        <f t="shared" si="23"/>
        <v>1</v>
      </c>
      <c r="AI66">
        <f t="shared" si="24"/>
        <v>0</v>
      </c>
      <c r="AJ66">
        <f t="shared" si="25"/>
        <v>52594.441302008614</v>
      </c>
      <c r="AK66">
        <f t="shared" si="26"/>
        <v>1799.98</v>
      </c>
      <c r="AL66">
        <f t="shared" si="27"/>
        <v>1499.0921014360199</v>
      </c>
      <c r="AM66">
        <f t="shared" si="28"/>
        <v>0.83283819899999989</v>
      </c>
      <c r="AN66">
        <f t="shared" si="29"/>
        <v>0.15339724718999997</v>
      </c>
      <c r="AO66">
        <v>33.299999999999997</v>
      </c>
      <c r="AP66">
        <v>0.5</v>
      </c>
      <c r="AQ66" t="s">
        <v>331</v>
      </c>
      <c r="AR66">
        <v>2</v>
      </c>
      <c r="AS66">
        <v>1690201385.5</v>
      </c>
      <c r="AT66">
        <v>557.48800000000006</v>
      </c>
      <c r="AU66">
        <v>799.95799999999997</v>
      </c>
      <c r="AV66">
        <v>23.2532</v>
      </c>
      <c r="AW66">
        <v>11.1233</v>
      </c>
      <c r="AX66">
        <v>558.85</v>
      </c>
      <c r="AY66">
        <v>23.074999999999999</v>
      </c>
      <c r="AZ66">
        <v>300.23399999999998</v>
      </c>
      <c r="BA66">
        <v>98.983099999999993</v>
      </c>
      <c r="BB66">
        <v>9.9994600000000003E-2</v>
      </c>
      <c r="BC66">
        <v>25.5456</v>
      </c>
      <c r="BD66">
        <v>27.0304</v>
      </c>
      <c r="BE66">
        <v>27.450900000000001</v>
      </c>
      <c r="BF66">
        <v>0</v>
      </c>
      <c r="BG66">
        <v>0</v>
      </c>
      <c r="BH66">
        <v>10000</v>
      </c>
      <c r="BI66">
        <v>1072.68</v>
      </c>
      <c r="BJ66">
        <v>1.4577199999999999</v>
      </c>
      <c r="BK66">
        <v>-242.47</v>
      </c>
      <c r="BL66">
        <v>570.76</v>
      </c>
      <c r="BM66">
        <v>808.95699999999999</v>
      </c>
      <c r="BN66">
        <v>12.129799999999999</v>
      </c>
      <c r="BO66">
        <v>799.95799999999997</v>
      </c>
      <c r="BP66">
        <v>11.1233</v>
      </c>
      <c r="BQ66">
        <v>2.3016700000000001</v>
      </c>
      <c r="BR66">
        <v>1.1010200000000001</v>
      </c>
      <c r="BS66">
        <v>19.688099999999999</v>
      </c>
      <c r="BT66">
        <v>8.3265600000000006</v>
      </c>
      <c r="BU66">
        <v>1799.98</v>
      </c>
      <c r="BV66">
        <v>0.90999099999999999</v>
      </c>
      <c r="BW66">
        <v>3.40086E-2</v>
      </c>
      <c r="BX66">
        <v>2.1997200000000001E-2</v>
      </c>
      <c r="BY66">
        <v>3.4002900000000003E-2</v>
      </c>
      <c r="BZ66">
        <v>24</v>
      </c>
      <c r="CA66">
        <v>33528</v>
      </c>
      <c r="CB66">
        <v>1690200769.5</v>
      </c>
      <c r="CC66" t="s">
        <v>332</v>
      </c>
      <c r="CD66">
        <v>1690200769.5</v>
      </c>
      <c r="CE66">
        <v>1690200753</v>
      </c>
      <c r="CF66">
        <v>2</v>
      </c>
      <c r="CG66">
        <v>-0.245</v>
      </c>
      <c r="CH66">
        <v>3.0000000000000001E-3</v>
      </c>
      <c r="CI66">
        <v>-1.5169999999999999</v>
      </c>
      <c r="CJ66">
        <v>-1.6E-2</v>
      </c>
      <c r="CK66">
        <v>778</v>
      </c>
      <c r="CL66">
        <v>12</v>
      </c>
      <c r="CM66">
        <v>0.01</v>
      </c>
      <c r="CN66">
        <v>0.03</v>
      </c>
      <c r="CO66">
        <v>-238.487325</v>
      </c>
      <c r="CP66">
        <v>-21.6083864915569</v>
      </c>
      <c r="CQ66">
        <v>2.0791646686530139</v>
      </c>
      <c r="CR66">
        <v>-1</v>
      </c>
      <c r="CS66">
        <v>11.9892875</v>
      </c>
      <c r="CT66">
        <v>0.76928217636021035</v>
      </c>
      <c r="CU66">
        <v>7.401313122514129E-2</v>
      </c>
      <c r="CV66">
        <v>-1</v>
      </c>
      <c r="CW66">
        <v>0</v>
      </c>
      <c r="CX66">
        <v>0</v>
      </c>
      <c r="CY66" t="s">
        <v>333</v>
      </c>
      <c r="CZ66">
        <v>2.3656000000000001</v>
      </c>
      <c r="DA66">
        <v>2.7137899999999999</v>
      </c>
      <c r="DB66">
        <v>0.11466899999999999</v>
      </c>
      <c r="DC66">
        <v>0.14633099999999999</v>
      </c>
      <c r="DD66">
        <v>0.111528</v>
      </c>
      <c r="DE66">
        <v>6.4246600000000001E-2</v>
      </c>
      <c r="DF66">
        <v>32293.5</v>
      </c>
      <c r="DG66">
        <v>27426.799999999999</v>
      </c>
      <c r="DH66">
        <v>31136.9</v>
      </c>
      <c r="DI66">
        <v>27992.3</v>
      </c>
      <c r="DJ66">
        <v>37544.199999999997</v>
      </c>
      <c r="DK66">
        <v>37211.800000000003</v>
      </c>
      <c r="DL66">
        <v>44298.8</v>
      </c>
      <c r="DM66">
        <v>42385.1</v>
      </c>
      <c r="DN66">
        <v>1.4392499999999999</v>
      </c>
      <c r="DO66">
        <v>2.0820500000000002</v>
      </c>
      <c r="DP66">
        <v>0.15951699999999999</v>
      </c>
      <c r="DQ66">
        <v>0.19140499999999999</v>
      </c>
      <c r="DR66">
        <v>24.4162</v>
      </c>
      <c r="DS66">
        <v>24.314800000000002</v>
      </c>
      <c r="DT66">
        <v>38.4</v>
      </c>
      <c r="DU66">
        <v>24.7</v>
      </c>
      <c r="DV66">
        <v>12.1166</v>
      </c>
      <c r="DW66">
        <v>62.2699</v>
      </c>
      <c r="DX66">
        <v>35.504800000000003</v>
      </c>
      <c r="DY66">
        <v>1</v>
      </c>
      <c r="DZ66">
        <v>-0.157139</v>
      </c>
      <c r="EA66">
        <v>-2.1002199999999999E-2</v>
      </c>
      <c r="EB66">
        <v>20.192699999999999</v>
      </c>
      <c r="EC66">
        <v>5.242</v>
      </c>
      <c r="ED66">
        <v>12.039899999999999</v>
      </c>
      <c r="EE66">
        <v>5.0174000000000003</v>
      </c>
      <c r="EF66">
        <v>3.2879999999999998</v>
      </c>
      <c r="EG66">
        <v>9999</v>
      </c>
      <c r="EH66">
        <v>9999</v>
      </c>
      <c r="EI66">
        <v>9999</v>
      </c>
      <c r="EJ66">
        <v>999.9</v>
      </c>
      <c r="EK66">
        <v>1.8687400000000001</v>
      </c>
      <c r="EL66">
        <v>1.8644700000000001</v>
      </c>
      <c r="EM66">
        <v>1.8690500000000001</v>
      </c>
      <c r="EN66">
        <v>1.86707</v>
      </c>
      <c r="EO66">
        <v>1.8632500000000001</v>
      </c>
      <c r="EP66">
        <v>1.86433</v>
      </c>
      <c r="EQ66">
        <v>1.8700699999999999</v>
      </c>
      <c r="ER66">
        <v>1.8692500000000001</v>
      </c>
      <c r="ES66">
        <v>0</v>
      </c>
      <c r="ET66">
        <v>0</v>
      </c>
      <c r="EU66">
        <v>0</v>
      </c>
      <c r="EV66">
        <v>0</v>
      </c>
      <c r="EW66" t="s">
        <v>334</v>
      </c>
      <c r="EX66" t="s">
        <v>335</v>
      </c>
      <c r="EY66" t="s">
        <v>336</v>
      </c>
      <c r="EZ66" t="s">
        <v>336</v>
      </c>
      <c r="FA66" t="s">
        <v>336</v>
      </c>
      <c r="FB66" t="s">
        <v>336</v>
      </c>
      <c r="FC66">
        <v>0</v>
      </c>
      <c r="FD66">
        <v>100</v>
      </c>
      <c r="FE66">
        <v>100</v>
      </c>
      <c r="FF66">
        <v>-1.3620000000000001</v>
      </c>
      <c r="FG66">
        <v>0.1782</v>
      </c>
      <c r="FH66">
        <v>-0.98020551812546231</v>
      </c>
      <c r="FI66">
        <v>-6.1462078757559423E-4</v>
      </c>
      <c r="FJ66">
        <v>-1.8861989874597051E-7</v>
      </c>
      <c r="FK66">
        <v>1.1980462299894961E-10</v>
      </c>
      <c r="FL66">
        <v>0.1782306200647516</v>
      </c>
      <c r="FM66">
        <v>0</v>
      </c>
      <c r="FN66">
        <v>0</v>
      </c>
      <c r="FO66">
        <v>0</v>
      </c>
      <c r="FP66">
        <v>3</v>
      </c>
      <c r="FQ66">
        <v>2158</v>
      </c>
      <c r="FR66">
        <v>1</v>
      </c>
      <c r="FS66">
        <v>19</v>
      </c>
      <c r="FT66">
        <v>10.3</v>
      </c>
      <c r="FU66">
        <v>10.5</v>
      </c>
      <c r="FV66">
        <v>1.7736799999999999</v>
      </c>
      <c r="FW66">
        <v>2.5402800000000001</v>
      </c>
      <c r="FX66">
        <v>1.5490699999999999</v>
      </c>
      <c r="FY66">
        <v>2.34497</v>
      </c>
      <c r="FZ66">
        <v>1.50146</v>
      </c>
      <c r="GA66">
        <v>2.36328</v>
      </c>
      <c r="GB66">
        <v>30.264900000000001</v>
      </c>
      <c r="GC66">
        <v>23.982399999999998</v>
      </c>
      <c r="GD66">
        <v>19</v>
      </c>
      <c r="GE66">
        <v>264.053</v>
      </c>
      <c r="GF66">
        <v>611.40599999999995</v>
      </c>
      <c r="GG66">
        <v>24.329799999999999</v>
      </c>
      <c r="GH66">
        <v>25.440999999999999</v>
      </c>
      <c r="GI66">
        <v>30</v>
      </c>
      <c r="GJ66">
        <v>25.526199999999999</v>
      </c>
      <c r="GK66">
        <v>25.472100000000001</v>
      </c>
      <c r="GL66">
        <v>35.455399999999997</v>
      </c>
      <c r="GM66">
        <v>-30</v>
      </c>
      <c r="GN66">
        <v>-30</v>
      </c>
      <c r="GO66">
        <v>24.303599999999999</v>
      </c>
      <c r="GP66">
        <v>800</v>
      </c>
      <c r="GQ66">
        <v>0</v>
      </c>
      <c r="GR66">
        <v>99.608999999999995</v>
      </c>
      <c r="GS66">
        <v>99.1922</v>
      </c>
    </row>
    <row r="67" spans="1:201" x14ac:dyDescent="0.25">
      <c r="A67">
        <v>51</v>
      </c>
      <c r="B67">
        <v>1690201395.5</v>
      </c>
      <c r="C67">
        <v>548.5</v>
      </c>
      <c r="D67" t="s">
        <v>435</v>
      </c>
      <c r="E67" t="s">
        <v>436</v>
      </c>
      <c r="F67" t="s">
        <v>330</v>
      </c>
      <c r="H67">
        <v>1690201395.5</v>
      </c>
      <c r="I67">
        <f t="shared" si="0"/>
        <v>1.1314214896165733E-3</v>
      </c>
      <c r="J67">
        <f t="shared" si="1"/>
        <v>1.1314214896165733</v>
      </c>
      <c r="K67">
        <f t="shared" si="2"/>
        <v>21.5572481660809</v>
      </c>
      <c r="L67">
        <f t="shared" si="3"/>
        <v>553.89499999999998</v>
      </c>
      <c r="M67">
        <f t="shared" si="4"/>
        <v>122.64884901722122</v>
      </c>
      <c r="N67">
        <f t="shared" si="5"/>
        <v>12.152312759491307</v>
      </c>
      <c r="O67">
        <f t="shared" si="6"/>
        <v>54.881112459304994</v>
      </c>
      <c r="P67">
        <f t="shared" si="7"/>
        <v>8.2942589795589855E-2</v>
      </c>
      <c r="Q67">
        <f t="shared" si="8"/>
        <v>2.080557557303353</v>
      </c>
      <c r="R67">
        <f t="shared" si="9"/>
        <v>8.1148480092373465E-2</v>
      </c>
      <c r="S67">
        <f t="shared" si="10"/>
        <v>5.0875761420256807E-2</v>
      </c>
      <c r="T67">
        <f t="shared" si="11"/>
        <v>276.11157711349938</v>
      </c>
      <c r="U67">
        <f t="shared" si="12"/>
        <v>27.358159627758216</v>
      </c>
      <c r="V67">
        <f t="shared" si="13"/>
        <v>27.358159627758216</v>
      </c>
      <c r="W67">
        <f t="shared" si="14"/>
        <v>3.6551443041283744</v>
      </c>
      <c r="X67">
        <f t="shared" si="15"/>
        <v>70.561904280472504</v>
      </c>
      <c r="Y67">
        <f t="shared" si="16"/>
        <v>2.3153023504325003</v>
      </c>
      <c r="Z67">
        <f t="shared" si="17"/>
        <v>3.2812356384679426</v>
      </c>
      <c r="AA67">
        <f t="shared" si="18"/>
        <v>1.3398419536958741</v>
      </c>
      <c r="AB67">
        <f t="shared" si="19"/>
        <v>-49.895687692090881</v>
      </c>
      <c r="AC67">
        <f t="shared" si="20"/>
        <v>-205.23868298587075</v>
      </c>
      <c r="AD67">
        <f t="shared" si="21"/>
        <v>-21.170857993412135</v>
      </c>
      <c r="AE67">
        <f t="shared" si="22"/>
        <v>-0.19365155787440358</v>
      </c>
      <c r="AF67">
        <v>15</v>
      </c>
      <c r="AG67">
        <v>5</v>
      </c>
      <c r="AH67">
        <f t="shared" si="23"/>
        <v>1</v>
      </c>
      <c r="AI67">
        <f t="shared" si="24"/>
        <v>0</v>
      </c>
      <c r="AJ67">
        <f t="shared" si="25"/>
        <v>52619.188688243499</v>
      </c>
      <c r="AK67">
        <f t="shared" si="26"/>
        <v>1799.98</v>
      </c>
      <c r="AL67">
        <f t="shared" si="27"/>
        <v>1499.0950516032401</v>
      </c>
      <c r="AM67">
        <f t="shared" si="28"/>
        <v>0.83283983800000005</v>
      </c>
      <c r="AN67">
        <f t="shared" si="29"/>
        <v>0.15339702502999999</v>
      </c>
      <c r="AO67">
        <v>33.299999999999997</v>
      </c>
      <c r="AP67">
        <v>0.5</v>
      </c>
      <c r="AQ67" t="s">
        <v>331</v>
      </c>
      <c r="AR67">
        <v>2</v>
      </c>
      <c r="AS67">
        <v>1690201395.5</v>
      </c>
      <c r="AT67">
        <v>553.89499999999998</v>
      </c>
      <c r="AU67">
        <v>800.01199999999994</v>
      </c>
      <c r="AV67">
        <v>23.3675</v>
      </c>
      <c r="AW67">
        <v>11.1084</v>
      </c>
      <c r="AX67">
        <v>555.25400000000002</v>
      </c>
      <c r="AY67">
        <v>23.1892</v>
      </c>
      <c r="AZ67">
        <v>300.15199999999999</v>
      </c>
      <c r="BA67">
        <v>98.982200000000006</v>
      </c>
      <c r="BB67">
        <v>9.9959000000000006E-2</v>
      </c>
      <c r="BC67">
        <v>25.528400000000001</v>
      </c>
      <c r="BD67">
        <v>26.9922</v>
      </c>
      <c r="BE67">
        <v>27.418299999999999</v>
      </c>
      <c r="BF67">
        <v>0</v>
      </c>
      <c r="BG67">
        <v>0</v>
      </c>
      <c r="BH67">
        <v>10004.4</v>
      </c>
      <c r="BI67">
        <v>1072.6500000000001</v>
      </c>
      <c r="BJ67">
        <v>1.4577199999999999</v>
      </c>
      <c r="BK67">
        <v>-246.11699999999999</v>
      </c>
      <c r="BL67">
        <v>567.14800000000002</v>
      </c>
      <c r="BM67">
        <v>808.99900000000002</v>
      </c>
      <c r="BN67">
        <v>12.2591</v>
      </c>
      <c r="BO67">
        <v>800.01199999999994</v>
      </c>
      <c r="BP67">
        <v>11.1084</v>
      </c>
      <c r="BQ67">
        <v>2.3129599999999999</v>
      </c>
      <c r="BR67">
        <v>1.0995299999999999</v>
      </c>
      <c r="BS67">
        <v>19.766999999999999</v>
      </c>
      <c r="BT67">
        <v>8.3065700000000007</v>
      </c>
      <c r="BU67">
        <v>1799.98</v>
      </c>
      <c r="BV67">
        <v>0.91000499999999995</v>
      </c>
      <c r="BW67">
        <v>3.4003600000000002E-2</v>
      </c>
      <c r="BX67">
        <v>2.19939E-2</v>
      </c>
      <c r="BY67">
        <v>3.3997899999999998E-2</v>
      </c>
      <c r="BZ67">
        <v>24</v>
      </c>
      <c r="CA67">
        <v>33528</v>
      </c>
      <c r="CB67">
        <v>1690200769.5</v>
      </c>
      <c r="CC67" t="s">
        <v>332</v>
      </c>
      <c r="CD67">
        <v>1690200769.5</v>
      </c>
      <c r="CE67">
        <v>1690200753</v>
      </c>
      <c r="CF67">
        <v>2</v>
      </c>
      <c r="CG67">
        <v>-0.245</v>
      </c>
      <c r="CH67">
        <v>3.0000000000000001E-3</v>
      </c>
      <c r="CI67">
        <v>-1.5169999999999999</v>
      </c>
      <c r="CJ67">
        <v>-1.6E-2</v>
      </c>
      <c r="CK67">
        <v>778</v>
      </c>
      <c r="CL67">
        <v>12</v>
      </c>
      <c r="CM67">
        <v>0.01</v>
      </c>
      <c r="CN67">
        <v>0.03</v>
      </c>
      <c r="CO67">
        <v>-242.19960975609749</v>
      </c>
      <c r="CP67">
        <v>-21.94714285714338</v>
      </c>
      <c r="CQ67">
        <v>2.164667077179943</v>
      </c>
      <c r="CR67">
        <v>-1</v>
      </c>
      <c r="CS67">
        <v>12.11983170731707</v>
      </c>
      <c r="CT67">
        <v>0.75683205574916357</v>
      </c>
      <c r="CU67">
        <v>7.4636623583947778E-2</v>
      </c>
      <c r="CV67">
        <v>-1</v>
      </c>
      <c r="CW67">
        <v>0</v>
      </c>
      <c r="CX67">
        <v>0</v>
      </c>
      <c r="CY67" t="s">
        <v>333</v>
      </c>
      <c r="CZ67">
        <v>2.3653300000000002</v>
      </c>
      <c r="DA67">
        <v>2.7137500000000001</v>
      </c>
      <c r="DB67">
        <v>0.11414199999999999</v>
      </c>
      <c r="DC67">
        <v>0.14633599999999999</v>
      </c>
      <c r="DD67">
        <v>0.111915</v>
      </c>
      <c r="DE67">
        <v>6.4179899999999998E-2</v>
      </c>
      <c r="DF67">
        <v>32313.5</v>
      </c>
      <c r="DG67">
        <v>27427.200000000001</v>
      </c>
      <c r="DH67">
        <v>31137.599999999999</v>
      </c>
      <c r="DI67">
        <v>27992.9</v>
      </c>
      <c r="DJ67">
        <v>37528.400000000001</v>
      </c>
      <c r="DK67">
        <v>37215.1</v>
      </c>
      <c r="DL67">
        <v>44299.8</v>
      </c>
      <c r="DM67">
        <v>42385.9</v>
      </c>
      <c r="DN67">
        <v>1.4393499999999999</v>
      </c>
      <c r="DO67">
        <v>2.0819200000000002</v>
      </c>
      <c r="DP67">
        <v>0.15664800000000001</v>
      </c>
      <c r="DQ67">
        <v>0.18898400000000001</v>
      </c>
      <c r="DR67">
        <v>24.425000000000001</v>
      </c>
      <c r="DS67">
        <v>24.321899999999999</v>
      </c>
      <c r="DT67">
        <v>38.299999999999997</v>
      </c>
      <c r="DU67">
        <v>24.7</v>
      </c>
      <c r="DV67">
        <v>12.0846</v>
      </c>
      <c r="DW67">
        <v>62.169899999999998</v>
      </c>
      <c r="DX67">
        <v>35.773200000000003</v>
      </c>
      <c r="DY67">
        <v>1</v>
      </c>
      <c r="DZ67">
        <v>-0.15715199999999999</v>
      </c>
      <c r="EA67">
        <v>3.5021800000000001E-3</v>
      </c>
      <c r="EB67">
        <v>20.192699999999999</v>
      </c>
      <c r="EC67">
        <v>5.2418500000000003</v>
      </c>
      <c r="ED67">
        <v>12.039899999999999</v>
      </c>
      <c r="EE67">
        <v>5.0175000000000001</v>
      </c>
      <c r="EF67">
        <v>3.2879999999999998</v>
      </c>
      <c r="EG67">
        <v>9999</v>
      </c>
      <c r="EH67">
        <v>9999</v>
      </c>
      <c r="EI67">
        <v>9999</v>
      </c>
      <c r="EJ67">
        <v>999.9</v>
      </c>
      <c r="EK67">
        <v>1.8687400000000001</v>
      </c>
      <c r="EL67">
        <v>1.8644700000000001</v>
      </c>
      <c r="EM67">
        <v>1.8690500000000001</v>
      </c>
      <c r="EN67">
        <v>1.8670800000000001</v>
      </c>
      <c r="EO67">
        <v>1.8632500000000001</v>
      </c>
      <c r="EP67">
        <v>1.86433</v>
      </c>
      <c r="EQ67">
        <v>1.87009</v>
      </c>
      <c r="ER67">
        <v>1.8693200000000001</v>
      </c>
      <c r="ES67">
        <v>0</v>
      </c>
      <c r="ET67">
        <v>0</v>
      </c>
      <c r="EU67">
        <v>0</v>
      </c>
      <c r="EV67">
        <v>0</v>
      </c>
      <c r="EW67" t="s">
        <v>334</v>
      </c>
      <c r="EX67" t="s">
        <v>335</v>
      </c>
      <c r="EY67" t="s">
        <v>336</v>
      </c>
      <c r="EZ67" t="s">
        <v>336</v>
      </c>
      <c r="FA67" t="s">
        <v>336</v>
      </c>
      <c r="FB67" t="s">
        <v>336</v>
      </c>
      <c r="FC67">
        <v>0</v>
      </c>
      <c r="FD67">
        <v>100</v>
      </c>
      <c r="FE67">
        <v>100</v>
      </c>
      <c r="FF67">
        <v>-1.359</v>
      </c>
      <c r="FG67">
        <v>0.17829999999999999</v>
      </c>
      <c r="FH67">
        <v>-0.98020551812546231</v>
      </c>
      <c r="FI67">
        <v>-6.1462078757559423E-4</v>
      </c>
      <c r="FJ67">
        <v>-1.8861989874597051E-7</v>
      </c>
      <c r="FK67">
        <v>1.1980462299894961E-10</v>
      </c>
      <c r="FL67">
        <v>0.1782306200647516</v>
      </c>
      <c r="FM67">
        <v>0</v>
      </c>
      <c r="FN67">
        <v>0</v>
      </c>
      <c r="FO67">
        <v>0</v>
      </c>
      <c r="FP67">
        <v>3</v>
      </c>
      <c r="FQ67">
        <v>2158</v>
      </c>
      <c r="FR67">
        <v>1</v>
      </c>
      <c r="FS67">
        <v>19</v>
      </c>
      <c r="FT67">
        <v>10.4</v>
      </c>
      <c r="FU67">
        <v>10.7</v>
      </c>
      <c r="FV67">
        <v>1.7736799999999999</v>
      </c>
      <c r="FW67">
        <v>2.5366200000000001</v>
      </c>
      <c r="FX67">
        <v>1.5490699999999999</v>
      </c>
      <c r="FY67">
        <v>2.34497</v>
      </c>
      <c r="FZ67">
        <v>1.50146</v>
      </c>
      <c r="GA67">
        <v>2.33765</v>
      </c>
      <c r="GB67">
        <v>30.264900000000001</v>
      </c>
      <c r="GC67">
        <v>23.982399999999998</v>
      </c>
      <c r="GD67">
        <v>19</v>
      </c>
      <c r="GE67">
        <v>264.09399999999999</v>
      </c>
      <c r="GF67">
        <v>611.327</v>
      </c>
      <c r="GG67">
        <v>24.275300000000001</v>
      </c>
      <c r="GH67">
        <v>25.440999999999999</v>
      </c>
      <c r="GI67">
        <v>30.0001</v>
      </c>
      <c r="GJ67">
        <v>25.526199999999999</v>
      </c>
      <c r="GK67">
        <v>25.474399999999999</v>
      </c>
      <c r="GL67">
        <v>35.453499999999998</v>
      </c>
      <c r="GM67">
        <v>-30</v>
      </c>
      <c r="GN67">
        <v>-30</v>
      </c>
      <c r="GO67">
        <v>24.267299999999999</v>
      </c>
      <c r="GP67">
        <v>800</v>
      </c>
      <c r="GQ67">
        <v>0</v>
      </c>
      <c r="GR67">
        <v>99.611199999999997</v>
      </c>
      <c r="GS67">
        <v>99.194000000000003</v>
      </c>
    </row>
    <row r="68" spans="1:201" x14ac:dyDescent="0.25">
      <c r="A68">
        <v>52</v>
      </c>
      <c r="B68">
        <v>1690201405.5</v>
      </c>
      <c r="C68">
        <v>558.5</v>
      </c>
      <c r="D68" t="s">
        <v>437</v>
      </c>
      <c r="E68" t="s">
        <v>438</v>
      </c>
      <c r="F68" t="s">
        <v>330</v>
      </c>
      <c r="H68">
        <v>1690201405.5</v>
      </c>
      <c r="I68">
        <f t="shared" si="0"/>
        <v>1.1434095827706808E-3</v>
      </c>
      <c r="J68">
        <f t="shared" si="1"/>
        <v>1.1434095827706809</v>
      </c>
      <c r="K68">
        <f t="shared" si="2"/>
        <v>21.875904133800361</v>
      </c>
      <c r="L68">
        <f t="shared" si="3"/>
        <v>550.24300000000005</v>
      </c>
      <c r="M68">
        <f t="shared" si="4"/>
        <v>119.88150138745901</v>
      </c>
      <c r="N68">
        <f t="shared" si="5"/>
        <v>11.877917419879111</v>
      </c>
      <c r="O68">
        <f t="shared" si="6"/>
        <v>54.518343858098</v>
      </c>
      <c r="P68">
        <f t="shared" si="7"/>
        <v>8.4345177607447266E-2</v>
      </c>
      <c r="Q68">
        <f t="shared" si="8"/>
        <v>2.0844367114185749</v>
      </c>
      <c r="R68">
        <f t="shared" si="9"/>
        <v>8.2493977520173151E-2</v>
      </c>
      <c r="S68">
        <f t="shared" si="10"/>
        <v>5.1721674903145338E-2</v>
      </c>
      <c r="T68">
        <f t="shared" si="11"/>
        <v>276.11085735549682</v>
      </c>
      <c r="U68">
        <f t="shared" si="12"/>
        <v>27.374354843704221</v>
      </c>
      <c r="V68">
        <f t="shared" si="13"/>
        <v>27.374354843704221</v>
      </c>
      <c r="W68">
        <f t="shared" si="14"/>
        <v>3.6586131836174869</v>
      </c>
      <c r="X68">
        <f t="shared" si="15"/>
        <v>70.812593238891395</v>
      </c>
      <c r="Y68">
        <f t="shared" si="16"/>
        <v>2.3267863171267997</v>
      </c>
      <c r="Z68">
        <f t="shared" si="17"/>
        <v>3.2858368980743551</v>
      </c>
      <c r="AA68">
        <f t="shared" si="18"/>
        <v>1.3318268664906872</v>
      </c>
      <c r="AB68">
        <f t="shared" si="19"/>
        <v>-50.424362600187024</v>
      </c>
      <c r="AC68">
        <f t="shared" si="20"/>
        <v>-204.78922488852567</v>
      </c>
      <c r="AD68">
        <f t="shared" si="21"/>
        <v>-21.08938437054433</v>
      </c>
      <c r="AE68">
        <f t="shared" si="22"/>
        <v>-0.19211450376019457</v>
      </c>
      <c r="AF68">
        <v>15</v>
      </c>
      <c r="AG68">
        <v>5</v>
      </c>
      <c r="AH68">
        <f t="shared" si="23"/>
        <v>1</v>
      </c>
      <c r="AI68">
        <f t="shared" si="24"/>
        <v>0</v>
      </c>
      <c r="AJ68">
        <f t="shared" si="25"/>
        <v>52790.614367589238</v>
      </c>
      <c r="AK68">
        <f t="shared" si="26"/>
        <v>1799.98</v>
      </c>
      <c r="AL68">
        <f t="shared" si="27"/>
        <v>1499.0959479932799</v>
      </c>
      <c r="AM68">
        <f t="shared" si="28"/>
        <v>0.83284033599999996</v>
      </c>
      <c r="AN68">
        <f t="shared" si="29"/>
        <v>0.15339662516000002</v>
      </c>
      <c r="AO68">
        <v>33.299999999999997</v>
      </c>
      <c r="AP68">
        <v>0.5</v>
      </c>
      <c r="AQ68" t="s">
        <v>331</v>
      </c>
      <c r="AR68">
        <v>2</v>
      </c>
      <c r="AS68">
        <v>1690201405.5</v>
      </c>
      <c r="AT68">
        <v>550.24300000000005</v>
      </c>
      <c r="AU68">
        <v>800.01499999999999</v>
      </c>
      <c r="AV68">
        <v>23.483799999999999</v>
      </c>
      <c r="AW68">
        <v>11.091699999999999</v>
      </c>
      <c r="AX68">
        <v>551.59900000000005</v>
      </c>
      <c r="AY68">
        <v>23.305599999999998</v>
      </c>
      <c r="AZ68">
        <v>300.041</v>
      </c>
      <c r="BA68">
        <v>98.980599999999995</v>
      </c>
      <c r="BB68">
        <v>9.9886000000000003E-2</v>
      </c>
      <c r="BC68">
        <v>25.552</v>
      </c>
      <c r="BD68">
        <v>27.017499999999998</v>
      </c>
      <c r="BE68">
        <v>27.425999999999998</v>
      </c>
      <c r="BF68">
        <v>0</v>
      </c>
      <c r="BG68">
        <v>0</v>
      </c>
      <c r="BH68">
        <v>10039.4</v>
      </c>
      <c r="BI68">
        <v>1072.67</v>
      </c>
      <c r="BJ68">
        <v>1.4577199999999999</v>
      </c>
      <c r="BK68">
        <v>-249.77199999999999</v>
      </c>
      <c r="BL68">
        <v>563.47500000000002</v>
      </c>
      <c r="BM68">
        <v>808.98800000000006</v>
      </c>
      <c r="BN68">
        <v>12.392099999999999</v>
      </c>
      <c r="BO68">
        <v>800.01499999999999</v>
      </c>
      <c r="BP68">
        <v>11.091699999999999</v>
      </c>
      <c r="BQ68">
        <v>2.3244400000000001</v>
      </c>
      <c r="BR68">
        <v>1.0978600000000001</v>
      </c>
      <c r="BS68">
        <v>19.846800000000002</v>
      </c>
      <c r="BT68">
        <v>8.2842000000000002</v>
      </c>
      <c r="BU68">
        <v>1799.98</v>
      </c>
      <c r="BV68">
        <v>0.91001699999999996</v>
      </c>
      <c r="BW68">
        <v>3.3998800000000003E-2</v>
      </c>
      <c r="BX68">
        <v>2.1990800000000001E-2</v>
      </c>
      <c r="BY68">
        <v>3.3993200000000001E-2</v>
      </c>
      <c r="BZ68">
        <v>24</v>
      </c>
      <c r="CA68">
        <v>33528.199999999997</v>
      </c>
      <c r="CB68">
        <v>1690200769.5</v>
      </c>
      <c r="CC68" t="s">
        <v>332</v>
      </c>
      <c r="CD68">
        <v>1690200769.5</v>
      </c>
      <c r="CE68">
        <v>1690200753</v>
      </c>
      <c r="CF68">
        <v>2</v>
      </c>
      <c r="CG68">
        <v>-0.245</v>
      </c>
      <c r="CH68">
        <v>3.0000000000000001E-3</v>
      </c>
      <c r="CI68">
        <v>-1.5169999999999999</v>
      </c>
      <c r="CJ68">
        <v>-1.6E-2</v>
      </c>
      <c r="CK68">
        <v>778</v>
      </c>
      <c r="CL68">
        <v>12</v>
      </c>
      <c r="CM68">
        <v>0.01</v>
      </c>
      <c r="CN68">
        <v>0.03</v>
      </c>
      <c r="CO68">
        <v>-245.79041463414629</v>
      </c>
      <c r="CP68">
        <v>-21.41912195121974</v>
      </c>
      <c r="CQ68">
        <v>2.1126038606376181</v>
      </c>
      <c r="CR68">
        <v>-1</v>
      </c>
      <c r="CS68">
        <v>12.24830975609756</v>
      </c>
      <c r="CT68">
        <v>0.79056167247386788</v>
      </c>
      <c r="CU68">
        <v>7.7962764110473898E-2</v>
      </c>
      <c r="CV68">
        <v>-1</v>
      </c>
      <c r="CW68">
        <v>0</v>
      </c>
      <c r="CX68">
        <v>0</v>
      </c>
      <c r="CY68" t="s">
        <v>333</v>
      </c>
      <c r="CZ68">
        <v>2.3649499999999999</v>
      </c>
      <c r="DA68">
        <v>2.7137099999999998</v>
      </c>
      <c r="DB68">
        <v>0.113604</v>
      </c>
      <c r="DC68">
        <v>0.14633399999999999</v>
      </c>
      <c r="DD68">
        <v>0.112307</v>
      </c>
      <c r="DE68">
        <v>6.4105899999999993E-2</v>
      </c>
      <c r="DF68">
        <v>32332.9</v>
      </c>
      <c r="DG68">
        <v>27427.599999999999</v>
      </c>
      <c r="DH68">
        <v>31137.3</v>
      </c>
      <c r="DI68">
        <v>27993.200000000001</v>
      </c>
      <c r="DJ68">
        <v>37511.199999999997</v>
      </c>
      <c r="DK68">
        <v>37218.699999999997</v>
      </c>
      <c r="DL68">
        <v>44299.4</v>
      </c>
      <c r="DM68">
        <v>42386.5</v>
      </c>
      <c r="DN68">
        <v>1.43903</v>
      </c>
      <c r="DO68">
        <v>2.0819000000000001</v>
      </c>
      <c r="DP68">
        <v>0.15784100000000001</v>
      </c>
      <c r="DQ68">
        <v>0.189133</v>
      </c>
      <c r="DR68">
        <v>24.430700000000002</v>
      </c>
      <c r="DS68">
        <v>24.327100000000002</v>
      </c>
      <c r="DT68">
        <v>38.299999999999997</v>
      </c>
      <c r="DU68">
        <v>24.7</v>
      </c>
      <c r="DV68">
        <v>12.0839</v>
      </c>
      <c r="DW68">
        <v>61.9499</v>
      </c>
      <c r="DX68">
        <v>36.3902</v>
      </c>
      <c r="DY68">
        <v>1</v>
      </c>
      <c r="DZ68">
        <v>-0.157363</v>
      </c>
      <c r="EA68">
        <v>-5.3120899999999999E-2</v>
      </c>
      <c r="EB68">
        <v>20.193000000000001</v>
      </c>
      <c r="EC68">
        <v>5.2409499999999998</v>
      </c>
      <c r="ED68">
        <v>12.039899999999999</v>
      </c>
      <c r="EE68">
        <v>5.0172999999999996</v>
      </c>
      <c r="EF68">
        <v>3.2879999999999998</v>
      </c>
      <c r="EG68">
        <v>9999</v>
      </c>
      <c r="EH68">
        <v>9999</v>
      </c>
      <c r="EI68">
        <v>9999</v>
      </c>
      <c r="EJ68">
        <v>999.9</v>
      </c>
      <c r="EK68">
        <v>1.8687499999999999</v>
      </c>
      <c r="EL68">
        <v>1.8644700000000001</v>
      </c>
      <c r="EM68">
        <v>1.8690500000000001</v>
      </c>
      <c r="EN68">
        <v>1.86707</v>
      </c>
      <c r="EO68">
        <v>1.8632500000000001</v>
      </c>
      <c r="EP68">
        <v>1.86433</v>
      </c>
      <c r="EQ68">
        <v>1.87009</v>
      </c>
      <c r="ER68">
        <v>1.86931</v>
      </c>
      <c r="ES68">
        <v>0</v>
      </c>
      <c r="ET68">
        <v>0</v>
      </c>
      <c r="EU68">
        <v>0</v>
      </c>
      <c r="EV68">
        <v>0</v>
      </c>
      <c r="EW68" t="s">
        <v>334</v>
      </c>
      <c r="EX68" t="s">
        <v>335</v>
      </c>
      <c r="EY68" t="s">
        <v>336</v>
      </c>
      <c r="EZ68" t="s">
        <v>336</v>
      </c>
      <c r="FA68" t="s">
        <v>336</v>
      </c>
      <c r="FB68" t="s">
        <v>336</v>
      </c>
      <c r="FC68">
        <v>0</v>
      </c>
      <c r="FD68">
        <v>100</v>
      </c>
      <c r="FE68">
        <v>100</v>
      </c>
      <c r="FF68">
        <v>-1.3560000000000001</v>
      </c>
      <c r="FG68">
        <v>0.1782</v>
      </c>
      <c r="FH68">
        <v>-0.98020551812546231</v>
      </c>
      <c r="FI68">
        <v>-6.1462078757559423E-4</v>
      </c>
      <c r="FJ68">
        <v>-1.8861989874597051E-7</v>
      </c>
      <c r="FK68">
        <v>1.1980462299894961E-10</v>
      </c>
      <c r="FL68">
        <v>0.1782306200647516</v>
      </c>
      <c r="FM68">
        <v>0</v>
      </c>
      <c r="FN68">
        <v>0</v>
      </c>
      <c r="FO68">
        <v>0</v>
      </c>
      <c r="FP68">
        <v>3</v>
      </c>
      <c r="FQ68">
        <v>2158</v>
      </c>
      <c r="FR68">
        <v>1</v>
      </c>
      <c r="FS68">
        <v>19</v>
      </c>
      <c r="FT68">
        <v>10.6</v>
      </c>
      <c r="FU68">
        <v>10.9</v>
      </c>
      <c r="FV68">
        <v>1.7736799999999999</v>
      </c>
      <c r="FW68">
        <v>2.5463900000000002</v>
      </c>
      <c r="FX68">
        <v>1.5490699999999999</v>
      </c>
      <c r="FY68">
        <v>2.34497</v>
      </c>
      <c r="FZ68">
        <v>1.50146</v>
      </c>
      <c r="GA68">
        <v>2.2863799999999999</v>
      </c>
      <c r="GB68">
        <v>30.2864</v>
      </c>
      <c r="GC68">
        <v>23.982399999999998</v>
      </c>
      <c r="GD68">
        <v>19</v>
      </c>
      <c r="GE68">
        <v>263.971</v>
      </c>
      <c r="GF68">
        <v>611.33100000000002</v>
      </c>
      <c r="GG68">
        <v>24.255700000000001</v>
      </c>
      <c r="GH68">
        <v>25.438800000000001</v>
      </c>
      <c r="GI68">
        <v>30.0002</v>
      </c>
      <c r="GJ68">
        <v>25.528300000000002</v>
      </c>
      <c r="GK68">
        <v>25.476500000000001</v>
      </c>
      <c r="GL68">
        <v>35.455100000000002</v>
      </c>
      <c r="GM68">
        <v>-30</v>
      </c>
      <c r="GN68">
        <v>-30</v>
      </c>
      <c r="GO68">
        <v>24.244900000000001</v>
      </c>
      <c r="GP68">
        <v>800</v>
      </c>
      <c r="GQ68">
        <v>0</v>
      </c>
      <c r="GR68">
        <v>99.610399999999998</v>
      </c>
      <c r="GS68">
        <v>99.195400000000006</v>
      </c>
    </row>
    <row r="69" spans="1:201" x14ac:dyDescent="0.25">
      <c r="A69">
        <v>53</v>
      </c>
      <c r="B69">
        <v>1690201415.5</v>
      </c>
      <c r="C69">
        <v>568.5</v>
      </c>
      <c r="D69" t="s">
        <v>439</v>
      </c>
      <c r="E69" t="s">
        <v>440</v>
      </c>
      <c r="F69" t="s">
        <v>330</v>
      </c>
      <c r="H69">
        <v>1690201415.5</v>
      </c>
      <c r="I69">
        <f t="shared" si="0"/>
        <v>1.1554675275823121E-3</v>
      </c>
      <c r="J69">
        <f t="shared" si="1"/>
        <v>1.1554675275823121</v>
      </c>
      <c r="K69">
        <f t="shared" si="2"/>
        <v>22.194671826523741</v>
      </c>
      <c r="L69">
        <f t="shared" si="3"/>
        <v>546.68100000000004</v>
      </c>
      <c r="M69">
        <f t="shared" si="4"/>
        <v>119.25679574045444</v>
      </c>
      <c r="N69">
        <f t="shared" si="5"/>
        <v>11.816063736186239</v>
      </c>
      <c r="O69">
        <f t="shared" si="6"/>
        <v>54.165613785402009</v>
      </c>
      <c r="P69">
        <f t="shared" si="7"/>
        <v>8.6187787126554297E-2</v>
      </c>
      <c r="Q69">
        <f t="shared" si="8"/>
        <v>2.0779568692067203</v>
      </c>
      <c r="R69">
        <f t="shared" si="9"/>
        <v>8.424994012828875E-2</v>
      </c>
      <c r="S69">
        <f t="shared" si="10"/>
        <v>5.2826691494515195E-2</v>
      </c>
      <c r="T69">
        <f t="shared" si="11"/>
        <v>276.11475035264255</v>
      </c>
      <c r="U69">
        <f t="shared" si="12"/>
        <v>27.361259361279956</v>
      </c>
      <c r="V69">
        <f t="shared" si="13"/>
        <v>27.361259361279956</v>
      </c>
      <c r="W69">
        <f t="shared" si="14"/>
        <v>3.6558080188506192</v>
      </c>
      <c r="X69">
        <f t="shared" si="15"/>
        <v>71.214267360483575</v>
      </c>
      <c r="Y69">
        <f t="shared" si="16"/>
        <v>2.3380403529265998</v>
      </c>
      <c r="Z69">
        <f t="shared" si="17"/>
        <v>3.2831066576751251</v>
      </c>
      <c r="AA69">
        <f t="shared" si="18"/>
        <v>1.3177676659240194</v>
      </c>
      <c r="AB69">
        <f t="shared" si="19"/>
        <v>-50.956117966379963</v>
      </c>
      <c r="AC69">
        <f t="shared" si="20"/>
        <v>-204.25393138268331</v>
      </c>
      <c r="AD69">
        <f t="shared" si="21"/>
        <v>-21.096988654536279</v>
      </c>
      <c r="AE69">
        <f t="shared" si="22"/>
        <v>-0.19228765095701306</v>
      </c>
      <c r="AF69">
        <v>15</v>
      </c>
      <c r="AG69">
        <v>5</v>
      </c>
      <c r="AH69">
        <f t="shared" si="23"/>
        <v>1</v>
      </c>
      <c r="AI69">
        <f t="shared" si="24"/>
        <v>0</v>
      </c>
      <c r="AJ69">
        <f t="shared" si="25"/>
        <v>52499.948055415734</v>
      </c>
      <c r="AK69">
        <f t="shared" si="26"/>
        <v>1799.99</v>
      </c>
      <c r="AL69">
        <f t="shared" si="27"/>
        <v>1499.10768377771</v>
      </c>
      <c r="AM69">
        <f t="shared" si="28"/>
        <v>0.83284222900000004</v>
      </c>
      <c r="AN69">
        <f t="shared" si="29"/>
        <v>0.15339793573999996</v>
      </c>
      <c r="AO69">
        <v>33.299999999999997</v>
      </c>
      <c r="AP69">
        <v>0.5</v>
      </c>
      <c r="AQ69" t="s">
        <v>331</v>
      </c>
      <c r="AR69">
        <v>2</v>
      </c>
      <c r="AS69">
        <v>1690201415.5</v>
      </c>
      <c r="AT69">
        <v>546.68100000000004</v>
      </c>
      <c r="AU69">
        <v>799.99599999999998</v>
      </c>
      <c r="AV69">
        <v>23.597300000000001</v>
      </c>
      <c r="AW69">
        <v>11.0771</v>
      </c>
      <c r="AX69">
        <v>548.03499999999997</v>
      </c>
      <c r="AY69">
        <v>23.4191</v>
      </c>
      <c r="AZ69">
        <v>300.06799999999998</v>
      </c>
      <c r="BA69">
        <v>98.980800000000002</v>
      </c>
      <c r="BB69">
        <v>0.10004200000000001</v>
      </c>
      <c r="BC69">
        <v>25.538</v>
      </c>
      <c r="BD69">
        <v>26.997399999999999</v>
      </c>
      <c r="BE69">
        <v>27.388000000000002</v>
      </c>
      <c r="BF69">
        <v>0</v>
      </c>
      <c r="BG69">
        <v>0</v>
      </c>
      <c r="BH69">
        <v>9981.25</v>
      </c>
      <c r="BI69">
        <v>1072.6600000000001</v>
      </c>
      <c r="BJ69">
        <v>1.4577199999999999</v>
      </c>
      <c r="BK69">
        <v>-253.31399999999999</v>
      </c>
      <c r="BL69">
        <v>559.89300000000003</v>
      </c>
      <c r="BM69">
        <v>808.95699999999999</v>
      </c>
      <c r="BN69">
        <v>12.520200000000001</v>
      </c>
      <c r="BO69">
        <v>799.99599999999998</v>
      </c>
      <c r="BP69">
        <v>11.0771</v>
      </c>
      <c r="BQ69">
        <v>2.33568</v>
      </c>
      <c r="BR69">
        <v>1.09642</v>
      </c>
      <c r="BS69">
        <v>19.924600000000002</v>
      </c>
      <c r="BT69">
        <v>8.2648899999999994</v>
      </c>
      <c r="BU69">
        <v>1799.99</v>
      </c>
      <c r="BV69">
        <v>0.91000899999999996</v>
      </c>
      <c r="BW69">
        <v>3.3994000000000003E-2</v>
      </c>
      <c r="BX69">
        <v>2.2008699999999999E-2</v>
      </c>
      <c r="BY69">
        <v>3.3988400000000002E-2</v>
      </c>
      <c r="BZ69">
        <v>24</v>
      </c>
      <c r="CA69">
        <v>33528.1</v>
      </c>
      <c r="CB69">
        <v>1690200769.5</v>
      </c>
      <c r="CC69" t="s">
        <v>332</v>
      </c>
      <c r="CD69">
        <v>1690200769.5</v>
      </c>
      <c r="CE69">
        <v>1690200753</v>
      </c>
      <c r="CF69">
        <v>2</v>
      </c>
      <c r="CG69">
        <v>-0.245</v>
      </c>
      <c r="CH69">
        <v>3.0000000000000001E-3</v>
      </c>
      <c r="CI69">
        <v>-1.5169999999999999</v>
      </c>
      <c r="CJ69">
        <v>-1.6E-2</v>
      </c>
      <c r="CK69">
        <v>778</v>
      </c>
      <c r="CL69">
        <v>12</v>
      </c>
      <c r="CM69">
        <v>0.01</v>
      </c>
      <c r="CN69">
        <v>0.03</v>
      </c>
      <c r="CO69">
        <v>-249.290875</v>
      </c>
      <c r="CP69">
        <v>-21.81432270168753</v>
      </c>
      <c r="CQ69">
        <v>2.0985491558157512</v>
      </c>
      <c r="CR69">
        <v>-1</v>
      </c>
      <c r="CS69">
        <v>12.3757775</v>
      </c>
      <c r="CT69">
        <v>0.78701651031893638</v>
      </c>
      <c r="CU69">
        <v>7.5723224599524366E-2</v>
      </c>
      <c r="CV69">
        <v>-1</v>
      </c>
      <c r="CW69">
        <v>0</v>
      </c>
      <c r="CX69">
        <v>0</v>
      </c>
      <c r="CY69" t="s">
        <v>333</v>
      </c>
      <c r="CZ69">
        <v>2.36504</v>
      </c>
      <c r="DA69">
        <v>2.7138200000000001</v>
      </c>
      <c r="DB69">
        <v>0.113078</v>
      </c>
      <c r="DC69">
        <v>0.14632999999999999</v>
      </c>
      <c r="DD69">
        <v>0.112691</v>
      </c>
      <c r="DE69">
        <v>6.4041600000000004E-2</v>
      </c>
      <c r="DF69">
        <v>32351.9</v>
      </c>
      <c r="DG69">
        <v>27427.7</v>
      </c>
      <c r="DH69">
        <v>31137.200000000001</v>
      </c>
      <c r="DI69">
        <v>27993.200000000001</v>
      </c>
      <c r="DJ69">
        <v>37494.800000000003</v>
      </c>
      <c r="DK69">
        <v>37221.4</v>
      </c>
      <c r="DL69">
        <v>44299.4</v>
      </c>
      <c r="DM69">
        <v>42386.7</v>
      </c>
      <c r="DN69">
        <v>1.4395500000000001</v>
      </c>
      <c r="DO69">
        <v>2.0818500000000002</v>
      </c>
      <c r="DP69">
        <v>0.156388</v>
      </c>
      <c r="DQ69">
        <v>0.18656300000000001</v>
      </c>
      <c r="DR69">
        <v>24.4344</v>
      </c>
      <c r="DS69">
        <v>24.331199999999999</v>
      </c>
      <c r="DT69">
        <v>38.200000000000003</v>
      </c>
      <c r="DU69">
        <v>24.7</v>
      </c>
      <c r="DV69">
        <v>12.050800000000001</v>
      </c>
      <c r="DW69">
        <v>61.91</v>
      </c>
      <c r="DX69">
        <v>36.646599999999999</v>
      </c>
      <c r="DY69">
        <v>1</v>
      </c>
      <c r="DZ69">
        <v>-0.1583</v>
      </c>
      <c r="EA69">
        <v>-3.04303E-2</v>
      </c>
      <c r="EB69">
        <v>20.192799999999998</v>
      </c>
      <c r="EC69">
        <v>5.2409499999999998</v>
      </c>
      <c r="ED69">
        <v>12.039899999999999</v>
      </c>
      <c r="EE69">
        <v>5.0174000000000003</v>
      </c>
      <c r="EF69">
        <v>3.2879999999999998</v>
      </c>
      <c r="EG69">
        <v>9999</v>
      </c>
      <c r="EH69">
        <v>9999</v>
      </c>
      <c r="EI69">
        <v>9999</v>
      </c>
      <c r="EJ69">
        <v>999.9</v>
      </c>
      <c r="EK69">
        <v>1.86876</v>
      </c>
      <c r="EL69">
        <v>1.8644700000000001</v>
      </c>
      <c r="EM69">
        <v>1.8690500000000001</v>
      </c>
      <c r="EN69">
        <v>1.86707</v>
      </c>
      <c r="EO69">
        <v>1.8632500000000001</v>
      </c>
      <c r="EP69">
        <v>1.86433</v>
      </c>
      <c r="EQ69">
        <v>1.87008</v>
      </c>
      <c r="ER69">
        <v>1.8692899999999999</v>
      </c>
      <c r="ES69">
        <v>0</v>
      </c>
      <c r="ET69">
        <v>0</v>
      </c>
      <c r="EU69">
        <v>0</v>
      </c>
      <c r="EV69">
        <v>0</v>
      </c>
      <c r="EW69" t="s">
        <v>334</v>
      </c>
      <c r="EX69" t="s">
        <v>335</v>
      </c>
      <c r="EY69" t="s">
        <v>336</v>
      </c>
      <c r="EZ69" t="s">
        <v>336</v>
      </c>
      <c r="FA69" t="s">
        <v>336</v>
      </c>
      <c r="FB69" t="s">
        <v>336</v>
      </c>
      <c r="FC69">
        <v>0</v>
      </c>
      <c r="FD69">
        <v>100</v>
      </c>
      <c r="FE69">
        <v>100</v>
      </c>
      <c r="FF69">
        <v>-1.3540000000000001</v>
      </c>
      <c r="FG69">
        <v>0.1782</v>
      </c>
      <c r="FH69">
        <v>-0.98020551812546231</v>
      </c>
      <c r="FI69">
        <v>-6.1462078757559423E-4</v>
      </c>
      <c r="FJ69">
        <v>-1.8861989874597051E-7</v>
      </c>
      <c r="FK69">
        <v>1.1980462299894961E-10</v>
      </c>
      <c r="FL69">
        <v>0.1782306200647516</v>
      </c>
      <c r="FM69">
        <v>0</v>
      </c>
      <c r="FN69">
        <v>0</v>
      </c>
      <c r="FO69">
        <v>0</v>
      </c>
      <c r="FP69">
        <v>3</v>
      </c>
      <c r="FQ69">
        <v>2158</v>
      </c>
      <c r="FR69">
        <v>1</v>
      </c>
      <c r="FS69">
        <v>19</v>
      </c>
      <c r="FT69">
        <v>10.8</v>
      </c>
      <c r="FU69">
        <v>11</v>
      </c>
      <c r="FV69">
        <v>1.7736799999999999</v>
      </c>
      <c r="FW69">
        <v>2.5463900000000002</v>
      </c>
      <c r="FX69">
        <v>1.5490699999999999</v>
      </c>
      <c r="FY69">
        <v>2.34497</v>
      </c>
      <c r="FZ69">
        <v>1.50146</v>
      </c>
      <c r="GA69">
        <v>2.2875999999999999</v>
      </c>
      <c r="GB69">
        <v>30.2864</v>
      </c>
      <c r="GC69">
        <v>23.973700000000001</v>
      </c>
      <c r="GD69">
        <v>19</v>
      </c>
      <c r="GE69">
        <v>264.19099999999997</v>
      </c>
      <c r="GF69">
        <v>611.31500000000005</v>
      </c>
      <c r="GG69">
        <v>24.234100000000002</v>
      </c>
      <c r="GH69">
        <v>25.438800000000001</v>
      </c>
      <c r="GI69">
        <v>29.999600000000001</v>
      </c>
      <c r="GJ69">
        <v>25.5305</v>
      </c>
      <c r="GK69">
        <v>25.4786</v>
      </c>
      <c r="GL69">
        <v>35.456099999999999</v>
      </c>
      <c r="GM69">
        <v>-30</v>
      </c>
      <c r="GN69">
        <v>-30</v>
      </c>
      <c r="GO69">
        <v>24.230799999999999</v>
      </c>
      <c r="GP69">
        <v>800</v>
      </c>
      <c r="GQ69">
        <v>0</v>
      </c>
      <c r="GR69">
        <v>99.610299999999995</v>
      </c>
      <c r="GS69">
        <v>99.195700000000002</v>
      </c>
    </row>
    <row r="70" spans="1:201" x14ac:dyDescent="0.25">
      <c r="A70">
        <v>54</v>
      </c>
      <c r="B70">
        <v>1690201425.5</v>
      </c>
      <c r="C70">
        <v>578.5</v>
      </c>
      <c r="D70" t="s">
        <v>441</v>
      </c>
      <c r="E70" t="s">
        <v>442</v>
      </c>
      <c r="F70" t="s">
        <v>330</v>
      </c>
      <c r="H70">
        <v>1690201425.5</v>
      </c>
      <c r="I70">
        <f t="shared" si="0"/>
        <v>1.1683378588978701E-3</v>
      </c>
      <c r="J70">
        <f t="shared" si="1"/>
        <v>1.1683378588978701</v>
      </c>
      <c r="K70">
        <f t="shared" si="2"/>
        <v>22.532522307550156</v>
      </c>
      <c r="L70">
        <f t="shared" si="3"/>
        <v>543.03499999999997</v>
      </c>
      <c r="M70">
        <f t="shared" si="4"/>
        <v>118.91281983584759</v>
      </c>
      <c r="N70">
        <f t="shared" si="5"/>
        <v>11.782077444185949</v>
      </c>
      <c r="O70">
        <f t="shared" si="6"/>
        <v>53.804799463469998</v>
      </c>
      <c r="P70">
        <f t="shared" si="7"/>
        <v>8.8203104837148008E-2</v>
      </c>
      <c r="Q70">
        <f t="shared" si="8"/>
        <v>2.0811072092161069</v>
      </c>
      <c r="R70">
        <f t="shared" si="9"/>
        <v>8.6177716947048816E-2</v>
      </c>
      <c r="S70">
        <f t="shared" si="10"/>
        <v>5.4039172504357261E-2</v>
      </c>
      <c r="T70">
        <f t="shared" si="11"/>
        <v>276.11455742971441</v>
      </c>
      <c r="U70">
        <f t="shared" si="12"/>
        <v>27.343482017635036</v>
      </c>
      <c r="V70">
        <f t="shared" si="13"/>
        <v>27.343482017635036</v>
      </c>
      <c r="W70">
        <f t="shared" si="14"/>
        <v>3.652002963038635</v>
      </c>
      <c r="X70">
        <f t="shared" si="15"/>
        <v>71.60587684594762</v>
      </c>
      <c r="Y70">
        <f t="shared" si="16"/>
        <v>2.3494040787756001</v>
      </c>
      <c r="Z70">
        <f t="shared" si="17"/>
        <v>3.2810213103459254</v>
      </c>
      <c r="AA70">
        <f t="shared" si="18"/>
        <v>1.3025988842630349</v>
      </c>
      <c r="AB70">
        <f t="shared" si="19"/>
        <v>-51.523699577396073</v>
      </c>
      <c r="AC70">
        <f t="shared" si="20"/>
        <v>-203.76954155290903</v>
      </c>
      <c r="AD70">
        <f t="shared" si="21"/>
        <v>-21.012097381110348</v>
      </c>
      <c r="AE70">
        <f t="shared" si="22"/>
        <v>-0.19078108170103292</v>
      </c>
      <c r="AF70">
        <v>15</v>
      </c>
      <c r="AG70">
        <v>5</v>
      </c>
      <c r="AH70">
        <f t="shared" si="23"/>
        <v>1</v>
      </c>
      <c r="AI70">
        <f t="shared" si="24"/>
        <v>0</v>
      </c>
      <c r="AJ70">
        <f t="shared" si="25"/>
        <v>52644.228894393869</v>
      </c>
      <c r="AK70">
        <f t="shared" si="26"/>
        <v>1799.99</v>
      </c>
      <c r="AL70">
        <f t="shared" si="27"/>
        <v>1499.1041503973399</v>
      </c>
      <c r="AM70">
        <f t="shared" si="28"/>
        <v>0.83284026599999994</v>
      </c>
      <c r="AN70">
        <f t="shared" si="29"/>
        <v>0.15339782856</v>
      </c>
      <c r="AO70">
        <v>33.299999999999997</v>
      </c>
      <c r="AP70">
        <v>0.5</v>
      </c>
      <c r="AQ70" t="s">
        <v>331</v>
      </c>
      <c r="AR70">
        <v>2</v>
      </c>
      <c r="AS70">
        <v>1690201425.5</v>
      </c>
      <c r="AT70">
        <v>543.03499999999997</v>
      </c>
      <c r="AU70">
        <v>799.95799999999997</v>
      </c>
      <c r="AV70">
        <v>23.7118</v>
      </c>
      <c r="AW70">
        <v>11.062099999999999</v>
      </c>
      <c r="AX70">
        <v>544.38699999999994</v>
      </c>
      <c r="AY70">
        <v>23.5335</v>
      </c>
      <c r="AZ70">
        <v>300.26900000000001</v>
      </c>
      <c r="BA70">
        <v>98.981499999999997</v>
      </c>
      <c r="BB70">
        <v>0.10014199999999999</v>
      </c>
      <c r="BC70">
        <v>25.5273</v>
      </c>
      <c r="BD70">
        <v>26.994399999999999</v>
      </c>
      <c r="BE70">
        <v>27.438600000000001</v>
      </c>
      <c r="BF70">
        <v>0</v>
      </c>
      <c r="BG70">
        <v>0</v>
      </c>
      <c r="BH70">
        <v>10009.4</v>
      </c>
      <c r="BI70">
        <v>1072.72</v>
      </c>
      <c r="BJ70">
        <v>1.47174</v>
      </c>
      <c r="BK70">
        <v>-256.92200000000003</v>
      </c>
      <c r="BL70">
        <v>556.22400000000005</v>
      </c>
      <c r="BM70">
        <v>808.90599999999995</v>
      </c>
      <c r="BN70">
        <v>12.649699999999999</v>
      </c>
      <c r="BO70">
        <v>799.95799999999997</v>
      </c>
      <c r="BP70">
        <v>11.062099999999999</v>
      </c>
      <c r="BQ70">
        <v>2.3470300000000002</v>
      </c>
      <c r="BR70">
        <v>1.09494</v>
      </c>
      <c r="BS70">
        <v>20.002800000000001</v>
      </c>
      <c r="BT70">
        <v>8.2449300000000001</v>
      </c>
      <c r="BU70">
        <v>1799.99</v>
      </c>
      <c r="BV70">
        <v>0.909995</v>
      </c>
      <c r="BW70">
        <v>3.3999599999999998E-2</v>
      </c>
      <c r="BX70">
        <v>2.2005799999999999E-2</v>
      </c>
      <c r="BY70">
        <v>3.3999599999999998E-2</v>
      </c>
      <c r="BZ70">
        <v>24</v>
      </c>
      <c r="CA70">
        <v>33528.199999999997</v>
      </c>
      <c r="CB70">
        <v>1690200769.5</v>
      </c>
      <c r="CC70" t="s">
        <v>332</v>
      </c>
      <c r="CD70">
        <v>1690200769.5</v>
      </c>
      <c r="CE70">
        <v>1690200753</v>
      </c>
      <c r="CF70">
        <v>2</v>
      </c>
      <c r="CG70">
        <v>-0.245</v>
      </c>
      <c r="CH70">
        <v>3.0000000000000001E-3</v>
      </c>
      <c r="CI70">
        <v>-1.5169999999999999</v>
      </c>
      <c r="CJ70">
        <v>-1.6E-2</v>
      </c>
      <c r="CK70">
        <v>778</v>
      </c>
      <c r="CL70">
        <v>12</v>
      </c>
      <c r="CM70">
        <v>0.01</v>
      </c>
      <c r="CN70">
        <v>0.03</v>
      </c>
      <c r="CO70">
        <v>-252.99653658536579</v>
      </c>
      <c r="CP70">
        <v>-21.535505226481149</v>
      </c>
      <c r="CQ70">
        <v>2.1235599780483772</v>
      </c>
      <c r="CR70">
        <v>-1</v>
      </c>
      <c r="CS70">
        <v>12.508553658536581</v>
      </c>
      <c r="CT70">
        <v>0.77312195121952465</v>
      </c>
      <c r="CU70">
        <v>7.623522359043361E-2</v>
      </c>
      <c r="CV70">
        <v>-1</v>
      </c>
      <c r="CW70">
        <v>0</v>
      </c>
      <c r="CX70">
        <v>0</v>
      </c>
      <c r="CY70" t="s">
        <v>333</v>
      </c>
      <c r="CZ70">
        <v>2.3656999999999999</v>
      </c>
      <c r="DA70">
        <v>2.71394</v>
      </c>
      <c r="DB70">
        <v>0.11254</v>
      </c>
      <c r="DC70">
        <v>0.14632600000000001</v>
      </c>
      <c r="DD70">
        <v>0.113078</v>
      </c>
      <c r="DE70">
        <v>6.3975699999999996E-2</v>
      </c>
      <c r="DF70">
        <v>32371.200000000001</v>
      </c>
      <c r="DG70">
        <v>27427.5</v>
      </c>
      <c r="DH70">
        <v>31136.9</v>
      </c>
      <c r="DI70">
        <v>27992.799999999999</v>
      </c>
      <c r="DJ70">
        <v>37477.699999999997</v>
      </c>
      <c r="DK70">
        <v>37223.5</v>
      </c>
      <c r="DL70">
        <v>44298.8</v>
      </c>
      <c r="DM70">
        <v>42386.2</v>
      </c>
      <c r="DN70">
        <v>1.4399500000000001</v>
      </c>
      <c r="DO70">
        <v>2.0815700000000001</v>
      </c>
      <c r="DP70">
        <v>0.155866</v>
      </c>
      <c r="DQ70">
        <v>0.18950600000000001</v>
      </c>
      <c r="DR70">
        <v>24.44</v>
      </c>
      <c r="DS70">
        <v>24.3338</v>
      </c>
      <c r="DT70">
        <v>38.200000000000003</v>
      </c>
      <c r="DU70">
        <v>24.7</v>
      </c>
      <c r="DV70">
        <v>12.054500000000001</v>
      </c>
      <c r="DW70">
        <v>61.81</v>
      </c>
      <c r="DX70">
        <v>36.177900000000001</v>
      </c>
      <c r="DY70">
        <v>1</v>
      </c>
      <c r="DZ70">
        <v>-0.15781300000000001</v>
      </c>
      <c r="EA70">
        <v>-3.78077E-2</v>
      </c>
      <c r="EB70">
        <v>20.192699999999999</v>
      </c>
      <c r="EC70">
        <v>5.2411000000000003</v>
      </c>
      <c r="ED70">
        <v>12.039899999999999</v>
      </c>
      <c r="EE70">
        <v>5.01715</v>
      </c>
      <c r="EF70">
        <v>3.2879999999999998</v>
      </c>
      <c r="EG70">
        <v>9999</v>
      </c>
      <c r="EH70">
        <v>9999</v>
      </c>
      <c r="EI70">
        <v>9999</v>
      </c>
      <c r="EJ70">
        <v>999.9</v>
      </c>
      <c r="EK70">
        <v>1.8687499999999999</v>
      </c>
      <c r="EL70">
        <v>1.8644700000000001</v>
      </c>
      <c r="EM70">
        <v>1.8690500000000001</v>
      </c>
      <c r="EN70">
        <v>1.8670800000000001</v>
      </c>
      <c r="EO70">
        <v>1.8632500000000001</v>
      </c>
      <c r="EP70">
        <v>1.86433</v>
      </c>
      <c r="EQ70">
        <v>1.87008</v>
      </c>
      <c r="ER70">
        <v>1.8693200000000001</v>
      </c>
      <c r="ES70">
        <v>0</v>
      </c>
      <c r="ET70">
        <v>0</v>
      </c>
      <c r="EU70">
        <v>0</v>
      </c>
      <c r="EV70">
        <v>0</v>
      </c>
      <c r="EW70" t="s">
        <v>334</v>
      </c>
      <c r="EX70" t="s">
        <v>335</v>
      </c>
      <c r="EY70" t="s">
        <v>336</v>
      </c>
      <c r="EZ70" t="s">
        <v>336</v>
      </c>
      <c r="FA70" t="s">
        <v>336</v>
      </c>
      <c r="FB70" t="s">
        <v>336</v>
      </c>
      <c r="FC70">
        <v>0</v>
      </c>
      <c r="FD70">
        <v>100</v>
      </c>
      <c r="FE70">
        <v>100</v>
      </c>
      <c r="FF70">
        <v>-1.3520000000000001</v>
      </c>
      <c r="FG70">
        <v>0.17829999999999999</v>
      </c>
      <c r="FH70">
        <v>-0.98020551812546231</v>
      </c>
      <c r="FI70">
        <v>-6.1462078757559423E-4</v>
      </c>
      <c r="FJ70">
        <v>-1.8861989874597051E-7</v>
      </c>
      <c r="FK70">
        <v>1.1980462299894961E-10</v>
      </c>
      <c r="FL70">
        <v>0.1782306200647516</v>
      </c>
      <c r="FM70">
        <v>0</v>
      </c>
      <c r="FN70">
        <v>0</v>
      </c>
      <c r="FO70">
        <v>0</v>
      </c>
      <c r="FP70">
        <v>3</v>
      </c>
      <c r="FQ70">
        <v>2158</v>
      </c>
      <c r="FR70">
        <v>1</v>
      </c>
      <c r="FS70">
        <v>19</v>
      </c>
      <c r="FT70">
        <v>10.9</v>
      </c>
      <c r="FU70">
        <v>11.2</v>
      </c>
      <c r="FV70">
        <v>1.7736799999999999</v>
      </c>
      <c r="FW70">
        <v>2.5488300000000002</v>
      </c>
      <c r="FX70">
        <v>1.5490699999999999</v>
      </c>
      <c r="FY70">
        <v>2.34497</v>
      </c>
      <c r="FZ70">
        <v>1.50146</v>
      </c>
      <c r="GA70">
        <v>2.3584000000000001</v>
      </c>
      <c r="GB70">
        <v>30.2864</v>
      </c>
      <c r="GC70">
        <v>23.982399999999998</v>
      </c>
      <c r="GD70">
        <v>19</v>
      </c>
      <c r="GE70">
        <v>264.35199999999998</v>
      </c>
      <c r="GF70">
        <v>611.10500000000002</v>
      </c>
      <c r="GG70">
        <v>24.220099999999999</v>
      </c>
      <c r="GH70">
        <v>25.4377</v>
      </c>
      <c r="GI70">
        <v>30.0001</v>
      </c>
      <c r="GJ70">
        <v>25.5305</v>
      </c>
      <c r="GK70">
        <v>25.480699999999999</v>
      </c>
      <c r="GL70">
        <v>35.455500000000001</v>
      </c>
      <c r="GM70">
        <v>-30</v>
      </c>
      <c r="GN70">
        <v>-30</v>
      </c>
      <c r="GO70">
        <v>24.217600000000001</v>
      </c>
      <c r="GP70">
        <v>800</v>
      </c>
      <c r="GQ70">
        <v>0</v>
      </c>
      <c r="GR70">
        <v>99.608999999999995</v>
      </c>
      <c r="GS70">
        <v>99.194400000000002</v>
      </c>
    </row>
    <row r="71" spans="1:201" x14ac:dyDescent="0.25">
      <c r="A71">
        <v>55</v>
      </c>
      <c r="B71">
        <v>1690201435.5</v>
      </c>
      <c r="C71">
        <v>588.5</v>
      </c>
      <c r="D71" t="s">
        <v>443</v>
      </c>
      <c r="E71" t="s">
        <v>444</v>
      </c>
      <c r="F71" t="s">
        <v>330</v>
      </c>
      <c r="H71">
        <v>1690201435.5</v>
      </c>
      <c r="I71">
        <f t="shared" si="0"/>
        <v>1.1814391263631771E-3</v>
      </c>
      <c r="J71">
        <f t="shared" si="1"/>
        <v>1.1814391263631772</v>
      </c>
      <c r="K71">
        <f t="shared" si="2"/>
        <v>22.866754171690864</v>
      </c>
      <c r="L71">
        <f t="shared" si="3"/>
        <v>539.26800000000003</v>
      </c>
      <c r="M71">
        <f t="shared" si="4"/>
        <v>117.22100398192713</v>
      </c>
      <c r="N71">
        <f t="shared" si="5"/>
        <v>11.614545907083151</v>
      </c>
      <c r="O71">
        <f t="shared" si="6"/>
        <v>53.432002196352002</v>
      </c>
      <c r="P71">
        <f t="shared" si="7"/>
        <v>8.9971013022107249E-2</v>
      </c>
      <c r="Q71">
        <f t="shared" si="8"/>
        <v>2.0790218398277589</v>
      </c>
      <c r="R71">
        <f t="shared" si="9"/>
        <v>8.786260427871645E-2</v>
      </c>
      <c r="S71">
        <f t="shared" si="10"/>
        <v>5.5099444584983559E-2</v>
      </c>
      <c r="T71">
        <f t="shared" si="11"/>
        <v>276.1143457688903</v>
      </c>
      <c r="U71">
        <f t="shared" si="12"/>
        <v>27.351737455786502</v>
      </c>
      <c r="V71">
        <f t="shared" si="13"/>
        <v>27.351737455786502</v>
      </c>
      <c r="W71">
        <f t="shared" si="14"/>
        <v>3.6537695237678784</v>
      </c>
      <c r="X71">
        <f t="shared" si="15"/>
        <v>71.938686743364329</v>
      </c>
      <c r="Y71">
        <f t="shared" si="16"/>
        <v>2.3619079603392001</v>
      </c>
      <c r="Z71">
        <f t="shared" si="17"/>
        <v>3.2832236273163047</v>
      </c>
      <c r="AA71">
        <f t="shared" si="18"/>
        <v>1.2918615634286783</v>
      </c>
      <c r="AB71">
        <f t="shared" si="19"/>
        <v>-52.101465472616113</v>
      </c>
      <c r="AC71">
        <f t="shared" si="20"/>
        <v>-203.22410732776467</v>
      </c>
      <c r="AD71">
        <f t="shared" si="21"/>
        <v>-20.978928027809371</v>
      </c>
      <c r="AE71">
        <f t="shared" si="22"/>
        <v>-0.19015505929985466</v>
      </c>
      <c r="AF71">
        <v>15</v>
      </c>
      <c r="AG71">
        <v>5</v>
      </c>
      <c r="AH71">
        <f t="shared" si="23"/>
        <v>1</v>
      </c>
      <c r="AI71">
        <f t="shared" si="24"/>
        <v>0</v>
      </c>
      <c r="AJ71">
        <f t="shared" si="25"/>
        <v>52547.978118871353</v>
      </c>
      <c r="AK71">
        <f t="shared" si="26"/>
        <v>1799.99</v>
      </c>
      <c r="AL71">
        <f t="shared" si="27"/>
        <v>1499.1002012192798</v>
      </c>
      <c r="AM71">
        <f t="shared" si="28"/>
        <v>0.83283807199999993</v>
      </c>
      <c r="AN71">
        <f t="shared" si="29"/>
        <v>0.15339771096999999</v>
      </c>
      <c r="AO71">
        <v>33.299999999999997</v>
      </c>
      <c r="AP71">
        <v>0.5</v>
      </c>
      <c r="AQ71" t="s">
        <v>331</v>
      </c>
      <c r="AR71">
        <v>2</v>
      </c>
      <c r="AS71">
        <v>1690201435.5</v>
      </c>
      <c r="AT71">
        <v>539.26800000000003</v>
      </c>
      <c r="AU71">
        <v>799.96799999999996</v>
      </c>
      <c r="AV71">
        <v>23.837800000000001</v>
      </c>
      <c r="AW71">
        <v>11.0459</v>
      </c>
      <c r="AX71">
        <v>540.61699999999996</v>
      </c>
      <c r="AY71">
        <v>23.659500000000001</v>
      </c>
      <c r="AZ71">
        <v>300.22199999999998</v>
      </c>
      <c r="BA71">
        <v>98.982399999999998</v>
      </c>
      <c r="BB71">
        <v>0.100064</v>
      </c>
      <c r="BC71">
        <v>25.538599999999999</v>
      </c>
      <c r="BD71">
        <v>26.991399999999999</v>
      </c>
      <c r="BE71">
        <v>27.466200000000001</v>
      </c>
      <c r="BF71">
        <v>0</v>
      </c>
      <c r="BG71">
        <v>0</v>
      </c>
      <c r="BH71">
        <v>9990.6200000000008</v>
      </c>
      <c r="BI71">
        <v>1072.68</v>
      </c>
      <c r="BJ71">
        <v>1.4577199999999999</v>
      </c>
      <c r="BK71">
        <v>-260.69900000000001</v>
      </c>
      <c r="BL71">
        <v>552.43700000000001</v>
      </c>
      <c r="BM71">
        <v>808.90300000000002</v>
      </c>
      <c r="BN71">
        <v>12.7918</v>
      </c>
      <c r="BO71">
        <v>799.96799999999996</v>
      </c>
      <c r="BP71">
        <v>11.0459</v>
      </c>
      <c r="BQ71">
        <v>2.3595199999999998</v>
      </c>
      <c r="BR71">
        <v>1.09335</v>
      </c>
      <c r="BS71">
        <v>20.0886</v>
      </c>
      <c r="BT71">
        <v>8.2235800000000001</v>
      </c>
      <c r="BU71">
        <v>1799.99</v>
      </c>
      <c r="BV71">
        <v>0.90998000000000001</v>
      </c>
      <c r="BW71">
        <v>3.4005500000000001E-2</v>
      </c>
      <c r="BX71">
        <v>2.2003100000000001E-2</v>
      </c>
      <c r="BY71">
        <v>3.4011100000000002E-2</v>
      </c>
      <c r="BZ71">
        <v>24</v>
      </c>
      <c r="CA71">
        <v>33528</v>
      </c>
      <c r="CB71">
        <v>1690200769.5</v>
      </c>
      <c r="CC71" t="s">
        <v>332</v>
      </c>
      <c r="CD71">
        <v>1690200769.5</v>
      </c>
      <c r="CE71">
        <v>1690200753</v>
      </c>
      <c r="CF71">
        <v>2</v>
      </c>
      <c r="CG71">
        <v>-0.245</v>
      </c>
      <c r="CH71">
        <v>3.0000000000000001E-3</v>
      </c>
      <c r="CI71">
        <v>-1.5169999999999999</v>
      </c>
      <c r="CJ71">
        <v>-1.6E-2</v>
      </c>
      <c r="CK71">
        <v>778</v>
      </c>
      <c r="CL71">
        <v>12</v>
      </c>
      <c r="CM71">
        <v>0.01</v>
      </c>
      <c r="CN71">
        <v>0.03</v>
      </c>
      <c r="CO71">
        <v>-256.90877499999999</v>
      </c>
      <c r="CP71">
        <v>-22.21176360225061</v>
      </c>
      <c r="CQ71">
        <v>2.1369813345874151</v>
      </c>
      <c r="CR71">
        <v>-1</v>
      </c>
      <c r="CS71">
        <v>12.649907499999999</v>
      </c>
      <c r="CT71">
        <v>0.8088641651031655</v>
      </c>
      <c r="CU71">
        <v>7.7833515876838025E-2</v>
      </c>
      <c r="CV71">
        <v>-1</v>
      </c>
      <c r="CW71">
        <v>0</v>
      </c>
      <c r="CX71">
        <v>0</v>
      </c>
      <c r="CY71" t="s">
        <v>333</v>
      </c>
      <c r="CZ71">
        <v>2.3655400000000002</v>
      </c>
      <c r="DA71">
        <v>2.7138499999999999</v>
      </c>
      <c r="DB71">
        <v>0.111981</v>
      </c>
      <c r="DC71">
        <v>0.14632700000000001</v>
      </c>
      <c r="DD71">
        <v>0.11350200000000001</v>
      </c>
      <c r="DE71">
        <v>6.3904699999999995E-2</v>
      </c>
      <c r="DF71">
        <v>32391.4</v>
      </c>
      <c r="DG71">
        <v>27427.3</v>
      </c>
      <c r="DH71">
        <v>31136.6</v>
      </c>
      <c r="DI71">
        <v>27992.6</v>
      </c>
      <c r="DJ71">
        <v>37459.5</v>
      </c>
      <c r="DK71">
        <v>37226.199999999997</v>
      </c>
      <c r="DL71">
        <v>44298.8</v>
      </c>
      <c r="DM71">
        <v>42386</v>
      </c>
      <c r="DN71">
        <v>1.4392799999999999</v>
      </c>
      <c r="DO71">
        <v>2.08162</v>
      </c>
      <c r="DP71">
        <v>0.155307</v>
      </c>
      <c r="DQ71">
        <v>0.19106999999999999</v>
      </c>
      <c r="DR71">
        <v>24.446200000000001</v>
      </c>
      <c r="DS71">
        <v>24.335799999999999</v>
      </c>
      <c r="DT71">
        <v>38.1</v>
      </c>
      <c r="DU71">
        <v>24.7</v>
      </c>
      <c r="DV71">
        <v>12.023099999999999</v>
      </c>
      <c r="DW71">
        <v>62.189900000000002</v>
      </c>
      <c r="DX71">
        <v>35.697099999999999</v>
      </c>
      <c r="DY71">
        <v>1</v>
      </c>
      <c r="DZ71">
        <v>-0.15701000000000001</v>
      </c>
      <c r="EA71">
        <v>-0.30370900000000001</v>
      </c>
      <c r="EB71">
        <v>20.192299999999999</v>
      </c>
      <c r="EC71">
        <v>5.2408000000000001</v>
      </c>
      <c r="ED71">
        <v>12.039899999999999</v>
      </c>
      <c r="EE71">
        <v>5.0172999999999996</v>
      </c>
      <c r="EF71">
        <v>3.2879999999999998</v>
      </c>
      <c r="EG71">
        <v>9999</v>
      </c>
      <c r="EH71">
        <v>9999</v>
      </c>
      <c r="EI71">
        <v>9999</v>
      </c>
      <c r="EJ71">
        <v>999.9</v>
      </c>
      <c r="EK71">
        <v>1.8687499999999999</v>
      </c>
      <c r="EL71">
        <v>1.8644700000000001</v>
      </c>
      <c r="EM71">
        <v>1.8690500000000001</v>
      </c>
      <c r="EN71">
        <v>1.86707</v>
      </c>
      <c r="EO71">
        <v>1.8632500000000001</v>
      </c>
      <c r="EP71">
        <v>1.8643400000000001</v>
      </c>
      <c r="EQ71">
        <v>1.8700699999999999</v>
      </c>
      <c r="ER71">
        <v>1.8693</v>
      </c>
      <c r="ES71">
        <v>0</v>
      </c>
      <c r="ET71">
        <v>0</v>
      </c>
      <c r="EU71">
        <v>0</v>
      </c>
      <c r="EV71">
        <v>0</v>
      </c>
      <c r="EW71" t="s">
        <v>334</v>
      </c>
      <c r="EX71" t="s">
        <v>335</v>
      </c>
      <c r="EY71" t="s">
        <v>336</v>
      </c>
      <c r="EZ71" t="s">
        <v>336</v>
      </c>
      <c r="FA71" t="s">
        <v>336</v>
      </c>
      <c r="FB71" t="s">
        <v>336</v>
      </c>
      <c r="FC71">
        <v>0</v>
      </c>
      <c r="FD71">
        <v>100</v>
      </c>
      <c r="FE71">
        <v>100</v>
      </c>
      <c r="FF71">
        <v>-1.349</v>
      </c>
      <c r="FG71">
        <v>0.17829999999999999</v>
      </c>
      <c r="FH71">
        <v>-0.98020551812546231</v>
      </c>
      <c r="FI71">
        <v>-6.1462078757559423E-4</v>
      </c>
      <c r="FJ71">
        <v>-1.8861989874597051E-7</v>
      </c>
      <c r="FK71">
        <v>1.1980462299894961E-10</v>
      </c>
      <c r="FL71">
        <v>0.1782306200647516</v>
      </c>
      <c r="FM71">
        <v>0</v>
      </c>
      <c r="FN71">
        <v>0</v>
      </c>
      <c r="FO71">
        <v>0</v>
      </c>
      <c r="FP71">
        <v>3</v>
      </c>
      <c r="FQ71">
        <v>2158</v>
      </c>
      <c r="FR71">
        <v>1</v>
      </c>
      <c r="FS71">
        <v>19</v>
      </c>
      <c r="FT71">
        <v>11.1</v>
      </c>
      <c r="FU71">
        <v>11.4</v>
      </c>
      <c r="FV71">
        <v>1.7736799999999999</v>
      </c>
      <c r="FW71">
        <v>2.5427200000000001</v>
      </c>
      <c r="FX71">
        <v>1.5490699999999999</v>
      </c>
      <c r="FY71">
        <v>2.34497</v>
      </c>
      <c r="FZ71">
        <v>1.50146</v>
      </c>
      <c r="GA71">
        <v>2.3986800000000001</v>
      </c>
      <c r="GB71">
        <v>30.3079</v>
      </c>
      <c r="GC71">
        <v>23.982399999999998</v>
      </c>
      <c r="GD71">
        <v>19</v>
      </c>
      <c r="GE71">
        <v>264.08999999999997</v>
      </c>
      <c r="GF71">
        <v>611.17100000000005</v>
      </c>
      <c r="GG71">
        <v>24.270099999999999</v>
      </c>
      <c r="GH71">
        <v>25.436599999999999</v>
      </c>
      <c r="GI71">
        <v>30.000299999999999</v>
      </c>
      <c r="GJ71">
        <v>25.532599999999999</v>
      </c>
      <c r="GK71">
        <v>25.482700000000001</v>
      </c>
      <c r="GL71">
        <v>35.456899999999997</v>
      </c>
      <c r="GM71">
        <v>-30</v>
      </c>
      <c r="GN71">
        <v>-30</v>
      </c>
      <c r="GO71">
        <v>24.299399999999999</v>
      </c>
      <c r="GP71">
        <v>800</v>
      </c>
      <c r="GQ71">
        <v>0</v>
      </c>
      <c r="GR71">
        <v>99.608699999999999</v>
      </c>
      <c r="GS71">
        <v>99.193799999999996</v>
      </c>
    </row>
    <row r="72" spans="1:201" x14ac:dyDescent="0.25">
      <c r="A72">
        <v>56</v>
      </c>
      <c r="B72">
        <v>1690201445.5</v>
      </c>
      <c r="C72">
        <v>598.5</v>
      </c>
      <c r="D72" t="s">
        <v>445</v>
      </c>
      <c r="E72" t="s">
        <v>446</v>
      </c>
      <c r="F72" t="s">
        <v>330</v>
      </c>
      <c r="H72">
        <v>1690201445.5</v>
      </c>
      <c r="I72">
        <f t="shared" si="0"/>
        <v>1.1951677147835115E-3</v>
      </c>
      <c r="J72">
        <f t="shared" si="1"/>
        <v>1.1951677147835116</v>
      </c>
      <c r="K72">
        <f t="shared" si="2"/>
        <v>23.195065219784212</v>
      </c>
      <c r="L72">
        <f t="shared" si="3"/>
        <v>535.55899999999997</v>
      </c>
      <c r="M72">
        <f t="shared" si="4"/>
        <v>116.38492843689711</v>
      </c>
      <c r="N72">
        <f t="shared" si="5"/>
        <v>11.531700710209366</v>
      </c>
      <c r="O72">
        <f t="shared" si="6"/>
        <v>53.064483379456995</v>
      </c>
      <c r="P72">
        <f t="shared" si="7"/>
        <v>9.1912854801455293E-2</v>
      </c>
      <c r="Q72">
        <f t="shared" si="8"/>
        <v>2.0796504436702232</v>
      </c>
      <c r="R72">
        <f t="shared" si="9"/>
        <v>8.9714298340216256E-2</v>
      </c>
      <c r="S72">
        <f t="shared" si="10"/>
        <v>5.6264587882058945E-2</v>
      </c>
      <c r="T72">
        <f t="shared" si="11"/>
        <v>276.11250082723581</v>
      </c>
      <c r="U72">
        <f t="shared" si="12"/>
        <v>27.356509184188095</v>
      </c>
      <c r="V72">
        <f t="shared" si="13"/>
        <v>27.356509184188095</v>
      </c>
      <c r="W72">
        <f t="shared" si="14"/>
        <v>3.6547909541743691</v>
      </c>
      <c r="X72">
        <f t="shared" si="15"/>
        <v>72.293215161719019</v>
      </c>
      <c r="Y72">
        <f t="shared" si="16"/>
        <v>2.3749858628253997</v>
      </c>
      <c r="Z72">
        <f t="shared" si="17"/>
        <v>3.2852126683155345</v>
      </c>
      <c r="AA72">
        <f t="shared" si="18"/>
        <v>1.2798050913489694</v>
      </c>
      <c r="AB72">
        <f t="shared" si="19"/>
        <v>-52.706896221952853</v>
      </c>
      <c r="AC72">
        <f t="shared" si="20"/>
        <v>-202.67694569166022</v>
      </c>
      <c r="AD72">
        <f t="shared" si="21"/>
        <v>-20.9176876850163</v>
      </c>
      <c r="AE72">
        <f t="shared" si="22"/>
        <v>-0.18902877139356633</v>
      </c>
      <c r="AF72">
        <v>15</v>
      </c>
      <c r="AG72">
        <v>5</v>
      </c>
      <c r="AH72">
        <f t="shared" si="23"/>
        <v>1</v>
      </c>
      <c r="AI72">
        <f t="shared" si="24"/>
        <v>0</v>
      </c>
      <c r="AJ72">
        <f t="shared" si="25"/>
        <v>52574.588143070592</v>
      </c>
      <c r="AK72">
        <f t="shared" si="26"/>
        <v>1799.98</v>
      </c>
      <c r="AL72">
        <f t="shared" si="27"/>
        <v>1499.0945440088801</v>
      </c>
      <c r="AM72">
        <f t="shared" si="28"/>
        <v>0.83283955600000004</v>
      </c>
      <c r="AN72">
        <f t="shared" si="29"/>
        <v>0.15339753820999999</v>
      </c>
      <c r="AO72">
        <v>33.299999999999997</v>
      </c>
      <c r="AP72">
        <v>0.5</v>
      </c>
      <c r="AQ72" t="s">
        <v>331</v>
      </c>
      <c r="AR72">
        <v>2</v>
      </c>
      <c r="AS72">
        <v>1690201445.5</v>
      </c>
      <c r="AT72">
        <v>535.55899999999997</v>
      </c>
      <c r="AU72">
        <v>799.952</v>
      </c>
      <c r="AV72">
        <v>23.969799999999999</v>
      </c>
      <c r="AW72">
        <v>11.030099999999999</v>
      </c>
      <c r="AX72">
        <v>536.90499999999997</v>
      </c>
      <c r="AY72">
        <v>23.791599999999999</v>
      </c>
      <c r="AZ72">
        <v>300.20100000000002</v>
      </c>
      <c r="BA72">
        <v>98.982399999999998</v>
      </c>
      <c r="BB72">
        <v>0.100023</v>
      </c>
      <c r="BC72">
        <v>25.5488</v>
      </c>
      <c r="BD72">
        <v>26.992999999999999</v>
      </c>
      <c r="BE72">
        <v>27.454599999999999</v>
      </c>
      <c r="BF72">
        <v>0</v>
      </c>
      <c r="BG72">
        <v>0</v>
      </c>
      <c r="BH72">
        <v>9996.25</v>
      </c>
      <c r="BI72">
        <v>1072.71</v>
      </c>
      <c r="BJ72">
        <v>1.4577199999999999</v>
      </c>
      <c r="BK72">
        <v>-264.39299999999997</v>
      </c>
      <c r="BL72">
        <v>548.71100000000001</v>
      </c>
      <c r="BM72">
        <v>808.87400000000002</v>
      </c>
      <c r="BN72">
        <v>12.9397</v>
      </c>
      <c r="BO72">
        <v>799.952</v>
      </c>
      <c r="BP72">
        <v>11.030099999999999</v>
      </c>
      <c r="BQ72">
        <v>2.3725900000000002</v>
      </c>
      <c r="BR72">
        <v>1.09179</v>
      </c>
      <c r="BS72">
        <v>20.177900000000001</v>
      </c>
      <c r="BT72">
        <v>8.2024899999999992</v>
      </c>
      <c r="BU72">
        <v>1799.98</v>
      </c>
      <c r="BV72">
        <v>0.90999200000000002</v>
      </c>
      <c r="BW72">
        <v>3.4001200000000002E-2</v>
      </c>
      <c r="BX72">
        <v>2.20003E-2</v>
      </c>
      <c r="BY72">
        <v>3.40069E-2</v>
      </c>
      <c r="BZ72">
        <v>24</v>
      </c>
      <c r="CA72">
        <v>33528</v>
      </c>
      <c r="CB72">
        <v>1690200769.5</v>
      </c>
      <c r="CC72" t="s">
        <v>332</v>
      </c>
      <c r="CD72">
        <v>1690200769.5</v>
      </c>
      <c r="CE72">
        <v>1690200753</v>
      </c>
      <c r="CF72">
        <v>2</v>
      </c>
      <c r="CG72">
        <v>-0.245</v>
      </c>
      <c r="CH72">
        <v>3.0000000000000001E-3</v>
      </c>
      <c r="CI72">
        <v>-1.5169999999999999</v>
      </c>
      <c r="CJ72">
        <v>-1.6E-2</v>
      </c>
      <c r="CK72">
        <v>778</v>
      </c>
      <c r="CL72">
        <v>12</v>
      </c>
      <c r="CM72">
        <v>0.01</v>
      </c>
      <c r="CN72">
        <v>0.03</v>
      </c>
      <c r="CO72">
        <v>-260.31558536585368</v>
      </c>
      <c r="CP72">
        <v>-22.116815331010621</v>
      </c>
      <c r="CQ72">
        <v>2.18120617756647</v>
      </c>
      <c r="CR72">
        <v>-1</v>
      </c>
      <c r="CS72">
        <v>12.77787804878049</v>
      </c>
      <c r="CT72">
        <v>0.85640069686412279</v>
      </c>
      <c r="CU72">
        <v>8.4451202571099879E-2</v>
      </c>
      <c r="CV72">
        <v>-1</v>
      </c>
      <c r="CW72">
        <v>0</v>
      </c>
      <c r="CX72">
        <v>0</v>
      </c>
      <c r="CY72" t="s">
        <v>333</v>
      </c>
      <c r="CZ72">
        <v>2.3654700000000002</v>
      </c>
      <c r="DA72">
        <v>2.7138100000000001</v>
      </c>
      <c r="DB72">
        <v>0.111429</v>
      </c>
      <c r="DC72">
        <v>0.14632400000000001</v>
      </c>
      <c r="DD72">
        <v>0.113945</v>
      </c>
      <c r="DE72">
        <v>6.38349E-2</v>
      </c>
      <c r="DF72">
        <v>32412.1</v>
      </c>
      <c r="DG72">
        <v>27428.1</v>
      </c>
      <c r="DH72">
        <v>31137.200000000001</v>
      </c>
      <c r="DI72">
        <v>27993.3</v>
      </c>
      <c r="DJ72">
        <v>37441.1</v>
      </c>
      <c r="DK72">
        <v>37229.699999999997</v>
      </c>
      <c r="DL72">
        <v>44299.6</v>
      </c>
      <c r="DM72">
        <v>42386.9</v>
      </c>
      <c r="DN72">
        <v>1.43963</v>
      </c>
      <c r="DO72">
        <v>2.0815700000000001</v>
      </c>
      <c r="DP72">
        <v>0.15512100000000001</v>
      </c>
      <c r="DQ72">
        <v>0.19010199999999999</v>
      </c>
      <c r="DR72">
        <v>24.450800000000001</v>
      </c>
      <c r="DS72">
        <v>24.3401</v>
      </c>
      <c r="DT72">
        <v>38</v>
      </c>
      <c r="DU72">
        <v>24.8</v>
      </c>
      <c r="DV72">
        <v>12.0617</v>
      </c>
      <c r="DW72">
        <v>61.939900000000002</v>
      </c>
      <c r="DX72">
        <v>35.725200000000001</v>
      </c>
      <c r="DY72">
        <v>1</v>
      </c>
      <c r="DZ72">
        <v>-0.15718199999999999</v>
      </c>
      <c r="EA72">
        <v>-0.152642</v>
      </c>
      <c r="EB72">
        <v>20.192599999999999</v>
      </c>
      <c r="EC72">
        <v>5.2409499999999998</v>
      </c>
      <c r="ED72">
        <v>12.039899999999999</v>
      </c>
      <c r="EE72">
        <v>5.0172499999999998</v>
      </c>
      <c r="EF72">
        <v>3.2879999999999998</v>
      </c>
      <c r="EG72">
        <v>9999</v>
      </c>
      <c r="EH72">
        <v>9999</v>
      </c>
      <c r="EI72">
        <v>9999</v>
      </c>
      <c r="EJ72">
        <v>999.9</v>
      </c>
      <c r="EK72">
        <v>1.86876</v>
      </c>
      <c r="EL72">
        <v>1.8644700000000001</v>
      </c>
      <c r="EM72">
        <v>1.8690500000000001</v>
      </c>
      <c r="EN72">
        <v>1.86707</v>
      </c>
      <c r="EO72">
        <v>1.8632500000000001</v>
      </c>
      <c r="EP72">
        <v>1.86433</v>
      </c>
      <c r="EQ72">
        <v>1.87009</v>
      </c>
      <c r="ER72">
        <v>1.86931</v>
      </c>
      <c r="ES72">
        <v>0</v>
      </c>
      <c r="ET72">
        <v>0</v>
      </c>
      <c r="EU72">
        <v>0</v>
      </c>
      <c r="EV72">
        <v>0</v>
      </c>
      <c r="EW72" t="s">
        <v>334</v>
      </c>
      <c r="EX72" t="s">
        <v>335</v>
      </c>
      <c r="EY72" t="s">
        <v>336</v>
      </c>
      <c r="EZ72" t="s">
        <v>336</v>
      </c>
      <c r="FA72" t="s">
        <v>336</v>
      </c>
      <c r="FB72" t="s">
        <v>336</v>
      </c>
      <c r="FC72">
        <v>0</v>
      </c>
      <c r="FD72">
        <v>100</v>
      </c>
      <c r="FE72">
        <v>100</v>
      </c>
      <c r="FF72">
        <v>-1.3460000000000001</v>
      </c>
      <c r="FG72">
        <v>0.1782</v>
      </c>
      <c r="FH72">
        <v>-0.98020551812546231</v>
      </c>
      <c r="FI72">
        <v>-6.1462078757559423E-4</v>
      </c>
      <c r="FJ72">
        <v>-1.8861989874597051E-7</v>
      </c>
      <c r="FK72">
        <v>1.1980462299894961E-10</v>
      </c>
      <c r="FL72">
        <v>0.1782306200647516</v>
      </c>
      <c r="FM72">
        <v>0</v>
      </c>
      <c r="FN72">
        <v>0</v>
      </c>
      <c r="FO72">
        <v>0</v>
      </c>
      <c r="FP72">
        <v>3</v>
      </c>
      <c r="FQ72">
        <v>2158</v>
      </c>
      <c r="FR72">
        <v>1</v>
      </c>
      <c r="FS72">
        <v>19</v>
      </c>
      <c r="FT72">
        <v>11.3</v>
      </c>
      <c r="FU72">
        <v>11.5</v>
      </c>
      <c r="FV72">
        <v>1.7736799999999999</v>
      </c>
      <c r="FW72">
        <v>2.5402800000000001</v>
      </c>
      <c r="FX72">
        <v>1.5490699999999999</v>
      </c>
      <c r="FY72">
        <v>2.34497</v>
      </c>
      <c r="FZ72">
        <v>1.50024</v>
      </c>
      <c r="GA72">
        <v>2.3718300000000001</v>
      </c>
      <c r="GB72">
        <v>30.3079</v>
      </c>
      <c r="GC72">
        <v>23.982399999999998</v>
      </c>
      <c r="GD72">
        <v>19</v>
      </c>
      <c r="GE72">
        <v>264.23099999999999</v>
      </c>
      <c r="GF72">
        <v>611.14099999999996</v>
      </c>
      <c r="GG72">
        <v>24.310300000000002</v>
      </c>
      <c r="GH72">
        <v>25.436599999999999</v>
      </c>
      <c r="GI72">
        <v>30.000399999999999</v>
      </c>
      <c r="GJ72">
        <v>25.532599999999999</v>
      </c>
      <c r="GK72">
        <v>25.483799999999999</v>
      </c>
      <c r="GL72">
        <v>35.458100000000002</v>
      </c>
      <c r="GM72">
        <v>-30</v>
      </c>
      <c r="GN72">
        <v>-30</v>
      </c>
      <c r="GO72">
        <v>24.300599999999999</v>
      </c>
      <c r="GP72">
        <v>800</v>
      </c>
      <c r="GQ72">
        <v>0</v>
      </c>
      <c r="GR72">
        <v>99.610500000000002</v>
      </c>
      <c r="GS72">
        <v>99.196100000000001</v>
      </c>
    </row>
    <row r="73" spans="1:201" x14ac:dyDescent="0.25">
      <c r="A73">
        <v>57</v>
      </c>
      <c r="B73">
        <v>1690201455.5</v>
      </c>
      <c r="C73">
        <v>608.5</v>
      </c>
      <c r="D73" t="s">
        <v>447</v>
      </c>
      <c r="E73" t="s">
        <v>448</v>
      </c>
      <c r="F73" t="s">
        <v>330</v>
      </c>
      <c r="H73">
        <v>1690201455.5</v>
      </c>
      <c r="I73">
        <f t="shared" si="0"/>
        <v>1.2079434901873874E-3</v>
      </c>
      <c r="J73">
        <f t="shared" si="1"/>
        <v>1.2079434901873873</v>
      </c>
      <c r="K73">
        <f t="shared" si="2"/>
        <v>23.525277521763591</v>
      </c>
      <c r="L73">
        <f t="shared" si="3"/>
        <v>531.78099999999995</v>
      </c>
      <c r="M73">
        <f t="shared" si="4"/>
        <v>113.9190330277282</v>
      </c>
      <c r="N73">
        <f t="shared" si="5"/>
        <v>11.287388570719115</v>
      </c>
      <c r="O73">
        <f t="shared" si="6"/>
        <v>52.690218851002498</v>
      </c>
      <c r="P73">
        <f t="shared" si="7"/>
        <v>9.3529851500006311E-2</v>
      </c>
      <c r="Q73">
        <f t="shared" si="8"/>
        <v>2.0773476527367452</v>
      </c>
      <c r="R73">
        <f t="shared" si="9"/>
        <v>9.1251832629883664E-2</v>
      </c>
      <c r="S73">
        <f t="shared" si="10"/>
        <v>5.7232445132067648E-2</v>
      </c>
      <c r="T73">
        <f t="shared" si="11"/>
        <v>276.1134045901191</v>
      </c>
      <c r="U73">
        <f t="shared" si="12"/>
        <v>27.377331031329494</v>
      </c>
      <c r="V73">
        <f t="shared" si="13"/>
        <v>27.377331031329494</v>
      </c>
      <c r="W73">
        <f t="shared" si="14"/>
        <v>3.6592509704760969</v>
      </c>
      <c r="X73">
        <f t="shared" si="15"/>
        <v>72.577600146325949</v>
      </c>
      <c r="Y73">
        <f t="shared" si="16"/>
        <v>2.3876715336345002</v>
      </c>
      <c r="Z73">
        <f t="shared" si="17"/>
        <v>3.289818799217171</v>
      </c>
      <c r="AA73">
        <f t="shared" si="18"/>
        <v>1.2715794368415967</v>
      </c>
      <c r="AB73">
        <f t="shared" si="19"/>
        <v>-53.270307917263786</v>
      </c>
      <c r="AC73">
        <f t="shared" si="20"/>
        <v>-202.14138573610515</v>
      </c>
      <c r="AD73">
        <f t="shared" si="21"/>
        <v>-20.890187708524177</v>
      </c>
      <c r="AE73">
        <f t="shared" si="22"/>
        <v>-0.18847677177399191</v>
      </c>
      <c r="AF73">
        <v>15</v>
      </c>
      <c r="AG73">
        <v>5</v>
      </c>
      <c r="AH73">
        <f t="shared" si="23"/>
        <v>1</v>
      </c>
      <c r="AI73">
        <f t="shared" si="24"/>
        <v>0</v>
      </c>
      <c r="AJ73">
        <f t="shared" si="25"/>
        <v>52466.43830265681</v>
      </c>
      <c r="AK73">
        <f t="shared" si="26"/>
        <v>1799.99</v>
      </c>
      <c r="AL73">
        <f t="shared" si="27"/>
        <v>1499.10348080106</v>
      </c>
      <c r="AM73">
        <f t="shared" si="28"/>
        <v>0.83283989399999991</v>
      </c>
      <c r="AN73">
        <f t="shared" si="29"/>
        <v>0.15339718809</v>
      </c>
      <c r="AO73">
        <v>33.299999999999997</v>
      </c>
      <c r="AP73">
        <v>0.5</v>
      </c>
      <c r="AQ73" t="s">
        <v>331</v>
      </c>
      <c r="AR73">
        <v>2</v>
      </c>
      <c r="AS73">
        <v>1690201455.5</v>
      </c>
      <c r="AT73">
        <v>531.78099999999995</v>
      </c>
      <c r="AU73">
        <v>799.98099999999999</v>
      </c>
      <c r="AV73">
        <v>24.097799999999999</v>
      </c>
      <c r="AW73">
        <v>11.015700000000001</v>
      </c>
      <c r="AX73">
        <v>533.125</v>
      </c>
      <c r="AY73">
        <v>23.919499999999999</v>
      </c>
      <c r="AZ73">
        <v>300.06799999999998</v>
      </c>
      <c r="BA73">
        <v>98.982600000000005</v>
      </c>
      <c r="BB73">
        <v>9.99525E-2</v>
      </c>
      <c r="BC73">
        <v>25.572399999999998</v>
      </c>
      <c r="BD73">
        <v>26.998699999999999</v>
      </c>
      <c r="BE73">
        <v>27.4818</v>
      </c>
      <c r="BF73">
        <v>0</v>
      </c>
      <c r="BG73">
        <v>0</v>
      </c>
      <c r="BH73">
        <v>9975.6200000000008</v>
      </c>
      <c r="BI73">
        <v>1072.72</v>
      </c>
      <c r="BJ73">
        <v>1.47174</v>
      </c>
      <c r="BK73">
        <v>-268.2</v>
      </c>
      <c r="BL73">
        <v>544.91200000000003</v>
      </c>
      <c r="BM73">
        <v>808.89200000000005</v>
      </c>
      <c r="BN73">
        <v>13.082000000000001</v>
      </c>
      <c r="BO73">
        <v>799.98099999999999</v>
      </c>
      <c r="BP73">
        <v>11.015700000000001</v>
      </c>
      <c r="BQ73">
        <v>2.3852600000000002</v>
      </c>
      <c r="BR73">
        <v>1.0903700000000001</v>
      </c>
      <c r="BS73">
        <v>20.263999999999999</v>
      </c>
      <c r="BT73">
        <v>8.1833200000000001</v>
      </c>
      <c r="BU73">
        <v>1799.99</v>
      </c>
      <c r="BV73">
        <v>0.91000199999999998</v>
      </c>
      <c r="BW73">
        <v>3.3997199999999998E-2</v>
      </c>
      <c r="BX73">
        <v>2.1997699999999999E-2</v>
      </c>
      <c r="BY73">
        <v>3.4002900000000003E-2</v>
      </c>
      <c r="BZ73">
        <v>24</v>
      </c>
      <c r="CA73">
        <v>33528.199999999997</v>
      </c>
      <c r="CB73">
        <v>1690200769.5</v>
      </c>
      <c r="CC73" t="s">
        <v>332</v>
      </c>
      <c r="CD73">
        <v>1690200769.5</v>
      </c>
      <c r="CE73">
        <v>1690200753</v>
      </c>
      <c r="CF73">
        <v>2</v>
      </c>
      <c r="CG73">
        <v>-0.245</v>
      </c>
      <c r="CH73">
        <v>3.0000000000000001E-3</v>
      </c>
      <c r="CI73">
        <v>-1.5169999999999999</v>
      </c>
      <c r="CJ73">
        <v>-1.6E-2</v>
      </c>
      <c r="CK73">
        <v>778</v>
      </c>
      <c r="CL73">
        <v>12</v>
      </c>
      <c r="CM73">
        <v>0.01</v>
      </c>
      <c r="CN73">
        <v>0.03</v>
      </c>
      <c r="CO73">
        <v>-264.03356097560982</v>
      </c>
      <c r="CP73">
        <v>-22.397059233449621</v>
      </c>
      <c r="CQ73">
        <v>2.208882313648755</v>
      </c>
      <c r="CR73">
        <v>-1</v>
      </c>
      <c r="CS73">
        <v>12.922756097560971</v>
      </c>
      <c r="CT73">
        <v>0.87872404181183272</v>
      </c>
      <c r="CU73">
        <v>8.6655806523758913E-2</v>
      </c>
      <c r="CV73">
        <v>-1</v>
      </c>
      <c r="CW73">
        <v>0</v>
      </c>
      <c r="CX73">
        <v>0</v>
      </c>
      <c r="CY73" t="s">
        <v>333</v>
      </c>
      <c r="CZ73">
        <v>2.3650600000000002</v>
      </c>
      <c r="DA73">
        <v>2.7137199999999999</v>
      </c>
      <c r="DB73">
        <v>0.110864</v>
      </c>
      <c r="DC73">
        <v>0.14632700000000001</v>
      </c>
      <c r="DD73">
        <v>0.114374</v>
      </c>
      <c r="DE73">
        <v>6.3771499999999995E-2</v>
      </c>
      <c r="DF73">
        <v>32432.6</v>
      </c>
      <c r="DG73">
        <v>27428</v>
      </c>
      <c r="DH73">
        <v>31137.1</v>
      </c>
      <c r="DI73">
        <v>27993.4</v>
      </c>
      <c r="DJ73">
        <v>37422.800000000003</v>
      </c>
      <c r="DK73">
        <v>37232.6</v>
      </c>
      <c r="DL73">
        <v>44299.6</v>
      </c>
      <c r="DM73">
        <v>42387.199999999997</v>
      </c>
      <c r="DN73">
        <v>1.4394199999999999</v>
      </c>
      <c r="DO73">
        <v>2.08148</v>
      </c>
      <c r="DP73">
        <v>0.15515799999999999</v>
      </c>
      <c r="DQ73">
        <v>0.19151699999999999</v>
      </c>
      <c r="DR73">
        <v>24.4559</v>
      </c>
      <c r="DS73">
        <v>24.344100000000001</v>
      </c>
      <c r="DT73">
        <v>38</v>
      </c>
      <c r="DU73">
        <v>24.8</v>
      </c>
      <c r="DV73">
        <v>12.061</v>
      </c>
      <c r="DW73">
        <v>61.809899999999999</v>
      </c>
      <c r="DX73">
        <v>36.582500000000003</v>
      </c>
      <c r="DY73">
        <v>1</v>
      </c>
      <c r="DZ73">
        <v>-0.157586</v>
      </c>
      <c r="EA73">
        <v>-0.13170200000000001</v>
      </c>
      <c r="EB73">
        <v>20.192799999999998</v>
      </c>
      <c r="EC73">
        <v>5.24125</v>
      </c>
      <c r="ED73">
        <v>12.039899999999999</v>
      </c>
      <c r="EE73">
        <v>5.0175999999999998</v>
      </c>
      <c r="EF73">
        <v>3.2879999999999998</v>
      </c>
      <c r="EG73">
        <v>9999</v>
      </c>
      <c r="EH73">
        <v>9999</v>
      </c>
      <c r="EI73">
        <v>9999</v>
      </c>
      <c r="EJ73">
        <v>999.9</v>
      </c>
      <c r="EK73">
        <v>1.8687499999999999</v>
      </c>
      <c r="EL73">
        <v>1.8644700000000001</v>
      </c>
      <c r="EM73">
        <v>1.8690500000000001</v>
      </c>
      <c r="EN73">
        <v>1.86707</v>
      </c>
      <c r="EO73">
        <v>1.8632500000000001</v>
      </c>
      <c r="EP73">
        <v>1.86432</v>
      </c>
      <c r="EQ73">
        <v>1.8700600000000001</v>
      </c>
      <c r="ER73">
        <v>1.86934</v>
      </c>
      <c r="ES73">
        <v>0</v>
      </c>
      <c r="ET73">
        <v>0</v>
      </c>
      <c r="EU73">
        <v>0</v>
      </c>
      <c r="EV73">
        <v>0</v>
      </c>
      <c r="EW73" t="s">
        <v>334</v>
      </c>
      <c r="EX73" t="s">
        <v>335</v>
      </c>
      <c r="EY73" t="s">
        <v>336</v>
      </c>
      <c r="EZ73" t="s">
        <v>336</v>
      </c>
      <c r="FA73" t="s">
        <v>336</v>
      </c>
      <c r="FB73" t="s">
        <v>336</v>
      </c>
      <c r="FC73">
        <v>0</v>
      </c>
      <c r="FD73">
        <v>100</v>
      </c>
      <c r="FE73">
        <v>100</v>
      </c>
      <c r="FF73">
        <v>-1.3440000000000001</v>
      </c>
      <c r="FG73">
        <v>0.17829999999999999</v>
      </c>
      <c r="FH73">
        <v>-0.98020551812546231</v>
      </c>
      <c r="FI73">
        <v>-6.1462078757559423E-4</v>
      </c>
      <c r="FJ73">
        <v>-1.8861989874597051E-7</v>
      </c>
      <c r="FK73">
        <v>1.1980462299894961E-10</v>
      </c>
      <c r="FL73">
        <v>0.1782306200647516</v>
      </c>
      <c r="FM73">
        <v>0</v>
      </c>
      <c r="FN73">
        <v>0</v>
      </c>
      <c r="FO73">
        <v>0</v>
      </c>
      <c r="FP73">
        <v>3</v>
      </c>
      <c r="FQ73">
        <v>2158</v>
      </c>
      <c r="FR73">
        <v>1</v>
      </c>
      <c r="FS73">
        <v>19</v>
      </c>
      <c r="FT73">
        <v>11.4</v>
      </c>
      <c r="FU73">
        <v>11.7</v>
      </c>
      <c r="FV73">
        <v>1.7736799999999999</v>
      </c>
      <c r="FW73">
        <v>2.5427200000000001</v>
      </c>
      <c r="FX73">
        <v>1.5490699999999999</v>
      </c>
      <c r="FY73">
        <v>2.34497</v>
      </c>
      <c r="FZ73">
        <v>1.50146</v>
      </c>
      <c r="GA73">
        <v>2.2949199999999998</v>
      </c>
      <c r="GB73">
        <v>30.3294</v>
      </c>
      <c r="GC73">
        <v>23.973700000000001</v>
      </c>
      <c r="GD73">
        <v>19</v>
      </c>
      <c r="GE73">
        <v>264.15899999999999</v>
      </c>
      <c r="GF73">
        <v>611.07100000000003</v>
      </c>
      <c r="GG73">
        <v>24.3065</v>
      </c>
      <c r="GH73">
        <v>25.4345</v>
      </c>
      <c r="GI73">
        <v>30.0002</v>
      </c>
      <c r="GJ73">
        <v>25.534800000000001</v>
      </c>
      <c r="GK73">
        <v>25.484999999999999</v>
      </c>
      <c r="GL73">
        <v>35.459899999999998</v>
      </c>
      <c r="GM73">
        <v>-30</v>
      </c>
      <c r="GN73">
        <v>-30</v>
      </c>
      <c r="GO73">
        <v>24.310500000000001</v>
      </c>
      <c r="GP73">
        <v>800</v>
      </c>
      <c r="GQ73">
        <v>0</v>
      </c>
      <c r="GR73">
        <v>99.610399999999998</v>
      </c>
      <c r="GS73">
        <v>99.196700000000007</v>
      </c>
    </row>
    <row r="74" spans="1:201" x14ac:dyDescent="0.25">
      <c r="A74">
        <v>58</v>
      </c>
      <c r="B74">
        <v>1690201465.5</v>
      </c>
      <c r="C74">
        <v>618.5</v>
      </c>
      <c r="D74" t="s">
        <v>449</v>
      </c>
      <c r="E74" t="s">
        <v>450</v>
      </c>
      <c r="F74" t="s">
        <v>330</v>
      </c>
      <c r="H74">
        <v>1690201465.5</v>
      </c>
      <c r="I74">
        <f t="shared" si="0"/>
        <v>1.2208650663757879E-3</v>
      </c>
      <c r="J74">
        <f t="shared" si="1"/>
        <v>1.2208650663757878</v>
      </c>
      <c r="K74">
        <f t="shared" si="2"/>
        <v>23.866395362170156</v>
      </c>
      <c r="L74">
        <f t="shared" si="3"/>
        <v>528.04300000000001</v>
      </c>
      <c r="M74">
        <f t="shared" si="4"/>
        <v>113.69190141666866</v>
      </c>
      <c r="N74">
        <f t="shared" si="5"/>
        <v>11.265107366066033</v>
      </c>
      <c r="O74">
        <f t="shared" si="6"/>
        <v>52.320886666316994</v>
      </c>
      <c r="P74">
        <f t="shared" si="7"/>
        <v>9.5722374781422731E-2</v>
      </c>
      <c r="Q74">
        <f t="shared" si="8"/>
        <v>2.0764605512639074</v>
      </c>
      <c r="R74">
        <f t="shared" si="9"/>
        <v>9.3336776772961455E-2</v>
      </c>
      <c r="S74">
        <f t="shared" si="10"/>
        <v>5.8544870054926118E-2</v>
      </c>
      <c r="T74">
        <f t="shared" si="11"/>
        <v>276.11133845415122</v>
      </c>
      <c r="U74">
        <f t="shared" si="12"/>
        <v>27.362714467896087</v>
      </c>
      <c r="V74">
        <f t="shared" si="13"/>
        <v>27.362714467896087</v>
      </c>
      <c r="W74">
        <f t="shared" si="14"/>
        <v>3.6561196224521577</v>
      </c>
      <c r="X74">
        <f t="shared" si="15"/>
        <v>72.988920080592351</v>
      </c>
      <c r="Y74">
        <f t="shared" si="16"/>
        <v>2.3996784234014998</v>
      </c>
      <c r="Z74">
        <f t="shared" si="17"/>
        <v>3.2877297276789976</v>
      </c>
      <c r="AA74">
        <f t="shared" si="18"/>
        <v>1.2564411990506579</v>
      </c>
      <c r="AB74">
        <f t="shared" si="19"/>
        <v>-53.84014942717225</v>
      </c>
      <c r="AC74">
        <f t="shared" si="20"/>
        <v>-201.61661999791028</v>
      </c>
      <c r="AD74">
        <f t="shared" si="21"/>
        <v>-20.842213665239719</v>
      </c>
      <c r="AE74">
        <f t="shared" si="22"/>
        <v>-0.18764463617100091</v>
      </c>
      <c r="AF74">
        <v>15</v>
      </c>
      <c r="AG74">
        <v>5</v>
      </c>
      <c r="AH74">
        <f t="shared" si="23"/>
        <v>1</v>
      </c>
      <c r="AI74">
        <f t="shared" si="24"/>
        <v>0</v>
      </c>
      <c r="AJ74">
        <f t="shared" si="25"/>
        <v>52428.33222094307</v>
      </c>
      <c r="AK74">
        <f t="shared" si="26"/>
        <v>1799.98</v>
      </c>
      <c r="AL74">
        <f t="shared" si="27"/>
        <v>1499.0961783907201</v>
      </c>
      <c r="AM74">
        <f t="shared" si="28"/>
        <v>0.832840464</v>
      </c>
      <c r="AN74">
        <f t="shared" si="29"/>
        <v>0.15339689244000002</v>
      </c>
      <c r="AO74">
        <v>33.299999999999997</v>
      </c>
      <c r="AP74">
        <v>0.5</v>
      </c>
      <c r="AQ74" t="s">
        <v>331</v>
      </c>
      <c r="AR74">
        <v>2</v>
      </c>
      <c r="AS74">
        <v>1690201465.5</v>
      </c>
      <c r="AT74">
        <v>528.04300000000001</v>
      </c>
      <c r="AU74">
        <v>800.01700000000005</v>
      </c>
      <c r="AV74">
        <v>24.218499999999999</v>
      </c>
      <c r="AW74">
        <v>10.9999</v>
      </c>
      <c r="AX74">
        <v>529.38300000000004</v>
      </c>
      <c r="AY74">
        <v>24.040299999999998</v>
      </c>
      <c r="AZ74">
        <v>300.10899999999998</v>
      </c>
      <c r="BA74">
        <v>98.984499999999997</v>
      </c>
      <c r="BB74">
        <v>0.100019</v>
      </c>
      <c r="BC74">
        <v>25.561699999999998</v>
      </c>
      <c r="BD74">
        <v>26.982800000000001</v>
      </c>
      <c r="BE74">
        <v>27.457000000000001</v>
      </c>
      <c r="BF74">
        <v>0</v>
      </c>
      <c r="BG74">
        <v>0</v>
      </c>
      <c r="BH74">
        <v>9967.5</v>
      </c>
      <c r="BI74">
        <v>1072.78</v>
      </c>
      <c r="BJ74">
        <v>1.4577199999999999</v>
      </c>
      <c r="BK74">
        <v>-271.97399999999999</v>
      </c>
      <c r="BL74">
        <v>541.14800000000002</v>
      </c>
      <c r="BM74">
        <v>808.91499999999996</v>
      </c>
      <c r="BN74">
        <v>13.2187</v>
      </c>
      <c r="BO74">
        <v>800.01700000000005</v>
      </c>
      <c r="BP74">
        <v>10.9999</v>
      </c>
      <c r="BQ74">
        <v>2.3972600000000002</v>
      </c>
      <c r="BR74">
        <v>1.0888199999999999</v>
      </c>
      <c r="BS74">
        <v>20.345300000000002</v>
      </c>
      <c r="BT74">
        <v>8.1623900000000003</v>
      </c>
      <c r="BU74">
        <v>1799.98</v>
      </c>
      <c r="BV74">
        <v>0.91001200000000004</v>
      </c>
      <c r="BW74">
        <v>3.3993299999999997E-2</v>
      </c>
      <c r="BX74">
        <v>2.1995199999999999E-2</v>
      </c>
      <c r="BY74">
        <v>3.3999000000000001E-2</v>
      </c>
      <c r="BZ74">
        <v>24</v>
      </c>
      <c r="CA74">
        <v>33528.199999999997</v>
      </c>
      <c r="CB74">
        <v>1690200769.5</v>
      </c>
      <c r="CC74" t="s">
        <v>332</v>
      </c>
      <c r="CD74">
        <v>1690200769.5</v>
      </c>
      <c r="CE74">
        <v>1690200753</v>
      </c>
      <c r="CF74">
        <v>2</v>
      </c>
      <c r="CG74">
        <v>-0.245</v>
      </c>
      <c r="CH74">
        <v>3.0000000000000001E-3</v>
      </c>
      <c r="CI74">
        <v>-1.5169999999999999</v>
      </c>
      <c r="CJ74">
        <v>-1.6E-2</v>
      </c>
      <c r="CK74">
        <v>778</v>
      </c>
      <c r="CL74">
        <v>12</v>
      </c>
      <c r="CM74">
        <v>0.01</v>
      </c>
      <c r="CN74">
        <v>0.03</v>
      </c>
      <c r="CO74">
        <v>-267.77860975609758</v>
      </c>
      <c r="CP74">
        <v>-22.453567944250899</v>
      </c>
      <c r="CQ74">
        <v>2.2141993969967819</v>
      </c>
      <c r="CR74">
        <v>-1</v>
      </c>
      <c r="CS74">
        <v>13.0666487804878</v>
      </c>
      <c r="CT74">
        <v>0.8395358885017391</v>
      </c>
      <c r="CU74">
        <v>8.2788717629913064E-2</v>
      </c>
      <c r="CV74">
        <v>-1</v>
      </c>
      <c r="CW74">
        <v>0</v>
      </c>
      <c r="CX74">
        <v>0</v>
      </c>
      <c r="CY74" t="s">
        <v>333</v>
      </c>
      <c r="CZ74">
        <v>2.3651800000000001</v>
      </c>
      <c r="DA74">
        <v>2.7137799999999999</v>
      </c>
      <c r="DB74">
        <v>0.110305</v>
      </c>
      <c r="DC74">
        <v>0.14633199999999999</v>
      </c>
      <c r="DD74">
        <v>0.11477900000000001</v>
      </c>
      <c r="DE74">
        <v>6.3701900000000006E-2</v>
      </c>
      <c r="DF74">
        <v>32453.599999999999</v>
      </c>
      <c r="DG74">
        <v>27427.9</v>
      </c>
      <c r="DH74">
        <v>31137.7</v>
      </c>
      <c r="DI74">
        <v>27993.5</v>
      </c>
      <c r="DJ74">
        <v>37406.300000000003</v>
      </c>
      <c r="DK74">
        <v>37235.5</v>
      </c>
      <c r="DL74">
        <v>44300.7</v>
      </c>
      <c r="DM74">
        <v>42387.4</v>
      </c>
      <c r="DN74">
        <v>1.4398500000000001</v>
      </c>
      <c r="DO74">
        <v>2.08127</v>
      </c>
      <c r="DP74">
        <v>0.15378</v>
      </c>
      <c r="DQ74">
        <v>0.189692</v>
      </c>
      <c r="DR74">
        <v>24.462599999999998</v>
      </c>
      <c r="DS74">
        <v>24.3491</v>
      </c>
      <c r="DT74">
        <v>37.9</v>
      </c>
      <c r="DU74">
        <v>24.8</v>
      </c>
      <c r="DV74">
        <v>12.030799999999999</v>
      </c>
      <c r="DW74">
        <v>62.039900000000003</v>
      </c>
      <c r="DX74">
        <v>36.554499999999997</v>
      </c>
      <c r="DY74">
        <v>1</v>
      </c>
      <c r="DZ74">
        <v>-0.157137</v>
      </c>
      <c r="EA74">
        <v>-0.124916</v>
      </c>
      <c r="EB74">
        <v>20.192699999999999</v>
      </c>
      <c r="EC74">
        <v>5.24125</v>
      </c>
      <c r="ED74">
        <v>12.039899999999999</v>
      </c>
      <c r="EE74">
        <v>5.0178000000000003</v>
      </c>
      <c r="EF74">
        <v>3.2879999999999998</v>
      </c>
      <c r="EG74">
        <v>9999</v>
      </c>
      <c r="EH74">
        <v>9999</v>
      </c>
      <c r="EI74">
        <v>9999</v>
      </c>
      <c r="EJ74">
        <v>999.9</v>
      </c>
      <c r="EK74">
        <v>1.8687400000000001</v>
      </c>
      <c r="EL74">
        <v>1.8644700000000001</v>
      </c>
      <c r="EM74">
        <v>1.8690500000000001</v>
      </c>
      <c r="EN74">
        <v>1.86707</v>
      </c>
      <c r="EO74">
        <v>1.8632599999999999</v>
      </c>
      <c r="EP74">
        <v>1.86433</v>
      </c>
      <c r="EQ74">
        <v>1.87008</v>
      </c>
      <c r="ER74">
        <v>1.8693200000000001</v>
      </c>
      <c r="ES74">
        <v>0</v>
      </c>
      <c r="ET74">
        <v>0</v>
      </c>
      <c r="EU74">
        <v>0</v>
      </c>
      <c r="EV74">
        <v>0</v>
      </c>
      <c r="EW74" t="s">
        <v>334</v>
      </c>
      <c r="EX74" t="s">
        <v>335</v>
      </c>
      <c r="EY74" t="s">
        <v>336</v>
      </c>
      <c r="EZ74" t="s">
        <v>336</v>
      </c>
      <c r="FA74" t="s">
        <v>336</v>
      </c>
      <c r="FB74" t="s">
        <v>336</v>
      </c>
      <c r="FC74">
        <v>0</v>
      </c>
      <c r="FD74">
        <v>100</v>
      </c>
      <c r="FE74">
        <v>100</v>
      </c>
      <c r="FF74">
        <v>-1.34</v>
      </c>
      <c r="FG74">
        <v>0.1782</v>
      </c>
      <c r="FH74">
        <v>-0.98020551812546231</v>
      </c>
      <c r="FI74">
        <v>-6.1462078757559423E-4</v>
      </c>
      <c r="FJ74">
        <v>-1.8861989874597051E-7</v>
      </c>
      <c r="FK74">
        <v>1.1980462299894961E-10</v>
      </c>
      <c r="FL74">
        <v>0.1782306200647516</v>
      </c>
      <c r="FM74">
        <v>0</v>
      </c>
      <c r="FN74">
        <v>0</v>
      </c>
      <c r="FO74">
        <v>0</v>
      </c>
      <c r="FP74">
        <v>3</v>
      </c>
      <c r="FQ74">
        <v>2158</v>
      </c>
      <c r="FR74">
        <v>1</v>
      </c>
      <c r="FS74">
        <v>19</v>
      </c>
      <c r="FT74">
        <v>11.6</v>
      </c>
      <c r="FU74">
        <v>11.9</v>
      </c>
      <c r="FV74">
        <v>1.7736799999999999</v>
      </c>
      <c r="FW74">
        <v>2.5488300000000002</v>
      </c>
      <c r="FX74">
        <v>1.5490699999999999</v>
      </c>
      <c r="FY74">
        <v>2.34497</v>
      </c>
      <c r="FZ74">
        <v>1.50146</v>
      </c>
      <c r="GA74">
        <v>2.32056</v>
      </c>
      <c r="GB74">
        <v>30.3294</v>
      </c>
      <c r="GC74">
        <v>23.982399999999998</v>
      </c>
      <c r="GD74">
        <v>19</v>
      </c>
      <c r="GE74">
        <v>264.32900000000001</v>
      </c>
      <c r="GF74">
        <v>610.92600000000004</v>
      </c>
      <c r="GG74">
        <v>24.308700000000002</v>
      </c>
      <c r="GH74">
        <v>25.4345</v>
      </c>
      <c r="GI74">
        <v>30.0002</v>
      </c>
      <c r="GJ74">
        <v>25.534800000000001</v>
      </c>
      <c r="GK74">
        <v>25.487100000000002</v>
      </c>
      <c r="GL74">
        <v>35.460700000000003</v>
      </c>
      <c r="GM74">
        <v>-30</v>
      </c>
      <c r="GN74">
        <v>-30</v>
      </c>
      <c r="GO74">
        <v>24.308</v>
      </c>
      <c r="GP74">
        <v>800</v>
      </c>
      <c r="GQ74">
        <v>0</v>
      </c>
      <c r="GR74">
        <v>99.6126</v>
      </c>
      <c r="GS74">
        <v>99.197000000000003</v>
      </c>
    </row>
    <row r="75" spans="1:201" x14ac:dyDescent="0.25">
      <c r="A75">
        <v>59</v>
      </c>
      <c r="B75">
        <v>1690201475.5</v>
      </c>
      <c r="C75">
        <v>628.5</v>
      </c>
      <c r="D75" t="s">
        <v>451</v>
      </c>
      <c r="E75" t="s">
        <v>452</v>
      </c>
      <c r="F75" t="s">
        <v>330</v>
      </c>
      <c r="H75">
        <v>1690201475.5</v>
      </c>
      <c r="I75">
        <f t="shared" si="0"/>
        <v>1.2339577866038445E-3</v>
      </c>
      <c r="J75">
        <f t="shared" si="1"/>
        <v>1.2339577866038445</v>
      </c>
      <c r="K75">
        <f t="shared" si="2"/>
        <v>24.211542567567964</v>
      </c>
      <c r="L75">
        <f t="shared" si="3"/>
        <v>524.21400000000006</v>
      </c>
      <c r="M75">
        <f t="shared" si="4"/>
        <v>112.80409398905027</v>
      </c>
      <c r="N75">
        <f t="shared" si="5"/>
        <v>11.176853954656409</v>
      </c>
      <c r="O75">
        <f t="shared" si="6"/>
        <v>51.940165571960407</v>
      </c>
      <c r="P75">
        <f t="shared" si="7"/>
        <v>9.7824451170226936E-2</v>
      </c>
      <c r="Q75">
        <f t="shared" si="8"/>
        <v>2.0813146234910569</v>
      </c>
      <c r="R75">
        <f t="shared" si="9"/>
        <v>9.5340042947436296E-2</v>
      </c>
      <c r="S75">
        <f t="shared" si="10"/>
        <v>5.980548578612925E-2</v>
      </c>
      <c r="T75">
        <f t="shared" si="11"/>
        <v>276.11298418445466</v>
      </c>
      <c r="U75">
        <f t="shared" si="12"/>
        <v>27.356943848980194</v>
      </c>
      <c r="V75">
        <f t="shared" si="13"/>
        <v>27.356943848980194</v>
      </c>
      <c r="W75">
        <f t="shared" si="14"/>
        <v>3.6548840103769833</v>
      </c>
      <c r="X75">
        <f t="shared" si="15"/>
        <v>73.344475667318179</v>
      </c>
      <c r="Y75">
        <f t="shared" si="16"/>
        <v>2.4117546845126001</v>
      </c>
      <c r="Z75">
        <f t="shared" si="17"/>
        <v>3.2882567672199778</v>
      </c>
      <c r="AA75">
        <f t="shared" si="18"/>
        <v>1.2431293258643832</v>
      </c>
      <c r="AB75">
        <f t="shared" si="19"/>
        <v>-54.417538389229541</v>
      </c>
      <c r="AC75">
        <f t="shared" si="20"/>
        <v>-201.13746261119735</v>
      </c>
      <c r="AD75">
        <f t="shared" si="21"/>
        <v>-20.743866735193166</v>
      </c>
      <c r="AE75">
        <f t="shared" si="22"/>
        <v>-0.18588355116540356</v>
      </c>
      <c r="AF75">
        <v>15</v>
      </c>
      <c r="AG75">
        <v>5</v>
      </c>
      <c r="AH75">
        <f t="shared" si="23"/>
        <v>1</v>
      </c>
      <c r="AI75">
        <f t="shared" si="24"/>
        <v>0</v>
      </c>
      <c r="AJ75">
        <f t="shared" si="25"/>
        <v>52647.082994739525</v>
      </c>
      <c r="AK75">
        <f t="shared" si="26"/>
        <v>1799.99</v>
      </c>
      <c r="AL75">
        <f t="shared" si="27"/>
        <v>1499.1027590050699</v>
      </c>
      <c r="AM75">
        <f t="shared" si="28"/>
        <v>0.83283949299999993</v>
      </c>
      <c r="AN75">
        <f t="shared" si="29"/>
        <v>0.15339695452999996</v>
      </c>
      <c r="AO75">
        <v>33.299999999999997</v>
      </c>
      <c r="AP75">
        <v>0.5</v>
      </c>
      <c r="AQ75" t="s">
        <v>331</v>
      </c>
      <c r="AR75">
        <v>2</v>
      </c>
      <c r="AS75">
        <v>1690201475.5</v>
      </c>
      <c r="AT75">
        <v>524.21400000000006</v>
      </c>
      <c r="AU75">
        <v>799.99699999999996</v>
      </c>
      <c r="AV75">
        <v>24.341000000000001</v>
      </c>
      <c r="AW75">
        <v>10.984500000000001</v>
      </c>
      <c r="AX75">
        <v>525.55200000000002</v>
      </c>
      <c r="AY75">
        <v>24.162800000000001</v>
      </c>
      <c r="AZ75">
        <v>300.15800000000002</v>
      </c>
      <c r="BA75">
        <v>98.982100000000003</v>
      </c>
      <c r="BB75">
        <v>9.9888599999999994E-2</v>
      </c>
      <c r="BC75">
        <v>25.564399999999999</v>
      </c>
      <c r="BD75">
        <v>26.994</v>
      </c>
      <c r="BE75">
        <v>27.463200000000001</v>
      </c>
      <c r="BF75">
        <v>0</v>
      </c>
      <c r="BG75">
        <v>0</v>
      </c>
      <c r="BH75">
        <v>10011.200000000001</v>
      </c>
      <c r="BI75">
        <v>1072.8699999999999</v>
      </c>
      <c r="BJ75">
        <v>1.4577199999999999</v>
      </c>
      <c r="BK75">
        <v>-275.78399999999999</v>
      </c>
      <c r="BL75">
        <v>537.29200000000003</v>
      </c>
      <c r="BM75">
        <v>808.88199999999995</v>
      </c>
      <c r="BN75">
        <v>13.3565</v>
      </c>
      <c r="BO75">
        <v>799.99699999999996</v>
      </c>
      <c r="BP75">
        <v>10.984500000000001</v>
      </c>
      <c r="BQ75">
        <v>2.4093300000000002</v>
      </c>
      <c r="BR75">
        <v>1.08727</v>
      </c>
      <c r="BS75">
        <v>20.426600000000001</v>
      </c>
      <c r="BT75">
        <v>8.1414799999999996</v>
      </c>
      <c r="BU75">
        <v>1799.99</v>
      </c>
      <c r="BV75">
        <v>0.91000499999999995</v>
      </c>
      <c r="BW75">
        <v>3.4008400000000001E-2</v>
      </c>
      <c r="BX75">
        <v>2.1992399999999999E-2</v>
      </c>
      <c r="BY75">
        <v>3.3994700000000003E-2</v>
      </c>
      <c r="BZ75">
        <v>24</v>
      </c>
      <c r="CA75">
        <v>33528.199999999997</v>
      </c>
      <c r="CB75">
        <v>1690200769.5</v>
      </c>
      <c r="CC75" t="s">
        <v>332</v>
      </c>
      <c r="CD75">
        <v>1690200769.5</v>
      </c>
      <c r="CE75">
        <v>1690200753</v>
      </c>
      <c r="CF75">
        <v>2</v>
      </c>
      <c r="CG75">
        <v>-0.245</v>
      </c>
      <c r="CH75">
        <v>3.0000000000000001E-3</v>
      </c>
      <c r="CI75">
        <v>-1.5169999999999999</v>
      </c>
      <c r="CJ75">
        <v>-1.6E-2</v>
      </c>
      <c r="CK75">
        <v>778</v>
      </c>
      <c r="CL75">
        <v>12</v>
      </c>
      <c r="CM75">
        <v>0.01</v>
      </c>
      <c r="CN75">
        <v>0.03</v>
      </c>
      <c r="CO75">
        <v>-271.84609999999998</v>
      </c>
      <c r="CP75">
        <v>-22.92540337710993</v>
      </c>
      <c r="CQ75">
        <v>2.2055759429228461</v>
      </c>
      <c r="CR75">
        <v>-1</v>
      </c>
      <c r="CS75">
        <v>13.21543</v>
      </c>
      <c r="CT75">
        <v>0.81902814258909762</v>
      </c>
      <c r="CU75">
        <v>7.8789286073678758E-2</v>
      </c>
      <c r="CV75">
        <v>-1</v>
      </c>
      <c r="CW75">
        <v>0</v>
      </c>
      <c r="CX75">
        <v>0</v>
      </c>
      <c r="CY75" t="s">
        <v>333</v>
      </c>
      <c r="CZ75">
        <v>2.3653300000000002</v>
      </c>
      <c r="DA75">
        <v>2.7136900000000002</v>
      </c>
      <c r="DB75">
        <v>0.109726</v>
      </c>
      <c r="DC75">
        <v>0.14632500000000001</v>
      </c>
      <c r="DD75">
        <v>0.11518399999999999</v>
      </c>
      <c r="DE75">
        <v>6.3632499999999995E-2</v>
      </c>
      <c r="DF75">
        <v>32474.799999999999</v>
      </c>
      <c r="DG75">
        <v>27428.6</v>
      </c>
      <c r="DH75">
        <v>31137.8</v>
      </c>
      <c r="DI75">
        <v>27993.9</v>
      </c>
      <c r="DJ75">
        <v>37388.6</v>
      </c>
      <c r="DK75">
        <v>37239</v>
      </c>
      <c r="DL75">
        <v>44300.4</v>
      </c>
      <c r="DM75">
        <v>42388.2</v>
      </c>
      <c r="DN75">
        <v>1.4399200000000001</v>
      </c>
      <c r="DO75">
        <v>2.0815299999999999</v>
      </c>
      <c r="DP75">
        <v>0.15415300000000001</v>
      </c>
      <c r="DQ75">
        <v>0.18987799999999999</v>
      </c>
      <c r="DR75">
        <v>24.4678</v>
      </c>
      <c r="DS75">
        <v>24.3523</v>
      </c>
      <c r="DT75">
        <v>37.9</v>
      </c>
      <c r="DU75">
        <v>24.8</v>
      </c>
      <c r="DV75">
        <v>12.0306</v>
      </c>
      <c r="DW75">
        <v>61.669899999999998</v>
      </c>
      <c r="DX75">
        <v>35.741199999999999</v>
      </c>
      <c r="DY75">
        <v>1</v>
      </c>
      <c r="DZ75">
        <v>-0.157553</v>
      </c>
      <c r="EA75">
        <v>-0.15634000000000001</v>
      </c>
      <c r="EB75">
        <v>20.192699999999999</v>
      </c>
      <c r="EC75">
        <v>5.2411000000000003</v>
      </c>
      <c r="ED75">
        <v>12.039899999999999</v>
      </c>
      <c r="EE75">
        <v>5.0170000000000003</v>
      </c>
      <c r="EF75">
        <v>3.2879999999999998</v>
      </c>
      <c r="EG75">
        <v>9999</v>
      </c>
      <c r="EH75">
        <v>9999</v>
      </c>
      <c r="EI75">
        <v>9999</v>
      </c>
      <c r="EJ75">
        <v>999.9</v>
      </c>
      <c r="EK75">
        <v>1.8687400000000001</v>
      </c>
      <c r="EL75">
        <v>1.8644700000000001</v>
      </c>
      <c r="EM75">
        <v>1.8690500000000001</v>
      </c>
      <c r="EN75">
        <v>1.86707</v>
      </c>
      <c r="EO75">
        <v>1.8632500000000001</v>
      </c>
      <c r="EP75">
        <v>1.86433</v>
      </c>
      <c r="EQ75">
        <v>1.87008</v>
      </c>
      <c r="ER75">
        <v>1.8692899999999999</v>
      </c>
      <c r="ES75">
        <v>0</v>
      </c>
      <c r="ET75">
        <v>0</v>
      </c>
      <c r="EU75">
        <v>0</v>
      </c>
      <c r="EV75">
        <v>0</v>
      </c>
      <c r="EW75" t="s">
        <v>334</v>
      </c>
      <c r="EX75" t="s">
        <v>335</v>
      </c>
      <c r="EY75" t="s">
        <v>336</v>
      </c>
      <c r="EZ75" t="s">
        <v>336</v>
      </c>
      <c r="FA75" t="s">
        <v>336</v>
      </c>
      <c r="FB75" t="s">
        <v>336</v>
      </c>
      <c r="FC75">
        <v>0</v>
      </c>
      <c r="FD75">
        <v>100</v>
      </c>
      <c r="FE75">
        <v>100</v>
      </c>
      <c r="FF75">
        <v>-1.3380000000000001</v>
      </c>
      <c r="FG75">
        <v>0.1782</v>
      </c>
      <c r="FH75">
        <v>-0.98020551812546231</v>
      </c>
      <c r="FI75">
        <v>-6.1462078757559423E-4</v>
      </c>
      <c r="FJ75">
        <v>-1.8861989874597051E-7</v>
      </c>
      <c r="FK75">
        <v>1.1980462299894961E-10</v>
      </c>
      <c r="FL75">
        <v>0.1782306200647516</v>
      </c>
      <c r="FM75">
        <v>0</v>
      </c>
      <c r="FN75">
        <v>0</v>
      </c>
      <c r="FO75">
        <v>0</v>
      </c>
      <c r="FP75">
        <v>3</v>
      </c>
      <c r="FQ75">
        <v>2158</v>
      </c>
      <c r="FR75">
        <v>1</v>
      </c>
      <c r="FS75">
        <v>19</v>
      </c>
      <c r="FT75">
        <v>11.8</v>
      </c>
      <c r="FU75">
        <v>12</v>
      </c>
      <c r="FV75">
        <v>1.7736799999999999</v>
      </c>
      <c r="FW75">
        <v>2.5390600000000001</v>
      </c>
      <c r="FX75">
        <v>1.5490699999999999</v>
      </c>
      <c r="FY75">
        <v>2.34497</v>
      </c>
      <c r="FZ75">
        <v>1.50024</v>
      </c>
      <c r="GA75">
        <v>2.3828100000000001</v>
      </c>
      <c r="GB75">
        <v>30.350899999999999</v>
      </c>
      <c r="GC75">
        <v>23.982399999999998</v>
      </c>
      <c r="GD75">
        <v>19</v>
      </c>
      <c r="GE75">
        <v>264.36900000000003</v>
      </c>
      <c r="GF75">
        <v>611.16499999999996</v>
      </c>
      <c r="GG75">
        <v>24.3126</v>
      </c>
      <c r="GH75">
        <v>25.432400000000001</v>
      </c>
      <c r="GI75">
        <v>30.0002</v>
      </c>
      <c r="GJ75">
        <v>25.536899999999999</v>
      </c>
      <c r="GK75">
        <v>25.4893</v>
      </c>
      <c r="GL75">
        <v>35.460799999999999</v>
      </c>
      <c r="GM75">
        <v>-30</v>
      </c>
      <c r="GN75">
        <v>-30</v>
      </c>
      <c r="GO75">
        <v>24.321999999999999</v>
      </c>
      <c r="GP75">
        <v>800</v>
      </c>
      <c r="GQ75">
        <v>0</v>
      </c>
      <c r="GR75">
        <v>99.612300000000005</v>
      </c>
      <c r="GS75">
        <v>99.198700000000002</v>
      </c>
    </row>
    <row r="76" spans="1:201" x14ac:dyDescent="0.25">
      <c r="A76">
        <v>60</v>
      </c>
      <c r="B76">
        <v>1690201485.5</v>
      </c>
      <c r="C76">
        <v>638.5</v>
      </c>
      <c r="D76" t="s">
        <v>453</v>
      </c>
      <c r="E76" t="s">
        <v>454</v>
      </c>
      <c r="F76" t="s">
        <v>330</v>
      </c>
      <c r="H76">
        <v>1690201485.5</v>
      </c>
      <c r="I76">
        <f t="shared" si="0"/>
        <v>1.2467332662791613E-3</v>
      </c>
      <c r="J76">
        <f t="shared" si="1"/>
        <v>1.2467332662791613</v>
      </c>
      <c r="K76">
        <f t="shared" si="2"/>
        <v>24.553216595769737</v>
      </c>
      <c r="L76">
        <f t="shared" si="3"/>
        <v>520.404</v>
      </c>
      <c r="M76">
        <f t="shared" si="4"/>
        <v>111.21264404593873</v>
      </c>
      <c r="N76">
        <f t="shared" si="5"/>
        <v>11.019451898073275</v>
      </c>
      <c r="O76">
        <f t="shared" si="6"/>
        <v>51.563982627695999</v>
      </c>
      <c r="P76">
        <f t="shared" si="7"/>
        <v>9.9769305683296727E-2</v>
      </c>
      <c r="Q76">
        <f t="shared" si="8"/>
        <v>2.0788366464404335</v>
      </c>
      <c r="R76">
        <f t="shared" si="9"/>
        <v>9.7183541919502028E-2</v>
      </c>
      <c r="S76">
        <f t="shared" si="10"/>
        <v>6.0966452427710371E-2</v>
      </c>
      <c r="T76">
        <f t="shared" si="11"/>
        <v>276.11479261799997</v>
      </c>
      <c r="U76">
        <f t="shared" si="12"/>
        <v>27.360725813329537</v>
      </c>
      <c r="V76">
        <f t="shared" si="13"/>
        <v>27.360725813329537</v>
      </c>
      <c r="W76">
        <f t="shared" si="14"/>
        <v>3.6556937681074917</v>
      </c>
      <c r="X76">
        <f t="shared" si="15"/>
        <v>73.675730398980306</v>
      </c>
      <c r="Y76">
        <f t="shared" si="16"/>
        <v>2.4235678232304001</v>
      </c>
      <c r="Z76">
        <f t="shared" si="17"/>
        <v>3.2895063409699747</v>
      </c>
      <c r="AA76">
        <f t="shared" si="18"/>
        <v>1.2321259448770916</v>
      </c>
      <c r="AB76">
        <f t="shared" si="19"/>
        <v>-54.980937042911016</v>
      </c>
      <c r="AC76">
        <f t="shared" si="20"/>
        <v>-200.60457748157978</v>
      </c>
      <c r="AD76">
        <f t="shared" si="21"/>
        <v>-20.714625917767364</v>
      </c>
      <c r="AE76">
        <f t="shared" si="22"/>
        <v>-0.1853478242582014</v>
      </c>
      <c r="AF76">
        <v>15</v>
      </c>
      <c r="AG76">
        <v>5</v>
      </c>
      <c r="AH76">
        <f t="shared" si="23"/>
        <v>1</v>
      </c>
      <c r="AI76">
        <f t="shared" si="24"/>
        <v>0</v>
      </c>
      <c r="AJ76">
        <f t="shared" si="25"/>
        <v>52533.990354123402</v>
      </c>
      <c r="AK76">
        <f t="shared" si="26"/>
        <v>1800</v>
      </c>
      <c r="AL76">
        <f t="shared" si="27"/>
        <v>1499.1115697999999</v>
      </c>
      <c r="AM76">
        <f t="shared" si="28"/>
        <v>0.8328397609999999</v>
      </c>
      <c r="AN76">
        <f t="shared" si="29"/>
        <v>0.15339710700999998</v>
      </c>
      <c r="AO76">
        <v>33.299999999999997</v>
      </c>
      <c r="AP76">
        <v>0.5</v>
      </c>
      <c r="AQ76" t="s">
        <v>331</v>
      </c>
      <c r="AR76">
        <v>2</v>
      </c>
      <c r="AS76">
        <v>1690201485.5</v>
      </c>
      <c r="AT76">
        <v>520.404</v>
      </c>
      <c r="AU76">
        <v>799.96100000000001</v>
      </c>
      <c r="AV76">
        <v>24.459599999999998</v>
      </c>
      <c r="AW76">
        <v>10.968299999999999</v>
      </c>
      <c r="AX76">
        <v>521.73900000000003</v>
      </c>
      <c r="AY76">
        <v>24.281400000000001</v>
      </c>
      <c r="AZ76">
        <v>300.19900000000001</v>
      </c>
      <c r="BA76">
        <v>98.984499999999997</v>
      </c>
      <c r="BB76">
        <v>0.100024</v>
      </c>
      <c r="BC76">
        <v>25.570799999999998</v>
      </c>
      <c r="BD76">
        <v>26.9876</v>
      </c>
      <c r="BE76">
        <v>27.468800000000002</v>
      </c>
      <c r="BF76">
        <v>0</v>
      </c>
      <c r="BG76">
        <v>0</v>
      </c>
      <c r="BH76">
        <v>9988.75</v>
      </c>
      <c r="BI76">
        <v>1072.9000000000001</v>
      </c>
      <c r="BJ76">
        <v>1.4577199999999999</v>
      </c>
      <c r="BK76">
        <v>-279.55700000000002</v>
      </c>
      <c r="BL76">
        <v>533.452</v>
      </c>
      <c r="BM76">
        <v>808.83299999999997</v>
      </c>
      <c r="BN76">
        <v>13.491300000000001</v>
      </c>
      <c r="BO76">
        <v>799.96100000000001</v>
      </c>
      <c r="BP76">
        <v>10.968299999999999</v>
      </c>
      <c r="BQ76">
        <v>2.4211200000000002</v>
      </c>
      <c r="BR76">
        <v>1.08569</v>
      </c>
      <c r="BS76">
        <v>20.505700000000001</v>
      </c>
      <c r="BT76">
        <v>8.1200799999999997</v>
      </c>
      <c r="BU76">
        <v>1800</v>
      </c>
      <c r="BV76">
        <v>0.91000700000000001</v>
      </c>
      <c r="BW76">
        <v>3.4005199999999999E-2</v>
      </c>
      <c r="BX76">
        <v>2.19968E-2</v>
      </c>
      <c r="BY76">
        <v>3.3990699999999999E-2</v>
      </c>
      <c r="BZ76">
        <v>24</v>
      </c>
      <c r="CA76">
        <v>33528.300000000003</v>
      </c>
      <c r="CB76">
        <v>1690200769.5</v>
      </c>
      <c r="CC76" t="s">
        <v>332</v>
      </c>
      <c r="CD76">
        <v>1690200769.5</v>
      </c>
      <c r="CE76">
        <v>1690200753</v>
      </c>
      <c r="CF76">
        <v>2</v>
      </c>
      <c r="CG76">
        <v>-0.245</v>
      </c>
      <c r="CH76">
        <v>3.0000000000000001E-3</v>
      </c>
      <c r="CI76">
        <v>-1.5169999999999999</v>
      </c>
      <c r="CJ76">
        <v>-1.6E-2</v>
      </c>
      <c r="CK76">
        <v>778</v>
      </c>
      <c r="CL76">
        <v>12</v>
      </c>
      <c r="CM76">
        <v>0.01</v>
      </c>
      <c r="CN76">
        <v>0.03</v>
      </c>
      <c r="CO76">
        <v>-275.28735</v>
      </c>
      <c r="CP76">
        <v>-22.70647654784214</v>
      </c>
      <c r="CQ76">
        <v>2.1849916309908379</v>
      </c>
      <c r="CR76">
        <v>-1</v>
      </c>
      <c r="CS76">
        <v>13.338615000000001</v>
      </c>
      <c r="CT76">
        <v>0.82232870544092618</v>
      </c>
      <c r="CU76">
        <v>7.9109539721831351E-2</v>
      </c>
      <c r="CV76">
        <v>-1</v>
      </c>
      <c r="CW76">
        <v>0</v>
      </c>
      <c r="CX76">
        <v>0</v>
      </c>
      <c r="CY76" t="s">
        <v>333</v>
      </c>
      <c r="CZ76">
        <v>2.3654799999999998</v>
      </c>
      <c r="DA76">
        <v>2.7138100000000001</v>
      </c>
      <c r="DB76">
        <v>0.109154</v>
      </c>
      <c r="DC76">
        <v>0.14632400000000001</v>
      </c>
      <c r="DD76">
        <v>0.115582</v>
      </c>
      <c r="DE76">
        <v>6.35627E-2</v>
      </c>
      <c r="DF76">
        <v>32495.8</v>
      </c>
      <c r="DG76">
        <v>27429</v>
      </c>
      <c r="DH76">
        <v>31137.9</v>
      </c>
      <c r="DI76">
        <v>27994.3</v>
      </c>
      <c r="DJ76">
        <v>37371.9</v>
      </c>
      <c r="DK76">
        <v>37242.400000000001</v>
      </c>
      <c r="DL76">
        <v>44300.800000000003</v>
      </c>
      <c r="DM76">
        <v>42388.9</v>
      </c>
      <c r="DN76">
        <v>1.43973</v>
      </c>
      <c r="DO76">
        <v>2.08135</v>
      </c>
      <c r="DP76">
        <v>0.153445</v>
      </c>
      <c r="DQ76">
        <v>0.19010199999999999</v>
      </c>
      <c r="DR76">
        <v>24.472899999999999</v>
      </c>
      <c r="DS76">
        <v>24.354299999999999</v>
      </c>
      <c r="DT76">
        <v>37.799999999999997</v>
      </c>
      <c r="DU76">
        <v>24.8</v>
      </c>
      <c r="DV76">
        <v>11.9985</v>
      </c>
      <c r="DW76">
        <v>62.259900000000002</v>
      </c>
      <c r="DX76">
        <v>35.600999999999999</v>
      </c>
      <c r="DY76">
        <v>1</v>
      </c>
      <c r="DZ76">
        <v>-0.15735299999999999</v>
      </c>
      <c r="EA76">
        <v>-0.168543</v>
      </c>
      <c r="EB76">
        <v>20.192699999999999</v>
      </c>
      <c r="EC76">
        <v>5.2416999999999998</v>
      </c>
      <c r="ED76">
        <v>12.039899999999999</v>
      </c>
      <c r="EE76">
        <v>5.0174000000000003</v>
      </c>
      <c r="EF76">
        <v>3.2879999999999998</v>
      </c>
      <c r="EG76">
        <v>9999</v>
      </c>
      <c r="EH76">
        <v>9999</v>
      </c>
      <c r="EI76">
        <v>9999</v>
      </c>
      <c r="EJ76">
        <v>999.9</v>
      </c>
      <c r="EK76">
        <v>1.8687499999999999</v>
      </c>
      <c r="EL76">
        <v>1.8644700000000001</v>
      </c>
      <c r="EM76">
        <v>1.8690500000000001</v>
      </c>
      <c r="EN76">
        <v>1.86707</v>
      </c>
      <c r="EO76">
        <v>1.8632500000000001</v>
      </c>
      <c r="EP76">
        <v>1.86433</v>
      </c>
      <c r="EQ76">
        <v>1.87005</v>
      </c>
      <c r="ER76">
        <v>1.86931</v>
      </c>
      <c r="ES76">
        <v>0</v>
      </c>
      <c r="ET76">
        <v>0</v>
      </c>
      <c r="EU76">
        <v>0</v>
      </c>
      <c r="EV76">
        <v>0</v>
      </c>
      <c r="EW76" t="s">
        <v>334</v>
      </c>
      <c r="EX76" t="s">
        <v>335</v>
      </c>
      <c r="EY76" t="s">
        <v>336</v>
      </c>
      <c r="EZ76" t="s">
        <v>336</v>
      </c>
      <c r="FA76" t="s">
        <v>336</v>
      </c>
      <c r="FB76" t="s">
        <v>336</v>
      </c>
      <c r="FC76">
        <v>0</v>
      </c>
      <c r="FD76">
        <v>100</v>
      </c>
      <c r="FE76">
        <v>100</v>
      </c>
      <c r="FF76">
        <v>-1.335</v>
      </c>
      <c r="FG76">
        <v>0.1782</v>
      </c>
      <c r="FH76">
        <v>-0.98020551812546231</v>
      </c>
      <c r="FI76">
        <v>-6.1462078757559423E-4</v>
      </c>
      <c r="FJ76">
        <v>-1.8861989874597051E-7</v>
      </c>
      <c r="FK76">
        <v>1.1980462299894961E-10</v>
      </c>
      <c r="FL76">
        <v>0.1782306200647516</v>
      </c>
      <c r="FM76">
        <v>0</v>
      </c>
      <c r="FN76">
        <v>0</v>
      </c>
      <c r="FO76">
        <v>0</v>
      </c>
      <c r="FP76">
        <v>3</v>
      </c>
      <c r="FQ76">
        <v>2158</v>
      </c>
      <c r="FR76">
        <v>1</v>
      </c>
      <c r="FS76">
        <v>19</v>
      </c>
      <c r="FT76">
        <v>11.9</v>
      </c>
      <c r="FU76">
        <v>12.2</v>
      </c>
      <c r="FV76">
        <v>1.7736799999999999</v>
      </c>
      <c r="FW76">
        <v>2.5378400000000001</v>
      </c>
      <c r="FX76">
        <v>1.5490699999999999</v>
      </c>
      <c r="FY76">
        <v>2.34497</v>
      </c>
      <c r="FZ76">
        <v>1.50146</v>
      </c>
      <c r="GA76">
        <v>2.3767100000000001</v>
      </c>
      <c r="GB76">
        <v>30.350899999999999</v>
      </c>
      <c r="GC76">
        <v>23.982399999999998</v>
      </c>
      <c r="GD76">
        <v>19</v>
      </c>
      <c r="GE76">
        <v>264.28899999999999</v>
      </c>
      <c r="GF76">
        <v>611.01599999999996</v>
      </c>
      <c r="GG76">
        <v>24.326599999999999</v>
      </c>
      <c r="GH76">
        <v>25.432400000000001</v>
      </c>
      <c r="GI76">
        <v>30.000299999999999</v>
      </c>
      <c r="GJ76">
        <v>25.536899999999999</v>
      </c>
      <c r="GK76">
        <v>25.4893</v>
      </c>
      <c r="GL76">
        <v>35.463299999999997</v>
      </c>
      <c r="GM76">
        <v>-30</v>
      </c>
      <c r="GN76">
        <v>-30</v>
      </c>
      <c r="GO76">
        <v>24.3337</v>
      </c>
      <c r="GP76">
        <v>800</v>
      </c>
      <c r="GQ76">
        <v>0</v>
      </c>
      <c r="GR76">
        <v>99.613</v>
      </c>
      <c r="GS76">
        <v>99.200199999999995</v>
      </c>
    </row>
    <row r="77" spans="1:201" x14ac:dyDescent="0.25">
      <c r="A77">
        <v>61</v>
      </c>
      <c r="B77">
        <v>1690201495.5</v>
      </c>
      <c r="C77">
        <v>648.5</v>
      </c>
      <c r="D77" t="s">
        <v>455</v>
      </c>
      <c r="E77" t="s">
        <v>456</v>
      </c>
      <c r="F77" t="s">
        <v>330</v>
      </c>
      <c r="H77">
        <v>1690201495.5</v>
      </c>
      <c r="I77">
        <f t="shared" si="0"/>
        <v>1.2603861739216877E-3</v>
      </c>
      <c r="J77">
        <f t="shared" si="1"/>
        <v>1.2603861739216877</v>
      </c>
      <c r="K77">
        <f t="shared" si="2"/>
        <v>24.896959140547352</v>
      </c>
      <c r="L77">
        <f t="shared" si="3"/>
        <v>516.55899999999997</v>
      </c>
      <c r="M77">
        <f t="shared" si="4"/>
        <v>110.37302510405553</v>
      </c>
      <c r="N77">
        <f t="shared" si="5"/>
        <v>10.936265553189461</v>
      </c>
      <c r="O77">
        <f t="shared" si="6"/>
        <v>51.183034917853497</v>
      </c>
      <c r="P77">
        <f t="shared" si="7"/>
        <v>0.10194479228103588</v>
      </c>
      <c r="Q77">
        <f t="shared" si="8"/>
        <v>2.0810752653546762</v>
      </c>
      <c r="R77">
        <f t="shared" si="9"/>
        <v>9.9249494956314591E-2</v>
      </c>
      <c r="S77">
        <f t="shared" si="10"/>
        <v>6.2267160689734632E-2</v>
      </c>
      <c r="T77">
        <f t="shared" si="11"/>
        <v>276.11485115208262</v>
      </c>
      <c r="U77">
        <f t="shared" si="12"/>
        <v>27.363794540576777</v>
      </c>
      <c r="V77">
        <f t="shared" si="13"/>
        <v>27.363794540576777</v>
      </c>
      <c r="W77">
        <f t="shared" si="14"/>
        <v>3.656350929452489</v>
      </c>
      <c r="X77">
        <f t="shared" si="15"/>
        <v>74.03375004652284</v>
      </c>
      <c r="Y77">
        <f t="shared" si="16"/>
        <v>2.4367476019599001</v>
      </c>
      <c r="Z77">
        <f t="shared" si="17"/>
        <v>3.2914010170073067</v>
      </c>
      <c r="AA77">
        <f t="shared" si="18"/>
        <v>1.2196033274925888</v>
      </c>
      <c r="AB77">
        <f t="shared" si="19"/>
        <v>-55.583030269946427</v>
      </c>
      <c r="AC77">
        <f t="shared" si="20"/>
        <v>-200.07660562475061</v>
      </c>
      <c r="AD77">
        <f t="shared" si="21"/>
        <v>-20.639201490587283</v>
      </c>
      <c r="AE77">
        <f t="shared" si="22"/>
        <v>-0.18398623320169349</v>
      </c>
      <c r="AF77">
        <v>14</v>
      </c>
      <c r="AG77">
        <v>5</v>
      </c>
      <c r="AH77">
        <f t="shared" si="23"/>
        <v>1</v>
      </c>
      <c r="AI77">
        <f t="shared" si="24"/>
        <v>0</v>
      </c>
      <c r="AJ77">
        <f t="shared" si="25"/>
        <v>52633.471830819632</v>
      </c>
      <c r="AK77">
        <f t="shared" si="26"/>
        <v>1799.99</v>
      </c>
      <c r="AL77">
        <f t="shared" si="27"/>
        <v>1499.1057037887099</v>
      </c>
      <c r="AM77">
        <f t="shared" si="28"/>
        <v>0.83284112899999996</v>
      </c>
      <c r="AN77">
        <f t="shared" si="29"/>
        <v>0.15339799174000002</v>
      </c>
      <c r="AO77">
        <v>33.299999999999997</v>
      </c>
      <c r="AP77">
        <v>0.5</v>
      </c>
      <c r="AQ77" t="s">
        <v>331</v>
      </c>
      <c r="AR77">
        <v>2</v>
      </c>
      <c r="AS77">
        <v>1690201495.5</v>
      </c>
      <c r="AT77">
        <v>516.55899999999997</v>
      </c>
      <c r="AU77">
        <v>800.02300000000002</v>
      </c>
      <c r="AV77">
        <v>24.592600000000001</v>
      </c>
      <c r="AW77">
        <v>10.9521</v>
      </c>
      <c r="AX77">
        <v>517.89200000000005</v>
      </c>
      <c r="AY77">
        <v>24.414300000000001</v>
      </c>
      <c r="AZ77">
        <v>300.12599999999998</v>
      </c>
      <c r="BA77">
        <v>98.9846</v>
      </c>
      <c r="BB77">
        <v>9.9986500000000006E-2</v>
      </c>
      <c r="BC77">
        <v>25.580500000000001</v>
      </c>
      <c r="BD77">
        <v>27.020900000000001</v>
      </c>
      <c r="BE77">
        <v>27.4862</v>
      </c>
      <c r="BF77">
        <v>0</v>
      </c>
      <c r="BG77">
        <v>0</v>
      </c>
      <c r="BH77">
        <v>10008.799999999999</v>
      </c>
      <c r="BI77">
        <v>1072.93</v>
      </c>
      <c r="BJ77">
        <v>1.4577199999999999</v>
      </c>
      <c r="BK77">
        <v>-283.464</v>
      </c>
      <c r="BL77">
        <v>529.58299999999997</v>
      </c>
      <c r="BM77">
        <v>808.88199999999995</v>
      </c>
      <c r="BN77">
        <v>13.640499999999999</v>
      </c>
      <c r="BO77">
        <v>800.02300000000002</v>
      </c>
      <c r="BP77">
        <v>10.9521</v>
      </c>
      <c r="BQ77">
        <v>2.4342899999999998</v>
      </c>
      <c r="BR77">
        <v>1.08409</v>
      </c>
      <c r="BS77">
        <v>20.593699999999998</v>
      </c>
      <c r="BT77">
        <v>8.0983199999999993</v>
      </c>
      <c r="BU77">
        <v>1799.99</v>
      </c>
      <c r="BV77">
        <v>0.91000199999999998</v>
      </c>
      <c r="BW77">
        <v>3.4001900000000002E-2</v>
      </c>
      <c r="BX77">
        <v>2.2008699999999999E-2</v>
      </c>
      <c r="BY77">
        <v>3.3987400000000001E-2</v>
      </c>
      <c r="BZ77">
        <v>24</v>
      </c>
      <c r="CA77">
        <v>33528</v>
      </c>
      <c r="CB77">
        <v>1690200769.5</v>
      </c>
      <c r="CC77" t="s">
        <v>332</v>
      </c>
      <c r="CD77">
        <v>1690200769.5</v>
      </c>
      <c r="CE77">
        <v>1690200753</v>
      </c>
      <c r="CF77">
        <v>2</v>
      </c>
      <c r="CG77">
        <v>-0.245</v>
      </c>
      <c r="CH77">
        <v>3.0000000000000001E-3</v>
      </c>
      <c r="CI77">
        <v>-1.5169999999999999</v>
      </c>
      <c r="CJ77">
        <v>-1.6E-2</v>
      </c>
      <c r="CK77">
        <v>778</v>
      </c>
      <c r="CL77">
        <v>12</v>
      </c>
      <c r="CM77">
        <v>0.01</v>
      </c>
      <c r="CN77">
        <v>0.03</v>
      </c>
      <c r="CO77">
        <v>-279.15370000000001</v>
      </c>
      <c r="CP77">
        <v>-23.409523452156471</v>
      </c>
      <c r="CQ77">
        <v>2.2533839020459898</v>
      </c>
      <c r="CR77">
        <v>-1</v>
      </c>
      <c r="CS77">
        <v>13.47828</v>
      </c>
      <c r="CT77">
        <v>0.85409831144460158</v>
      </c>
      <c r="CU77">
        <v>8.2214035298116814E-2</v>
      </c>
      <c r="CV77">
        <v>-1</v>
      </c>
      <c r="CW77">
        <v>0</v>
      </c>
      <c r="CX77">
        <v>0</v>
      </c>
      <c r="CY77" t="s">
        <v>333</v>
      </c>
      <c r="CZ77">
        <v>2.36524</v>
      </c>
      <c r="DA77">
        <v>2.7137799999999999</v>
      </c>
      <c r="DB77">
        <v>0.108572</v>
      </c>
      <c r="DC77">
        <v>0.14633199999999999</v>
      </c>
      <c r="DD77">
        <v>0.116025</v>
      </c>
      <c r="DE77">
        <v>6.3491300000000001E-2</v>
      </c>
      <c r="DF77">
        <v>32517</v>
      </c>
      <c r="DG77">
        <v>27428.9</v>
      </c>
      <c r="DH77">
        <v>31137.8</v>
      </c>
      <c r="DI77">
        <v>27994.5</v>
      </c>
      <c r="DJ77">
        <v>37352.800000000003</v>
      </c>
      <c r="DK77">
        <v>37245.4</v>
      </c>
      <c r="DL77">
        <v>44300.7</v>
      </c>
      <c r="DM77">
        <v>42389.1</v>
      </c>
      <c r="DN77">
        <v>1.4404999999999999</v>
      </c>
      <c r="DO77">
        <v>2.0810200000000001</v>
      </c>
      <c r="DP77">
        <v>0.15523300000000001</v>
      </c>
      <c r="DQ77">
        <v>0.190884</v>
      </c>
      <c r="DR77">
        <v>24.477</v>
      </c>
      <c r="DS77">
        <v>24.358899999999998</v>
      </c>
      <c r="DT77">
        <v>37.700000000000003</v>
      </c>
      <c r="DU77">
        <v>24.8</v>
      </c>
      <c r="DV77">
        <v>11.9658</v>
      </c>
      <c r="DW77">
        <v>61.859900000000003</v>
      </c>
      <c r="DX77">
        <v>36.446300000000001</v>
      </c>
      <c r="DY77">
        <v>1</v>
      </c>
      <c r="DZ77">
        <v>-0.157884</v>
      </c>
      <c r="EA77">
        <v>-0.161825</v>
      </c>
      <c r="EB77">
        <v>20.192599999999999</v>
      </c>
      <c r="EC77">
        <v>5.2418500000000003</v>
      </c>
      <c r="ED77">
        <v>12.039899999999999</v>
      </c>
      <c r="EE77">
        <v>5.0171999999999999</v>
      </c>
      <c r="EF77">
        <v>3.2879999999999998</v>
      </c>
      <c r="EG77">
        <v>9999</v>
      </c>
      <c r="EH77">
        <v>9999</v>
      </c>
      <c r="EI77">
        <v>9999</v>
      </c>
      <c r="EJ77">
        <v>999.9</v>
      </c>
      <c r="EK77">
        <v>1.8687499999999999</v>
      </c>
      <c r="EL77">
        <v>1.8644700000000001</v>
      </c>
      <c r="EM77">
        <v>1.8690500000000001</v>
      </c>
      <c r="EN77">
        <v>1.8670800000000001</v>
      </c>
      <c r="EO77">
        <v>1.8632599999999999</v>
      </c>
      <c r="EP77">
        <v>1.8643400000000001</v>
      </c>
      <c r="EQ77">
        <v>1.8701000000000001</v>
      </c>
      <c r="ER77">
        <v>1.8692899999999999</v>
      </c>
      <c r="ES77">
        <v>0</v>
      </c>
      <c r="ET77">
        <v>0</v>
      </c>
      <c r="EU77">
        <v>0</v>
      </c>
      <c r="EV77">
        <v>0</v>
      </c>
      <c r="EW77" t="s">
        <v>334</v>
      </c>
      <c r="EX77" t="s">
        <v>335</v>
      </c>
      <c r="EY77" t="s">
        <v>336</v>
      </c>
      <c r="EZ77" t="s">
        <v>336</v>
      </c>
      <c r="FA77" t="s">
        <v>336</v>
      </c>
      <c r="FB77" t="s">
        <v>336</v>
      </c>
      <c r="FC77">
        <v>0</v>
      </c>
      <c r="FD77">
        <v>100</v>
      </c>
      <c r="FE77">
        <v>100</v>
      </c>
      <c r="FF77">
        <v>-1.333</v>
      </c>
      <c r="FG77">
        <v>0.17829999999999999</v>
      </c>
      <c r="FH77">
        <v>-0.98020551812546231</v>
      </c>
      <c r="FI77">
        <v>-6.1462078757559423E-4</v>
      </c>
      <c r="FJ77">
        <v>-1.8861989874597051E-7</v>
      </c>
      <c r="FK77">
        <v>1.1980462299894961E-10</v>
      </c>
      <c r="FL77">
        <v>0.1782306200647516</v>
      </c>
      <c r="FM77">
        <v>0</v>
      </c>
      <c r="FN77">
        <v>0</v>
      </c>
      <c r="FO77">
        <v>0</v>
      </c>
      <c r="FP77">
        <v>3</v>
      </c>
      <c r="FQ77">
        <v>2158</v>
      </c>
      <c r="FR77">
        <v>1</v>
      </c>
      <c r="FS77">
        <v>19</v>
      </c>
      <c r="FT77">
        <v>12.1</v>
      </c>
      <c r="FU77">
        <v>12.4</v>
      </c>
      <c r="FV77">
        <v>1.7736799999999999</v>
      </c>
      <c r="FW77">
        <v>2.5402800000000001</v>
      </c>
      <c r="FX77">
        <v>1.5490699999999999</v>
      </c>
      <c r="FY77">
        <v>2.34497</v>
      </c>
      <c r="FZ77">
        <v>1.50146</v>
      </c>
      <c r="GA77">
        <v>2.3156699999999999</v>
      </c>
      <c r="GB77">
        <v>30.372399999999999</v>
      </c>
      <c r="GC77">
        <v>23.973700000000001</v>
      </c>
      <c r="GD77">
        <v>19</v>
      </c>
      <c r="GE77">
        <v>264.60300000000001</v>
      </c>
      <c r="GF77">
        <v>610.76400000000001</v>
      </c>
      <c r="GG77">
        <v>24.3386</v>
      </c>
      <c r="GH77">
        <v>25.430299999999999</v>
      </c>
      <c r="GI77">
        <v>29.9999</v>
      </c>
      <c r="GJ77">
        <v>25.537400000000002</v>
      </c>
      <c r="GK77">
        <v>25.491399999999999</v>
      </c>
      <c r="GL77">
        <v>35.464500000000001</v>
      </c>
      <c r="GM77">
        <v>-30</v>
      </c>
      <c r="GN77">
        <v>-30</v>
      </c>
      <c r="GO77">
        <v>24.3231</v>
      </c>
      <c r="GP77">
        <v>800</v>
      </c>
      <c r="GQ77">
        <v>0</v>
      </c>
      <c r="GR77">
        <v>99.612700000000004</v>
      </c>
      <c r="GS77">
        <v>99.200800000000001</v>
      </c>
    </row>
    <row r="78" spans="1:201" x14ac:dyDescent="0.25">
      <c r="A78">
        <v>62</v>
      </c>
      <c r="B78">
        <v>1690201505.5</v>
      </c>
      <c r="C78">
        <v>658.5</v>
      </c>
      <c r="D78" t="s">
        <v>457</v>
      </c>
      <c r="E78" t="s">
        <v>458</v>
      </c>
      <c r="F78" t="s">
        <v>330</v>
      </c>
      <c r="H78">
        <v>1690201505.5</v>
      </c>
      <c r="I78">
        <f t="shared" si="0"/>
        <v>1.2742597496205234E-3</v>
      </c>
      <c r="J78">
        <f t="shared" si="1"/>
        <v>1.2742597496205235</v>
      </c>
      <c r="K78">
        <f t="shared" si="2"/>
        <v>25.254358837539503</v>
      </c>
      <c r="L78">
        <f t="shared" si="3"/>
        <v>512.58000000000004</v>
      </c>
      <c r="M78">
        <f t="shared" si="4"/>
        <v>109.51254518028981</v>
      </c>
      <c r="N78">
        <f t="shared" si="5"/>
        <v>10.850741275761427</v>
      </c>
      <c r="O78">
        <f t="shared" si="6"/>
        <v>50.787541774080005</v>
      </c>
      <c r="P78">
        <f t="shared" si="7"/>
        <v>0.10424582055462704</v>
      </c>
      <c r="Q78">
        <f t="shared" si="8"/>
        <v>2.0792976312104194</v>
      </c>
      <c r="R78">
        <f t="shared" si="9"/>
        <v>0.10142694953267951</v>
      </c>
      <c r="S78">
        <f t="shared" si="10"/>
        <v>6.3638758913055968E-2</v>
      </c>
      <c r="T78">
        <f t="shared" si="11"/>
        <v>276.11468249301964</v>
      </c>
      <c r="U78">
        <f t="shared" si="12"/>
        <v>27.361323147258709</v>
      </c>
      <c r="V78">
        <f t="shared" si="13"/>
        <v>27.361323147258709</v>
      </c>
      <c r="W78">
        <f t="shared" si="14"/>
        <v>3.6558216778043007</v>
      </c>
      <c r="X78">
        <f t="shared" si="15"/>
        <v>74.412412828374059</v>
      </c>
      <c r="Y78">
        <f t="shared" si="16"/>
        <v>2.4493708400256002</v>
      </c>
      <c r="Z78">
        <f t="shared" si="17"/>
        <v>3.2916159373502198</v>
      </c>
      <c r="AA78">
        <f t="shared" si="18"/>
        <v>1.2064508377787004</v>
      </c>
      <c r="AB78">
        <f t="shared" si="19"/>
        <v>-56.194854958265083</v>
      </c>
      <c r="AC78">
        <f t="shared" si="20"/>
        <v>-199.50535218955179</v>
      </c>
      <c r="AD78">
        <f t="shared" si="21"/>
        <v>-20.597725267805203</v>
      </c>
      <c r="AE78">
        <f t="shared" si="22"/>
        <v>-0.18324992260244244</v>
      </c>
      <c r="AF78">
        <v>14</v>
      </c>
      <c r="AG78">
        <v>5</v>
      </c>
      <c r="AH78">
        <f t="shared" si="23"/>
        <v>1</v>
      </c>
      <c r="AI78">
        <f t="shared" si="24"/>
        <v>0</v>
      </c>
      <c r="AJ78">
        <f t="shared" si="25"/>
        <v>52552.863756495666</v>
      </c>
      <c r="AK78">
        <f t="shared" si="26"/>
        <v>1799.99</v>
      </c>
      <c r="AL78">
        <f t="shared" si="27"/>
        <v>1499.10369679986</v>
      </c>
      <c r="AM78">
        <f t="shared" si="28"/>
        <v>0.83284001399999996</v>
      </c>
      <c r="AN78">
        <f t="shared" si="29"/>
        <v>0.15339789804000001</v>
      </c>
      <c r="AO78">
        <v>33.299999999999997</v>
      </c>
      <c r="AP78">
        <v>0.5</v>
      </c>
      <c r="AQ78" t="s">
        <v>331</v>
      </c>
      <c r="AR78">
        <v>2</v>
      </c>
      <c r="AS78">
        <v>1690201505.5</v>
      </c>
      <c r="AT78">
        <v>512.58000000000004</v>
      </c>
      <c r="AU78">
        <v>799.95899999999995</v>
      </c>
      <c r="AV78">
        <v>24.720600000000001</v>
      </c>
      <c r="AW78">
        <v>10.9353</v>
      </c>
      <c r="AX78">
        <v>513.91</v>
      </c>
      <c r="AY78">
        <v>24.542300000000001</v>
      </c>
      <c r="AZ78">
        <v>300.20299999999997</v>
      </c>
      <c r="BA78">
        <v>98.982100000000003</v>
      </c>
      <c r="BB78">
        <v>0.100076</v>
      </c>
      <c r="BC78">
        <v>25.581600000000002</v>
      </c>
      <c r="BD78">
        <v>27.0077</v>
      </c>
      <c r="BE78">
        <v>27.4861</v>
      </c>
      <c r="BF78">
        <v>0</v>
      </c>
      <c r="BG78">
        <v>0</v>
      </c>
      <c r="BH78">
        <v>9993.1200000000008</v>
      </c>
      <c r="BI78">
        <v>1072.98</v>
      </c>
      <c r="BJ78">
        <v>1.4773400000000001</v>
      </c>
      <c r="BK78">
        <v>-287.37900000000002</v>
      </c>
      <c r="BL78">
        <v>525.57299999999998</v>
      </c>
      <c r="BM78">
        <v>808.803</v>
      </c>
      <c r="BN78">
        <v>13.7852</v>
      </c>
      <c r="BO78">
        <v>799.95899999999995</v>
      </c>
      <c r="BP78">
        <v>10.9353</v>
      </c>
      <c r="BQ78">
        <v>2.4468899999999998</v>
      </c>
      <c r="BR78">
        <v>1.0824</v>
      </c>
      <c r="BS78">
        <v>20.677499999999998</v>
      </c>
      <c r="BT78">
        <v>8.0754800000000007</v>
      </c>
      <c r="BU78">
        <v>1799.99</v>
      </c>
      <c r="BV78">
        <v>0.90998999999999997</v>
      </c>
      <c r="BW78">
        <v>3.3998100000000003E-2</v>
      </c>
      <c r="BX78">
        <v>2.20062E-2</v>
      </c>
      <c r="BY78">
        <v>3.4005800000000003E-2</v>
      </c>
      <c r="BZ78">
        <v>24</v>
      </c>
      <c r="CA78">
        <v>33528.1</v>
      </c>
      <c r="CB78">
        <v>1690200769.5</v>
      </c>
      <c r="CC78" t="s">
        <v>332</v>
      </c>
      <c r="CD78">
        <v>1690200769.5</v>
      </c>
      <c r="CE78">
        <v>1690200753</v>
      </c>
      <c r="CF78">
        <v>2</v>
      </c>
      <c r="CG78">
        <v>-0.245</v>
      </c>
      <c r="CH78">
        <v>3.0000000000000001E-3</v>
      </c>
      <c r="CI78">
        <v>-1.5169999999999999</v>
      </c>
      <c r="CJ78">
        <v>-1.6E-2</v>
      </c>
      <c r="CK78">
        <v>778</v>
      </c>
      <c r="CL78">
        <v>12</v>
      </c>
      <c r="CM78">
        <v>0.01</v>
      </c>
      <c r="CN78">
        <v>0.03</v>
      </c>
      <c r="CO78">
        <v>-283.021725</v>
      </c>
      <c r="CP78">
        <v>-23.24182739211918</v>
      </c>
      <c r="CQ78">
        <v>2.2373986567831401</v>
      </c>
      <c r="CR78">
        <v>-1</v>
      </c>
      <c r="CS78">
        <v>13.621162500000001</v>
      </c>
      <c r="CT78">
        <v>0.87063151969976238</v>
      </c>
      <c r="CU78">
        <v>8.3781082851381167E-2</v>
      </c>
      <c r="CV78">
        <v>-1</v>
      </c>
      <c r="CW78">
        <v>0</v>
      </c>
      <c r="CX78">
        <v>0</v>
      </c>
      <c r="CY78" t="s">
        <v>333</v>
      </c>
      <c r="CZ78">
        <v>2.3654999999999999</v>
      </c>
      <c r="DA78">
        <v>2.7138599999999999</v>
      </c>
      <c r="DB78">
        <v>0.10796500000000001</v>
      </c>
      <c r="DC78">
        <v>0.14632000000000001</v>
      </c>
      <c r="DD78">
        <v>0.11644699999999999</v>
      </c>
      <c r="DE78">
        <v>6.3416100000000003E-2</v>
      </c>
      <c r="DF78">
        <v>32539.200000000001</v>
      </c>
      <c r="DG78">
        <v>27429.200000000001</v>
      </c>
      <c r="DH78">
        <v>31137.9</v>
      </c>
      <c r="DI78">
        <v>27994.400000000001</v>
      </c>
      <c r="DJ78">
        <v>37334.9</v>
      </c>
      <c r="DK78">
        <v>37248.400000000001</v>
      </c>
      <c r="DL78">
        <v>44301</v>
      </c>
      <c r="DM78">
        <v>42389.1</v>
      </c>
      <c r="DN78">
        <v>1.44035</v>
      </c>
      <c r="DO78">
        <v>2.08087</v>
      </c>
      <c r="DP78">
        <v>0.15426400000000001</v>
      </c>
      <c r="DQ78">
        <v>0.19066</v>
      </c>
      <c r="DR78">
        <v>24.479700000000001</v>
      </c>
      <c r="DS78">
        <v>24.362500000000001</v>
      </c>
      <c r="DT78">
        <v>37.700000000000003</v>
      </c>
      <c r="DU78">
        <v>24.8</v>
      </c>
      <c r="DV78">
        <v>11.9689</v>
      </c>
      <c r="DW78">
        <v>61.9099</v>
      </c>
      <c r="DX78">
        <v>36.486400000000003</v>
      </c>
      <c r="DY78">
        <v>1</v>
      </c>
      <c r="DZ78">
        <v>-0.15806100000000001</v>
      </c>
      <c r="EA78">
        <v>-4.8804500000000001E-2</v>
      </c>
      <c r="EB78">
        <v>20.192699999999999</v>
      </c>
      <c r="EC78">
        <v>5.242</v>
      </c>
      <c r="ED78">
        <v>12.039899999999999</v>
      </c>
      <c r="EE78">
        <v>5.0172999999999996</v>
      </c>
      <c r="EF78">
        <v>3.2879999999999998</v>
      </c>
      <c r="EG78">
        <v>9999</v>
      </c>
      <c r="EH78">
        <v>9999</v>
      </c>
      <c r="EI78">
        <v>9999</v>
      </c>
      <c r="EJ78">
        <v>999.9</v>
      </c>
      <c r="EK78">
        <v>1.8687499999999999</v>
      </c>
      <c r="EL78">
        <v>1.8644700000000001</v>
      </c>
      <c r="EM78">
        <v>1.8690500000000001</v>
      </c>
      <c r="EN78">
        <v>1.86707</v>
      </c>
      <c r="EO78">
        <v>1.86327</v>
      </c>
      <c r="EP78">
        <v>1.86433</v>
      </c>
      <c r="EQ78">
        <v>1.8700600000000001</v>
      </c>
      <c r="ER78">
        <v>1.8692899999999999</v>
      </c>
      <c r="ES78">
        <v>0</v>
      </c>
      <c r="ET78">
        <v>0</v>
      </c>
      <c r="EU78">
        <v>0</v>
      </c>
      <c r="EV78">
        <v>0</v>
      </c>
      <c r="EW78" t="s">
        <v>334</v>
      </c>
      <c r="EX78" t="s">
        <v>335</v>
      </c>
      <c r="EY78" t="s">
        <v>336</v>
      </c>
      <c r="EZ78" t="s">
        <v>336</v>
      </c>
      <c r="FA78" t="s">
        <v>336</v>
      </c>
      <c r="FB78" t="s">
        <v>336</v>
      </c>
      <c r="FC78">
        <v>0</v>
      </c>
      <c r="FD78">
        <v>100</v>
      </c>
      <c r="FE78">
        <v>100</v>
      </c>
      <c r="FF78">
        <v>-1.33</v>
      </c>
      <c r="FG78">
        <v>0.17829999999999999</v>
      </c>
      <c r="FH78">
        <v>-0.98020551812546231</v>
      </c>
      <c r="FI78">
        <v>-6.1462078757559423E-4</v>
      </c>
      <c r="FJ78">
        <v>-1.8861989874597051E-7</v>
      </c>
      <c r="FK78">
        <v>1.1980462299894961E-10</v>
      </c>
      <c r="FL78">
        <v>0.1782306200647516</v>
      </c>
      <c r="FM78">
        <v>0</v>
      </c>
      <c r="FN78">
        <v>0</v>
      </c>
      <c r="FO78">
        <v>0</v>
      </c>
      <c r="FP78">
        <v>3</v>
      </c>
      <c r="FQ78">
        <v>2158</v>
      </c>
      <c r="FR78">
        <v>1</v>
      </c>
      <c r="FS78">
        <v>19</v>
      </c>
      <c r="FT78">
        <v>12.3</v>
      </c>
      <c r="FU78">
        <v>12.5</v>
      </c>
      <c r="FV78">
        <v>1.7736799999999999</v>
      </c>
      <c r="FW78">
        <v>2.5451700000000002</v>
      </c>
      <c r="FX78">
        <v>1.5490699999999999</v>
      </c>
      <c r="FY78">
        <v>2.34497</v>
      </c>
      <c r="FZ78">
        <v>1.50146</v>
      </c>
      <c r="GA78">
        <v>2.32666</v>
      </c>
      <c r="GB78">
        <v>30.372399999999999</v>
      </c>
      <c r="GC78">
        <v>23.982399999999998</v>
      </c>
      <c r="GD78">
        <v>19</v>
      </c>
      <c r="GE78">
        <v>264.54899999999998</v>
      </c>
      <c r="GF78">
        <v>610.64700000000005</v>
      </c>
      <c r="GG78">
        <v>24.3063</v>
      </c>
      <c r="GH78">
        <v>25.430299999999999</v>
      </c>
      <c r="GI78">
        <v>29.9998</v>
      </c>
      <c r="GJ78">
        <v>25.539000000000001</v>
      </c>
      <c r="GK78">
        <v>25.4923</v>
      </c>
      <c r="GL78">
        <v>35.464199999999998</v>
      </c>
      <c r="GM78">
        <v>-30</v>
      </c>
      <c r="GN78">
        <v>-30</v>
      </c>
      <c r="GO78">
        <v>24.278400000000001</v>
      </c>
      <c r="GP78">
        <v>800</v>
      </c>
      <c r="GQ78">
        <v>0</v>
      </c>
      <c r="GR78">
        <v>99.613299999999995</v>
      </c>
      <c r="GS78">
        <v>99.200699999999998</v>
      </c>
    </row>
    <row r="79" spans="1:201" x14ac:dyDescent="0.25">
      <c r="A79">
        <v>63</v>
      </c>
      <c r="B79">
        <v>1690201515.5</v>
      </c>
      <c r="C79">
        <v>668.5</v>
      </c>
      <c r="D79" t="s">
        <v>459</v>
      </c>
      <c r="E79" t="s">
        <v>460</v>
      </c>
      <c r="F79" t="s">
        <v>330</v>
      </c>
      <c r="H79">
        <v>1690201515.5</v>
      </c>
      <c r="I79">
        <f t="shared" si="0"/>
        <v>1.286658091057342E-3</v>
      </c>
      <c r="J79">
        <f t="shared" si="1"/>
        <v>1.286658091057342</v>
      </c>
      <c r="K79">
        <f t="shared" si="2"/>
        <v>25.612039701236835</v>
      </c>
      <c r="L79">
        <f t="shared" si="3"/>
        <v>508.738</v>
      </c>
      <c r="M79">
        <f t="shared" si="4"/>
        <v>108.28295755629995</v>
      </c>
      <c r="N79">
        <f t="shared" si="5"/>
        <v>10.728988502365086</v>
      </c>
      <c r="O79">
        <f t="shared" si="6"/>
        <v>50.407231903305608</v>
      </c>
      <c r="P79">
        <f t="shared" si="7"/>
        <v>0.10644441802235577</v>
      </c>
      <c r="Q79">
        <f t="shared" si="8"/>
        <v>2.078539320854393</v>
      </c>
      <c r="R79">
        <f t="shared" si="9"/>
        <v>0.1035061543935719</v>
      </c>
      <c r="S79">
        <f t="shared" si="10"/>
        <v>6.4948582108537989E-2</v>
      </c>
      <c r="T79">
        <f t="shared" si="11"/>
        <v>276.11291174466999</v>
      </c>
      <c r="U79">
        <f t="shared" si="12"/>
        <v>27.354177052277795</v>
      </c>
      <c r="V79">
        <f t="shared" si="13"/>
        <v>27.354177052277795</v>
      </c>
      <c r="W79">
        <f t="shared" si="14"/>
        <v>3.654291709708819</v>
      </c>
      <c r="X79">
        <f t="shared" si="15"/>
        <v>74.76894693783116</v>
      </c>
      <c r="Y79">
        <f t="shared" si="16"/>
        <v>2.4606245200607999</v>
      </c>
      <c r="Z79">
        <f t="shared" si="17"/>
        <v>3.2909712130983451</v>
      </c>
      <c r="AA79">
        <f t="shared" si="18"/>
        <v>1.1936671896480191</v>
      </c>
      <c r="AB79">
        <f t="shared" si="19"/>
        <v>-56.741621815628783</v>
      </c>
      <c r="AC79">
        <f t="shared" si="20"/>
        <v>-199.00160697193886</v>
      </c>
      <c r="AD79">
        <f t="shared" si="21"/>
        <v>-20.552136115615742</v>
      </c>
      <c r="AE79">
        <f t="shared" si="22"/>
        <v>-0.18245315851339683</v>
      </c>
      <c r="AF79">
        <v>15</v>
      </c>
      <c r="AG79">
        <v>5</v>
      </c>
      <c r="AH79">
        <f t="shared" si="23"/>
        <v>1</v>
      </c>
      <c r="AI79">
        <f t="shared" si="24"/>
        <v>0</v>
      </c>
      <c r="AJ79">
        <f t="shared" si="25"/>
        <v>52519.207218273361</v>
      </c>
      <c r="AK79">
        <f t="shared" si="26"/>
        <v>1799.98</v>
      </c>
      <c r="AL79">
        <f t="shared" si="27"/>
        <v>1499.0954691986001</v>
      </c>
      <c r="AM79">
        <f t="shared" si="28"/>
        <v>0.83284007000000004</v>
      </c>
      <c r="AN79">
        <f t="shared" si="29"/>
        <v>0.1533977665</v>
      </c>
      <c r="AO79">
        <v>33.299999999999997</v>
      </c>
      <c r="AP79">
        <v>0.5</v>
      </c>
      <c r="AQ79" t="s">
        <v>331</v>
      </c>
      <c r="AR79">
        <v>2</v>
      </c>
      <c r="AS79">
        <v>1690201515.5</v>
      </c>
      <c r="AT79">
        <v>508.738</v>
      </c>
      <c r="AU79">
        <v>800.01</v>
      </c>
      <c r="AV79">
        <v>24.834</v>
      </c>
      <c r="AW79">
        <v>10.920500000000001</v>
      </c>
      <c r="AX79">
        <v>510.065</v>
      </c>
      <c r="AY79">
        <v>24.655799999999999</v>
      </c>
      <c r="AZ79">
        <v>300.29599999999999</v>
      </c>
      <c r="BA79">
        <v>98.982900000000001</v>
      </c>
      <c r="BB79">
        <v>9.9991200000000002E-2</v>
      </c>
      <c r="BC79">
        <v>25.578299999999999</v>
      </c>
      <c r="BD79">
        <v>26.9941</v>
      </c>
      <c r="BE79">
        <v>27.4589</v>
      </c>
      <c r="BF79">
        <v>0</v>
      </c>
      <c r="BG79">
        <v>0</v>
      </c>
      <c r="BH79">
        <v>9986.25</v>
      </c>
      <c r="BI79">
        <v>1073.06</v>
      </c>
      <c r="BJ79">
        <v>1.1928099999999999</v>
      </c>
      <c r="BK79">
        <v>-291.27199999999999</v>
      </c>
      <c r="BL79">
        <v>521.69399999999996</v>
      </c>
      <c r="BM79">
        <v>808.84299999999996</v>
      </c>
      <c r="BN79">
        <v>13.913500000000001</v>
      </c>
      <c r="BO79">
        <v>800.01</v>
      </c>
      <c r="BP79">
        <v>10.920500000000001</v>
      </c>
      <c r="BQ79">
        <v>2.4581499999999998</v>
      </c>
      <c r="BR79">
        <v>1.08094</v>
      </c>
      <c r="BS79">
        <v>20.751999999999999</v>
      </c>
      <c r="BT79">
        <v>8.0556199999999993</v>
      </c>
      <c r="BU79">
        <v>1799.98</v>
      </c>
      <c r="BV79">
        <v>0.90998999999999997</v>
      </c>
      <c r="BW79">
        <v>3.3994700000000003E-2</v>
      </c>
      <c r="BX79">
        <v>2.2003999999999999E-2</v>
      </c>
      <c r="BY79">
        <v>3.4011600000000003E-2</v>
      </c>
      <c r="BZ79">
        <v>24.375</v>
      </c>
      <c r="CA79">
        <v>33528</v>
      </c>
      <c r="CB79">
        <v>1690200769.5</v>
      </c>
      <c r="CC79" t="s">
        <v>332</v>
      </c>
      <c r="CD79">
        <v>1690200769.5</v>
      </c>
      <c r="CE79">
        <v>1690200753</v>
      </c>
      <c r="CF79">
        <v>2</v>
      </c>
      <c r="CG79">
        <v>-0.245</v>
      </c>
      <c r="CH79">
        <v>3.0000000000000001E-3</v>
      </c>
      <c r="CI79">
        <v>-1.5169999999999999</v>
      </c>
      <c r="CJ79">
        <v>-1.6E-2</v>
      </c>
      <c r="CK79">
        <v>778</v>
      </c>
      <c r="CL79">
        <v>12</v>
      </c>
      <c r="CM79">
        <v>0.01</v>
      </c>
      <c r="CN79">
        <v>0.03</v>
      </c>
      <c r="CO79">
        <v>-286.99851219512198</v>
      </c>
      <c r="CP79">
        <v>-23.68404878048797</v>
      </c>
      <c r="CQ79">
        <v>2.336181166984538</v>
      </c>
      <c r="CR79">
        <v>-1</v>
      </c>
      <c r="CS79">
        <v>13.767521951219511</v>
      </c>
      <c r="CT79">
        <v>0.84370034843207087</v>
      </c>
      <c r="CU79">
        <v>8.3232069078102419E-2</v>
      </c>
      <c r="CV79">
        <v>-1</v>
      </c>
      <c r="CW79">
        <v>0</v>
      </c>
      <c r="CX79">
        <v>0</v>
      </c>
      <c r="CY79" t="s">
        <v>333</v>
      </c>
      <c r="CZ79">
        <v>2.3657900000000001</v>
      </c>
      <c r="DA79">
        <v>2.7137699999999998</v>
      </c>
      <c r="DB79">
        <v>0.107379</v>
      </c>
      <c r="DC79">
        <v>0.14632700000000001</v>
      </c>
      <c r="DD79">
        <v>0.116823</v>
      </c>
      <c r="DE79">
        <v>6.3351000000000005E-2</v>
      </c>
      <c r="DF79">
        <v>32560.400000000001</v>
      </c>
      <c r="DG79">
        <v>27428.9</v>
      </c>
      <c r="DH79">
        <v>31137.8</v>
      </c>
      <c r="DI79">
        <v>27994.3</v>
      </c>
      <c r="DJ79">
        <v>37318.6</v>
      </c>
      <c r="DK79">
        <v>37250.9</v>
      </c>
      <c r="DL79">
        <v>44300.800000000003</v>
      </c>
      <c r="DM79">
        <v>42389</v>
      </c>
      <c r="DN79">
        <v>1.4401999999999999</v>
      </c>
      <c r="DO79">
        <v>2.0809000000000002</v>
      </c>
      <c r="DP79">
        <v>0.153307</v>
      </c>
      <c r="DQ79">
        <v>0.18899099999999999</v>
      </c>
      <c r="DR79">
        <v>24.4818</v>
      </c>
      <c r="DS79">
        <v>24.362500000000001</v>
      </c>
      <c r="DT79">
        <v>37.6</v>
      </c>
      <c r="DU79">
        <v>24.8</v>
      </c>
      <c r="DV79">
        <v>11.935499999999999</v>
      </c>
      <c r="DW79">
        <v>61.869900000000001</v>
      </c>
      <c r="DX79">
        <v>35.528799999999997</v>
      </c>
      <c r="DY79">
        <v>1</v>
      </c>
      <c r="DZ79">
        <v>-0.15826999999999999</v>
      </c>
      <c r="EA79">
        <v>-8.2205899999999998E-2</v>
      </c>
      <c r="EB79">
        <v>20.192599999999999</v>
      </c>
      <c r="EC79">
        <v>5.2421499999999996</v>
      </c>
      <c r="ED79">
        <v>12.039899999999999</v>
      </c>
      <c r="EE79">
        <v>5.01755</v>
      </c>
      <c r="EF79">
        <v>3.2879999999999998</v>
      </c>
      <c r="EG79">
        <v>9999</v>
      </c>
      <c r="EH79">
        <v>9999</v>
      </c>
      <c r="EI79">
        <v>9999</v>
      </c>
      <c r="EJ79">
        <v>999.9</v>
      </c>
      <c r="EK79">
        <v>1.8687400000000001</v>
      </c>
      <c r="EL79">
        <v>1.8644700000000001</v>
      </c>
      <c r="EM79">
        <v>1.8690500000000001</v>
      </c>
      <c r="EN79">
        <v>1.86707</v>
      </c>
      <c r="EO79">
        <v>1.8632500000000001</v>
      </c>
      <c r="EP79">
        <v>1.86433</v>
      </c>
      <c r="EQ79">
        <v>1.8700399999999999</v>
      </c>
      <c r="ER79">
        <v>1.8692800000000001</v>
      </c>
      <c r="ES79">
        <v>0</v>
      </c>
      <c r="ET79">
        <v>0</v>
      </c>
      <c r="EU79">
        <v>0</v>
      </c>
      <c r="EV79">
        <v>0</v>
      </c>
      <c r="EW79" t="s">
        <v>334</v>
      </c>
      <c r="EX79" t="s">
        <v>335</v>
      </c>
      <c r="EY79" t="s">
        <v>336</v>
      </c>
      <c r="EZ79" t="s">
        <v>336</v>
      </c>
      <c r="FA79" t="s">
        <v>336</v>
      </c>
      <c r="FB79" t="s">
        <v>336</v>
      </c>
      <c r="FC79">
        <v>0</v>
      </c>
      <c r="FD79">
        <v>100</v>
      </c>
      <c r="FE79">
        <v>100</v>
      </c>
      <c r="FF79">
        <v>-1.327</v>
      </c>
      <c r="FG79">
        <v>0.1782</v>
      </c>
      <c r="FH79">
        <v>-0.98020551812546231</v>
      </c>
      <c r="FI79">
        <v>-6.1462078757559423E-4</v>
      </c>
      <c r="FJ79">
        <v>-1.8861989874597051E-7</v>
      </c>
      <c r="FK79">
        <v>1.1980462299894961E-10</v>
      </c>
      <c r="FL79">
        <v>0.1782306200647516</v>
      </c>
      <c r="FM79">
        <v>0</v>
      </c>
      <c r="FN79">
        <v>0</v>
      </c>
      <c r="FO79">
        <v>0</v>
      </c>
      <c r="FP79">
        <v>3</v>
      </c>
      <c r="FQ79">
        <v>2158</v>
      </c>
      <c r="FR79">
        <v>1</v>
      </c>
      <c r="FS79">
        <v>19</v>
      </c>
      <c r="FT79">
        <v>12.4</v>
      </c>
      <c r="FU79">
        <v>12.7</v>
      </c>
      <c r="FV79">
        <v>1.7736799999999999</v>
      </c>
      <c r="FW79">
        <v>2.5402800000000001</v>
      </c>
      <c r="FX79">
        <v>1.5490699999999999</v>
      </c>
      <c r="FY79">
        <v>2.34497</v>
      </c>
      <c r="FZ79">
        <v>1.50146</v>
      </c>
      <c r="GA79">
        <v>2.3815900000000001</v>
      </c>
      <c r="GB79">
        <v>30.372399999999999</v>
      </c>
      <c r="GC79">
        <v>23.982399999999998</v>
      </c>
      <c r="GD79">
        <v>19</v>
      </c>
      <c r="GE79">
        <v>264.48899999999998</v>
      </c>
      <c r="GF79">
        <v>610.68200000000002</v>
      </c>
      <c r="GG79">
        <v>24.27</v>
      </c>
      <c r="GH79">
        <v>25.428100000000001</v>
      </c>
      <c r="GI79">
        <v>30.0001</v>
      </c>
      <c r="GJ79">
        <v>25.539000000000001</v>
      </c>
      <c r="GK79">
        <v>25.493500000000001</v>
      </c>
      <c r="GL79">
        <v>35.465200000000003</v>
      </c>
      <c r="GM79">
        <v>-30</v>
      </c>
      <c r="GN79">
        <v>-30</v>
      </c>
      <c r="GO79">
        <v>24.273399999999999</v>
      </c>
      <c r="GP79">
        <v>800</v>
      </c>
      <c r="GQ79">
        <v>0</v>
      </c>
      <c r="GR79">
        <v>99.612799999999993</v>
      </c>
      <c r="GS79">
        <v>99.200299999999999</v>
      </c>
    </row>
    <row r="80" spans="1:201" x14ac:dyDescent="0.25">
      <c r="A80">
        <v>64</v>
      </c>
      <c r="B80">
        <v>1690201525.5</v>
      </c>
      <c r="C80">
        <v>678.5</v>
      </c>
      <c r="D80" t="s">
        <v>461</v>
      </c>
      <c r="E80" t="s">
        <v>462</v>
      </c>
      <c r="F80" t="s">
        <v>330</v>
      </c>
      <c r="H80">
        <v>1690201525.5</v>
      </c>
      <c r="I80">
        <f t="shared" si="0"/>
        <v>1.2986816679925917E-3</v>
      </c>
      <c r="J80">
        <f t="shared" si="1"/>
        <v>1.2986816679925917</v>
      </c>
      <c r="K80">
        <f t="shared" si="2"/>
        <v>25.954684345437009</v>
      </c>
      <c r="L80">
        <f t="shared" si="3"/>
        <v>504.67</v>
      </c>
      <c r="M80">
        <f t="shared" si="4"/>
        <v>106.42825669630543</v>
      </c>
      <c r="N80">
        <f t="shared" si="5"/>
        <v>10.545038982950603</v>
      </c>
      <c r="O80">
        <f t="shared" si="6"/>
        <v>50.003307286254007</v>
      </c>
      <c r="P80">
        <f t="shared" si="7"/>
        <v>0.10849344015304224</v>
      </c>
      <c r="Q80">
        <f t="shared" si="8"/>
        <v>2.0797775632267839</v>
      </c>
      <c r="R80">
        <f t="shared" si="9"/>
        <v>0.10544447330097767</v>
      </c>
      <c r="S80">
        <f t="shared" si="10"/>
        <v>6.6169596332342595E-2</v>
      </c>
      <c r="T80">
        <f t="shared" si="11"/>
        <v>276.11383424773209</v>
      </c>
      <c r="U80">
        <f t="shared" si="12"/>
        <v>27.359218191749182</v>
      </c>
      <c r="V80">
        <f t="shared" si="13"/>
        <v>27.359218191749182</v>
      </c>
      <c r="W80">
        <f t="shared" si="14"/>
        <v>3.655370951949545</v>
      </c>
      <c r="X80">
        <f t="shared" si="15"/>
        <v>75.092961683698391</v>
      </c>
      <c r="Y80">
        <f t="shared" si="16"/>
        <v>2.4727991379222605</v>
      </c>
      <c r="Z80">
        <f t="shared" si="17"/>
        <v>3.2929838995271243</v>
      </c>
      <c r="AA80">
        <f t="shared" si="18"/>
        <v>1.1825718140272845</v>
      </c>
      <c r="AB80">
        <f t="shared" si="19"/>
        <v>-57.27186155847329</v>
      </c>
      <c r="AC80">
        <f t="shared" si="20"/>
        <v>-198.53050807005579</v>
      </c>
      <c r="AD80">
        <f t="shared" si="21"/>
        <v>-20.4928491511263</v>
      </c>
      <c r="AE80">
        <f t="shared" si="22"/>
        <v>-0.18138453192329962</v>
      </c>
      <c r="AF80">
        <v>15</v>
      </c>
      <c r="AG80">
        <v>5</v>
      </c>
      <c r="AH80">
        <f t="shared" si="23"/>
        <v>1</v>
      </c>
      <c r="AI80">
        <f t="shared" si="24"/>
        <v>0</v>
      </c>
      <c r="AJ80">
        <f t="shared" si="25"/>
        <v>52573.301237833017</v>
      </c>
      <c r="AK80">
        <f t="shared" si="26"/>
        <v>1799.99</v>
      </c>
      <c r="AL80">
        <f t="shared" si="27"/>
        <v>1499.1048217936102</v>
      </c>
      <c r="AM80">
        <f t="shared" si="28"/>
        <v>0.83284063900000005</v>
      </c>
      <c r="AN80">
        <f t="shared" si="29"/>
        <v>0.15339742678999999</v>
      </c>
      <c r="AO80">
        <v>33.299999999999997</v>
      </c>
      <c r="AP80">
        <v>0.5</v>
      </c>
      <c r="AQ80" t="s">
        <v>331</v>
      </c>
      <c r="AR80">
        <v>2</v>
      </c>
      <c r="AS80">
        <v>1690201525.5</v>
      </c>
      <c r="AT80">
        <v>504.67</v>
      </c>
      <c r="AU80">
        <v>799.97900000000004</v>
      </c>
      <c r="AV80">
        <v>24.9573</v>
      </c>
      <c r="AW80">
        <v>10.9047</v>
      </c>
      <c r="AX80">
        <v>505.99400000000003</v>
      </c>
      <c r="AY80">
        <v>24.7791</v>
      </c>
      <c r="AZ80">
        <v>300.06400000000002</v>
      </c>
      <c r="BA80">
        <v>98.981300000000005</v>
      </c>
      <c r="BB80">
        <v>9.9896200000000004E-2</v>
      </c>
      <c r="BC80">
        <v>25.5886</v>
      </c>
      <c r="BD80">
        <v>26.995999999999999</v>
      </c>
      <c r="BE80">
        <v>27.459399999999999</v>
      </c>
      <c r="BF80">
        <v>0</v>
      </c>
      <c r="BG80">
        <v>0</v>
      </c>
      <c r="BH80">
        <v>9997.5</v>
      </c>
      <c r="BI80">
        <v>1072.8499999999999</v>
      </c>
      <c r="BJ80">
        <v>1.41567</v>
      </c>
      <c r="BK80">
        <v>-295.30900000000003</v>
      </c>
      <c r="BL80">
        <v>517.58699999999999</v>
      </c>
      <c r="BM80">
        <v>808.79899999999998</v>
      </c>
      <c r="BN80">
        <v>14.0527</v>
      </c>
      <c r="BO80">
        <v>799.97900000000004</v>
      </c>
      <c r="BP80">
        <v>10.9047</v>
      </c>
      <c r="BQ80">
        <v>2.47031</v>
      </c>
      <c r="BR80">
        <v>1.0793600000000001</v>
      </c>
      <c r="BS80">
        <v>20.8322</v>
      </c>
      <c r="BT80">
        <v>8.0340399999999992</v>
      </c>
      <c r="BU80">
        <v>1799.99</v>
      </c>
      <c r="BV80">
        <v>0.91000099999999995</v>
      </c>
      <c r="BW80">
        <v>3.3990399999999997E-2</v>
      </c>
      <c r="BX80">
        <v>2.2001199999999999E-2</v>
      </c>
      <c r="BY80">
        <v>3.4007299999999997E-2</v>
      </c>
      <c r="BZ80">
        <v>24.666699999999999</v>
      </c>
      <c r="CA80">
        <v>33528.199999999997</v>
      </c>
      <c r="CB80">
        <v>1690200769.5</v>
      </c>
      <c r="CC80" t="s">
        <v>332</v>
      </c>
      <c r="CD80">
        <v>1690200769.5</v>
      </c>
      <c r="CE80">
        <v>1690200753</v>
      </c>
      <c r="CF80">
        <v>2</v>
      </c>
      <c r="CG80">
        <v>-0.245</v>
      </c>
      <c r="CH80">
        <v>3.0000000000000001E-3</v>
      </c>
      <c r="CI80">
        <v>-1.5169999999999999</v>
      </c>
      <c r="CJ80">
        <v>-1.6E-2</v>
      </c>
      <c r="CK80">
        <v>778</v>
      </c>
      <c r="CL80">
        <v>12</v>
      </c>
      <c r="CM80">
        <v>0.01</v>
      </c>
      <c r="CN80">
        <v>0.03</v>
      </c>
      <c r="CO80">
        <v>-290.93117073170731</v>
      </c>
      <c r="CP80">
        <v>-23.579979094076791</v>
      </c>
      <c r="CQ80">
        <v>2.325314055919232</v>
      </c>
      <c r="CR80">
        <v>-1</v>
      </c>
      <c r="CS80">
        <v>13.90324146341464</v>
      </c>
      <c r="CT80">
        <v>0.78467038327526373</v>
      </c>
      <c r="CU80">
        <v>7.7389140145711313E-2</v>
      </c>
      <c r="CV80">
        <v>-1</v>
      </c>
      <c r="CW80">
        <v>0</v>
      </c>
      <c r="CX80">
        <v>0</v>
      </c>
      <c r="CY80" t="s">
        <v>333</v>
      </c>
      <c r="CZ80">
        <v>2.36503</v>
      </c>
      <c r="DA80">
        <v>2.7136800000000001</v>
      </c>
      <c r="DB80">
        <v>0.106754</v>
      </c>
      <c r="DC80">
        <v>0.14632100000000001</v>
      </c>
      <c r="DD80">
        <v>0.117229</v>
      </c>
      <c r="DE80">
        <v>6.32799E-2</v>
      </c>
      <c r="DF80">
        <v>32583.4</v>
      </c>
      <c r="DG80">
        <v>27429.3</v>
      </c>
      <c r="DH80">
        <v>31137.9</v>
      </c>
      <c r="DI80">
        <v>27994.5</v>
      </c>
      <c r="DJ80">
        <v>37301.300000000003</v>
      </c>
      <c r="DK80">
        <v>37254.199999999997</v>
      </c>
      <c r="DL80">
        <v>44300.9</v>
      </c>
      <c r="DM80">
        <v>42389.5</v>
      </c>
      <c r="DN80">
        <v>1.4398500000000001</v>
      </c>
      <c r="DO80">
        <v>2.0808300000000002</v>
      </c>
      <c r="DP80">
        <v>0.15329599999999999</v>
      </c>
      <c r="DQ80">
        <v>0.18887200000000001</v>
      </c>
      <c r="DR80">
        <v>24.483799999999999</v>
      </c>
      <c r="DS80">
        <v>24.364999999999998</v>
      </c>
      <c r="DT80">
        <v>37.6</v>
      </c>
      <c r="DU80">
        <v>24.9</v>
      </c>
      <c r="DV80">
        <v>12.0077</v>
      </c>
      <c r="DW80">
        <v>62.279899999999998</v>
      </c>
      <c r="DX80">
        <v>36.238</v>
      </c>
      <c r="DY80">
        <v>1</v>
      </c>
      <c r="DZ80">
        <v>-0.15814500000000001</v>
      </c>
      <c r="EA80">
        <v>-0.13119800000000001</v>
      </c>
      <c r="EB80">
        <v>20.192499999999999</v>
      </c>
      <c r="EC80">
        <v>5.2418500000000003</v>
      </c>
      <c r="ED80">
        <v>12.039899999999999</v>
      </c>
      <c r="EE80">
        <v>5.0172999999999996</v>
      </c>
      <c r="EF80">
        <v>3.2879999999999998</v>
      </c>
      <c r="EG80">
        <v>9999</v>
      </c>
      <c r="EH80">
        <v>9999</v>
      </c>
      <c r="EI80">
        <v>9999</v>
      </c>
      <c r="EJ80">
        <v>999.9</v>
      </c>
      <c r="EK80">
        <v>1.86876</v>
      </c>
      <c r="EL80">
        <v>1.8644700000000001</v>
      </c>
      <c r="EM80">
        <v>1.8690500000000001</v>
      </c>
      <c r="EN80">
        <v>1.86707</v>
      </c>
      <c r="EO80">
        <v>1.8632500000000001</v>
      </c>
      <c r="EP80">
        <v>1.86432</v>
      </c>
      <c r="EQ80">
        <v>1.87005</v>
      </c>
      <c r="ER80">
        <v>1.86927</v>
      </c>
      <c r="ES80">
        <v>0</v>
      </c>
      <c r="ET80">
        <v>0</v>
      </c>
      <c r="EU80">
        <v>0</v>
      </c>
      <c r="EV80">
        <v>0</v>
      </c>
      <c r="EW80" t="s">
        <v>334</v>
      </c>
      <c r="EX80" t="s">
        <v>335</v>
      </c>
      <c r="EY80" t="s">
        <v>336</v>
      </c>
      <c r="EZ80" t="s">
        <v>336</v>
      </c>
      <c r="FA80" t="s">
        <v>336</v>
      </c>
      <c r="FB80" t="s">
        <v>336</v>
      </c>
      <c r="FC80">
        <v>0</v>
      </c>
      <c r="FD80">
        <v>100</v>
      </c>
      <c r="FE80">
        <v>100</v>
      </c>
      <c r="FF80">
        <v>-1.3240000000000001</v>
      </c>
      <c r="FG80">
        <v>0.1782</v>
      </c>
      <c r="FH80">
        <v>-0.98020551812546231</v>
      </c>
      <c r="FI80">
        <v>-6.1462078757559423E-4</v>
      </c>
      <c r="FJ80">
        <v>-1.8861989874597051E-7</v>
      </c>
      <c r="FK80">
        <v>1.1980462299894961E-10</v>
      </c>
      <c r="FL80">
        <v>0.1782306200647516</v>
      </c>
      <c r="FM80">
        <v>0</v>
      </c>
      <c r="FN80">
        <v>0</v>
      </c>
      <c r="FO80">
        <v>0</v>
      </c>
      <c r="FP80">
        <v>3</v>
      </c>
      <c r="FQ80">
        <v>2158</v>
      </c>
      <c r="FR80">
        <v>1</v>
      </c>
      <c r="FS80">
        <v>19</v>
      </c>
      <c r="FT80">
        <v>12.6</v>
      </c>
      <c r="FU80">
        <v>12.9</v>
      </c>
      <c r="FV80">
        <v>1.7736799999999999</v>
      </c>
      <c r="FW80">
        <v>2.5378400000000001</v>
      </c>
      <c r="FX80">
        <v>1.5490699999999999</v>
      </c>
      <c r="FY80">
        <v>2.34497</v>
      </c>
      <c r="FZ80">
        <v>1.50146</v>
      </c>
      <c r="GA80">
        <v>2.3144499999999999</v>
      </c>
      <c r="GB80">
        <v>30.372399999999999</v>
      </c>
      <c r="GC80">
        <v>23.982399999999998</v>
      </c>
      <c r="GD80">
        <v>19</v>
      </c>
      <c r="GE80">
        <v>264.34800000000001</v>
      </c>
      <c r="GF80">
        <v>610.61800000000005</v>
      </c>
      <c r="GG80">
        <v>24.27</v>
      </c>
      <c r="GH80">
        <v>25.428100000000001</v>
      </c>
      <c r="GI80">
        <v>30.0001</v>
      </c>
      <c r="GJ80">
        <v>25.539000000000001</v>
      </c>
      <c r="GK80">
        <v>25.493500000000001</v>
      </c>
      <c r="GL80">
        <v>35.466799999999999</v>
      </c>
      <c r="GM80">
        <v>-30</v>
      </c>
      <c r="GN80">
        <v>-30</v>
      </c>
      <c r="GO80">
        <v>24.296500000000002</v>
      </c>
      <c r="GP80">
        <v>800</v>
      </c>
      <c r="GQ80">
        <v>0</v>
      </c>
      <c r="GR80">
        <v>99.613200000000006</v>
      </c>
      <c r="GS80">
        <v>99.201300000000003</v>
      </c>
    </row>
    <row r="81" spans="1:201" x14ac:dyDescent="0.25">
      <c r="A81">
        <v>65</v>
      </c>
      <c r="B81">
        <v>1690201535.5</v>
      </c>
      <c r="C81">
        <v>688.5</v>
      </c>
      <c r="D81" t="s">
        <v>463</v>
      </c>
      <c r="E81" t="s">
        <v>464</v>
      </c>
      <c r="F81" t="s">
        <v>330</v>
      </c>
      <c r="H81">
        <v>1690201535.5</v>
      </c>
      <c r="I81">
        <f t="shared" ref="I81:I144" si="30">(J81)/1000</f>
        <v>1.3126320562470368E-3</v>
      </c>
      <c r="J81">
        <f t="shared" ref="J81:J144" si="31">1000*AZ81*AH81*(AV81-AW81)/(100*AO81*(1000-AH81*AV81))</f>
        <v>1.3126320562470368</v>
      </c>
      <c r="K81">
        <f t="shared" ref="K81:K144" si="32">AZ81*AH81*(AU81-AT81*(1000-AH81*AW81)/(1000-AH81*AV81))/(100*AO81)</f>
        <v>26.307174581157934</v>
      </c>
      <c r="L81">
        <f t="shared" ref="L81:L144" si="33">AT81 - IF(AH81&gt;1, K81*AO81*100/(AJ81*BH81), 0)</f>
        <v>500.82</v>
      </c>
      <c r="M81">
        <f t="shared" ref="M81:M144" si="34">((S81-I81/2)*L81-K81)/(S81+I81/2)</f>
        <v>106.54232343248756</v>
      </c>
      <c r="N81">
        <f t="shared" ref="N81:N144" si="35">M81*(BA81+BB81)/1000</f>
        <v>10.556516625143356</v>
      </c>
      <c r="O81">
        <f t="shared" ref="O81:O144" si="36">(AT81 - IF(AH81&gt;1, K81*AO81*100/(AJ81*BH81), 0))*(BA81+BB81)/1000</f>
        <v>49.622670933720002</v>
      </c>
      <c r="P81">
        <f t="shared" ref="P81:P144" si="37">2/((1/R81-1/Q81)+SIGN(R81)*SQRT((1/R81-1/Q81)*(1/R81-1/Q81) + 4*AP81/((AP81+1)*(AP81+1))*(2*1/R81*1/Q81-1/Q81*1/Q81)))</f>
        <v>0.11112666833117787</v>
      </c>
      <c r="Q81">
        <f t="shared" ref="Q81:Q144" si="38">IF(LEFT(AQ81,1)&lt;&gt;"0",IF(LEFT(AQ81,1)="1",3,AR81),$D$5+$E$5*(BH81*BA81/($K$5*1000))+$F$5*(BH81*BA81/($K$5*1000))*MAX(MIN(AO81,$J$5),$I$5)*MAX(MIN(AO81,$J$5),$I$5)+$G$5*MAX(MIN(AO81,$J$5),$I$5)*(BH81*BA81/($K$5*1000))+$H$5*(BH81*BA81/($K$5*1000))*(BH81*BA81/($K$5*1000)))</f>
        <v>2.0767211811239532</v>
      </c>
      <c r="R81">
        <f t="shared" ref="R81:R144" si="39">I81*(1000-(1000*0.61365*EXP(17.502*V81/(240.97+V81))/(BA81+BB81)+AV81)/2)/(1000*0.61365*EXP(17.502*V81/(240.97+V81))/(BA81+BB81)-AV81)</f>
        <v>0.10792569247009244</v>
      </c>
      <c r="S81">
        <f t="shared" ref="S81:S144" si="40">1/((AP81+1)/(P81/1.6)+1/(Q81/1.37)) + AP81/((AP81+1)/(P81/1.6) + AP81/(Q81/1.37))</f>
        <v>6.7733472616048979E-2</v>
      </c>
      <c r="T81">
        <f t="shared" ref="T81:T144" si="41">(AK81*AN81)</f>
        <v>276.11373269229631</v>
      </c>
      <c r="U81">
        <f t="shared" ref="U81:U144" si="42">(BC81+(T81+2*0.95*0.0000000567*(((BC81+$B$7)+273)^4-(BC81+273)^4)-44100*I81)/(1.84*29.3*Q81+8*0.95*0.0000000567*(BC81+273)^3))</f>
        <v>27.350107560426014</v>
      </c>
      <c r="V81">
        <f t="shared" ref="V81:V144" si="43">($C$7*BD81+$D$7*BE81+$E$7*U81)</f>
        <v>27.350107560426014</v>
      </c>
      <c r="W81">
        <f t="shared" ref="W81:W144" si="44">0.61365*EXP(17.502*V81/(240.97+V81))</f>
        <v>3.6534206874285511</v>
      </c>
      <c r="X81">
        <f t="shared" ref="X81:X144" si="45">(Y81/Z81*100)</f>
        <v>75.512994706321905</v>
      </c>
      <c r="Y81">
        <f t="shared" ref="Y81:Y144" si="46">AV81*(BA81+BB81)/1000</f>
        <v>2.4856715410328003</v>
      </c>
      <c r="Z81">
        <f t="shared" ref="Z81:Z144" si="47">0.61365*EXP(17.502*BC81/(240.97+BC81))</f>
        <v>3.291713632467951</v>
      </c>
      <c r="AA81">
        <f t="shared" ref="AA81:AA144" si="48">(W81-AV81*(BA81+BB81)/1000)</f>
        <v>1.1677491463957508</v>
      </c>
      <c r="AB81">
        <f t="shared" ref="AB81:AB144" si="49">(-I81*44100)</f>
        <v>-57.887073680494318</v>
      </c>
      <c r="AC81">
        <f t="shared" ref="AC81:AC144" si="50">2*29.3*Q81*0.92*(BC81-V81)</f>
        <v>-197.94646648277259</v>
      </c>
      <c r="AD81">
        <f t="shared" ref="AD81:AD144" si="51">2*0.95*0.0000000567*(((BC81+$B$7)+273)^4-(V81+273)^4)</f>
        <v>-20.461033670709835</v>
      </c>
      <c r="AE81">
        <f t="shared" ref="AE81:AE144" si="52">T81+AD81+AB81+AC81</f>
        <v>-0.18084114168044607</v>
      </c>
      <c r="AF81">
        <v>14</v>
      </c>
      <c r="AG81">
        <v>5</v>
      </c>
      <c r="AH81">
        <f t="shared" ref="AH81:AH144" si="53">IF(AF81*$H$13&gt;=AJ81,1,(AJ81/(AJ81-AF81*$H$13)))</f>
        <v>1</v>
      </c>
      <c r="AI81">
        <f t="shared" ref="AI81:AI144" si="54">(AH81-1)*100</f>
        <v>0</v>
      </c>
      <c r="AJ81">
        <f t="shared" ref="AJ81:AJ144" si="55">MAX(0,($B$13+$C$13*BH81)/(1+$D$13*BH81)*BA81/(BC81+273)*$E$13)</f>
        <v>52436.470922109715</v>
      </c>
      <c r="AK81">
        <f t="shared" ref="AK81:AK144" si="56">$B$11*BI81+$C$11*BJ81+$D$11*BU81</f>
        <v>1799.99</v>
      </c>
      <c r="AL81">
        <f t="shared" ref="AL81:AL144" si="57">AK81*AM81</f>
        <v>1499.1004892176802</v>
      </c>
      <c r="AM81">
        <f t="shared" ref="AM81:AM144" si="58">($B$11*$D$9+$C$11*$D$9+$D$11*(BV81*$E$9+BW81*$F$9+BX81*$G$9+BY81*$H$9))/($B$11+$C$11+$D$11)</f>
        <v>0.83283823200000007</v>
      </c>
      <c r="AN81">
        <f t="shared" ref="AN81:AN144" si="59">($B$11*$K$9+$C$11*$K$9+$D$11*(BV81*$L$9+BW81*$M$9+BX81*$N$9+BY81*$O$9))/($B$11+$C$11+$D$11)</f>
        <v>0.15339737037000001</v>
      </c>
      <c r="AO81">
        <v>33.299999999999997</v>
      </c>
      <c r="AP81">
        <v>0.5</v>
      </c>
      <c r="AQ81" t="s">
        <v>331</v>
      </c>
      <c r="AR81">
        <v>2</v>
      </c>
      <c r="AS81">
        <v>1690201535.5</v>
      </c>
      <c r="AT81">
        <v>500.82</v>
      </c>
      <c r="AU81">
        <v>800.01300000000003</v>
      </c>
      <c r="AV81">
        <v>25.0868</v>
      </c>
      <c r="AW81">
        <v>10.887499999999999</v>
      </c>
      <c r="AX81">
        <v>502.14100000000002</v>
      </c>
      <c r="AY81">
        <v>24.9086</v>
      </c>
      <c r="AZ81">
        <v>300.11399999999998</v>
      </c>
      <c r="BA81">
        <v>98.982799999999997</v>
      </c>
      <c r="BB81">
        <v>0.100046</v>
      </c>
      <c r="BC81">
        <v>25.582100000000001</v>
      </c>
      <c r="BD81">
        <v>26.987400000000001</v>
      </c>
      <c r="BE81">
        <v>27.458200000000001</v>
      </c>
      <c r="BF81">
        <v>0</v>
      </c>
      <c r="BG81">
        <v>0</v>
      </c>
      <c r="BH81">
        <v>9970</v>
      </c>
      <c r="BI81">
        <v>1072.8</v>
      </c>
      <c r="BJ81">
        <v>1.1241300000000001</v>
      </c>
      <c r="BK81">
        <v>-299.19299999999998</v>
      </c>
      <c r="BL81">
        <v>513.70699999999999</v>
      </c>
      <c r="BM81">
        <v>808.81899999999996</v>
      </c>
      <c r="BN81">
        <v>14.199299999999999</v>
      </c>
      <c r="BO81">
        <v>800.01300000000003</v>
      </c>
      <c r="BP81">
        <v>10.887499999999999</v>
      </c>
      <c r="BQ81">
        <v>2.4831599999999998</v>
      </c>
      <c r="BR81">
        <v>1.07768</v>
      </c>
      <c r="BS81">
        <v>20.916499999999999</v>
      </c>
      <c r="BT81">
        <v>8.0111600000000003</v>
      </c>
      <c r="BU81">
        <v>1799.99</v>
      </c>
      <c r="BV81">
        <v>0.90998900000000005</v>
      </c>
      <c r="BW81">
        <v>3.40074E-2</v>
      </c>
      <c r="BX81">
        <v>2.1999100000000001E-2</v>
      </c>
      <c r="BY81">
        <v>3.4004100000000002E-2</v>
      </c>
      <c r="BZ81">
        <v>24.666699999999999</v>
      </c>
      <c r="CA81">
        <v>33528.1</v>
      </c>
      <c r="CB81">
        <v>1690200769.5</v>
      </c>
      <c r="CC81" t="s">
        <v>332</v>
      </c>
      <c r="CD81">
        <v>1690200769.5</v>
      </c>
      <c r="CE81">
        <v>1690200753</v>
      </c>
      <c r="CF81">
        <v>2</v>
      </c>
      <c r="CG81">
        <v>-0.245</v>
      </c>
      <c r="CH81">
        <v>3.0000000000000001E-3</v>
      </c>
      <c r="CI81">
        <v>-1.5169999999999999</v>
      </c>
      <c r="CJ81">
        <v>-1.6E-2</v>
      </c>
      <c r="CK81">
        <v>778</v>
      </c>
      <c r="CL81">
        <v>12</v>
      </c>
      <c r="CM81">
        <v>0.01</v>
      </c>
      <c r="CN81">
        <v>0.03</v>
      </c>
      <c r="CO81">
        <v>-294.90460975609761</v>
      </c>
      <c r="CP81">
        <v>-24.081742160279159</v>
      </c>
      <c r="CQ81">
        <v>2.3748740544582478</v>
      </c>
      <c r="CR81">
        <v>-1</v>
      </c>
      <c r="CS81">
        <v>14.04006341463414</v>
      </c>
      <c r="CT81">
        <v>0.86091637630669549</v>
      </c>
      <c r="CU81">
        <v>8.4908492367637339E-2</v>
      </c>
      <c r="CV81">
        <v>-1</v>
      </c>
      <c r="CW81">
        <v>0</v>
      </c>
      <c r="CX81">
        <v>0</v>
      </c>
      <c r="CY81" t="s">
        <v>333</v>
      </c>
      <c r="CZ81">
        <v>2.3651900000000001</v>
      </c>
      <c r="DA81">
        <v>2.7138100000000001</v>
      </c>
      <c r="DB81">
        <v>0.106165</v>
      </c>
      <c r="DC81">
        <v>0.14632700000000001</v>
      </c>
      <c r="DD81">
        <v>0.117658</v>
      </c>
      <c r="DE81">
        <v>6.3205600000000001E-2</v>
      </c>
      <c r="DF81">
        <v>32604.5</v>
      </c>
      <c r="DG81">
        <v>27429.8</v>
      </c>
      <c r="DH81">
        <v>31137.599999999999</v>
      </c>
      <c r="DI81">
        <v>27995.200000000001</v>
      </c>
      <c r="DJ81">
        <v>37282.699999999997</v>
      </c>
      <c r="DK81">
        <v>37257.800000000003</v>
      </c>
      <c r="DL81">
        <v>44300.800000000003</v>
      </c>
      <c r="DM81">
        <v>42390.3</v>
      </c>
      <c r="DN81">
        <v>1.4406000000000001</v>
      </c>
      <c r="DO81">
        <v>2.0807799999999999</v>
      </c>
      <c r="DP81">
        <v>0.152588</v>
      </c>
      <c r="DQ81">
        <v>0.18857399999999999</v>
      </c>
      <c r="DR81">
        <v>24.486799999999999</v>
      </c>
      <c r="DS81">
        <v>24.3687</v>
      </c>
      <c r="DT81">
        <v>37.5</v>
      </c>
      <c r="DU81">
        <v>24.9</v>
      </c>
      <c r="DV81">
        <v>11.9748</v>
      </c>
      <c r="DW81">
        <v>62.419899999999998</v>
      </c>
      <c r="DX81">
        <v>36.682699999999997</v>
      </c>
      <c r="DY81">
        <v>1</v>
      </c>
      <c r="DZ81">
        <v>-0.157774</v>
      </c>
      <c r="EA81">
        <v>-0.19267400000000001</v>
      </c>
      <c r="EB81">
        <v>20.192499999999999</v>
      </c>
      <c r="EC81">
        <v>5.242</v>
      </c>
      <c r="ED81">
        <v>12.039899999999999</v>
      </c>
      <c r="EE81">
        <v>5.0173500000000004</v>
      </c>
      <c r="EF81">
        <v>3.2879999999999998</v>
      </c>
      <c r="EG81">
        <v>9999</v>
      </c>
      <c r="EH81">
        <v>9999</v>
      </c>
      <c r="EI81">
        <v>9999</v>
      </c>
      <c r="EJ81">
        <v>999.9</v>
      </c>
      <c r="EK81">
        <v>1.8687400000000001</v>
      </c>
      <c r="EL81">
        <v>1.8644700000000001</v>
      </c>
      <c r="EM81">
        <v>1.8690500000000001</v>
      </c>
      <c r="EN81">
        <v>1.8670800000000001</v>
      </c>
      <c r="EO81">
        <v>1.8632599999999999</v>
      </c>
      <c r="EP81">
        <v>1.86433</v>
      </c>
      <c r="EQ81">
        <v>1.87009</v>
      </c>
      <c r="ER81">
        <v>1.8693200000000001</v>
      </c>
      <c r="ES81">
        <v>0</v>
      </c>
      <c r="ET81">
        <v>0</v>
      </c>
      <c r="EU81">
        <v>0</v>
      </c>
      <c r="EV81">
        <v>0</v>
      </c>
      <c r="EW81" t="s">
        <v>334</v>
      </c>
      <c r="EX81" t="s">
        <v>335</v>
      </c>
      <c r="EY81" t="s">
        <v>336</v>
      </c>
      <c r="EZ81" t="s">
        <v>336</v>
      </c>
      <c r="FA81" t="s">
        <v>336</v>
      </c>
      <c r="FB81" t="s">
        <v>336</v>
      </c>
      <c r="FC81">
        <v>0</v>
      </c>
      <c r="FD81">
        <v>100</v>
      </c>
      <c r="FE81">
        <v>100</v>
      </c>
      <c r="FF81">
        <v>-1.321</v>
      </c>
      <c r="FG81">
        <v>0.1782</v>
      </c>
      <c r="FH81">
        <v>-0.98020551812546231</v>
      </c>
      <c r="FI81">
        <v>-6.1462078757559423E-4</v>
      </c>
      <c r="FJ81">
        <v>-1.8861989874597051E-7</v>
      </c>
      <c r="FK81">
        <v>1.1980462299894961E-10</v>
      </c>
      <c r="FL81">
        <v>0.1782306200647516</v>
      </c>
      <c r="FM81">
        <v>0</v>
      </c>
      <c r="FN81">
        <v>0</v>
      </c>
      <c r="FO81">
        <v>0</v>
      </c>
      <c r="FP81">
        <v>3</v>
      </c>
      <c r="FQ81">
        <v>2158</v>
      </c>
      <c r="FR81">
        <v>1</v>
      </c>
      <c r="FS81">
        <v>19</v>
      </c>
      <c r="FT81">
        <v>12.8</v>
      </c>
      <c r="FU81">
        <v>13</v>
      </c>
      <c r="FV81">
        <v>1.7736799999999999</v>
      </c>
      <c r="FW81">
        <v>2.5463900000000002</v>
      </c>
      <c r="FX81">
        <v>1.5490699999999999</v>
      </c>
      <c r="FY81">
        <v>2.34497</v>
      </c>
      <c r="FZ81">
        <v>1.50146</v>
      </c>
      <c r="GA81">
        <v>2.3083499999999999</v>
      </c>
      <c r="GB81">
        <v>30.393899999999999</v>
      </c>
      <c r="GC81">
        <v>23.973700000000001</v>
      </c>
      <c r="GD81">
        <v>19</v>
      </c>
      <c r="GE81">
        <v>264.64999999999998</v>
      </c>
      <c r="GF81">
        <v>610.601</v>
      </c>
      <c r="GG81">
        <v>24.305700000000002</v>
      </c>
      <c r="GH81">
        <v>25.425999999999998</v>
      </c>
      <c r="GI81">
        <v>30.0001</v>
      </c>
      <c r="GJ81">
        <v>25.539000000000001</v>
      </c>
      <c r="GK81">
        <v>25.4956</v>
      </c>
      <c r="GL81">
        <v>35.466999999999999</v>
      </c>
      <c r="GM81">
        <v>-30</v>
      </c>
      <c r="GN81">
        <v>-30</v>
      </c>
      <c r="GO81">
        <v>24.3233</v>
      </c>
      <c r="GP81">
        <v>800</v>
      </c>
      <c r="GQ81">
        <v>0</v>
      </c>
      <c r="GR81">
        <v>99.612499999999997</v>
      </c>
      <c r="GS81">
        <v>99.203500000000005</v>
      </c>
    </row>
    <row r="82" spans="1:201" x14ac:dyDescent="0.25">
      <c r="A82">
        <v>66</v>
      </c>
      <c r="B82">
        <v>1690201545.5</v>
      </c>
      <c r="C82">
        <v>698.5</v>
      </c>
      <c r="D82" t="s">
        <v>465</v>
      </c>
      <c r="E82" t="s">
        <v>466</v>
      </c>
      <c r="F82" t="s">
        <v>330</v>
      </c>
      <c r="H82">
        <v>1690201545.5</v>
      </c>
      <c r="I82">
        <f t="shared" si="30"/>
        <v>1.3265462897474704E-3</v>
      </c>
      <c r="J82">
        <f t="shared" si="31"/>
        <v>1.3265462897474705</v>
      </c>
      <c r="K82">
        <f t="shared" si="32"/>
        <v>26.673384008076248</v>
      </c>
      <c r="L82">
        <f t="shared" si="33"/>
        <v>496.87</v>
      </c>
      <c r="M82">
        <f t="shared" si="34"/>
        <v>105.44444438130424</v>
      </c>
      <c r="N82">
        <f t="shared" si="35"/>
        <v>10.447847415299377</v>
      </c>
      <c r="O82">
        <f t="shared" si="36"/>
        <v>49.23182037422</v>
      </c>
      <c r="P82">
        <f t="shared" si="37"/>
        <v>0.11352981834351614</v>
      </c>
      <c r="Q82">
        <f t="shared" si="38"/>
        <v>2.0809893296119411</v>
      </c>
      <c r="R82">
        <f t="shared" si="39"/>
        <v>0.11019777168614249</v>
      </c>
      <c r="S82">
        <f t="shared" si="40"/>
        <v>6.916483253376729E-2</v>
      </c>
      <c r="T82">
        <f t="shared" si="41"/>
        <v>276.11337463828545</v>
      </c>
      <c r="U82">
        <f t="shared" si="42"/>
        <v>27.352635000698108</v>
      </c>
      <c r="V82">
        <f t="shared" si="43"/>
        <v>27.352635000698108</v>
      </c>
      <c r="W82">
        <f t="shared" si="44"/>
        <v>3.653961632119088</v>
      </c>
      <c r="X82">
        <f t="shared" si="45"/>
        <v>75.845943626103434</v>
      </c>
      <c r="Y82">
        <f t="shared" si="46"/>
        <v>2.4982322471498</v>
      </c>
      <c r="Z82">
        <f t="shared" si="47"/>
        <v>3.2938244653732527</v>
      </c>
      <c r="AA82">
        <f t="shared" si="48"/>
        <v>1.155729384969288</v>
      </c>
      <c r="AB82">
        <f t="shared" si="49"/>
        <v>-58.500691377863447</v>
      </c>
      <c r="AC82">
        <f t="shared" si="50"/>
        <v>-197.42519190863391</v>
      </c>
      <c r="AD82">
        <f t="shared" si="51"/>
        <v>-20.366653759587923</v>
      </c>
      <c r="AE82">
        <f t="shared" si="52"/>
        <v>-0.17916240779982218</v>
      </c>
      <c r="AF82">
        <v>14</v>
      </c>
      <c r="AG82">
        <v>5</v>
      </c>
      <c r="AH82">
        <f t="shared" si="53"/>
        <v>1</v>
      </c>
      <c r="AI82">
        <f t="shared" si="54"/>
        <v>0</v>
      </c>
      <c r="AJ82">
        <f t="shared" si="55"/>
        <v>52627.384131798994</v>
      </c>
      <c r="AK82">
        <f t="shared" si="56"/>
        <v>1799.99</v>
      </c>
      <c r="AL82">
        <f t="shared" si="57"/>
        <v>1499.1026096058999</v>
      </c>
      <c r="AM82">
        <f t="shared" si="58"/>
        <v>0.83283940999999995</v>
      </c>
      <c r="AN82">
        <f t="shared" si="59"/>
        <v>0.15339717144999998</v>
      </c>
      <c r="AO82">
        <v>33.299999999999997</v>
      </c>
      <c r="AP82">
        <v>0.5</v>
      </c>
      <c r="AQ82" t="s">
        <v>331</v>
      </c>
      <c r="AR82">
        <v>2</v>
      </c>
      <c r="AS82">
        <v>1690201545.5</v>
      </c>
      <c r="AT82">
        <v>496.87</v>
      </c>
      <c r="AU82">
        <v>799.98800000000006</v>
      </c>
      <c r="AV82">
        <v>25.2133</v>
      </c>
      <c r="AW82">
        <v>10.8728</v>
      </c>
      <c r="AX82">
        <v>498.18799999999999</v>
      </c>
      <c r="AY82">
        <v>25.035</v>
      </c>
      <c r="AZ82">
        <v>300.27</v>
      </c>
      <c r="BA82">
        <v>98.983900000000006</v>
      </c>
      <c r="BB82">
        <v>0.100006</v>
      </c>
      <c r="BC82">
        <v>25.5929</v>
      </c>
      <c r="BD82">
        <v>27.02</v>
      </c>
      <c r="BE82">
        <v>27.465299999999999</v>
      </c>
      <c r="BF82">
        <v>0</v>
      </c>
      <c r="BG82">
        <v>0</v>
      </c>
      <c r="BH82">
        <v>10008.1</v>
      </c>
      <c r="BI82">
        <v>1072.67</v>
      </c>
      <c r="BJ82">
        <v>1.2334499999999999</v>
      </c>
      <c r="BK82">
        <v>-303.11799999999999</v>
      </c>
      <c r="BL82">
        <v>509.721</v>
      </c>
      <c r="BM82">
        <v>808.78200000000004</v>
      </c>
      <c r="BN82">
        <v>14.340400000000001</v>
      </c>
      <c r="BO82">
        <v>799.98800000000006</v>
      </c>
      <c r="BP82">
        <v>10.8728</v>
      </c>
      <c r="BQ82">
        <v>2.4957099999999999</v>
      </c>
      <c r="BR82">
        <v>1.07623</v>
      </c>
      <c r="BS82">
        <v>20.9985</v>
      </c>
      <c r="BT82">
        <v>7.9914500000000004</v>
      </c>
      <c r="BU82">
        <v>1799.99</v>
      </c>
      <c r="BV82">
        <v>0.91</v>
      </c>
      <c r="BW82">
        <v>3.4003400000000003E-2</v>
      </c>
      <c r="BX82">
        <v>2.1996499999999999E-2</v>
      </c>
      <c r="BY82">
        <v>3.4000099999999998E-2</v>
      </c>
      <c r="BZ82">
        <v>25</v>
      </c>
      <c r="CA82">
        <v>33528.199999999997</v>
      </c>
      <c r="CB82">
        <v>1690200769.5</v>
      </c>
      <c r="CC82" t="s">
        <v>332</v>
      </c>
      <c r="CD82">
        <v>1690200769.5</v>
      </c>
      <c r="CE82">
        <v>1690200753</v>
      </c>
      <c r="CF82">
        <v>2</v>
      </c>
      <c r="CG82">
        <v>-0.245</v>
      </c>
      <c r="CH82">
        <v>3.0000000000000001E-3</v>
      </c>
      <c r="CI82">
        <v>-1.5169999999999999</v>
      </c>
      <c r="CJ82">
        <v>-1.6E-2</v>
      </c>
      <c r="CK82">
        <v>778</v>
      </c>
      <c r="CL82">
        <v>12</v>
      </c>
      <c r="CM82">
        <v>0.01</v>
      </c>
      <c r="CN82">
        <v>0.03</v>
      </c>
      <c r="CO82">
        <v>-298.72370000000001</v>
      </c>
      <c r="CP82">
        <v>-22.95678799249497</v>
      </c>
      <c r="CQ82">
        <v>2.208785890483731</v>
      </c>
      <c r="CR82">
        <v>-1</v>
      </c>
      <c r="CS82">
        <v>14.179955</v>
      </c>
      <c r="CT82">
        <v>0.86104165103186536</v>
      </c>
      <c r="CU82">
        <v>8.283588579233056E-2</v>
      </c>
      <c r="CV82">
        <v>-1</v>
      </c>
      <c r="CW82">
        <v>0</v>
      </c>
      <c r="CX82">
        <v>0</v>
      </c>
      <c r="CY82" t="s">
        <v>333</v>
      </c>
      <c r="CZ82">
        <v>2.36572</v>
      </c>
      <c r="DA82">
        <v>2.7138100000000001</v>
      </c>
      <c r="DB82">
        <v>0.105557</v>
      </c>
      <c r="DC82">
        <v>0.14632600000000001</v>
      </c>
      <c r="DD82">
        <v>0.118075</v>
      </c>
      <c r="DE82">
        <v>6.3141199999999995E-2</v>
      </c>
      <c r="DF82">
        <v>32626.799999999999</v>
      </c>
      <c r="DG82">
        <v>27430</v>
      </c>
      <c r="DH82">
        <v>31137.599999999999</v>
      </c>
      <c r="DI82">
        <v>27995.3</v>
      </c>
      <c r="DJ82">
        <v>37264.6</v>
      </c>
      <c r="DK82">
        <v>37260.699999999997</v>
      </c>
      <c r="DL82">
        <v>44300.6</v>
      </c>
      <c r="DM82">
        <v>42390.6</v>
      </c>
      <c r="DN82">
        <v>1.44068</v>
      </c>
      <c r="DO82">
        <v>2.0811500000000001</v>
      </c>
      <c r="DP82">
        <v>0.15448799999999999</v>
      </c>
      <c r="DQ82">
        <v>0.18879799999999999</v>
      </c>
      <c r="DR82">
        <v>24.488399999999999</v>
      </c>
      <c r="DS82">
        <v>24.372199999999999</v>
      </c>
      <c r="DT82">
        <v>37.5</v>
      </c>
      <c r="DU82">
        <v>24.9</v>
      </c>
      <c r="DV82">
        <v>11.974600000000001</v>
      </c>
      <c r="DW82">
        <v>62.1999</v>
      </c>
      <c r="DX82">
        <v>35.652999999999999</v>
      </c>
      <c r="DY82">
        <v>1</v>
      </c>
      <c r="DZ82">
        <v>-0.15834100000000001</v>
      </c>
      <c r="EA82">
        <v>-0.109739</v>
      </c>
      <c r="EB82">
        <v>20.192399999999999</v>
      </c>
      <c r="EC82">
        <v>5.2416999999999998</v>
      </c>
      <c r="ED82">
        <v>12.039899999999999</v>
      </c>
      <c r="EE82">
        <v>5.0172999999999996</v>
      </c>
      <c r="EF82">
        <v>3.2879999999999998</v>
      </c>
      <c r="EG82">
        <v>9999</v>
      </c>
      <c r="EH82">
        <v>9999</v>
      </c>
      <c r="EI82">
        <v>9999</v>
      </c>
      <c r="EJ82">
        <v>999.9</v>
      </c>
      <c r="EK82">
        <v>1.8687400000000001</v>
      </c>
      <c r="EL82">
        <v>1.8644700000000001</v>
      </c>
      <c r="EM82">
        <v>1.8690500000000001</v>
      </c>
      <c r="EN82">
        <v>1.8670800000000001</v>
      </c>
      <c r="EO82">
        <v>1.8632500000000001</v>
      </c>
      <c r="EP82">
        <v>1.8643400000000001</v>
      </c>
      <c r="EQ82">
        <v>1.87008</v>
      </c>
      <c r="ER82">
        <v>1.8693</v>
      </c>
      <c r="ES82">
        <v>0</v>
      </c>
      <c r="ET82">
        <v>0</v>
      </c>
      <c r="EU82">
        <v>0</v>
      </c>
      <c r="EV82">
        <v>0</v>
      </c>
      <c r="EW82" t="s">
        <v>334</v>
      </c>
      <c r="EX82" t="s">
        <v>335</v>
      </c>
      <c r="EY82" t="s">
        <v>336</v>
      </c>
      <c r="EZ82" t="s">
        <v>336</v>
      </c>
      <c r="FA82" t="s">
        <v>336</v>
      </c>
      <c r="FB82" t="s">
        <v>336</v>
      </c>
      <c r="FC82">
        <v>0</v>
      </c>
      <c r="FD82">
        <v>100</v>
      </c>
      <c r="FE82">
        <v>100</v>
      </c>
      <c r="FF82">
        <v>-1.3180000000000001</v>
      </c>
      <c r="FG82">
        <v>0.17829999999999999</v>
      </c>
      <c r="FH82">
        <v>-0.98020551812546231</v>
      </c>
      <c r="FI82">
        <v>-6.1462078757559423E-4</v>
      </c>
      <c r="FJ82">
        <v>-1.8861989874597051E-7</v>
      </c>
      <c r="FK82">
        <v>1.1980462299894961E-10</v>
      </c>
      <c r="FL82">
        <v>0.1782306200647516</v>
      </c>
      <c r="FM82">
        <v>0</v>
      </c>
      <c r="FN82">
        <v>0</v>
      </c>
      <c r="FO82">
        <v>0</v>
      </c>
      <c r="FP82">
        <v>3</v>
      </c>
      <c r="FQ82">
        <v>2158</v>
      </c>
      <c r="FR82">
        <v>1</v>
      </c>
      <c r="FS82">
        <v>19</v>
      </c>
      <c r="FT82">
        <v>12.9</v>
      </c>
      <c r="FU82">
        <v>13.2</v>
      </c>
      <c r="FV82">
        <v>1.7736799999999999</v>
      </c>
      <c r="FW82">
        <v>2.5427200000000001</v>
      </c>
      <c r="FX82">
        <v>1.5490699999999999</v>
      </c>
      <c r="FY82">
        <v>2.34497</v>
      </c>
      <c r="FZ82">
        <v>1.50146</v>
      </c>
      <c r="GA82">
        <v>2.4023400000000001</v>
      </c>
      <c r="GB82">
        <v>30.393899999999999</v>
      </c>
      <c r="GC82">
        <v>23.991199999999999</v>
      </c>
      <c r="GD82">
        <v>19</v>
      </c>
      <c r="GE82">
        <v>264.68299999999999</v>
      </c>
      <c r="GF82">
        <v>610.92100000000005</v>
      </c>
      <c r="GG82">
        <v>24.3171</v>
      </c>
      <c r="GH82">
        <v>25.425999999999998</v>
      </c>
      <c r="GI82">
        <v>30.0001</v>
      </c>
      <c r="GJ82">
        <v>25.5396</v>
      </c>
      <c r="GK82">
        <v>25.4956</v>
      </c>
      <c r="GL82">
        <v>35.466799999999999</v>
      </c>
      <c r="GM82">
        <v>-30</v>
      </c>
      <c r="GN82">
        <v>-30</v>
      </c>
      <c r="GO82">
        <v>24.2944</v>
      </c>
      <c r="GP82">
        <v>800</v>
      </c>
      <c r="GQ82">
        <v>0</v>
      </c>
      <c r="GR82">
        <v>99.612300000000005</v>
      </c>
      <c r="GS82">
        <v>99.204099999999997</v>
      </c>
    </row>
    <row r="83" spans="1:201" x14ac:dyDescent="0.25">
      <c r="A83">
        <v>67</v>
      </c>
      <c r="B83">
        <v>1690201555.5</v>
      </c>
      <c r="C83">
        <v>708.5</v>
      </c>
      <c r="D83" t="s">
        <v>467</v>
      </c>
      <c r="E83" t="s">
        <v>468</v>
      </c>
      <c r="F83" t="s">
        <v>330</v>
      </c>
      <c r="H83">
        <v>1690201555.5</v>
      </c>
      <c r="I83">
        <f t="shared" si="30"/>
        <v>1.3386861685147639E-3</v>
      </c>
      <c r="J83">
        <f t="shared" si="31"/>
        <v>1.338686168514764</v>
      </c>
      <c r="K83">
        <f t="shared" si="32"/>
        <v>26.996477652288618</v>
      </c>
      <c r="L83">
        <f t="shared" si="33"/>
        <v>493.17200000000003</v>
      </c>
      <c r="M83">
        <f t="shared" si="34"/>
        <v>104.74138920771563</v>
      </c>
      <c r="N83">
        <f t="shared" si="35"/>
        <v>10.377926622887031</v>
      </c>
      <c r="O83">
        <f t="shared" si="36"/>
        <v>48.864186995959997</v>
      </c>
      <c r="P83">
        <f t="shared" si="37"/>
        <v>0.11583517387822803</v>
      </c>
      <c r="Q83">
        <f t="shared" si="38"/>
        <v>2.0792897403271646</v>
      </c>
      <c r="R83">
        <f t="shared" si="39"/>
        <v>0.11236591313862589</v>
      </c>
      <c r="S83">
        <f t="shared" si="40"/>
        <v>7.0531739989437237E-2</v>
      </c>
      <c r="T83">
        <f t="shared" si="41"/>
        <v>276.11295925459319</v>
      </c>
      <c r="U83">
        <f t="shared" si="42"/>
        <v>27.352299574843691</v>
      </c>
      <c r="V83">
        <f t="shared" si="43"/>
        <v>27.352299574843691</v>
      </c>
      <c r="W83">
        <f t="shared" si="44"/>
        <v>3.6538898373454449</v>
      </c>
      <c r="X83">
        <f t="shared" si="45"/>
        <v>76.1967186094856</v>
      </c>
      <c r="Y83">
        <f t="shared" si="46"/>
        <v>2.5101883964780001</v>
      </c>
      <c r="Z83">
        <f t="shared" si="47"/>
        <v>3.294352358325193</v>
      </c>
      <c r="AA83">
        <f t="shared" si="48"/>
        <v>1.1437014408674449</v>
      </c>
      <c r="AB83">
        <f t="shared" si="49"/>
        <v>-59.036060031501087</v>
      </c>
      <c r="AC83">
        <f t="shared" si="50"/>
        <v>-196.92368326026991</v>
      </c>
      <c r="AD83">
        <f t="shared" si="51"/>
        <v>-20.331762831004635</v>
      </c>
      <c r="AE83">
        <f t="shared" si="52"/>
        <v>-0.17854686818242271</v>
      </c>
      <c r="AF83">
        <v>14</v>
      </c>
      <c r="AG83">
        <v>5</v>
      </c>
      <c r="AH83">
        <f t="shared" si="53"/>
        <v>1</v>
      </c>
      <c r="AI83">
        <f t="shared" si="54"/>
        <v>0</v>
      </c>
      <c r="AJ83">
        <f t="shared" si="55"/>
        <v>52550.028119028808</v>
      </c>
      <c r="AK83">
        <f t="shared" si="56"/>
        <v>1799.99</v>
      </c>
      <c r="AL83">
        <f t="shared" si="57"/>
        <v>1499.1044689955702</v>
      </c>
      <c r="AM83">
        <f t="shared" si="58"/>
        <v>0.83284044300000004</v>
      </c>
      <c r="AN83">
        <f t="shared" si="59"/>
        <v>0.15339694068000001</v>
      </c>
      <c r="AO83">
        <v>33.299999999999997</v>
      </c>
      <c r="AP83">
        <v>0.5</v>
      </c>
      <c r="AQ83" t="s">
        <v>331</v>
      </c>
      <c r="AR83">
        <v>2</v>
      </c>
      <c r="AS83">
        <v>1690201555.5</v>
      </c>
      <c r="AT83">
        <v>493.17200000000003</v>
      </c>
      <c r="AU83">
        <v>800.02</v>
      </c>
      <c r="AV83">
        <v>25.334599999999998</v>
      </c>
      <c r="AW83">
        <v>10.8583</v>
      </c>
      <c r="AX83">
        <v>494.488</v>
      </c>
      <c r="AY83">
        <v>25.156400000000001</v>
      </c>
      <c r="AZ83">
        <v>300.13799999999998</v>
      </c>
      <c r="BA83">
        <v>98.981399999999994</v>
      </c>
      <c r="BB83">
        <v>0.10002999999999999</v>
      </c>
      <c r="BC83">
        <v>25.595600000000001</v>
      </c>
      <c r="BD83">
        <v>26.9833</v>
      </c>
      <c r="BE83">
        <v>27.515499999999999</v>
      </c>
      <c r="BF83">
        <v>0</v>
      </c>
      <c r="BG83">
        <v>0</v>
      </c>
      <c r="BH83">
        <v>9993.1200000000008</v>
      </c>
      <c r="BI83">
        <v>1072.67</v>
      </c>
      <c r="BJ83">
        <v>1.4577199999999999</v>
      </c>
      <c r="BK83">
        <v>-306.84800000000001</v>
      </c>
      <c r="BL83">
        <v>505.99099999999999</v>
      </c>
      <c r="BM83">
        <v>808.80200000000002</v>
      </c>
      <c r="BN83">
        <v>14.4764</v>
      </c>
      <c r="BO83">
        <v>800.02</v>
      </c>
      <c r="BP83">
        <v>10.8583</v>
      </c>
      <c r="BQ83">
        <v>2.50766</v>
      </c>
      <c r="BR83">
        <v>1.07477</v>
      </c>
      <c r="BS83">
        <v>21.0763</v>
      </c>
      <c r="BT83">
        <v>7.9713900000000004</v>
      </c>
      <c r="BU83">
        <v>1799.99</v>
      </c>
      <c r="BV83">
        <v>0.91001100000000001</v>
      </c>
      <c r="BW83">
        <v>3.3999300000000003E-2</v>
      </c>
      <c r="BX83">
        <v>2.19939E-2</v>
      </c>
      <c r="BY83">
        <v>3.3995999999999998E-2</v>
      </c>
      <c r="BZ83">
        <v>25</v>
      </c>
      <c r="CA83">
        <v>33528.300000000003</v>
      </c>
      <c r="CB83">
        <v>1690200769.5</v>
      </c>
      <c r="CC83" t="s">
        <v>332</v>
      </c>
      <c r="CD83">
        <v>1690200769.5</v>
      </c>
      <c r="CE83">
        <v>1690200753</v>
      </c>
      <c r="CF83">
        <v>2</v>
      </c>
      <c r="CG83">
        <v>-0.245</v>
      </c>
      <c r="CH83">
        <v>3.0000000000000001E-3</v>
      </c>
      <c r="CI83">
        <v>-1.5169999999999999</v>
      </c>
      <c r="CJ83">
        <v>-1.6E-2</v>
      </c>
      <c r="CK83">
        <v>778</v>
      </c>
      <c r="CL83">
        <v>12</v>
      </c>
      <c r="CM83">
        <v>0.01</v>
      </c>
      <c r="CN83">
        <v>0.03</v>
      </c>
      <c r="CO83">
        <v>-302.937725</v>
      </c>
      <c r="CP83">
        <v>-22.977849906190631</v>
      </c>
      <c r="CQ83">
        <v>2.2109935774160459</v>
      </c>
      <c r="CR83">
        <v>-1</v>
      </c>
      <c r="CS83">
        <v>14.335632499999999</v>
      </c>
      <c r="CT83">
        <v>0.83612870544089202</v>
      </c>
      <c r="CU83">
        <v>8.0440587974914712E-2</v>
      </c>
      <c r="CV83">
        <v>-1</v>
      </c>
      <c r="CW83">
        <v>0</v>
      </c>
      <c r="CX83">
        <v>0</v>
      </c>
      <c r="CY83" t="s">
        <v>333</v>
      </c>
      <c r="CZ83">
        <v>2.3652799999999998</v>
      </c>
      <c r="DA83">
        <v>2.7138100000000001</v>
      </c>
      <c r="DB83">
        <v>0.10498</v>
      </c>
      <c r="DC83">
        <v>0.14632400000000001</v>
      </c>
      <c r="DD83">
        <v>0.118469</v>
      </c>
      <c r="DE83">
        <v>6.3074599999999995E-2</v>
      </c>
      <c r="DF83">
        <v>32648.6</v>
      </c>
      <c r="DG83">
        <v>27430.3</v>
      </c>
      <c r="DH83">
        <v>31138.3</v>
      </c>
      <c r="DI83">
        <v>27995.599999999999</v>
      </c>
      <c r="DJ83">
        <v>37248.6</v>
      </c>
      <c r="DK83">
        <v>37263.800000000003</v>
      </c>
      <c r="DL83">
        <v>44301.599999999999</v>
      </c>
      <c r="DM83">
        <v>42391.1</v>
      </c>
      <c r="DN83">
        <v>1.4406000000000001</v>
      </c>
      <c r="DO83">
        <v>2.0808499999999999</v>
      </c>
      <c r="DP83">
        <v>0.15199199999999999</v>
      </c>
      <c r="DQ83">
        <v>0.19159200000000001</v>
      </c>
      <c r="DR83">
        <v>24.4925</v>
      </c>
      <c r="DS83">
        <v>24.376799999999999</v>
      </c>
      <c r="DT83">
        <v>37.4</v>
      </c>
      <c r="DU83">
        <v>24.9</v>
      </c>
      <c r="DV83">
        <v>11.9442</v>
      </c>
      <c r="DW83">
        <v>62.099899999999998</v>
      </c>
      <c r="DX83">
        <v>36.097799999999999</v>
      </c>
      <c r="DY83">
        <v>1</v>
      </c>
      <c r="DZ83">
        <v>-0.15842000000000001</v>
      </c>
      <c r="EA83">
        <v>-8.3047399999999993E-2</v>
      </c>
      <c r="EB83">
        <v>20.192499999999999</v>
      </c>
      <c r="EC83">
        <v>5.2416999999999998</v>
      </c>
      <c r="ED83">
        <v>12.039899999999999</v>
      </c>
      <c r="EE83">
        <v>5.0174000000000003</v>
      </c>
      <c r="EF83">
        <v>3.2879999999999998</v>
      </c>
      <c r="EG83">
        <v>9999</v>
      </c>
      <c r="EH83">
        <v>9999</v>
      </c>
      <c r="EI83">
        <v>9999</v>
      </c>
      <c r="EJ83">
        <v>999.9</v>
      </c>
      <c r="EK83">
        <v>1.86876</v>
      </c>
      <c r="EL83">
        <v>1.8644700000000001</v>
      </c>
      <c r="EM83">
        <v>1.8690500000000001</v>
      </c>
      <c r="EN83">
        <v>1.86707</v>
      </c>
      <c r="EO83">
        <v>1.8632599999999999</v>
      </c>
      <c r="EP83">
        <v>1.86433</v>
      </c>
      <c r="EQ83">
        <v>1.8700699999999999</v>
      </c>
      <c r="ER83">
        <v>1.8692899999999999</v>
      </c>
      <c r="ES83">
        <v>0</v>
      </c>
      <c r="ET83">
        <v>0</v>
      </c>
      <c r="EU83">
        <v>0</v>
      </c>
      <c r="EV83">
        <v>0</v>
      </c>
      <c r="EW83" t="s">
        <v>334</v>
      </c>
      <c r="EX83" t="s">
        <v>335</v>
      </c>
      <c r="EY83" t="s">
        <v>336</v>
      </c>
      <c r="EZ83" t="s">
        <v>336</v>
      </c>
      <c r="FA83" t="s">
        <v>336</v>
      </c>
      <c r="FB83" t="s">
        <v>336</v>
      </c>
      <c r="FC83">
        <v>0</v>
      </c>
      <c r="FD83">
        <v>100</v>
      </c>
      <c r="FE83">
        <v>100</v>
      </c>
      <c r="FF83">
        <v>-1.3160000000000001</v>
      </c>
      <c r="FG83">
        <v>0.1782</v>
      </c>
      <c r="FH83">
        <v>-0.98020551812546231</v>
      </c>
      <c r="FI83">
        <v>-6.1462078757559423E-4</v>
      </c>
      <c r="FJ83">
        <v>-1.8861989874597051E-7</v>
      </c>
      <c r="FK83">
        <v>1.1980462299894961E-10</v>
      </c>
      <c r="FL83">
        <v>0.1782306200647516</v>
      </c>
      <c r="FM83">
        <v>0</v>
      </c>
      <c r="FN83">
        <v>0</v>
      </c>
      <c r="FO83">
        <v>0</v>
      </c>
      <c r="FP83">
        <v>3</v>
      </c>
      <c r="FQ83">
        <v>2158</v>
      </c>
      <c r="FR83">
        <v>1</v>
      </c>
      <c r="FS83">
        <v>19</v>
      </c>
      <c r="FT83">
        <v>13.1</v>
      </c>
      <c r="FU83">
        <v>13.4</v>
      </c>
      <c r="FV83">
        <v>1.7736799999999999</v>
      </c>
      <c r="FW83">
        <v>2.5402800000000001</v>
      </c>
      <c r="FX83">
        <v>1.5490699999999999</v>
      </c>
      <c r="FY83">
        <v>2.34497</v>
      </c>
      <c r="FZ83">
        <v>1.50024</v>
      </c>
      <c r="GA83">
        <v>2.31934</v>
      </c>
      <c r="GB83">
        <v>30.415400000000002</v>
      </c>
      <c r="GC83">
        <v>23.982399999999998</v>
      </c>
      <c r="GD83">
        <v>19</v>
      </c>
      <c r="GE83">
        <v>264.65899999999999</v>
      </c>
      <c r="GF83">
        <v>610.66499999999996</v>
      </c>
      <c r="GG83">
        <v>24.2864</v>
      </c>
      <c r="GH83">
        <v>25.4238</v>
      </c>
      <c r="GI83">
        <v>30</v>
      </c>
      <c r="GJ83">
        <v>25.5412</v>
      </c>
      <c r="GK83">
        <v>25.4956</v>
      </c>
      <c r="GL83">
        <v>35.469299999999997</v>
      </c>
      <c r="GM83">
        <v>-30</v>
      </c>
      <c r="GN83">
        <v>-30</v>
      </c>
      <c r="GO83">
        <v>24.285299999999999</v>
      </c>
      <c r="GP83">
        <v>800</v>
      </c>
      <c r="GQ83">
        <v>0</v>
      </c>
      <c r="GR83">
        <v>99.614500000000007</v>
      </c>
      <c r="GS83">
        <v>99.205299999999994</v>
      </c>
    </row>
    <row r="84" spans="1:201" x14ac:dyDescent="0.25">
      <c r="A84">
        <v>68</v>
      </c>
      <c r="B84">
        <v>1690201565.5</v>
      </c>
      <c r="C84">
        <v>718.5</v>
      </c>
      <c r="D84" t="s">
        <v>469</v>
      </c>
      <c r="E84" t="s">
        <v>470</v>
      </c>
      <c r="F84" t="s">
        <v>330</v>
      </c>
      <c r="H84">
        <v>1690201565.5</v>
      </c>
      <c r="I84">
        <f t="shared" si="30"/>
        <v>1.351118960596984E-3</v>
      </c>
      <c r="J84">
        <f t="shared" si="31"/>
        <v>1.351118960596984</v>
      </c>
      <c r="K84">
        <f t="shared" si="32"/>
        <v>27.335678721595688</v>
      </c>
      <c r="L84">
        <f t="shared" si="33"/>
        <v>489.36799999999999</v>
      </c>
      <c r="M84">
        <f t="shared" si="34"/>
        <v>103.97927811352999</v>
      </c>
      <c r="N84">
        <f t="shared" si="35"/>
        <v>10.302546673328026</v>
      </c>
      <c r="O84">
        <f t="shared" si="36"/>
        <v>48.487898280351196</v>
      </c>
      <c r="P84">
        <f t="shared" si="37"/>
        <v>0.11825604055644513</v>
      </c>
      <c r="Q84">
        <f t="shared" si="38"/>
        <v>2.0827249699772219</v>
      </c>
      <c r="R84">
        <f t="shared" si="39"/>
        <v>0.11464845359812795</v>
      </c>
      <c r="S84">
        <f t="shared" si="40"/>
        <v>7.1970243354981644E-2</v>
      </c>
      <c r="T84">
        <f t="shared" si="41"/>
        <v>276.11266177024595</v>
      </c>
      <c r="U84">
        <f t="shared" si="42"/>
        <v>27.349231386533248</v>
      </c>
      <c r="V84">
        <f t="shared" si="43"/>
        <v>27.349231386533248</v>
      </c>
      <c r="W84">
        <f t="shared" si="44"/>
        <v>3.6532331774071274</v>
      </c>
      <c r="X84">
        <f t="shared" si="45"/>
        <v>76.535321364318875</v>
      </c>
      <c r="Y84">
        <f t="shared" si="46"/>
        <v>2.5219418232086097</v>
      </c>
      <c r="Z84">
        <f t="shared" si="47"/>
        <v>3.2951345578126112</v>
      </c>
      <c r="AA84">
        <f t="shared" si="48"/>
        <v>1.1312913541985177</v>
      </c>
      <c r="AB84">
        <f t="shared" si="49"/>
        <v>-59.584346162326995</v>
      </c>
      <c r="AC84">
        <f t="shared" si="50"/>
        <v>-196.45538067141297</v>
      </c>
      <c r="AD84">
        <f t="shared" si="51"/>
        <v>-20.250049850350766</v>
      </c>
      <c r="AE84">
        <f t="shared" si="52"/>
        <v>-0.1771149138447754</v>
      </c>
      <c r="AF84">
        <v>14</v>
      </c>
      <c r="AG84">
        <v>5</v>
      </c>
      <c r="AH84">
        <f t="shared" si="53"/>
        <v>1</v>
      </c>
      <c r="AI84">
        <f t="shared" si="54"/>
        <v>0</v>
      </c>
      <c r="AJ84">
        <f t="shared" si="55"/>
        <v>52704.712059691301</v>
      </c>
      <c r="AK84">
        <f t="shared" si="56"/>
        <v>1799.99</v>
      </c>
      <c r="AL84">
        <f t="shared" si="57"/>
        <v>1499.1061753860899</v>
      </c>
      <c r="AM84">
        <f t="shared" si="58"/>
        <v>0.83284139099999999</v>
      </c>
      <c r="AN84">
        <f t="shared" si="59"/>
        <v>0.15339677541000002</v>
      </c>
      <c r="AO84">
        <v>33.299999999999997</v>
      </c>
      <c r="AP84">
        <v>0.5</v>
      </c>
      <c r="AQ84" t="s">
        <v>331</v>
      </c>
      <c r="AR84">
        <v>2</v>
      </c>
      <c r="AS84">
        <v>1690201565.5</v>
      </c>
      <c r="AT84">
        <v>489.36799999999999</v>
      </c>
      <c r="AU84">
        <v>800.00800000000004</v>
      </c>
      <c r="AV84">
        <v>25.4529</v>
      </c>
      <c r="AW84">
        <v>10.8431</v>
      </c>
      <c r="AX84">
        <v>490.68099999999998</v>
      </c>
      <c r="AY84">
        <v>25.274699999999999</v>
      </c>
      <c r="AZ84">
        <v>300.12099999999998</v>
      </c>
      <c r="BA84">
        <v>98.982699999999994</v>
      </c>
      <c r="BB84">
        <v>9.9990899999999994E-2</v>
      </c>
      <c r="BC84">
        <v>25.599599999999999</v>
      </c>
      <c r="BD84">
        <v>26.9589</v>
      </c>
      <c r="BE84">
        <v>27.485700000000001</v>
      </c>
      <c r="BF84">
        <v>0</v>
      </c>
      <c r="BG84">
        <v>0</v>
      </c>
      <c r="BH84">
        <v>10023.799999999999</v>
      </c>
      <c r="BI84">
        <v>1072.53</v>
      </c>
      <c r="BJ84">
        <v>1.4577199999999999</v>
      </c>
      <c r="BK84">
        <v>-310.64</v>
      </c>
      <c r="BL84">
        <v>502.149</v>
      </c>
      <c r="BM84">
        <v>808.77800000000002</v>
      </c>
      <c r="BN84">
        <v>14.6097</v>
      </c>
      <c r="BO84">
        <v>800.00800000000004</v>
      </c>
      <c r="BP84">
        <v>10.8431</v>
      </c>
      <c r="BQ84">
        <v>2.5194000000000001</v>
      </c>
      <c r="BR84">
        <v>1.07328</v>
      </c>
      <c r="BS84">
        <v>21.1523</v>
      </c>
      <c r="BT84">
        <v>7.9511099999999999</v>
      </c>
      <c r="BU84">
        <v>1799.99</v>
      </c>
      <c r="BV84">
        <v>0.91002000000000005</v>
      </c>
      <c r="BW84">
        <v>3.3995999999999998E-2</v>
      </c>
      <c r="BX84">
        <v>2.1991799999999999E-2</v>
      </c>
      <c r="BY84">
        <v>3.3992700000000001E-2</v>
      </c>
      <c r="BZ84">
        <v>25</v>
      </c>
      <c r="CA84">
        <v>33528.300000000003</v>
      </c>
      <c r="CB84">
        <v>1690200769.5</v>
      </c>
      <c r="CC84" t="s">
        <v>332</v>
      </c>
      <c r="CD84">
        <v>1690200769.5</v>
      </c>
      <c r="CE84">
        <v>1690200753</v>
      </c>
      <c r="CF84">
        <v>2</v>
      </c>
      <c r="CG84">
        <v>-0.245</v>
      </c>
      <c r="CH84">
        <v>3.0000000000000001E-3</v>
      </c>
      <c r="CI84">
        <v>-1.5169999999999999</v>
      </c>
      <c r="CJ84">
        <v>-1.6E-2</v>
      </c>
      <c r="CK84">
        <v>778</v>
      </c>
      <c r="CL84">
        <v>12</v>
      </c>
      <c r="CM84">
        <v>0.01</v>
      </c>
      <c r="CN84">
        <v>0.03</v>
      </c>
      <c r="CO84">
        <v>-306.77402499999999</v>
      </c>
      <c r="CP84">
        <v>-22.78256285178108</v>
      </c>
      <c r="CQ84">
        <v>2.1921126281226981</v>
      </c>
      <c r="CR84">
        <v>-1</v>
      </c>
      <c r="CS84">
        <v>14.473545</v>
      </c>
      <c r="CT84">
        <v>0.81287054409000359</v>
      </c>
      <c r="CU84">
        <v>7.8199504314285725E-2</v>
      </c>
      <c r="CV84">
        <v>-1</v>
      </c>
      <c r="CW84">
        <v>0</v>
      </c>
      <c r="CX84">
        <v>0</v>
      </c>
      <c r="CY84" t="s">
        <v>333</v>
      </c>
      <c r="CZ84">
        <v>2.3652299999999999</v>
      </c>
      <c r="DA84">
        <v>2.7138</v>
      </c>
      <c r="DB84">
        <v>0.10439</v>
      </c>
      <c r="DC84">
        <v>0.14632400000000001</v>
      </c>
      <c r="DD84">
        <v>0.11885800000000001</v>
      </c>
      <c r="DE84">
        <v>6.30082E-2</v>
      </c>
      <c r="DF84">
        <v>32670.2</v>
      </c>
      <c r="DG84">
        <v>27430.7</v>
      </c>
      <c r="DH84">
        <v>31138.400000000001</v>
      </c>
      <c r="DI84">
        <v>27996</v>
      </c>
      <c r="DJ84">
        <v>37232.300000000003</v>
      </c>
      <c r="DK84">
        <v>37266.9</v>
      </c>
      <c r="DL84">
        <v>44302</v>
      </c>
      <c r="DM84">
        <v>42391.6</v>
      </c>
      <c r="DN84">
        <v>1.4408000000000001</v>
      </c>
      <c r="DO84">
        <v>2.081</v>
      </c>
      <c r="DP84">
        <v>0.150282</v>
      </c>
      <c r="DQ84">
        <v>0.18945300000000001</v>
      </c>
      <c r="DR84">
        <v>24.495999999999999</v>
      </c>
      <c r="DS84">
        <v>24.381900000000002</v>
      </c>
      <c r="DT84">
        <v>37.299999999999997</v>
      </c>
      <c r="DU84">
        <v>24.9</v>
      </c>
      <c r="DV84">
        <v>11.9095</v>
      </c>
      <c r="DW84">
        <v>61.999899999999997</v>
      </c>
      <c r="DX84">
        <v>36.542499999999997</v>
      </c>
      <c r="DY84">
        <v>1</v>
      </c>
      <c r="DZ84">
        <v>-0.158054</v>
      </c>
      <c r="EA84">
        <v>-0.16443099999999999</v>
      </c>
      <c r="EB84">
        <v>20.192299999999999</v>
      </c>
      <c r="EC84">
        <v>5.2424499999999998</v>
      </c>
      <c r="ED84">
        <v>12.039899999999999</v>
      </c>
      <c r="EE84">
        <v>5.0174000000000003</v>
      </c>
      <c r="EF84">
        <v>3.2879999999999998</v>
      </c>
      <c r="EG84">
        <v>9999</v>
      </c>
      <c r="EH84">
        <v>9999</v>
      </c>
      <c r="EI84">
        <v>9999</v>
      </c>
      <c r="EJ84">
        <v>999.9</v>
      </c>
      <c r="EK84">
        <v>1.86876</v>
      </c>
      <c r="EL84">
        <v>1.8644700000000001</v>
      </c>
      <c r="EM84">
        <v>1.8690500000000001</v>
      </c>
      <c r="EN84">
        <v>1.86707</v>
      </c>
      <c r="EO84">
        <v>1.8632500000000001</v>
      </c>
      <c r="EP84">
        <v>1.86433</v>
      </c>
      <c r="EQ84">
        <v>1.8700399999999999</v>
      </c>
      <c r="ER84">
        <v>1.86931</v>
      </c>
      <c r="ES84">
        <v>0</v>
      </c>
      <c r="ET84">
        <v>0</v>
      </c>
      <c r="EU84">
        <v>0</v>
      </c>
      <c r="EV84">
        <v>0</v>
      </c>
      <c r="EW84" t="s">
        <v>334</v>
      </c>
      <c r="EX84" t="s">
        <v>335</v>
      </c>
      <c r="EY84" t="s">
        <v>336</v>
      </c>
      <c r="EZ84" t="s">
        <v>336</v>
      </c>
      <c r="FA84" t="s">
        <v>336</v>
      </c>
      <c r="FB84" t="s">
        <v>336</v>
      </c>
      <c r="FC84">
        <v>0</v>
      </c>
      <c r="FD84">
        <v>100</v>
      </c>
      <c r="FE84">
        <v>100</v>
      </c>
      <c r="FF84">
        <v>-1.3129999999999999</v>
      </c>
      <c r="FG84">
        <v>0.1782</v>
      </c>
      <c r="FH84">
        <v>-0.98020551812546231</v>
      </c>
      <c r="FI84">
        <v>-6.1462078757559423E-4</v>
      </c>
      <c r="FJ84">
        <v>-1.8861989874597051E-7</v>
      </c>
      <c r="FK84">
        <v>1.1980462299894961E-10</v>
      </c>
      <c r="FL84">
        <v>0.1782306200647516</v>
      </c>
      <c r="FM84">
        <v>0</v>
      </c>
      <c r="FN84">
        <v>0</v>
      </c>
      <c r="FO84">
        <v>0</v>
      </c>
      <c r="FP84">
        <v>3</v>
      </c>
      <c r="FQ84">
        <v>2158</v>
      </c>
      <c r="FR84">
        <v>1</v>
      </c>
      <c r="FS84">
        <v>19</v>
      </c>
      <c r="FT84">
        <v>13.3</v>
      </c>
      <c r="FU84">
        <v>13.5</v>
      </c>
      <c r="FV84">
        <v>1.7736799999999999</v>
      </c>
      <c r="FW84">
        <v>2.5463900000000002</v>
      </c>
      <c r="FX84">
        <v>1.5490699999999999</v>
      </c>
      <c r="FY84">
        <v>2.34497</v>
      </c>
      <c r="FZ84">
        <v>1.50146</v>
      </c>
      <c r="GA84">
        <v>2.32422</v>
      </c>
      <c r="GB84">
        <v>30.436900000000001</v>
      </c>
      <c r="GC84">
        <v>23.973700000000001</v>
      </c>
      <c r="GD84">
        <v>19</v>
      </c>
      <c r="GE84">
        <v>264.73899999999998</v>
      </c>
      <c r="GF84">
        <v>610.81899999999996</v>
      </c>
      <c r="GG84">
        <v>24.290900000000001</v>
      </c>
      <c r="GH84">
        <v>25.4238</v>
      </c>
      <c r="GI84">
        <v>30.0002</v>
      </c>
      <c r="GJ84">
        <v>25.5412</v>
      </c>
      <c r="GK84">
        <v>25.497699999999998</v>
      </c>
      <c r="GL84">
        <v>35.470199999999998</v>
      </c>
      <c r="GM84">
        <v>-30</v>
      </c>
      <c r="GN84">
        <v>-30</v>
      </c>
      <c r="GO84">
        <v>24.319400000000002</v>
      </c>
      <c r="GP84">
        <v>800</v>
      </c>
      <c r="GQ84">
        <v>0</v>
      </c>
      <c r="GR84">
        <v>99.615200000000002</v>
      </c>
      <c r="GS84">
        <v>99.206500000000005</v>
      </c>
    </row>
    <row r="85" spans="1:201" x14ac:dyDescent="0.25">
      <c r="A85">
        <v>69</v>
      </c>
      <c r="B85">
        <v>1690201575.5</v>
      </c>
      <c r="C85">
        <v>728.5</v>
      </c>
      <c r="D85" t="s">
        <v>471</v>
      </c>
      <c r="E85" t="s">
        <v>472</v>
      </c>
      <c r="F85" t="s">
        <v>330</v>
      </c>
      <c r="H85">
        <v>1690201575.5</v>
      </c>
      <c r="I85">
        <f t="shared" si="30"/>
        <v>1.3634123863554655E-3</v>
      </c>
      <c r="J85">
        <f t="shared" si="31"/>
        <v>1.3634123863554655</v>
      </c>
      <c r="K85">
        <f t="shared" si="32"/>
        <v>27.692839920088609</v>
      </c>
      <c r="L85">
        <f t="shared" si="33"/>
        <v>485.48099999999999</v>
      </c>
      <c r="M85">
        <f t="shared" si="34"/>
        <v>102.3252152074532</v>
      </c>
      <c r="N85">
        <f t="shared" si="35"/>
        <v>10.138878702373434</v>
      </c>
      <c r="O85">
        <f t="shared" si="36"/>
        <v>48.103812548331</v>
      </c>
      <c r="P85">
        <f t="shared" si="37"/>
        <v>0.12053935033181883</v>
      </c>
      <c r="Q85">
        <f t="shared" si="38"/>
        <v>2.0813461888864881</v>
      </c>
      <c r="R85">
        <f t="shared" si="39"/>
        <v>0.11679108323925874</v>
      </c>
      <c r="S85">
        <f t="shared" si="40"/>
        <v>7.3321484817447463E-2</v>
      </c>
      <c r="T85">
        <f t="shared" si="41"/>
        <v>276.11497095941695</v>
      </c>
      <c r="U85">
        <f t="shared" si="42"/>
        <v>27.35160897501698</v>
      </c>
      <c r="V85">
        <f t="shared" si="43"/>
        <v>27.35160897501698</v>
      </c>
      <c r="W85">
        <f t="shared" si="44"/>
        <v>3.653742024774651</v>
      </c>
      <c r="X85">
        <f t="shared" si="45"/>
        <v>76.849275849971889</v>
      </c>
      <c r="Y85">
        <f t="shared" si="46"/>
        <v>2.5331438497554002</v>
      </c>
      <c r="Z85">
        <f t="shared" si="47"/>
        <v>3.2962494724097349</v>
      </c>
      <c r="AA85">
        <f t="shared" si="48"/>
        <v>1.1205981750192509</v>
      </c>
      <c r="AB85">
        <f t="shared" si="49"/>
        <v>-60.12648623827603</v>
      </c>
      <c r="AC85">
        <f t="shared" si="50"/>
        <v>-195.95251933695275</v>
      </c>
      <c r="AD85">
        <f t="shared" si="51"/>
        <v>-20.212413697929648</v>
      </c>
      <c r="AE85">
        <f t="shared" si="52"/>
        <v>-0.17644831374147429</v>
      </c>
      <c r="AF85">
        <v>14</v>
      </c>
      <c r="AG85">
        <v>5</v>
      </c>
      <c r="AH85">
        <f t="shared" si="53"/>
        <v>1</v>
      </c>
      <c r="AI85">
        <f t="shared" si="54"/>
        <v>0</v>
      </c>
      <c r="AJ85">
        <f t="shared" si="55"/>
        <v>52641.360991824251</v>
      </c>
      <c r="AK85">
        <f t="shared" si="56"/>
        <v>1799.99</v>
      </c>
      <c r="AL85">
        <f t="shared" si="57"/>
        <v>1499.1087295718999</v>
      </c>
      <c r="AM85">
        <f t="shared" si="58"/>
        <v>0.83284280999999993</v>
      </c>
      <c r="AN85">
        <f t="shared" si="59"/>
        <v>0.15339805829999997</v>
      </c>
      <c r="AO85">
        <v>33.299999999999997</v>
      </c>
      <c r="AP85">
        <v>0.5</v>
      </c>
      <c r="AQ85" t="s">
        <v>331</v>
      </c>
      <c r="AR85">
        <v>2</v>
      </c>
      <c r="AS85">
        <v>1690201575.5</v>
      </c>
      <c r="AT85">
        <v>485.48099999999999</v>
      </c>
      <c r="AU85">
        <v>800.00800000000004</v>
      </c>
      <c r="AV85">
        <v>25.5654</v>
      </c>
      <c r="AW85">
        <v>10.8283</v>
      </c>
      <c r="AX85">
        <v>486.791</v>
      </c>
      <c r="AY85">
        <v>25.3872</v>
      </c>
      <c r="AZ85">
        <v>300.20100000000002</v>
      </c>
      <c r="BA85">
        <v>98.984899999999996</v>
      </c>
      <c r="BB85">
        <v>9.9950999999999998E-2</v>
      </c>
      <c r="BC85">
        <v>25.6053</v>
      </c>
      <c r="BD85">
        <v>26.982900000000001</v>
      </c>
      <c r="BE85">
        <v>27.5121</v>
      </c>
      <c r="BF85">
        <v>0</v>
      </c>
      <c r="BG85">
        <v>0</v>
      </c>
      <c r="BH85">
        <v>10011.200000000001</v>
      </c>
      <c r="BI85">
        <v>1072.5899999999999</v>
      </c>
      <c r="BJ85">
        <v>1.4577199999999999</v>
      </c>
      <c r="BK85">
        <v>-314.52699999999999</v>
      </c>
      <c r="BL85">
        <v>498.21800000000002</v>
      </c>
      <c r="BM85">
        <v>808.76499999999999</v>
      </c>
      <c r="BN85">
        <v>14.7371</v>
      </c>
      <c r="BO85">
        <v>800.00800000000004</v>
      </c>
      <c r="BP85">
        <v>10.8283</v>
      </c>
      <c r="BQ85">
        <v>2.5305900000000001</v>
      </c>
      <c r="BR85">
        <v>1.0718399999999999</v>
      </c>
      <c r="BS85">
        <v>21.224599999999999</v>
      </c>
      <c r="BT85">
        <v>7.93133</v>
      </c>
      <c r="BU85">
        <v>1799.99</v>
      </c>
      <c r="BV85">
        <v>0.91000999999999999</v>
      </c>
      <c r="BW85">
        <v>3.3991800000000003E-2</v>
      </c>
      <c r="BX85">
        <v>2.2009999999999998E-2</v>
      </c>
      <c r="BY85">
        <v>3.3988600000000001E-2</v>
      </c>
      <c r="BZ85">
        <v>25</v>
      </c>
      <c r="CA85">
        <v>33528.1</v>
      </c>
      <c r="CB85">
        <v>1690200769.5</v>
      </c>
      <c r="CC85" t="s">
        <v>332</v>
      </c>
      <c r="CD85">
        <v>1690200769.5</v>
      </c>
      <c r="CE85">
        <v>1690200753</v>
      </c>
      <c r="CF85">
        <v>2</v>
      </c>
      <c r="CG85">
        <v>-0.245</v>
      </c>
      <c r="CH85">
        <v>3.0000000000000001E-3</v>
      </c>
      <c r="CI85">
        <v>-1.5169999999999999</v>
      </c>
      <c r="CJ85">
        <v>-1.6E-2</v>
      </c>
      <c r="CK85">
        <v>778</v>
      </c>
      <c r="CL85">
        <v>12</v>
      </c>
      <c r="CM85">
        <v>0.01</v>
      </c>
      <c r="CN85">
        <v>0.03</v>
      </c>
      <c r="CO85">
        <v>-310.56020000000001</v>
      </c>
      <c r="CP85">
        <v>-22.626551594745909</v>
      </c>
      <c r="CQ85">
        <v>2.1767819390099699</v>
      </c>
      <c r="CR85">
        <v>-1</v>
      </c>
      <c r="CS85">
        <v>14.605752499999999</v>
      </c>
      <c r="CT85">
        <v>0.77258048780486743</v>
      </c>
      <c r="CU85">
        <v>7.4330848197434116E-2</v>
      </c>
      <c r="CV85">
        <v>-1</v>
      </c>
      <c r="CW85">
        <v>0</v>
      </c>
      <c r="CX85">
        <v>0</v>
      </c>
      <c r="CY85" t="s">
        <v>333</v>
      </c>
      <c r="CZ85">
        <v>2.3654999999999999</v>
      </c>
      <c r="DA85">
        <v>2.7137500000000001</v>
      </c>
      <c r="DB85">
        <v>0.103785</v>
      </c>
      <c r="DC85">
        <v>0.14632600000000001</v>
      </c>
      <c r="DD85">
        <v>0.119229</v>
      </c>
      <c r="DE85">
        <v>6.2943899999999997E-2</v>
      </c>
      <c r="DF85">
        <v>32692</v>
      </c>
      <c r="DG85">
        <v>27430.5</v>
      </c>
      <c r="DH85">
        <v>31138.2</v>
      </c>
      <c r="DI85">
        <v>27995.9</v>
      </c>
      <c r="DJ85">
        <v>37216</v>
      </c>
      <c r="DK85">
        <v>37269.5</v>
      </c>
      <c r="DL85">
        <v>44301.599999999999</v>
      </c>
      <c r="DM85">
        <v>42391.6</v>
      </c>
      <c r="DN85">
        <v>1.44093</v>
      </c>
      <c r="DO85">
        <v>2.08073</v>
      </c>
      <c r="DP85">
        <v>0.151619</v>
      </c>
      <c r="DQ85">
        <v>0.19084699999999999</v>
      </c>
      <c r="DR85">
        <v>24.498200000000001</v>
      </c>
      <c r="DS85">
        <v>24.3856</v>
      </c>
      <c r="DT85">
        <v>37.200000000000003</v>
      </c>
      <c r="DU85">
        <v>24.9</v>
      </c>
      <c r="DV85">
        <v>11.879200000000001</v>
      </c>
      <c r="DW85">
        <v>62.1999</v>
      </c>
      <c r="DX85">
        <v>35.488799999999998</v>
      </c>
      <c r="DY85">
        <v>1</v>
      </c>
      <c r="DZ85">
        <v>-0.158331</v>
      </c>
      <c r="EA85">
        <v>-0.26838499999999998</v>
      </c>
      <c r="EB85">
        <v>20.192299999999999</v>
      </c>
      <c r="EC85">
        <v>5.242</v>
      </c>
      <c r="ED85">
        <v>12.039899999999999</v>
      </c>
      <c r="EE85">
        <v>5.0174000000000003</v>
      </c>
      <c r="EF85">
        <v>3.2879999999999998</v>
      </c>
      <c r="EG85">
        <v>9999</v>
      </c>
      <c r="EH85">
        <v>9999</v>
      </c>
      <c r="EI85">
        <v>9999</v>
      </c>
      <c r="EJ85">
        <v>999.9</v>
      </c>
      <c r="EK85">
        <v>1.8687400000000001</v>
      </c>
      <c r="EL85">
        <v>1.8644700000000001</v>
      </c>
      <c r="EM85">
        <v>1.8690500000000001</v>
      </c>
      <c r="EN85">
        <v>1.8670800000000001</v>
      </c>
      <c r="EO85">
        <v>1.8632500000000001</v>
      </c>
      <c r="EP85">
        <v>1.86432</v>
      </c>
      <c r="EQ85">
        <v>1.8700399999999999</v>
      </c>
      <c r="ER85">
        <v>1.8693200000000001</v>
      </c>
      <c r="ES85">
        <v>0</v>
      </c>
      <c r="ET85">
        <v>0</v>
      </c>
      <c r="EU85">
        <v>0</v>
      </c>
      <c r="EV85">
        <v>0</v>
      </c>
      <c r="EW85" t="s">
        <v>334</v>
      </c>
      <c r="EX85" t="s">
        <v>335</v>
      </c>
      <c r="EY85" t="s">
        <v>336</v>
      </c>
      <c r="EZ85" t="s">
        <v>336</v>
      </c>
      <c r="FA85" t="s">
        <v>336</v>
      </c>
      <c r="FB85" t="s">
        <v>336</v>
      </c>
      <c r="FC85">
        <v>0</v>
      </c>
      <c r="FD85">
        <v>100</v>
      </c>
      <c r="FE85">
        <v>100</v>
      </c>
      <c r="FF85">
        <v>-1.31</v>
      </c>
      <c r="FG85">
        <v>0.1782</v>
      </c>
      <c r="FH85">
        <v>-0.98020551812546231</v>
      </c>
      <c r="FI85">
        <v>-6.1462078757559423E-4</v>
      </c>
      <c r="FJ85">
        <v>-1.8861989874597051E-7</v>
      </c>
      <c r="FK85">
        <v>1.1980462299894961E-10</v>
      </c>
      <c r="FL85">
        <v>0.1782306200647516</v>
      </c>
      <c r="FM85">
        <v>0</v>
      </c>
      <c r="FN85">
        <v>0</v>
      </c>
      <c r="FO85">
        <v>0</v>
      </c>
      <c r="FP85">
        <v>3</v>
      </c>
      <c r="FQ85">
        <v>2158</v>
      </c>
      <c r="FR85">
        <v>1</v>
      </c>
      <c r="FS85">
        <v>19</v>
      </c>
      <c r="FT85">
        <v>13.4</v>
      </c>
      <c r="FU85">
        <v>13.7</v>
      </c>
      <c r="FV85">
        <v>1.7736799999999999</v>
      </c>
      <c r="FW85">
        <v>2.5451700000000002</v>
      </c>
      <c r="FX85">
        <v>1.5490699999999999</v>
      </c>
      <c r="FY85">
        <v>2.34375</v>
      </c>
      <c r="FZ85">
        <v>1.50146</v>
      </c>
      <c r="GA85">
        <v>2.4072300000000002</v>
      </c>
      <c r="GB85">
        <v>30.436900000000001</v>
      </c>
      <c r="GC85">
        <v>23.982399999999998</v>
      </c>
      <c r="GD85">
        <v>19</v>
      </c>
      <c r="GE85">
        <v>264.79000000000002</v>
      </c>
      <c r="GF85">
        <v>610.58399999999995</v>
      </c>
      <c r="GG85">
        <v>24.342099999999999</v>
      </c>
      <c r="GH85">
        <v>25.4238</v>
      </c>
      <c r="GI85">
        <v>30</v>
      </c>
      <c r="GJ85">
        <v>25.5412</v>
      </c>
      <c r="GK85">
        <v>25.497699999999998</v>
      </c>
      <c r="GL85">
        <v>35.471299999999999</v>
      </c>
      <c r="GM85">
        <v>-30</v>
      </c>
      <c r="GN85">
        <v>-30</v>
      </c>
      <c r="GO85">
        <v>24.366800000000001</v>
      </c>
      <c r="GP85">
        <v>800</v>
      </c>
      <c r="GQ85">
        <v>0</v>
      </c>
      <c r="GR85">
        <v>99.614400000000003</v>
      </c>
      <c r="GS85">
        <v>99.206400000000002</v>
      </c>
    </row>
    <row r="86" spans="1:201" x14ac:dyDescent="0.25">
      <c r="A86">
        <v>70</v>
      </c>
      <c r="B86">
        <v>1690201585.5</v>
      </c>
      <c r="C86">
        <v>738.5</v>
      </c>
      <c r="D86" t="s">
        <v>473</v>
      </c>
      <c r="E86" t="s">
        <v>474</v>
      </c>
      <c r="F86" t="s">
        <v>330</v>
      </c>
      <c r="H86">
        <v>1690201585.5</v>
      </c>
      <c r="I86">
        <f t="shared" si="30"/>
        <v>1.3761551845075041E-3</v>
      </c>
      <c r="J86">
        <f t="shared" si="31"/>
        <v>1.3761551845075042</v>
      </c>
      <c r="K86">
        <f t="shared" si="32"/>
        <v>28.027376053163984</v>
      </c>
      <c r="L86">
        <f t="shared" si="33"/>
        <v>481.77800000000002</v>
      </c>
      <c r="M86">
        <f t="shared" si="34"/>
        <v>100.88900216053568</v>
      </c>
      <c r="N86">
        <f t="shared" si="35"/>
        <v>9.9964493682557354</v>
      </c>
      <c r="O86">
        <f t="shared" si="36"/>
        <v>47.736316948363999</v>
      </c>
      <c r="P86">
        <f t="shared" si="37"/>
        <v>0.12276724679304508</v>
      </c>
      <c r="Q86">
        <f t="shared" si="38"/>
        <v>2.078128151079802</v>
      </c>
      <c r="R86">
        <f t="shared" si="39"/>
        <v>0.11887573484215955</v>
      </c>
      <c r="S86">
        <f t="shared" si="40"/>
        <v>7.4636695526391059E-2</v>
      </c>
      <c r="T86">
        <f t="shared" si="41"/>
        <v>276.114910119755</v>
      </c>
      <c r="U86">
        <f t="shared" si="42"/>
        <v>27.363189264296384</v>
      </c>
      <c r="V86">
        <f t="shared" si="43"/>
        <v>27.363189264296384</v>
      </c>
      <c r="W86">
        <f t="shared" si="44"/>
        <v>3.6562213026761028</v>
      </c>
      <c r="X86">
        <f t="shared" si="45"/>
        <v>77.148703837152453</v>
      </c>
      <c r="Y86">
        <f t="shared" si="46"/>
        <v>2.5450821423956</v>
      </c>
      <c r="Z86">
        <f t="shared" si="47"/>
        <v>3.2989305274238014</v>
      </c>
      <c r="AA86">
        <f t="shared" si="48"/>
        <v>1.1111391602805027</v>
      </c>
      <c r="AB86">
        <f t="shared" si="49"/>
        <v>-60.688443636780931</v>
      </c>
      <c r="AC86">
        <f t="shared" si="50"/>
        <v>-195.412066695693</v>
      </c>
      <c r="AD86">
        <f t="shared" si="51"/>
        <v>-20.190435295089348</v>
      </c>
      <c r="AE86">
        <f t="shared" si="52"/>
        <v>-0.17603550780827959</v>
      </c>
      <c r="AF86">
        <v>14</v>
      </c>
      <c r="AG86">
        <v>5</v>
      </c>
      <c r="AH86">
        <f t="shared" si="53"/>
        <v>1</v>
      </c>
      <c r="AI86">
        <f t="shared" si="54"/>
        <v>0</v>
      </c>
      <c r="AJ86">
        <f t="shared" si="55"/>
        <v>52493.499661822301</v>
      </c>
      <c r="AK86">
        <f t="shared" si="56"/>
        <v>1799.99</v>
      </c>
      <c r="AL86">
        <f t="shared" si="57"/>
        <v>1499.1045535951</v>
      </c>
      <c r="AM86">
        <f t="shared" si="58"/>
        <v>0.83284049000000004</v>
      </c>
      <c r="AN86">
        <f t="shared" si="59"/>
        <v>0.15339802450000001</v>
      </c>
      <c r="AO86">
        <v>33.299999999999997</v>
      </c>
      <c r="AP86">
        <v>0.5</v>
      </c>
      <c r="AQ86" t="s">
        <v>331</v>
      </c>
      <c r="AR86">
        <v>2</v>
      </c>
      <c r="AS86">
        <v>1690201585.5</v>
      </c>
      <c r="AT86">
        <v>481.77800000000002</v>
      </c>
      <c r="AU86">
        <v>800.01099999999997</v>
      </c>
      <c r="AV86">
        <v>25.686199999999999</v>
      </c>
      <c r="AW86">
        <v>10.814</v>
      </c>
      <c r="AX86">
        <v>483.08600000000001</v>
      </c>
      <c r="AY86">
        <v>25.507999999999999</v>
      </c>
      <c r="AZ86">
        <v>300.21699999999998</v>
      </c>
      <c r="BA86">
        <v>98.983599999999996</v>
      </c>
      <c r="BB86">
        <v>0.100038</v>
      </c>
      <c r="BC86">
        <v>25.619</v>
      </c>
      <c r="BD86">
        <v>27.0061</v>
      </c>
      <c r="BE86">
        <v>27.4771</v>
      </c>
      <c r="BF86">
        <v>0</v>
      </c>
      <c r="BG86">
        <v>0</v>
      </c>
      <c r="BH86">
        <v>9982.5</v>
      </c>
      <c r="BI86">
        <v>1072.68</v>
      </c>
      <c r="BJ86">
        <v>1.4577199999999999</v>
      </c>
      <c r="BK86">
        <v>-318.233</v>
      </c>
      <c r="BL86">
        <v>494.48</v>
      </c>
      <c r="BM86">
        <v>808.75699999999995</v>
      </c>
      <c r="BN86">
        <v>14.872299999999999</v>
      </c>
      <c r="BO86">
        <v>800.01099999999997</v>
      </c>
      <c r="BP86">
        <v>10.814</v>
      </c>
      <c r="BQ86">
        <v>2.5425200000000001</v>
      </c>
      <c r="BR86">
        <v>1.0704100000000001</v>
      </c>
      <c r="BS86">
        <v>21.301300000000001</v>
      </c>
      <c r="BT86">
        <v>7.9116499999999998</v>
      </c>
      <c r="BU86">
        <v>1799.99</v>
      </c>
      <c r="BV86">
        <v>0.90999799999999997</v>
      </c>
      <c r="BW86">
        <v>3.4008799999999999E-2</v>
      </c>
      <c r="BX86">
        <v>2.2008E-2</v>
      </c>
      <c r="BY86">
        <v>3.3985399999999999E-2</v>
      </c>
      <c r="BZ86">
        <v>25</v>
      </c>
      <c r="CA86">
        <v>33528</v>
      </c>
      <c r="CB86">
        <v>1690200769.5</v>
      </c>
      <c r="CC86" t="s">
        <v>332</v>
      </c>
      <c r="CD86">
        <v>1690200769.5</v>
      </c>
      <c r="CE86">
        <v>1690200753</v>
      </c>
      <c r="CF86">
        <v>2</v>
      </c>
      <c r="CG86">
        <v>-0.245</v>
      </c>
      <c r="CH86">
        <v>3.0000000000000001E-3</v>
      </c>
      <c r="CI86">
        <v>-1.5169999999999999</v>
      </c>
      <c r="CJ86">
        <v>-1.6E-2</v>
      </c>
      <c r="CK86">
        <v>778</v>
      </c>
      <c r="CL86">
        <v>12</v>
      </c>
      <c r="CM86">
        <v>0.01</v>
      </c>
      <c r="CN86">
        <v>0.03</v>
      </c>
      <c r="CO86">
        <v>-314.10141463414641</v>
      </c>
      <c r="CP86">
        <v>-23.22861324041838</v>
      </c>
      <c r="CQ86">
        <v>2.2908650296724269</v>
      </c>
      <c r="CR86">
        <v>-1</v>
      </c>
      <c r="CS86">
        <v>14.726251219512189</v>
      </c>
      <c r="CT86">
        <v>0.78800278745650143</v>
      </c>
      <c r="CU86">
        <v>7.7715315758162123E-2</v>
      </c>
      <c r="CV86">
        <v>-1</v>
      </c>
      <c r="CW86">
        <v>0</v>
      </c>
      <c r="CX86">
        <v>0</v>
      </c>
      <c r="CY86" t="s">
        <v>333</v>
      </c>
      <c r="CZ86">
        <v>2.3655499999999998</v>
      </c>
      <c r="DA86">
        <v>2.7138100000000001</v>
      </c>
      <c r="DB86">
        <v>0.103204</v>
      </c>
      <c r="DC86">
        <v>0.14632400000000001</v>
      </c>
      <c r="DD86">
        <v>0.11962100000000001</v>
      </c>
      <c r="DE86">
        <v>6.2879500000000005E-2</v>
      </c>
      <c r="DF86">
        <v>32713.200000000001</v>
      </c>
      <c r="DG86">
        <v>27430.7</v>
      </c>
      <c r="DH86">
        <v>31138.1</v>
      </c>
      <c r="DI86">
        <v>27996</v>
      </c>
      <c r="DJ86">
        <v>37199.1</v>
      </c>
      <c r="DK86">
        <v>37272.400000000001</v>
      </c>
      <c r="DL86">
        <v>44301.599999999999</v>
      </c>
      <c r="DM86">
        <v>42392</v>
      </c>
      <c r="DN86">
        <v>1.4414</v>
      </c>
      <c r="DO86">
        <v>2.0803500000000001</v>
      </c>
      <c r="DP86">
        <v>0.15279300000000001</v>
      </c>
      <c r="DQ86">
        <v>0.18845899999999999</v>
      </c>
      <c r="DR86">
        <v>24.502199999999998</v>
      </c>
      <c r="DS86">
        <v>24.389600000000002</v>
      </c>
      <c r="DT86">
        <v>37.200000000000003</v>
      </c>
      <c r="DU86">
        <v>24.9</v>
      </c>
      <c r="DV86">
        <v>11.8789</v>
      </c>
      <c r="DW86">
        <v>62.1599</v>
      </c>
      <c r="DX86">
        <v>36.346200000000003</v>
      </c>
      <c r="DY86">
        <v>1</v>
      </c>
      <c r="DZ86">
        <v>-0.158252</v>
      </c>
      <c r="EA86">
        <v>-0.23249500000000001</v>
      </c>
      <c r="EB86">
        <v>20.1922</v>
      </c>
      <c r="EC86">
        <v>5.2415500000000002</v>
      </c>
      <c r="ED86">
        <v>12.039899999999999</v>
      </c>
      <c r="EE86">
        <v>5.01715</v>
      </c>
      <c r="EF86">
        <v>3.2879999999999998</v>
      </c>
      <c r="EG86">
        <v>9999</v>
      </c>
      <c r="EH86">
        <v>9999</v>
      </c>
      <c r="EI86">
        <v>9999</v>
      </c>
      <c r="EJ86">
        <v>999.9</v>
      </c>
      <c r="EK86">
        <v>1.86876</v>
      </c>
      <c r="EL86">
        <v>1.8644700000000001</v>
      </c>
      <c r="EM86">
        <v>1.8690500000000001</v>
      </c>
      <c r="EN86">
        <v>1.8670800000000001</v>
      </c>
      <c r="EO86">
        <v>1.8632500000000001</v>
      </c>
      <c r="EP86">
        <v>1.8643400000000001</v>
      </c>
      <c r="EQ86">
        <v>1.8700300000000001</v>
      </c>
      <c r="ER86">
        <v>1.8692899999999999</v>
      </c>
      <c r="ES86">
        <v>0</v>
      </c>
      <c r="ET86">
        <v>0</v>
      </c>
      <c r="EU86">
        <v>0</v>
      </c>
      <c r="EV86">
        <v>0</v>
      </c>
      <c r="EW86" t="s">
        <v>334</v>
      </c>
      <c r="EX86" t="s">
        <v>335</v>
      </c>
      <c r="EY86" t="s">
        <v>336</v>
      </c>
      <c r="EZ86" t="s">
        <v>336</v>
      </c>
      <c r="FA86" t="s">
        <v>336</v>
      </c>
      <c r="FB86" t="s">
        <v>336</v>
      </c>
      <c r="FC86">
        <v>0</v>
      </c>
      <c r="FD86">
        <v>100</v>
      </c>
      <c r="FE86">
        <v>100</v>
      </c>
      <c r="FF86">
        <v>-1.3080000000000001</v>
      </c>
      <c r="FG86">
        <v>0.1782</v>
      </c>
      <c r="FH86">
        <v>-0.98020551812546231</v>
      </c>
      <c r="FI86">
        <v>-6.1462078757559423E-4</v>
      </c>
      <c r="FJ86">
        <v>-1.8861989874597051E-7</v>
      </c>
      <c r="FK86">
        <v>1.1980462299894961E-10</v>
      </c>
      <c r="FL86">
        <v>0.1782306200647516</v>
      </c>
      <c r="FM86">
        <v>0</v>
      </c>
      <c r="FN86">
        <v>0</v>
      </c>
      <c r="FO86">
        <v>0</v>
      </c>
      <c r="FP86">
        <v>3</v>
      </c>
      <c r="FQ86">
        <v>2158</v>
      </c>
      <c r="FR86">
        <v>1</v>
      </c>
      <c r="FS86">
        <v>19</v>
      </c>
      <c r="FT86">
        <v>13.6</v>
      </c>
      <c r="FU86">
        <v>13.9</v>
      </c>
      <c r="FV86">
        <v>1.7736799999999999</v>
      </c>
      <c r="FW86">
        <v>2.5402800000000001</v>
      </c>
      <c r="FX86">
        <v>1.5490699999999999</v>
      </c>
      <c r="FY86">
        <v>2.34497</v>
      </c>
      <c r="FZ86">
        <v>1.50146</v>
      </c>
      <c r="GA86">
        <v>2.31934</v>
      </c>
      <c r="GB86">
        <v>30.436900000000001</v>
      </c>
      <c r="GC86">
        <v>23.982399999999998</v>
      </c>
      <c r="GD86">
        <v>19</v>
      </c>
      <c r="GE86">
        <v>264.98200000000003</v>
      </c>
      <c r="GF86">
        <v>610.26400000000001</v>
      </c>
      <c r="GG86">
        <v>24.381900000000002</v>
      </c>
      <c r="GH86">
        <v>25.421700000000001</v>
      </c>
      <c r="GI86">
        <v>30.0001</v>
      </c>
      <c r="GJ86">
        <v>25.5412</v>
      </c>
      <c r="GK86">
        <v>25.497699999999998</v>
      </c>
      <c r="GL86">
        <v>35.470599999999997</v>
      </c>
      <c r="GM86">
        <v>-30</v>
      </c>
      <c r="GN86">
        <v>-30</v>
      </c>
      <c r="GO86">
        <v>24.381599999999999</v>
      </c>
      <c r="GP86">
        <v>800</v>
      </c>
      <c r="GQ86">
        <v>0</v>
      </c>
      <c r="GR86">
        <v>99.614400000000003</v>
      </c>
      <c r="GS86">
        <v>99.207099999999997</v>
      </c>
    </row>
    <row r="87" spans="1:201" x14ac:dyDescent="0.25">
      <c r="A87">
        <v>71</v>
      </c>
      <c r="B87">
        <v>1690201595.5</v>
      </c>
      <c r="C87">
        <v>748.5</v>
      </c>
      <c r="D87" t="s">
        <v>475</v>
      </c>
      <c r="E87" t="s">
        <v>476</v>
      </c>
      <c r="F87" t="s">
        <v>330</v>
      </c>
      <c r="H87">
        <v>1690201595.5</v>
      </c>
      <c r="I87">
        <f t="shared" si="30"/>
        <v>1.3884438103703271E-3</v>
      </c>
      <c r="J87">
        <f t="shared" si="31"/>
        <v>1.3884438103703272</v>
      </c>
      <c r="K87">
        <f t="shared" si="32"/>
        <v>28.356216297884579</v>
      </c>
      <c r="L87">
        <f t="shared" si="33"/>
        <v>478.13</v>
      </c>
      <c r="M87">
        <f t="shared" si="34"/>
        <v>99.404134220227078</v>
      </c>
      <c r="N87">
        <f t="shared" si="35"/>
        <v>9.8494639076303141</v>
      </c>
      <c r="O87">
        <f t="shared" si="36"/>
        <v>47.375536390890005</v>
      </c>
      <c r="P87">
        <f t="shared" si="37"/>
        <v>0.1249599682105912</v>
      </c>
      <c r="Q87">
        <f t="shared" si="38"/>
        <v>2.0766060906849066</v>
      </c>
      <c r="R87">
        <f t="shared" si="39"/>
        <v>0.12092780836974869</v>
      </c>
      <c r="S87">
        <f t="shared" si="40"/>
        <v>7.5931315347694095E-2</v>
      </c>
      <c r="T87">
        <f t="shared" si="41"/>
        <v>276.1147073688814</v>
      </c>
      <c r="U87">
        <f t="shared" si="42"/>
        <v>27.374732505859146</v>
      </c>
      <c r="V87">
        <f t="shared" si="43"/>
        <v>27.374732505859146</v>
      </c>
      <c r="W87">
        <f t="shared" si="44"/>
        <v>3.6586941099546348</v>
      </c>
      <c r="X87">
        <f t="shared" si="45"/>
        <v>77.433487797552019</v>
      </c>
      <c r="Y87">
        <f t="shared" si="46"/>
        <v>2.5567213480749</v>
      </c>
      <c r="Z87">
        <f t="shared" si="47"/>
        <v>3.3018289900093176</v>
      </c>
      <c r="AA87">
        <f t="shared" si="48"/>
        <v>1.1019727618797348</v>
      </c>
      <c r="AB87">
        <f t="shared" si="49"/>
        <v>-61.230372037331428</v>
      </c>
      <c r="AC87">
        <f t="shared" si="50"/>
        <v>-194.90433610550352</v>
      </c>
      <c r="AD87">
        <f t="shared" si="51"/>
        <v>-20.155394035662237</v>
      </c>
      <c r="AE87">
        <f t="shared" si="52"/>
        <v>-0.17539480961576714</v>
      </c>
      <c r="AF87">
        <v>14</v>
      </c>
      <c r="AG87">
        <v>5</v>
      </c>
      <c r="AH87">
        <f t="shared" si="53"/>
        <v>1</v>
      </c>
      <c r="AI87">
        <f t="shared" si="54"/>
        <v>0</v>
      </c>
      <c r="AJ87">
        <f t="shared" si="55"/>
        <v>52422.248791770515</v>
      </c>
      <c r="AK87">
        <f t="shared" si="56"/>
        <v>1799.99</v>
      </c>
      <c r="AL87">
        <f t="shared" si="57"/>
        <v>1499.0998484212396</v>
      </c>
      <c r="AM87">
        <f t="shared" si="58"/>
        <v>0.83283787599999981</v>
      </c>
      <c r="AN87">
        <f t="shared" si="59"/>
        <v>0.15339791186000001</v>
      </c>
      <c r="AO87">
        <v>33.299999999999997</v>
      </c>
      <c r="AP87">
        <v>0.5</v>
      </c>
      <c r="AQ87" t="s">
        <v>331</v>
      </c>
      <c r="AR87">
        <v>2</v>
      </c>
      <c r="AS87">
        <v>1690201595.5</v>
      </c>
      <c r="AT87">
        <v>478.13</v>
      </c>
      <c r="AU87">
        <v>800.05</v>
      </c>
      <c r="AV87">
        <v>25.8033</v>
      </c>
      <c r="AW87">
        <v>10.7987</v>
      </c>
      <c r="AX87">
        <v>479.435</v>
      </c>
      <c r="AY87">
        <v>25.6251</v>
      </c>
      <c r="AZ87">
        <v>300.18900000000002</v>
      </c>
      <c r="BA87">
        <v>98.984999999999999</v>
      </c>
      <c r="BB87">
        <v>0.100053</v>
      </c>
      <c r="BC87">
        <v>25.633800000000001</v>
      </c>
      <c r="BD87">
        <v>27.0123</v>
      </c>
      <c r="BE87">
        <v>27.472000000000001</v>
      </c>
      <c r="BF87">
        <v>0</v>
      </c>
      <c r="BG87">
        <v>0</v>
      </c>
      <c r="BH87">
        <v>9968.75</v>
      </c>
      <c r="BI87">
        <v>1072.78</v>
      </c>
      <c r="BJ87">
        <v>1.4577199999999999</v>
      </c>
      <c r="BK87">
        <v>-321.92</v>
      </c>
      <c r="BL87">
        <v>490.79399999999998</v>
      </c>
      <c r="BM87">
        <v>808.78399999999999</v>
      </c>
      <c r="BN87">
        <v>15.0046</v>
      </c>
      <c r="BO87">
        <v>800.05</v>
      </c>
      <c r="BP87">
        <v>10.7987</v>
      </c>
      <c r="BQ87">
        <v>2.5541399999999999</v>
      </c>
      <c r="BR87">
        <v>1.06891</v>
      </c>
      <c r="BS87">
        <v>21.375699999999998</v>
      </c>
      <c r="BT87">
        <v>7.89114</v>
      </c>
      <c r="BU87">
        <v>1799.99</v>
      </c>
      <c r="BV87">
        <v>0.90997499999999998</v>
      </c>
      <c r="BW87">
        <v>3.4005399999999998E-2</v>
      </c>
      <c r="BX87">
        <v>2.2005799999999999E-2</v>
      </c>
      <c r="BY87">
        <v>3.4013399999999999E-2</v>
      </c>
      <c r="BZ87">
        <v>25</v>
      </c>
      <c r="CA87">
        <v>33528</v>
      </c>
      <c r="CB87">
        <v>1690200769.5</v>
      </c>
      <c r="CC87" t="s">
        <v>332</v>
      </c>
      <c r="CD87">
        <v>1690200769.5</v>
      </c>
      <c r="CE87">
        <v>1690200753</v>
      </c>
      <c r="CF87">
        <v>2</v>
      </c>
      <c r="CG87">
        <v>-0.245</v>
      </c>
      <c r="CH87">
        <v>3.0000000000000001E-3</v>
      </c>
      <c r="CI87">
        <v>-1.5169999999999999</v>
      </c>
      <c r="CJ87">
        <v>-1.6E-2</v>
      </c>
      <c r="CK87">
        <v>778</v>
      </c>
      <c r="CL87">
        <v>12</v>
      </c>
      <c r="CM87">
        <v>0.01</v>
      </c>
      <c r="CN87">
        <v>0.03</v>
      </c>
      <c r="CO87">
        <v>-317.82890243902438</v>
      </c>
      <c r="CP87">
        <v>-21.487149825784201</v>
      </c>
      <c r="CQ87">
        <v>2.119609062031893</v>
      </c>
      <c r="CR87">
        <v>-1</v>
      </c>
      <c r="CS87">
        <v>14.85925853658537</v>
      </c>
      <c r="CT87">
        <v>0.80880209059232877</v>
      </c>
      <c r="CU87">
        <v>7.9753455389963646E-2</v>
      </c>
      <c r="CV87">
        <v>-1</v>
      </c>
      <c r="CW87">
        <v>0</v>
      </c>
      <c r="CX87">
        <v>0</v>
      </c>
      <c r="CY87" t="s">
        <v>333</v>
      </c>
      <c r="CZ87">
        <v>2.3654600000000001</v>
      </c>
      <c r="DA87">
        <v>2.7138200000000001</v>
      </c>
      <c r="DB87">
        <v>0.102632</v>
      </c>
      <c r="DC87">
        <v>0.14632999999999999</v>
      </c>
      <c r="DD87">
        <v>0.120004</v>
      </c>
      <c r="DE87">
        <v>6.2812400000000004E-2</v>
      </c>
      <c r="DF87">
        <v>32734.7</v>
      </c>
      <c r="DG87">
        <v>27430.799999999999</v>
      </c>
      <c r="DH87">
        <v>31138.799999999999</v>
      </c>
      <c r="DI87">
        <v>27996.3</v>
      </c>
      <c r="DJ87">
        <v>37183.5</v>
      </c>
      <c r="DK87">
        <v>37275.4</v>
      </c>
      <c r="DL87">
        <v>44302.6</v>
      </c>
      <c r="DM87">
        <v>42392.4</v>
      </c>
      <c r="DN87">
        <v>1.4415</v>
      </c>
      <c r="DO87">
        <v>2.0802200000000002</v>
      </c>
      <c r="DP87">
        <v>0.15290799999999999</v>
      </c>
      <c r="DQ87">
        <v>0.187837</v>
      </c>
      <c r="DR87">
        <v>24.506499999999999</v>
      </c>
      <c r="DS87">
        <v>24.3947</v>
      </c>
      <c r="DT87">
        <v>37.1</v>
      </c>
      <c r="DU87">
        <v>25</v>
      </c>
      <c r="DV87">
        <v>11.918900000000001</v>
      </c>
      <c r="DW87">
        <v>61.579900000000002</v>
      </c>
      <c r="DX87">
        <v>36.225999999999999</v>
      </c>
      <c r="DY87">
        <v>1</v>
      </c>
      <c r="DZ87">
        <v>-0.158272</v>
      </c>
      <c r="EA87">
        <v>-0.166155</v>
      </c>
      <c r="EB87">
        <v>20.1922</v>
      </c>
      <c r="EC87">
        <v>5.242</v>
      </c>
      <c r="ED87">
        <v>12.039899999999999</v>
      </c>
      <c r="EE87">
        <v>5.0174500000000002</v>
      </c>
      <c r="EF87">
        <v>3.2879999999999998</v>
      </c>
      <c r="EG87">
        <v>9999</v>
      </c>
      <c r="EH87">
        <v>9999</v>
      </c>
      <c r="EI87">
        <v>9999</v>
      </c>
      <c r="EJ87">
        <v>999.9</v>
      </c>
      <c r="EK87">
        <v>1.8687499999999999</v>
      </c>
      <c r="EL87">
        <v>1.8644700000000001</v>
      </c>
      <c r="EM87">
        <v>1.8690500000000001</v>
      </c>
      <c r="EN87">
        <v>1.8670800000000001</v>
      </c>
      <c r="EO87">
        <v>1.8632500000000001</v>
      </c>
      <c r="EP87">
        <v>1.8643400000000001</v>
      </c>
      <c r="EQ87">
        <v>1.8700600000000001</v>
      </c>
      <c r="ER87">
        <v>1.8693200000000001</v>
      </c>
      <c r="ES87">
        <v>0</v>
      </c>
      <c r="ET87">
        <v>0</v>
      </c>
      <c r="EU87">
        <v>0</v>
      </c>
      <c r="EV87">
        <v>0</v>
      </c>
      <c r="EW87" t="s">
        <v>334</v>
      </c>
      <c r="EX87" t="s">
        <v>335</v>
      </c>
      <c r="EY87" t="s">
        <v>336</v>
      </c>
      <c r="EZ87" t="s">
        <v>336</v>
      </c>
      <c r="FA87" t="s">
        <v>336</v>
      </c>
      <c r="FB87" t="s">
        <v>336</v>
      </c>
      <c r="FC87">
        <v>0</v>
      </c>
      <c r="FD87">
        <v>100</v>
      </c>
      <c r="FE87">
        <v>100</v>
      </c>
      <c r="FF87">
        <v>-1.3049999999999999</v>
      </c>
      <c r="FG87">
        <v>0.1782</v>
      </c>
      <c r="FH87">
        <v>-0.98020551812546231</v>
      </c>
      <c r="FI87">
        <v>-6.1462078757559423E-4</v>
      </c>
      <c r="FJ87">
        <v>-1.8861989874597051E-7</v>
      </c>
      <c r="FK87">
        <v>1.1980462299894961E-10</v>
      </c>
      <c r="FL87">
        <v>0.1782306200647516</v>
      </c>
      <c r="FM87">
        <v>0</v>
      </c>
      <c r="FN87">
        <v>0</v>
      </c>
      <c r="FO87">
        <v>0</v>
      </c>
      <c r="FP87">
        <v>3</v>
      </c>
      <c r="FQ87">
        <v>2158</v>
      </c>
      <c r="FR87">
        <v>1</v>
      </c>
      <c r="FS87">
        <v>19</v>
      </c>
      <c r="FT87">
        <v>13.8</v>
      </c>
      <c r="FU87">
        <v>14</v>
      </c>
      <c r="FV87">
        <v>1.7748999999999999</v>
      </c>
      <c r="FW87">
        <v>2.5439500000000002</v>
      </c>
      <c r="FX87">
        <v>1.5490699999999999</v>
      </c>
      <c r="FY87">
        <v>2.34497</v>
      </c>
      <c r="FZ87">
        <v>1.50146</v>
      </c>
      <c r="GA87">
        <v>2.33643</v>
      </c>
      <c r="GB87">
        <v>30.458400000000001</v>
      </c>
      <c r="GC87">
        <v>23.982399999999998</v>
      </c>
      <c r="GD87">
        <v>19</v>
      </c>
      <c r="GE87">
        <v>265.02199999999999</v>
      </c>
      <c r="GF87">
        <v>610.18299999999999</v>
      </c>
      <c r="GG87">
        <v>24.3889</v>
      </c>
      <c r="GH87">
        <v>25.421700000000001</v>
      </c>
      <c r="GI87">
        <v>30.0001</v>
      </c>
      <c r="GJ87">
        <v>25.5412</v>
      </c>
      <c r="GK87">
        <v>25.4998</v>
      </c>
      <c r="GL87">
        <v>35.470500000000001</v>
      </c>
      <c r="GM87">
        <v>-30</v>
      </c>
      <c r="GN87">
        <v>-30</v>
      </c>
      <c r="GO87">
        <v>24.342300000000002</v>
      </c>
      <c r="GP87">
        <v>800</v>
      </c>
      <c r="GQ87">
        <v>0</v>
      </c>
      <c r="GR87">
        <v>99.616399999999999</v>
      </c>
      <c r="GS87">
        <v>99.207999999999998</v>
      </c>
    </row>
    <row r="88" spans="1:201" x14ac:dyDescent="0.25">
      <c r="A88">
        <v>72</v>
      </c>
      <c r="B88">
        <v>1690201605.5</v>
      </c>
      <c r="C88">
        <v>758.5</v>
      </c>
      <c r="D88" t="s">
        <v>477</v>
      </c>
      <c r="E88" t="s">
        <v>478</v>
      </c>
      <c r="F88" t="s">
        <v>330</v>
      </c>
      <c r="H88">
        <v>1690201605.5</v>
      </c>
      <c r="I88">
        <f t="shared" si="30"/>
        <v>1.399931567036115E-3</v>
      </c>
      <c r="J88">
        <f t="shared" si="31"/>
        <v>1.399931567036115</v>
      </c>
      <c r="K88">
        <f t="shared" si="32"/>
        <v>28.668790238208658</v>
      </c>
      <c r="L88">
        <f t="shared" si="33"/>
        <v>474.67700000000002</v>
      </c>
      <c r="M88">
        <f t="shared" si="34"/>
        <v>99.207285575237094</v>
      </c>
      <c r="N88">
        <f t="shared" si="35"/>
        <v>9.8299523138265261</v>
      </c>
      <c r="O88">
        <f t="shared" si="36"/>
        <v>47.033362997635706</v>
      </c>
      <c r="P88">
        <f t="shared" si="37"/>
        <v>0.1274796245776644</v>
      </c>
      <c r="Q88">
        <f t="shared" si="38"/>
        <v>2.0815590763306147</v>
      </c>
      <c r="R88">
        <f t="shared" si="39"/>
        <v>0.12329578097168463</v>
      </c>
      <c r="S88">
        <f t="shared" si="40"/>
        <v>7.7424326077397132E-2</v>
      </c>
      <c r="T88">
        <f t="shared" si="41"/>
        <v>276.11580509999999</v>
      </c>
      <c r="U88">
        <f t="shared" si="42"/>
        <v>27.365689625003885</v>
      </c>
      <c r="V88">
        <f t="shared" si="43"/>
        <v>27.365689625003885</v>
      </c>
      <c r="W88">
        <f t="shared" si="44"/>
        <v>3.6567568092023954</v>
      </c>
      <c r="X88">
        <f t="shared" si="45"/>
        <v>77.751965093247179</v>
      </c>
      <c r="Y88">
        <f t="shared" si="46"/>
        <v>2.5670541340691599</v>
      </c>
      <c r="Z88">
        <f t="shared" si="47"/>
        <v>3.3015938966822471</v>
      </c>
      <c r="AA88">
        <f t="shared" si="48"/>
        <v>1.0897026751332355</v>
      </c>
      <c r="AB88">
        <f t="shared" si="49"/>
        <v>-61.736982106292672</v>
      </c>
      <c r="AC88">
        <f t="shared" si="50"/>
        <v>-194.48907320451406</v>
      </c>
      <c r="AD88">
        <f t="shared" si="51"/>
        <v>-20.063563420779364</v>
      </c>
      <c r="AE88">
        <f t="shared" si="52"/>
        <v>-0.17381363158608565</v>
      </c>
      <c r="AF88">
        <v>14</v>
      </c>
      <c r="AG88">
        <v>5</v>
      </c>
      <c r="AH88">
        <f t="shared" si="53"/>
        <v>1</v>
      </c>
      <c r="AI88">
        <f t="shared" si="54"/>
        <v>0</v>
      </c>
      <c r="AJ88">
        <f t="shared" si="55"/>
        <v>52646.1803690776</v>
      </c>
      <c r="AK88">
        <f t="shared" si="56"/>
        <v>1800</v>
      </c>
      <c r="AL88">
        <f t="shared" si="57"/>
        <v>1499.1093089999997</v>
      </c>
      <c r="AM88">
        <f t="shared" si="58"/>
        <v>0.8328385049999999</v>
      </c>
      <c r="AN88">
        <f t="shared" si="59"/>
        <v>0.1533976695</v>
      </c>
      <c r="AO88">
        <v>33.299999999999997</v>
      </c>
      <c r="AP88">
        <v>0.5</v>
      </c>
      <c r="AQ88" t="s">
        <v>331</v>
      </c>
      <c r="AR88">
        <v>2</v>
      </c>
      <c r="AS88">
        <v>1690201605.5</v>
      </c>
      <c r="AT88">
        <v>474.67700000000002</v>
      </c>
      <c r="AU88">
        <v>799.99800000000005</v>
      </c>
      <c r="AV88">
        <v>25.907599999999999</v>
      </c>
      <c r="AW88">
        <v>10.783899999999999</v>
      </c>
      <c r="AX88">
        <v>475.98</v>
      </c>
      <c r="AY88">
        <v>25.729399999999998</v>
      </c>
      <c r="AZ88">
        <v>300.25700000000001</v>
      </c>
      <c r="BA88">
        <v>98.984999999999999</v>
      </c>
      <c r="BB88">
        <v>9.9984100000000006E-2</v>
      </c>
      <c r="BC88">
        <v>25.6326</v>
      </c>
      <c r="BD88">
        <v>26.9787</v>
      </c>
      <c r="BE88">
        <v>27.470099999999999</v>
      </c>
      <c r="BF88">
        <v>0</v>
      </c>
      <c r="BG88">
        <v>0</v>
      </c>
      <c r="BH88">
        <v>10013.1</v>
      </c>
      <c r="BI88">
        <v>1072.81</v>
      </c>
      <c r="BJ88">
        <v>1.4577199999999999</v>
      </c>
      <c r="BK88">
        <v>-325.32100000000003</v>
      </c>
      <c r="BL88">
        <v>487.30200000000002</v>
      </c>
      <c r="BM88">
        <v>808.71900000000005</v>
      </c>
      <c r="BN88">
        <v>15.123699999999999</v>
      </c>
      <c r="BO88">
        <v>799.99800000000005</v>
      </c>
      <c r="BP88">
        <v>10.783899999999999</v>
      </c>
      <c r="BQ88">
        <v>2.56447</v>
      </c>
      <c r="BR88">
        <v>1.06745</v>
      </c>
      <c r="BS88">
        <v>21.441500000000001</v>
      </c>
      <c r="BT88">
        <v>7.8710399999999998</v>
      </c>
      <c r="BU88">
        <v>1800</v>
      </c>
      <c r="BV88">
        <v>0.90998400000000002</v>
      </c>
      <c r="BW88">
        <v>3.4001999999999998E-2</v>
      </c>
      <c r="BX88">
        <v>2.2003499999999999E-2</v>
      </c>
      <c r="BY88">
        <v>3.4009999999999999E-2</v>
      </c>
      <c r="BZ88">
        <v>25</v>
      </c>
      <c r="CA88">
        <v>33528.199999999997</v>
      </c>
      <c r="CB88">
        <v>1690200769.5</v>
      </c>
      <c r="CC88" t="s">
        <v>332</v>
      </c>
      <c r="CD88">
        <v>1690200769.5</v>
      </c>
      <c r="CE88">
        <v>1690200753</v>
      </c>
      <c r="CF88">
        <v>2</v>
      </c>
      <c r="CG88">
        <v>-0.245</v>
      </c>
      <c r="CH88">
        <v>3.0000000000000001E-3</v>
      </c>
      <c r="CI88">
        <v>-1.5169999999999999</v>
      </c>
      <c r="CJ88">
        <v>-1.6E-2</v>
      </c>
      <c r="CK88">
        <v>778</v>
      </c>
      <c r="CL88">
        <v>12</v>
      </c>
      <c r="CM88">
        <v>0.01</v>
      </c>
      <c r="CN88">
        <v>0.03</v>
      </c>
      <c r="CO88">
        <v>-321.45939024390248</v>
      </c>
      <c r="CP88">
        <v>-21.827560975609281</v>
      </c>
      <c r="CQ88">
        <v>2.1536802407546509</v>
      </c>
      <c r="CR88">
        <v>-1</v>
      </c>
      <c r="CS88">
        <v>14.990217073170729</v>
      </c>
      <c r="CT88">
        <v>0.76410940766555535</v>
      </c>
      <c r="CU88">
        <v>7.5377352820744203E-2</v>
      </c>
      <c r="CV88">
        <v>-1</v>
      </c>
      <c r="CW88">
        <v>0</v>
      </c>
      <c r="CX88">
        <v>0</v>
      </c>
      <c r="CY88" t="s">
        <v>333</v>
      </c>
      <c r="CZ88">
        <v>2.3656700000000002</v>
      </c>
      <c r="DA88">
        <v>2.7137899999999999</v>
      </c>
      <c r="DB88">
        <v>0.102087</v>
      </c>
      <c r="DC88">
        <v>0.14632300000000001</v>
      </c>
      <c r="DD88">
        <v>0.12034400000000001</v>
      </c>
      <c r="DE88">
        <v>6.2746899999999994E-2</v>
      </c>
      <c r="DF88">
        <v>32754.5</v>
      </c>
      <c r="DG88">
        <v>27431.599999999999</v>
      </c>
      <c r="DH88">
        <v>31138.7</v>
      </c>
      <c r="DI88">
        <v>27996.799999999999</v>
      </c>
      <c r="DJ88">
        <v>37168.699999999997</v>
      </c>
      <c r="DK88">
        <v>37278.699999999997</v>
      </c>
      <c r="DL88">
        <v>44302.3</v>
      </c>
      <c r="DM88">
        <v>42393.2</v>
      </c>
      <c r="DN88">
        <v>1.44123</v>
      </c>
      <c r="DO88">
        <v>2.0800800000000002</v>
      </c>
      <c r="DP88">
        <v>0.15067700000000001</v>
      </c>
      <c r="DQ88">
        <v>0.18737500000000001</v>
      </c>
      <c r="DR88">
        <v>24.509499999999999</v>
      </c>
      <c r="DS88">
        <v>24.400400000000001</v>
      </c>
      <c r="DT88">
        <v>37.1</v>
      </c>
      <c r="DU88">
        <v>25</v>
      </c>
      <c r="DV88">
        <v>11.9177</v>
      </c>
      <c r="DW88">
        <v>62.049900000000001</v>
      </c>
      <c r="DX88">
        <v>35.729199999999999</v>
      </c>
      <c r="DY88">
        <v>1</v>
      </c>
      <c r="DZ88">
        <v>-0.15834899999999999</v>
      </c>
      <c r="EA88">
        <v>-8.0806100000000006E-2</v>
      </c>
      <c r="EB88">
        <v>20.192699999999999</v>
      </c>
      <c r="EC88">
        <v>5.2416999999999998</v>
      </c>
      <c r="ED88">
        <v>12.039899999999999</v>
      </c>
      <c r="EE88">
        <v>5.0172499999999998</v>
      </c>
      <c r="EF88">
        <v>3.2879999999999998</v>
      </c>
      <c r="EG88">
        <v>9999</v>
      </c>
      <c r="EH88">
        <v>9999</v>
      </c>
      <c r="EI88">
        <v>9999</v>
      </c>
      <c r="EJ88">
        <v>999.9</v>
      </c>
      <c r="EK88">
        <v>1.86877</v>
      </c>
      <c r="EL88">
        <v>1.8644700000000001</v>
      </c>
      <c r="EM88">
        <v>1.8690500000000001</v>
      </c>
      <c r="EN88">
        <v>1.8670800000000001</v>
      </c>
      <c r="EO88">
        <v>1.8632500000000001</v>
      </c>
      <c r="EP88">
        <v>1.86433</v>
      </c>
      <c r="EQ88">
        <v>1.8700600000000001</v>
      </c>
      <c r="ER88">
        <v>1.86931</v>
      </c>
      <c r="ES88">
        <v>0</v>
      </c>
      <c r="ET88">
        <v>0</v>
      </c>
      <c r="EU88">
        <v>0</v>
      </c>
      <c r="EV88">
        <v>0</v>
      </c>
      <c r="EW88" t="s">
        <v>334</v>
      </c>
      <c r="EX88" t="s">
        <v>335</v>
      </c>
      <c r="EY88" t="s">
        <v>336</v>
      </c>
      <c r="EZ88" t="s">
        <v>336</v>
      </c>
      <c r="FA88" t="s">
        <v>336</v>
      </c>
      <c r="FB88" t="s">
        <v>336</v>
      </c>
      <c r="FC88">
        <v>0</v>
      </c>
      <c r="FD88">
        <v>100</v>
      </c>
      <c r="FE88">
        <v>100</v>
      </c>
      <c r="FF88">
        <v>-1.3029999999999999</v>
      </c>
      <c r="FG88">
        <v>0.1782</v>
      </c>
      <c r="FH88">
        <v>-0.98020551812546231</v>
      </c>
      <c r="FI88">
        <v>-6.1462078757559423E-4</v>
      </c>
      <c r="FJ88">
        <v>-1.8861989874597051E-7</v>
      </c>
      <c r="FK88">
        <v>1.1980462299894961E-10</v>
      </c>
      <c r="FL88">
        <v>0.1782306200647516</v>
      </c>
      <c r="FM88">
        <v>0</v>
      </c>
      <c r="FN88">
        <v>0</v>
      </c>
      <c r="FO88">
        <v>0</v>
      </c>
      <c r="FP88">
        <v>3</v>
      </c>
      <c r="FQ88">
        <v>2158</v>
      </c>
      <c r="FR88">
        <v>1</v>
      </c>
      <c r="FS88">
        <v>19</v>
      </c>
      <c r="FT88">
        <v>13.9</v>
      </c>
      <c r="FU88">
        <v>14.2</v>
      </c>
      <c r="FV88">
        <v>1.7736799999999999</v>
      </c>
      <c r="FW88">
        <v>2.5427200000000001</v>
      </c>
      <c r="FX88">
        <v>1.5490699999999999</v>
      </c>
      <c r="FY88">
        <v>2.34375</v>
      </c>
      <c r="FZ88">
        <v>1.50146</v>
      </c>
      <c r="GA88">
        <v>2.3913600000000002</v>
      </c>
      <c r="GB88">
        <v>30.458400000000001</v>
      </c>
      <c r="GC88">
        <v>23.982399999999998</v>
      </c>
      <c r="GD88">
        <v>19</v>
      </c>
      <c r="GE88">
        <v>264.911</v>
      </c>
      <c r="GF88">
        <v>610.05499999999995</v>
      </c>
      <c r="GG88">
        <v>24.3309</v>
      </c>
      <c r="GH88">
        <v>25.419599999999999</v>
      </c>
      <c r="GI88">
        <v>30.0001</v>
      </c>
      <c r="GJ88">
        <v>25.5412</v>
      </c>
      <c r="GK88">
        <v>25.4998</v>
      </c>
      <c r="GL88">
        <v>35.471200000000003</v>
      </c>
      <c r="GM88">
        <v>-30</v>
      </c>
      <c r="GN88">
        <v>-30</v>
      </c>
      <c r="GO88">
        <v>24.337399999999999</v>
      </c>
      <c r="GP88">
        <v>800</v>
      </c>
      <c r="GQ88">
        <v>0</v>
      </c>
      <c r="GR88">
        <v>99.616100000000003</v>
      </c>
      <c r="GS88">
        <v>99.21</v>
      </c>
    </row>
    <row r="89" spans="1:201" x14ac:dyDescent="0.25">
      <c r="A89">
        <v>73</v>
      </c>
      <c r="B89">
        <v>1690201615.5</v>
      </c>
      <c r="C89">
        <v>768.5</v>
      </c>
      <c r="D89" t="s">
        <v>479</v>
      </c>
      <c r="E89" t="s">
        <v>480</v>
      </c>
      <c r="F89" t="s">
        <v>330</v>
      </c>
      <c r="H89">
        <v>1690201615.5</v>
      </c>
      <c r="I89">
        <f t="shared" si="30"/>
        <v>1.4099132872019272E-3</v>
      </c>
      <c r="J89">
        <f t="shared" si="31"/>
        <v>1.4099132872019273</v>
      </c>
      <c r="K89">
        <f t="shared" si="32"/>
        <v>28.966087036885384</v>
      </c>
      <c r="L89">
        <f t="shared" si="33"/>
        <v>471.18900000000002</v>
      </c>
      <c r="M89">
        <f t="shared" si="34"/>
        <v>99.195727629987744</v>
      </c>
      <c r="N89">
        <f t="shared" si="35"/>
        <v>9.8285690450980994</v>
      </c>
      <c r="O89">
        <f t="shared" si="36"/>
        <v>46.686623813732709</v>
      </c>
      <c r="P89">
        <f t="shared" si="37"/>
        <v>0.13005762309394703</v>
      </c>
      <c r="Q89">
        <f t="shared" si="38"/>
        <v>2.084392562157269</v>
      </c>
      <c r="R89">
        <f t="shared" si="39"/>
        <v>0.12571166126798172</v>
      </c>
      <c r="S89">
        <f t="shared" si="40"/>
        <v>7.8948157725887258E-2</v>
      </c>
      <c r="T89">
        <f t="shared" si="41"/>
        <v>276.11401547072529</v>
      </c>
      <c r="U89">
        <f t="shared" si="42"/>
        <v>27.348801320299398</v>
      </c>
      <c r="V89">
        <f t="shared" si="43"/>
        <v>27.348801320299398</v>
      </c>
      <c r="W89">
        <f t="shared" si="44"/>
        <v>3.6531411419827724</v>
      </c>
      <c r="X89">
        <f t="shared" si="45"/>
        <v>78.099673972741229</v>
      </c>
      <c r="Y89">
        <f t="shared" si="46"/>
        <v>2.57682095337324</v>
      </c>
      <c r="Z89">
        <f t="shared" si="47"/>
        <v>3.2994003973340735</v>
      </c>
      <c r="AA89">
        <f t="shared" si="48"/>
        <v>1.0763201886095324</v>
      </c>
      <c r="AB89">
        <f t="shared" si="49"/>
        <v>-62.177175965604988</v>
      </c>
      <c r="AC89">
        <f t="shared" si="50"/>
        <v>-194.11460179338368</v>
      </c>
      <c r="AD89">
        <f t="shared" si="51"/>
        <v>-19.994897124700913</v>
      </c>
      <c r="AE89">
        <f t="shared" si="52"/>
        <v>-0.17265941296429332</v>
      </c>
      <c r="AF89">
        <v>14</v>
      </c>
      <c r="AG89">
        <v>5</v>
      </c>
      <c r="AH89">
        <f t="shared" si="53"/>
        <v>1</v>
      </c>
      <c r="AI89">
        <f t="shared" si="54"/>
        <v>0</v>
      </c>
      <c r="AJ89">
        <f t="shared" si="55"/>
        <v>52776.389747133624</v>
      </c>
      <c r="AK89">
        <f t="shared" si="56"/>
        <v>1799.99</v>
      </c>
      <c r="AL89">
        <f t="shared" si="57"/>
        <v>1499.1018572100797</v>
      </c>
      <c r="AM89">
        <f t="shared" si="58"/>
        <v>0.83283899199999989</v>
      </c>
      <c r="AN89">
        <f t="shared" si="59"/>
        <v>0.15339752746999999</v>
      </c>
      <c r="AO89">
        <v>33.299999999999997</v>
      </c>
      <c r="AP89">
        <v>0.5</v>
      </c>
      <c r="AQ89" t="s">
        <v>331</v>
      </c>
      <c r="AR89">
        <v>2</v>
      </c>
      <c r="AS89">
        <v>1690201615.5</v>
      </c>
      <c r="AT89">
        <v>471.18900000000002</v>
      </c>
      <c r="AU89">
        <v>799.976</v>
      </c>
      <c r="AV89">
        <v>26.006799999999998</v>
      </c>
      <c r="AW89">
        <v>10.7689</v>
      </c>
      <c r="AX89">
        <v>472.48899999999998</v>
      </c>
      <c r="AY89">
        <v>25.828499999999998</v>
      </c>
      <c r="AZ89">
        <v>300.101</v>
      </c>
      <c r="BA89">
        <v>98.982600000000005</v>
      </c>
      <c r="BB89">
        <v>9.9984299999999998E-2</v>
      </c>
      <c r="BC89">
        <v>25.621400000000001</v>
      </c>
      <c r="BD89">
        <v>26.993099999999998</v>
      </c>
      <c r="BE89">
        <v>27.4941</v>
      </c>
      <c r="BF89">
        <v>0</v>
      </c>
      <c r="BG89">
        <v>0</v>
      </c>
      <c r="BH89">
        <v>10038.799999999999</v>
      </c>
      <c r="BI89">
        <v>1072.8499999999999</v>
      </c>
      <c r="BJ89">
        <v>1.4577199999999999</v>
      </c>
      <c r="BK89">
        <v>-328.78699999999998</v>
      </c>
      <c r="BL89">
        <v>483.77100000000002</v>
      </c>
      <c r="BM89">
        <v>808.68499999999995</v>
      </c>
      <c r="BN89">
        <v>15.2378</v>
      </c>
      <c r="BO89">
        <v>799.976</v>
      </c>
      <c r="BP89">
        <v>10.7689</v>
      </c>
      <c r="BQ89">
        <v>2.57422</v>
      </c>
      <c r="BR89">
        <v>1.0659400000000001</v>
      </c>
      <c r="BS89">
        <v>21.503499999999999</v>
      </c>
      <c r="BT89">
        <v>7.8502299999999998</v>
      </c>
      <c r="BU89">
        <v>1799.99</v>
      </c>
      <c r="BV89">
        <v>0.90998999999999997</v>
      </c>
      <c r="BW89">
        <v>3.3999700000000001E-2</v>
      </c>
      <c r="BX89">
        <v>2.20021E-2</v>
      </c>
      <c r="BY89">
        <v>3.4007700000000002E-2</v>
      </c>
      <c r="BZ89">
        <v>25</v>
      </c>
      <c r="CA89">
        <v>33528.199999999997</v>
      </c>
      <c r="CB89">
        <v>1690200769.5</v>
      </c>
      <c r="CC89" t="s">
        <v>332</v>
      </c>
      <c r="CD89">
        <v>1690200769.5</v>
      </c>
      <c r="CE89">
        <v>1690200753</v>
      </c>
      <c r="CF89">
        <v>2</v>
      </c>
      <c r="CG89">
        <v>-0.245</v>
      </c>
      <c r="CH89">
        <v>3.0000000000000001E-3</v>
      </c>
      <c r="CI89">
        <v>-1.5169999999999999</v>
      </c>
      <c r="CJ89">
        <v>-1.6E-2</v>
      </c>
      <c r="CK89">
        <v>778</v>
      </c>
      <c r="CL89">
        <v>12</v>
      </c>
      <c r="CM89">
        <v>0.01</v>
      </c>
      <c r="CN89">
        <v>0.03</v>
      </c>
      <c r="CO89">
        <v>-324.99131707317082</v>
      </c>
      <c r="CP89">
        <v>-20.159351916376419</v>
      </c>
      <c r="CQ89">
        <v>1.988203484200386</v>
      </c>
      <c r="CR89">
        <v>-1</v>
      </c>
      <c r="CS89">
        <v>15.111673170731709</v>
      </c>
      <c r="CT89">
        <v>0.69648919860627745</v>
      </c>
      <c r="CU89">
        <v>6.8688047117207593E-2</v>
      </c>
      <c r="CV89">
        <v>-1</v>
      </c>
      <c r="CW89">
        <v>0</v>
      </c>
      <c r="CX89">
        <v>0</v>
      </c>
      <c r="CY89" t="s">
        <v>333</v>
      </c>
      <c r="CZ89">
        <v>2.3651599999999999</v>
      </c>
      <c r="DA89">
        <v>2.7138100000000001</v>
      </c>
      <c r="DB89">
        <v>0.101532</v>
      </c>
      <c r="DC89">
        <v>0.146317</v>
      </c>
      <c r="DD89">
        <v>0.12066300000000001</v>
      </c>
      <c r="DE89">
        <v>6.2678899999999996E-2</v>
      </c>
      <c r="DF89">
        <v>32775.1</v>
      </c>
      <c r="DG89">
        <v>27431.8</v>
      </c>
      <c r="DH89">
        <v>31139</v>
      </c>
      <c r="DI89">
        <v>27996.9</v>
      </c>
      <c r="DJ89">
        <v>37155.300000000003</v>
      </c>
      <c r="DK89">
        <v>37281.800000000003</v>
      </c>
      <c r="DL89">
        <v>44302.7</v>
      </c>
      <c r="DM89">
        <v>42393.599999999999</v>
      </c>
      <c r="DN89">
        <v>1.4412</v>
      </c>
      <c r="DO89">
        <v>2.0802800000000001</v>
      </c>
      <c r="DP89">
        <v>0.151362</v>
      </c>
      <c r="DQ89">
        <v>0.18864900000000001</v>
      </c>
      <c r="DR89">
        <v>24.512699999999999</v>
      </c>
      <c r="DS89">
        <v>24.403600000000001</v>
      </c>
      <c r="DT89">
        <v>37</v>
      </c>
      <c r="DU89">
        <v>25</v>
      </c>
      <c r="DV89">
        <v>11.885300000000001</v>
      </c>
      <c r="DW89">
        <v>61.679900000000004</v>
      </c>
      <c r="DX89">
        <v>36.666699999999999</v>
      </c>
      <c r="DY89">
        <v>1</v>
      </c>
      <c r="DZ89">
        <v>-0.158244</v>
      </c>
      <c r="EA89">
        <v>-0.185474</v>
      </c>
      <c r="EB89">
        <v>20.192399999999999</v>
      </c>
      <c r="EC89">
        <v>5.2423000000000002</v>
      </c>
      <c r="ED89">
        <v>12.039899999999999</v>
      </c>
      <c r="EE89">
        <v>5.0175999999999998</v>
      </c>
      <c r="EF89">
        <v>3.2879999999999998</v>
      </c>
      <c r="EG89">
        <v>9999</v>
      </c>
      <c r="EH89">
        <v>9999</v>
      </c>
      <c r="EI89">
        <v>9999</v>
      </c>
      <c r="EJ89">
        <v>999.9</v>
      </c>
      <c r="EK89">
        <v>1.8687499999999999</v>
      </c>
      <c r="EL89">
        <v>1.8644700000000001</v>
      </c>
      <c r="EM89">
        <v>1.8690500000000001</v>
      </c>
      <c r="EN89">
        <v>1.8670800000000001</v>
      </c>
      <c r="EO89">
        <v>1.8632500000000001</v>
      </c>
      <c r="EP89">
        <v>1.8643400000000001</v>
      </c>
      <c r="EQ89">
        <v>1.8700399999999999</v>
      </c>
      <c r="ER89">
        <v>1.8693</v>
      </c>
      <c r="ES89">
        <v>0</v>
      </c>
      <c r="ET89">
        <v>0</v>
      </c>
      <c r="EU89">
        <v>0</v>
      </c>
      <c r="EV89">
        <v>0</v>
      </c>
      <c r="EW89" t="s">
        <v>334</v>
      </c>
      <c r="EX89" t="s">
        <v>335</v>
      </c>
      <c r="EY89" t="s">
        <v>336</v>
      </c>
      <c r="EZ89" t="s">
        <v>336</v>
      </c>
      <c r="FA89" t="s">
        <v>336</v>
      </c>
      <c r="FB89" t="s">
        <v>336</v>
      </c>
      <c r="FC89">
        <v>0</v>
      </c>
      <c r="FD89">
        <v>100</v>
      </c>
      <c r="FE89">
        <v>100</v>
      </c>
      <c r="FF89">
        <v>-1.3</v>
      </c>
      <c r="FG89">
        <v>0.17829999999999999</v>
      </c>
      <c r="FH89">
        <v>-0.98020551812546231</v>
      </c>
      <c r="FI89">
        <v>-6.1462078757559423E-4</v>
      </c>
      <c r="FJ89">
        <v>-1.8861989874597051E-7</v>
      </c>
      <c r="FK89">
        <v>1.1980462299894961E-10</v>
      </c>
      <c r="FL89">
        <v>0.1782306200647516</v>
      </c>
      <c r="FM89">
        <v>0</v>
      </c>
      <c r="FN89">
        <v>0</v>
      </c>
      <c r="FO89">
        <v>0</v>
      </c>
      <c r="FP89">
        <v>3</v>
      </c>
      <c r="FQ89">
        <v>2158</v>
      </c>
      <c r="FR89">
        <v>1</v>
      </c>
      <c r="FS89">
        <v>19</v>
      </c>
      <c r="FT89">
        <v>14.1</v>
      </c>
      <c r="FU89">
        <v>14.4</v>
      </c>
      <c r="FV89">
        <v>1.7748999999999999</v>
      </c>
      <c r="FW89">
        <v>2.5488300000000002</v>
      </c>
      <c r="FX89">
        <v>1.5490699999999999</v>
      </c>
      <c r="FY89">
        <v>2.34375</v>
      </c>
      <c r="FZ89">
        <v>1.50146</v>
      </c>
      <c r="GA89">
        <v>2.2875999999999999</v>
      </c>
      <c r="GB89">
        <v>30.458400000000001</v>
      </c>
      <c r="GC89">
        <v>23.973700000000001</v>
      </c>
      <c r="GD89">
        <v>19</v>
      </c>
      <c r="GE89">
        <v>264.90100000000001</v>
      </c>
      <c r="GF89">
        <v>610.226</v>
      </c>
      <c r="GG89">
        <v>24.340499999999999</v>
      </c>
      <c r="GH89">
        <v>25.419599999999999</v>
      </c>
      <c r="GI89">
        <v>30.0001</v>
      </c>
      <c r="GJ89">
        <v>25.5412</v>
      </c>
      <c r="GK89">
        <v>25.4998</v>
      </c>
      <c r="GL89">
        <v>35.473300000000002</v>
      </c>
      <c r="GM89">
        <v>-30</v>
      </c>
      <c r="GN89">
        <v>-30</v>
      </c>
      <c r="GO89">
        <v>24.349599999999999</v>
      </c>
      <c r="GP89">
        <v>800</v>
      </c>
      <c r="GQ89">
        <v>0</v>
      </c>
      <c r="GR89">
        <v>99.617000000000004</v>
      </c>
      <c r="GS89">
        <v>99.210700000000003</v>
      </c>
    </row>
    <row r="90" spans="1:201" x14ac:dyDescent="0.25">
      <c r="A90">
        <v>74</v>
      </c>
      <c r="B90">
        <v>1690201625.5</v>
      </c>
      <c r="C90">
        <v>778.5</v>
      </c>
      <c r="D90" t="s">
        <v>481</v>
      </c>
      <c r="E90" t="s">
        <v>482</v>
      </c>
      <c r="F90" t="s">
        <v>330</v>
      </c>
      <c r="H90">
        <v>1690201625.5</v>
      </c>
      <c r="I90">
        <f t="shared" si="30"/>
        <v>1.4221876867082088E-3</v>
      </c>
      <c r="J90">
        <f t="shared" si="31"/>
        <v>1.4221876867082088</v>
      </c>
      <c r="K90">
        <f t="shared" si="32"/>
        <v>29.300413964872515</v>
      </c>
      <c r="L90">
        <f t="shared" si="33"/>
        <v>467.7</v>
      </c>
      <c r="M90">
        <f t="shared" si="34"/>
        <v>97.427743611495345</v>
      </c>
      <c r="N90">
        <f t="shared" si="35"/>
        <v>9.6535925120463411</v>
      </c>
      <c r="O90">
        <f t="shared" si="36"/>
        <v>46.3418842572</v>
      </c>
      <c r="P90">
        <f t="shared" si="37"/>
        <v>0.13221673198020012</v>
      </c>
      <c r="Q90">
        <f t="shared" si="38"/>
        <v>2.0815545670109366</v>
      </c>
      <c r="R90">
        <f t="shared" si="39"/>
        <v>0.12772205981834706</v>
      </c>
      <c r="S90">
        <f t="shared" si="40"/>
        <v>8.0217386832510673E-2</v>
      </c>
      <c r="T90">
        <f t="shared" si="41"/>
        <v>276.11384177169032</v>
      </c>
      <c r="U90">
        <f t="shared" si="42"/>
        <v>27.361037198281622</v>
      </c>
      <c r="V90">
        <f t="shared" si="43"/>
        <v>27.361037198281622</v>
      </c>
      <c r="W90">
        <f t="shared" si="44"/>
        <v>3.655760445826195</v>
      </c>
      <c r="X90">
        <f t="shared" si="45"/>
        <v>78.347076393358378</v>
      </c>
      <c r="Y90">
        <f t="shared" si="46"/>
        <v>2.5872088390596</v>
      </c>
      <c r="Z90">
        <f t="shared" si="47"/>
        <v>3.3022404385199526</v>
      </c>
      <c r="AA90">
        <f t="shared" si="48"/>
        <v>1.068551606766595</v>
      </c>
      <c r="AB90">
        <f t="shared" si="49"/>
        <v>-62.718476983832012</v>
      </c>
      <c r="AC90">
        <f t="shared" si="50"/>
        <v>-193.59622443057768</v>
      </c>
      <c r="AD90">
        <f t="shared" si="51"/>
        <v>-19.971363276148228</v>
      </c>
      <c r="AE90">
        <f t="shared" si="52"/>
        <v>-0.17222291886758967</v>
      </c>
      <c r="AF90">
        <v>14</v>
      </c>
      <c r="AG90">
        <v>5</v>
      </c>
      <c r="AH90">
        <f t="shared" si="53"/>
        <v>1</v>
      </c>
      <c r="AI90">
        <f t="shared" si="54"/>
        <v>0</v>
      </c>
      <c r="AJ90">
        <f t="shared" si="55"/>
        <v>52645.385874138723</v>
      </c>
      <c r="AK90">
        <f t="shared" si="56"/>
        <v>1799.99</v>
      </c>
      <c r="AL90">
        <f t="shared" si="57"/>
        <v>1499.1047821938298</v>
      </c>
      <c r="AM90">
        <f t="shared" si="58"/>
        <v>0.83284061699999989</v>
      </c>
      <c r="AN90">
        <f t="shared" si="59"/>
        <v>0.15339743097</v>
      </c>
      <c r="AO90">
        <v>33.299999999999997</v>
      </c>
      <c r="AP90">
        <v>0.5</v>
      </c>
      <c r="AQ90" t="s">
        <v>331</v>
      </c>
      <c r="AR90">
        <v>2</v>
      </c>
      <c r="AS90">
        <v>1690201625.5</v>
      </c>
      <c r="AT90">
        <v>467.7</v>
      </c>
      <c r="AU90">
        <v>799.95899999999995</v>
      </c>
      <c r="AV90">
        <v>26.1111</v>
      </c>
      <c r="AW90">
        <v>10.7536</v>
      </c>
      <c r="AX90">
        <v>468.99799999999999</v>
      </c>
      <c r="AY90">
        <v>25.9329</v>
      </c>
      <c r="AZ90">
        <v>300.32400000000001</v>
      </c>
      <c r="BA90">
        <v>98.9846</v>
      </c>
      <c r="BB90">
        <v>0.100036</v>
      </c>
      <c r="BC90">
        <v>25.635899999999999</v>
      </c>
      <c r="BD90">
        <v>26.961500000000001</v>
      </c>
      <c r="BE90">
        <v>27.5015</v>
      </c>
      <c r="BF90">
        <v>0</v>
      </c>
      <c r="BG90">
        <v>0</v>
      </c>
      <c r="BH90">
        <v>10013.1</v>
      </c>
      <c r="BI90">
        <v>1072.8699999999999</v>
      </c>
      <c r="BJ90">
        <v>1.4577199999999999</v>
      </c>
      <c r="BK90">
        <v>-332.25799999999998</v>
      </c>
      <c r="BL90">
        <v>480.24</v>
      </c>
      <c r="BM90">
        <v>808.65499999999997</v>
      </c>
      <c r="BN90">
        <v>15.3575</v>
      </c>
      <c r="BO90">
        <v>799.95899999999995</v>
      </c>
      <c r="BP90">
        <v>10.7536</v>
      </c>
      <c r="BQ90">
        <v>2.5846</v>
      </c>
      <c r="BR90">
        <v>1.0644400000000001</v>
      </c>
      <c r="BS90">
        <v>21.569299999999998</v>
      </c>
      <c r="BT90">
        <v>7.8296299999999999</v>
      </c>
      <c r="BU90">
        <v>1799.99</v>
      </c>
      <c r="BV90">
        <v>0.91000099999999995</v>
      </c>
      <c r="BW90">
        <v>3.3995999999999998E-2</v>
      </c>
      <c r="BX90">
        <v>2.1999600000000001E-2</v>
      </c>
      <c r="BY90">
        <v>3.4003899999999997E-2</v>
      </c>
      <c r="BZ90">
        <v>25</v>
      </c>
      <c r="CA90">
        <v>33528.199999999997</v>
      </c>
      <c r="CB90">
        <v>1690200769.5</v>
      </c>
      <c r="CC90" t="s">
        <v>332</v>
      </c>
      <c r="CD90">
        <v>1690200769.5</v>
      </c>
      <c r="CE90">
        <v>1690200753</v>
      </c>
      <c r="CF90">
        <v>2</v>
      </c>
      <c r="CG90">
        <v>-0.245</v>
      </c>
      <c r="CH90">
        <v>3.0000000000000001E-3</v>
      </c>
      <c r="CI90">
        <v>-1.5169999999999999</v>
      </c>
      <c r="CJ90">
        <v>-1.6E-2</v>
      </c>
      <c r="CK90">
        <v>778</v>
      </c>
      <c r="CL90">
        <v>12</v>
      </c>
      <c r="CM90">
        <v>0.01</v>
      </c>
      <c r="CN90">
        <v>0.03</v>
      </c>
      <c r="CO90">
        <v>-328.71314999999998</v>
      </c>
      <c r="CP90">
        <v>-21.081996247654551</v>
      </c>
      <c r="CQ90">
        <v>2.029196029835461</v>
      </c>
      <c r="CR90">
        <v>-1</v>
      </c>
      <c r="CS90">
        <v>15.235967499999999</v>
      </c>
      <c r="CT90">
        <v>0.69646716697931843</v>
      </c>
      <c r="CU90">
        <v>6.7000400698428705E-2</v>
      </c>
      <c r="CV90">
        <v>-1</v>
      </c>
      <c r="CW90">
        <v>0</v>
      </c>
      <c r="CX90">
        <v>0</v>
      </c>
      <c r="CY90" t="s">
        <v>333</v>
      </c>
      <c r="CZ90">
        <v>2.3658899999999998</v>
      </c>
      <c r="DA90">
        <v>2.7138399999999998</v>
      </c>
      <c r="DB90">
        <v>0.100979</v>
      </c>
      <c r="DC90">
        <v>0.146317</v>
      </c>
      <c r="DD90">
        <v>0.121003</v>
      </c>
      <c r="DE90">
        <v>6.2611799999999995E-2</v>
      </c>
      <c r="DF90">
        <v>32795.199999999997</v>
      </c>
      <c r="DG90">
        <v>27432.400000000001</v>
      </c>
      <c r="DH90">
        <v>31138.9</v>
      </c>
      <c r="DI90">
        <v>27997.5</v>
      </c>
      <c r="DJ90">
        <v>37140.699999999997</v>
      </c>
      <c r="DK90">
        <v>37285.1</v>
      </c>
      <c r="DL90">
        <v>44302.8</v>
      </c>
      <c r="DM90">
        <v>42394.3</v>
      </c>
      <c r="DN90">
        <v>1.4414</v>
      </c>
      <c r="DO90">
        <v>2.0802499999999999</v>
      </c>
      <c r="DP90">
        <v>0.14917900000000001</v>
      </c>
      <c r="DQ90">
        <v>0.18897700000000001</v>
      </c>
      <c r="DR90">
        <v>24.5168</v>
      </c>
      <c r="DS90">
        <v>24.4057</v>
      </c>
      <c r="DT90">
        <v>37</v>
      </c>
      <c r="DU90">
        <v>25</v>
      </c>
      <c r="DV90">
        <v>11.8848</v>
      </c>
      <c r="DW90">
        <v>61.999899999999997</v>
      </c>
      <c r="DX90">
        <v>35.568899999999999</v>
      </c>
      <c r="DY90">
        <v>1</v>
      </c>
      <c r="DZ90">
        <v>-0.158249</v>
      </c>
      <c r="EA90">
        <v>-0.20497299999999999</v>
      </c>
      <c r="EB90">
        <v>20.192299999999999</v>
      </c>
      <c r="EC90">
        <v>5.2415500000000002</v>
      </c>
      <c r="ED90">
        <v>12.039899999999999</v>
      </c>
      <c r="EE90">
        <v>5.0172499999999998</v>
      </c>
      <c r="EF90">
        <v>3.2879999999999998</v>
      </c>
      <c r="EG90">
        <v>9999</v>
      </c>
      <c r="EH90">
        <v>9999</v>
      </c>
      <c r="EI90">
        <v>9999</v>
      </c>
      <c r="EJ90">
        <v>999.9</v>
      </c>
      <c r="EK90">
        <v>1.86876</v>
      </c>
      <c r="EL90">
        <v>1.8644700000000001</v>
      </c>
      <c r="EM90">
        <v>1.8690500000000001</v>
      </c>
      <c r="EN90">
        <v>1.8670800000000001</v>
      </c>
      <c r="EO90">
        <v>1.8632500000000001</v>
      </c>
      <c r="EP90">
        <v>1.86433</v>
      </c>
      <c r="EQ90">
        <v>1.87008</v>
      </c>
      <c r="ER90">
        <v>1.8693200000000001</v>
      </c>
      <c r="ES90">
        <v>0</v>
      </c>
      <c r="ET90">
        <v>0</v>
      </c>
      <c r="EU90">
        <v>0</v>
      </c>
      <c r="EV90">
        <v>0</v>
      </c>
      <c r="EW90" t="s">
        <v>334</v>
      </c>
      <c r="EX90" t="s">
        <v>335</v>
      </c>
      <c r="EY90" t="s">
        <v>336</v>
      </c>
      <c r="EZ90" t="s">
        <v>336</v>
      </c>
      <c r="FA90" t="s">
        <v>336</v>
      </c>
      <c r="FB90" t="s">
        <v>336</v>
      </c>
      <c r="FC90">
        <v>0</v>
      </c>
      <c r="FD90">
        <v>100</v>
      </c>
      <c r="FE90">
        <v>100</v>
      </c>
      <c r="FF90">
        <v>-1.298</v>
      </c>
      <c r="FG90">
        <v>0.1782</v>
      </c>
      <c r="FH90">
        <v>-0.98020551812546231</v>
      </c>
      <c r="FI90">
        <v>-6.1462078757559423E-4</v>
      </c>
      <c r="FJ90">
        <v>-1.8861989874597051E-7</v>
      </c>
      <c r="FK90">
        <v>1.1980462299894961E-10</v>
      </c>
      <c r="FL90">
        <v>0.1782306200647516</v>
      </c>
      <c r="FM90">
        <v>0</v>
      </c>
      <c r="FN90">
        <v>0</v>
      </c>
      <c r="FO90">
        <v>0</v>
      </c>
      <c r="FP90">
        <v>3</v>
      </c>
      <c r="FQ90">
        <v>2158</v>
      </c>
      <c r="FR90">
        <v>1</v>
      </c>
      <c r="FS90">
        <v>19</v>
      </c>
      <c r="FT90">
        <v>14.3</v>
      </c>
      <c r="FU90">
        <v>14.5</v>
      </c>
      <c r="FV90">
        <v>1.7748999999999999</v>
      </c>
      <c r="FW90">
        <v>2.5415000000000001</v>
      </c>
      <c r="FX90">
        <v>1.5490699999999999</v>
      </c>
      <c r="FY90">
        <v>2.34497</v>
      </c>
      <c r="FZ90">
        <v>1.50146</v>
      </c>
      <c r="GA90">
        <v>2.3999000000000001</v>
      </c>
      <c r="GB90">
        <v>30.48</v>
      </c>
      <c r="GC90">
        <v>23.982399999999998</v>
      </c>
      <c r="GD90">
        <v>19</v>
      </c>
      <c r="GE90">
        <v>264.988</v>
      </c>
      <c r="GF90">
        <v>610.22699999999998</v>
      </c>
      <c r="GG90">
        <v>24.357600000000001</v>
      </c>
      <c r="GH90">
        <v>25.419599999999999</v>
      </c>
      <c r="GI90">
        <v>30.0001</v>
      </c>
      <c r="GJ90">
        <v>25.5427</v>
      </c>
      <c r="GK90">
        <v>25.501799999999999</v>
      </c>
      <c r="GL90">
        <v>35.475499999999997</v>
      </c>
      <c r="GM90">
        <v>-30</v>
      </c>
      <c r="GN90">
        <v>-30</v>
      </c>
      <c r="GO90">
        <v>24.376200000000001</v>
      </c>
      <c r="GP90">
        <v>800</v>
      </c>
      <c r="GQ90">
        <v>0</v>
      </c>
      <c r="GR90">
        <v>99.617000000000004</v>
      </c>
      <c r="GS90">
        <v>99.212400000000002</v>
      </c>
    </row>
    <row r="91" spans="1:201" x14ac:dyDescent="0.25">
      <c r="A91">
        <v>75</v>
      </c>
      <c r="B91">
        <v>1690201635.5</v>
      </c>
      <c r="C91">
        <v>788.5</v>
      </c>
      <c r="D91" t="s">
        <v>483</v>
      </c>
      <c r="E91" t="s">
        <v>484</v>
      </c>
      <c r="F91" t="s">
        <v>330</v>
      </c>
      <c r="H91">
        <v>1690201635.5</v>
      </c>
      <c r="I91">
        <f t="shared" si="30"/>
        <v>1.4316429961827679E-3</v>
      </c>
      <c r="J91">
        <f t="shared" si="31"/>
        <v>1.4316429961827679</v>
      </c>
      <c r="K91">
        <f t="shared" si="32"/>
        <v>29.579906473842641</v>
      </c>
      <c r="L91">
        <f t="shared" si="33"/>
        <v>464.40100000000001</v>
      </c>
      <c r="M91">
        <f t="shared" si="34"/>
        <v>97.28809655943472</v>
      </c>
      <c r="N91">
        <f t="shared" si="35"/>
        <v>9.6399063923588688</v>
      </c>
      <c r="O91">
        <f t="shared" si="36"/>
        <v>46.015723678825594</v>
      </c>
      <c r="P91">
        <f t="shared" si="37"/>
        <v>0.13468005802508212</v>
      </c>
      <c r="Q91">
        <f t="shared" si="38"/>
        <v>2.083387699016809</v>
      </c>
      <c r="R91">
        <f t="shared" si="39"/>
        <v>0.13002346990204525</v>
      </c>
      <c r="S91">
        <f t="shared" si="40"/>
        <v>8.1669631667570672E-2</v>
      </c>
      <c r="T91">
        <f t="shared" si="41"/>
        <v>276.11479697399994</v>
      </c>
      <c r="U91">
        <f t="shared" si="42"/>
        <v>27.350309070666246</v>
      </c>
      <c r="V91">
        <f t="shared" si="43"/>
        <v>27.350309070666246</v>
      </c>
      <c r="W91">
        <f t="shared" si="44"/>
        <v>3.6534638138338411</v>
      </c>
      <c r="X91">
        <f t="shared" si="45"/>
        <v>78.667659594196991</v>
      </c>
      <c r="Y91">
        <f t="shared" si="46"/>
        <v>2.5968705694419199</v>
      </c>
      <c r="Z91">
        <f t="shared" si="47"/>
        <v>3.3010649901595408</v>
      </c>
      <c r="AA91">
        <f t="shared" si="48"/>
        <v>1.0565932443919213</v>
      </c>
      <c r="AB91">
        <f t="shared" si="49"/>
        <v>-63.135456131660064</v>
      </c>
      <c r="AC91">
        <f t="shared" si="50"/>
        <v>-193.2356545751928</v>
      </c>
      <c r="AD91">
        <f t="shared" si="51"/>
        <v>-19.914957772909446</v>
      </c>
      <c r="AE91">
        <f t="shared" si="52"/>
        <v>-0.1712715057623484</v>
      </c>
      <c r="AF91">
        <v>14</v>
      </c>
      <c r="AG91">
        <v>5</v>
      </c>
      <c r="AH91">
        <f t="shared" si="53"/>
        <v>1</v>
      </c>
      <c r="AI91">
        <f t="shared" si="54"/>
        <v>0</v>
      </c>
      <c r="AJ91">
        <f t="shared" si="55"/>
        <v>52729.447956687683</v>
      </c>
      <c r="AK91">
        <f t="shared" si="56"/>
        <v>1800</v>
      </c>
      <c r="AL91">
        <f t="shared" si="57"/>
        <v>1499.1126084</v>
      </c>
      <c r="AM91">
        <f t="shared" si="58"/>
        <v>0.83284033800000001</v>
      </c>
      <c r="AN91">
        <f t="shared" si="59"/>
        <v>0.15339710942999998</v>
      </c>
      <c r="AO91">
        <v>33.299999999999997</v>
      </c>
      <c r="AP91">
        <v>0.5</v>
      </c>
      <c r="AQ91" t="s">
        <v>331</v>
      </c>
      <c r="AR91">
        <v>2</v>
      </c>
      <c r="AS91">
        <v>1690201635.5</v>
      </c>
      <c r="AT91">
        <v>464.40100000000001</v>
      </c>
      <c r="AU91">
        <v>800.00599999999997</v>
      </c>
      <c r="AV91">
        <v>26.208200000000001</v>
      </c>
      <c r="AW91">
        <v>10.7386</v>
      </c>
      <c r="AX91">
        <v>465.69600000000003</v>
      </c>
      <c r="AY91">
        <v>26.03</v>
      </c>
      <c r="AZ91">
        <v>300.10000000000002</v>
      </c>
      <c r="BA91">
        <v>98.986199999999997</v>
      </c>
      <c r="BB91">
        <v>9.9985599999999994E-2</v>
      </c>
      <c r="BC91">
        <v>25.629899999999999</v>
      </c>
      <c r="BD91">
        <v>26.985900000000001</v>
      </c>
      <c r="BE91">
        <v>27.473700000000001</v>
      </c>
      <c r="BF91">
        <v>0</v>
      </c>
      <c r="BG91">
        <v>0</v>
      </c>
      <c r="BH91">
        <v>10029.4</v>
      </c>
      <c r="BI91">
        <v>1072.8399999999999</v>
      </c>
      <c r="BJ91">
        <v>1.4577199999999999</v>
      </c>
      <c r="BK91">
        <v>-335.60500000000002</v>
      </c>
      <c r="BL91">
        <v>476.9</v>
      </c>
      <c r="BM91">
        <v>808.69</v>
      </c>
      <c r="BN91">
        <v>15.4696</v>
      </c>
      <c r="BO91">
        <v>800.00599999999997</v>
      </c>
      <c r="BP91">
        <v>10.7386</v>
      </c>
      <c r="BQ91">
        <v>2.5942500000000002</v>
      </c>
      <c r="BR91">
        <v>1.06297</v>
      </c>
      <c r="BS91">
        <v>21.630199999999999</v>
      </c>
      <c r="BT91">
        <v>7.8093700000000004</v>
      </c>
      <c r="BU91">
        <v>1800</v>
      </c>
      <c r="BV91">
        <v>0.91000700000000001</v>
      </c>
      <c r="BW91">
        <v>3.3993299999999997E-2</v>
      </c>
      <c r="BX91">
        <v>2.1997900000000001E-2</v>
      </c>
      <c r="BY91">
        <v>3.4001299999999998E-2</v>
      </c>
      <c r="BZ91">
        <v>25</v>
      </c>
      <c r="CA91">
        <v>33528.400000000001</v>
      </c>
      <c r="CB91">
        <v>1690200769.5</v>
      </c>
      <c r="CC91" t="s">
        <v>332</v>
      </c>
      <c r="CD91">
        <v>1690200769.5</v>
      </c>
      <c r="CE91">
        <v>1690200753</v>
      </c>
      <c r="CF91">
        <v>2</v>
      </c>
      <c r="CG91">
        <v>-0.245</v>
      </c>
      <c r="CH91">
        <v>3.0000000000000001E-3</v>
      </c>
      <c r="CI91">
        <v>-1.5169999999999999</v>
      </c>
      <c r="CJ91">
        <v>-1.6E-2</v>
      </c>
      <c r="CK91">
        <v>778</v>
      </c>
      <c r="CL91">
        <v>12</v>
      </c>
      <c r="CM91">
        <v>0.01</v>
      </c>
      <c r="CN91">
        <v>0.03</v>
      </c>
      <c r="CO91">
        <v>-331.81127500000002</v>
      </c>
      <c r="CP91">
        <v>-20.117617260786929</v>
      </c>
      <c r="CQ91">
        <v>1.9360933731034251</v>
      </c>
      <c r="CR91">
        <v>-1</v>
      </c>
      <c r="CS91">
        <v>15.34097</v>
      </c>
      <c r="CT91">
        <v>0.70241876172606366</v>
      </c>
      <c r="CU91">
        <v>6.7580974393685725E-2</v>
      </c>
      <c r="CV91">
        <v>-1</v>
      </c>
      <c r="CW91">
        <v>0</v>
      </c>
      <c r="CX91">
        <v>0</v>
      </c>
      <c r="CY91" t="s">
        <v>333</v>
      </c>
      <c r="CZ91">
        <v>2.3651599999999999</v>
      </c>
      <c r="DA91">
        <v>2.7138</v>
      </c>
      <c r="DB91">
        <v>0.100455</v>
      </c>
      <c r="DC91">
        <v>0.14632500000000001</v>
      </c>
      <c r="DD91">
        <v>0.121319</v>
      </c>
      <c r="DE91">
        <v>6.2546199999999996E-2</v>
      </c>
      <c r="DF91">
        <v>32814.300000000003</v>
      </c>
      <c r="DG91">
        <v>27432.400000000001</v>
      </c>
      <c r="DH91">
        <v>31138.9</v>
      </c>
      <c r="DI91">
        <v>27997.8</v>
      </c>
      <c r="DJ91">
        <v>37127.1</v>
      </c>
      <c r="DK91">
        <v>37288.300000000003</v>
      </c>
      <c r="DL91">
        <v>44302.7</v>
      </c>
      <c r="DM91">
        <v>42395</v>
      </c>
      <c r="DN91">
        <v>1.4415500000000001</v>
      </c>
      <c r="DO91">
        <v>2.0801500000000002</v>
      </c>
      <c r="DP91">
        <v>0.15052399999999999</v>
      </c>
      <c r="DQ91">
        <v>0.187192</v>
      </c>
      <c r="DR91">
        <v>24.519200000000001</v>
      </c>
      <c r="DS91">
        <v>24.407</v>
      </c>
      <c r="DT91">
        <v>36.9</v>
      </c>
      <c r="DU91">
        <v>25</v>
      </c>
      <c r="DV91">
        <v>11.8546</v>
      </c>
      <c r="DW91">
        <v>61.899900000000002</v>
      </c>
      <c r="DX91">
        <v>36.506399999999999</v>
      </c>
      <c r="DY91">
        <v>1</v>
      </c>
      <c r="DZ91">
        <v>-0.15845000000000001</v>
      </c>
      <c r="EA91">
        <v>-0.267347</v>
      </c>
      <c r="EB91">
        <v>20.1921</v>
      </c>
      <c r="EC91">
        <v>5.2416999999999998</v>
      </c>
      <c r="ED91">
        <v>12.039899999999999</v>
      </c>
      <c r="EE91">
        <v>5.0175000000000001</v>
      </c>
      <c r="EF91">
        <v>3.2879999999999998</v>
      </c>
      <c r="EG91">
        <v>9999</v>
      </c>
      <c r="EH91">
        <v>9999</v>
      </c>
      <c r="EI91">
        <v>9999</v>
      </c>
      <c r="EJ91">
        <v>999.9</v>
      </c>
      <c r="EK91">
        <v>1.8687499999999999</v>
      </c>
      <c r="EL91">
        <v>1.8644700000000001</v>
      </c>
      <c r="EM91">
        <v>1.8690500000000001</v>
      </c>
      <c r="EN91">
        <v>1.8670800000000001</v>
      </c>
      <c r="EO91">
        <v>1.8632500000000001</v>
      </c>
      <c r="EP91">
        <v>1.8643400000000001</v>
      </c>
      <c r="EQ91">
        <v>1.8700600000000001</v>
      </c>
      <c r="ER91">
        <v>1.86931</v>
      </c>
      <c r="ES91">
        <v>0</v>
      </c>
      <c r="ET91">
        <v>0</v>
      </c>
      <c r="EU91">
        <v>0</v>
      </c>
      <c r="EV91">
        <v>0</v>
      </c>
      <c r="EW91" t="s">
        <v>334</v>
      </c>
      <c r="EX91" t="s">
        <v>335</v>
      </c>
      <c r="EY91" t="s">
        <v>336</v>
      </c>
      <c r="EZ91" t="s">
        <v>336</v>
      </c>
      <c r="FA91" t="s">
        <v>336</v>
      </c>
      <c r="FB91" t="s">
        <v>336</v>
      </c>
      <c r="FC91">
        <v>0</v>
      </c>
      <c r="FD91">
        <v>100</v>
      </c>
      <c r="FE91">
        <v>100</v>
      </c>
      <c r="FF91">
        <v>-1.2949999999999999</v>
      </c>
      <c r="FG91">
        <v>0.1782</v>
      </c>
      <c r="FH91">
        <v>-0.98020551812546231</v>
      </c>
      <c r="FI91">
        <v>-6.1462078757559423E-4</v>
      </c>
      <c r="FJ91">
        <v>-1.8861989874597051E-7</v>
      </c>
      <c r="FK91">
        <v>1.1980462299894961E-10</v>
      </c>
      <c r="FL91">
        <v>0.1782306200647516</v>
      </c>
      <c r="FM91">
        <v>0</v>
      </c>
      <c r="FN91">
        <v>0</v>
      </c>
      <c r="FO91">
        <v>0</v>
      </c>
      <c r="FP91">
        <v>3</v>
      </c>
      <c r="FQ91">
        <v>2158</v>
      </c>
      <c r="FR91">
        <v>1</v>
      </c>
      <c r="FS91">
        <v>19</v>
      </c>
      <c r="FT91">
        <v>14.4</v>
      </c>
      <c r="FU91">
        <v>14.7</v>
      </c>
      <c r="FV91">
        <v>1.7748999999999999</v>
      </c>
      <c r="FW91">
        <v>2.5451700000000002</v>
      </c>
      <c r="FX91">
        <v>1.5490699999999999</v>
      </c>
      <c r="FY91">
        <v>2.34375</v>
      </c>
      <c r="FZ91">
        <v>1.50146</v>
      </c>
      <c r="GA91">
        <v>2.2900399999999999</v>
      </c>
      <c r="GB91">
        <v>30.48</v>
      </c>
      <c r="GC91">
        <v>23.973700000000001</v>
      </c>
      <c r="GD91">
        <v>19</v>
      </c>
      <c r="GE91">
        <v>265.05200000000002</v>
      </c>
      <c r="GF91">
        <v>610.14499999999998</v>
      </c>
      <c r="GG91">
        <v>24.396699999999999</v>
      </c>
      <c r="GH91">
        <v>25.417999999999999</v>
      </c>
      <c r="GI91">
        <v>30</v>
      </c>
      <c r="GJ91">
        <v>25.543299999999999</v>
      </c>
      <c r="GK91">
        <v>25.501999999999999</v>
      </c>
      <c r="GL91">
        <v>35.476500000000001</v>
      </c>
      <c r="GM91">
        <v>-30</v>
      </c>
      <c r="GN91">
        <v>-30</v>
      </c>
      <c r="GO91">
        <v>24.404800000000002</v>
      </c>
      <c r="GP91">
        <v>800</v>
      </c>
      <c r="GQ91">
        <v>0</v>
      </c>
      <c r="GR91">
        <v>99.616799999999998</v>
      </c>
      <c r="GS91">
        <v>99.213800000000006</v>
      </c>
    </row>
    <row r="92" spans="1:201" x14ac:dyDescent="0.25">
      <c r="A92">
        <v>76</v>
      </c>
      <c r="B92">
        <v>1690201645.5</v>
      </c>
      <c r="C92">
        <v>798.5</v>
      </c>
      <c r="D92" t="s">
        <v>485</v>
      </c>
      <c r="E92" t="s">
        <v>486</v>
      </c>
      <c r="F92" t="s">
        <v>330</v>
      </c>
      <c r="H92">
        <v>1690201645.5</v>
      </c>
      <c r="I92">
        <f t="shared" si="30"/>
        <v>1.4432258992792227E-3</v>
      </c>
      <c r="J92">
        <f t="shared" si="31"/>
        <v>1.4432258992792226</v>
      </c>
      <c r="K92">
        <f t="shared" si="32"/>
        <v>29.895126582910187</v>
      </c>
      <c r="L92">
        <f t="shared" si="33"/>
        <v>461.084</v>
      </c>
      <c r="M92">
        <f t="shared" si="34"/>
        <v>95.099814377517021</v>
      </c>
      <c r="N92">
        <f t="shared" si="35"/>
        <v>9.4228406124292725</v>
      </c>
      <c r="O92">
        <f t="shared" si="36"/>
        <v>45.685904534935595</v>
      </c>
      <c r="P92">
        <f t="shared" si="37"/>
        <v>0.13657441235495005</v>
      </c>
      <c r="Q92">
        <f t="shared" si="38"/>
        <v>2.0809201755043985</v>
      </c>
      <c r="R92">
        <f t="shared" si="39"/>
        <v>0.13178295112133137</v>
      </c>
      <c r="S92">
        <f t="shared" si="40"/>
        <v>8.2780833751642288E-2</v>
      </c>
      <c r="T92">
        <f t="shared" si="41"/>
        <v>276.11317656738589</v>
      </c>
      <c r="U92">
        <f t="shared" si="42"/>
        <v>27.368982405391286</v>
      </c>
      <c r="V92">
        <f t="shared" si="43"/>
        <v>27.368982405391286</v>
      </c>
      <c r="W92">
        <f t="shared" si="44"/>
        <v>3.6574621340359306</v>
      </c>
      <c r="X92">
        <f t="shared" si="45"/>
        <v>78.865407586038003</v>
      </c>
      <c r="Y92">
        <f t="shared" si="46"/>
        <v>2.6066441983517499</v>
      </c>
      <c r="Z92">
        <f t="shared" si="47"/>
        <v>3.3051806592238027</v>
      </c>
      <c r="AA92">
        <f t="shared" si="48"/>
        <v>1.0508179356841807</v>
      </c>
      <c r="AB92">
        <f t="shared" si="49"/>
        <v>-63.646262158213723</v>
      </c>
      <c r="AC92">
        <f t="shared" si="50"/>
        <v>-192.74576946415499</v>
      </c>
      <c r="AD92">
        <f t="shared" si="51"/>
        <v>-19.891976603300645</v>
      </c>
      <c r="AE92">
        <f t="shared" si="52"/>
        <v>-0.17083165828344704</v>
      </c>
      <c r="AF92">
        <v>14</v>
      </c>
      <c r="AG92">
        <v>5</v>
      </c>
      <c r="AH92">
        <f t="shared" si="53"/>
        <v>1</v>
      </c>
      <c r="AI92">
        <f t="shared" si="54"/>
        <v>0</v>
      </c>
      <c r="AJ92">
        <f t="shared" si="55"/>
        <v>52614.032279428699</v>
      </c>
      <c r="AK92">
        <f t="shared" si="56"/>
        <v>1799.99</v>
      </c>
      <c r="AL92">
        <f t="shared" si="57"/>
        <v>1499.1029714038898</v>
      </c>
      <c r="AM92">
        <f t="shared" si="58"/>
        <v>0.83283961099999992</v>
      </c>
      <c r="AN92">
        <f t="shared" si="59"/>
        <v>0.15339706141000001</v>
      </c>
      <c r="AO92">
        <v>33.299999999999997</v>
      </c>
      <c r="AP92">
        <v>0.5</v>
      </c>
      <c r="AQ92" t="s">
        <v>331</v>
      </c>
      <c r="AR92">
        <v>2</v>
      </c>
      <c r="AS92">
        <v>1690201645.5</v>
      </c>
      <c r="AT92">
        <v>461.084</v>
      </c>
      <c r="AU92">
        <v>800.00699999999995</v>
      </c>
      <c r="AV92">
        <v>26.307500000000001</v>
      </c>
      <c r="AW92">
        <v>10.722899999999999</v>
      </c>
      <c r="AX92">
        <v>462.37700000000001</v>
      </c>
      <c r="AY92">
        <v>26.129300000000001</v>
      </c>
      <c r="AZ92">
        <v>300.26499999999999</v>
      </c>
      <c r="BA92">
        <v>98.983699999999999</v>
      </c>
      <c r="BB92">
        <v>9.9990899999999994E-2</v>
      </c>
      <c r="BC92">
        <v>25.6509</v>
      </c>
      <c r="BD92">
        <v>26.993400000000001</v>
      </c>
      <c r="BE92">
        <v>27.507200000000001</v>
      </c>
      <c r="BF92">
        <v>0</v>
      </c>
      <c r="BG92">
        <v>0</v>
      </c>
      <c r="BH92">
        <v>10007.5</v>
      </c>
      <c r="BI92">
        <v>1072.9000000000001</v>
      </c>
      <c r="BJ92">
        <v>1.4577199999999999</v>
      </c>
      <c r="BK92">
        <v>-338.923</v>
      </c>
      <c r="BL92">
        <v>473.541</v>
      </c>
      <c r="BM92">
        <v>808.678</v>
      </c>
      <c r="BN92">
        <v>15.5846</v>
      </c>
      <c r="BO92">
        <v>800.00699999999995</v>
      </c>
      <c r="BP92">
        <v>10.722899999999999</v>
      </c>
      <c r="BQ92">
        <v>2.6040199999999998</v>
      </c>
      <c r="BR92">
        <v>1.0613900000000001</v>
      </c>
      <c r="BS92">
        <v>21.691700000000001</v>
      </c>
      <c r="BT92">
        <v>7.7875199999999998</v>
      </c>
      <c r="BU92">
        <v>1799.99</v>
      </c>
      <c r="BV92">
        <v>0.91000400000000004</v>
      </c>
      <c r="BW92">
        <v>3.4001900000000002E-2</v>
      </c>
      <c r="BX92">
        <v>2.1995799999999999E-2</v>
      </c>
      <c r="BY92">
        <v>3.3998100000000003E-2</v>
      </c>
      <c r="BZ92">
        <v>25</v>
      </c>
      <c r="CA92">
        <v>33528.300000000003</v>
      </c>
      <c r="CB92">
        <v>1690200769.5</v>
      </c>
      <c r="CC92" t="s">
        <v>332</v>
      </c>
      <c r="CD92">
        <v>1690200769.5</v>
      </c>
      <c r="CE92">
        <v>1690200753</v>
      </c>
      <c r="CF92">
        <v>2</v>
      </c>
      <c r="CG92">
        <v>-0.245</v>
      </c>
      <c r="CH92">
        <v>3.0000000000000001E-3</v>
      </c>
      <c r="CI92">
        <v>-1.5169999999999999</v>
      </c>
      <c r="CJ92">
        <v>-1.6E-2</v>
      </c>
      <c r="CK92">
        <v>778</v>
      </c>
      <c r="CL92">
        <v>12</v>
      </c>
      <c r="CM92">
        <v>0.01</v>
      </c>
      <c r="CN92">
        <v>0.03</v>
      </c>
      <c r="CO92">
        <v>-335.25058536585362</v>
      </c>
      <c r="CP92">
        <v>-20.216069686410549</v>
      </c>
      <c r="CQ92">
        <v>1.993562199358895</v>
      </c>
      <c r="CR92">
        <v>-1</v>
      </c>
      <c r="CS92">
        <v>15.45915853658537</v>
      </c>
      <c r="CT92">
        <v>0.67959930313589789</v>
      </c>
      <c r="CU92">
        <v>6.7017092743639997E-2</v>
      </c>
      <c r="CV92">
        <v>-1</v>
      </c>
      <c r="CW92">
        <v>0</v>
      </c>
      <c r="CX92">
        <v>0</v>
      </c>
      <c r="CY92" t="s">
        <v>333</v>
      </c>
      <c r="CZ92">
        <v>2.36571</v>
      </c>
      <c r="DA92">
        <v>2.7137899999999999</v>
      </c>
      <c r="DB92">
        <v>9.9921599999999999E-2</v>
      </c>
      <c r="DC92">
        <v>0.14632100000000001</v>
      </c>
      <c r="DD92">
        <v>0.121637</v>
      </c>
      <c r="DE92">
        <v>6.2474799999999997E-2</v>
      </c>
      <c r="DF92">
        <v>32833.599999999999</v>
      </c>
      <c r="DG92">
        <v>27432.799999999999</v>
      </c>
      <c r="DH92">
        <v>31138.799999999999</v>
      </c>
      <c r="DI92">
        <v>27998</v>
      </c>
      <c r="DJ92">
        <v>37113.300000000003</v>
      </c>
      <c r="DK92">
        <v>37291.300000000003</v>
      </c>
      <c r="DL92">
        <v>44302.6</v>
      </c>
      <c r="DM92">
        <v>42395.199999999997</v>
      </c>
      <c r="DN92">
        <v>1.44167</v>
      </c>
      <c r="DO92">
        <v>2.0802200000000002</v>
      </c>
      <c r="DP92">
        <v>0.15087400000000001</v>
      </c>
      <c r="DQ92">
        <v>0.18914800000000001</v>
      </c>
      <c r="DR92">
        <v>24.520900000000001</v>
      </c>
      <c r="DS92">
        <v>24.4086</v>
      </c>
      <c r="DT92">
        <v>36.799999999999997</v>
      </c>
      <c r="DU92">
        <v>25</v>
      </c>
      <c r="DV92">
        <v>11.8208</v>
      </c>
      <c r="DW92">
        <v>61.7699</v>
      </c>
      <c r="DX92">
        <v>35.977600000000002</v>
      </c>
      <c r="DY92">
        <v>1</v>
      </c>
      <c r="DZ92">
        <v>-0.158356</v>
      </c>
      <c r="EA92">
        <v>-0.23794899999999999</v>
      </c>
      <c r="EB92">
        <v>20.1921</v>
      </c>
      <c r="EC92">
        <v>5.242</v>
      </c>
      <c r="ED92">
        <v>12.039899999999999</v>
      </c>
      <c r="EE92">
        <v>5.01715</v>
      </c>
      <c r="EF92">
        <v>3.2879999999999998</v>
      </c>
      <c r="EG92">
        <v>9999</v>
      </c>
      <c r="EH92">
        <v>9999</v>
      </c>
      <c r="EI92">
        <v>9999</v>
      </c>
      <c r="EJ92">
        <v>999.9</v>
      </c>
      <c r="EK92">
        <v>1.86876</v>
      </c>
      <c r="EL92">
        <v>1.8644700000000001</v>
      </c>
      <c r="EM92">
        <v>1.8690500000000001</v>
      </c>
      <c r="EN92">
        <v>1.86707</v>
      </c>
      <c r="EO92">
        <v>1.8632500000000001</v>
      </c>
      <c r="EP92">
        <v>1.8643400000000001</v>
      </c>
      <c r="EQ92">
        <v>1.87008</v>
      </c>
      <c r="ER92">
        <v>1.8693200000000001</v>
      </c>
      <c r="ES92">
        <v>0</v>
      </c>
      <c r="ET92">
        <v>0</v>
      </c>
      <c r="EU92">
        <v>0</v>
      </c>
      <c r="EV92">
        <v>0</v>
      </c>
      <c r="EW92" t="s">
        <v>334</v>
      </c>
      <c r="EX92" t="s">
        <v>335</v>
      </c>
      <c r="EY92" t="s">
        <v>336</v>
      </c>
      <c r="EZ92" t="s">
        <v>336</v>
      </c>
      <c r="FA92" t="s">
        <v>336</v>
      </c>
      <c r="FB92" t="s">
        <v>336</v>
      </c>
      <c r="FC92">
        <v>0</v>
      </c>
      <c r="FD92">
        <v>100</v>
      </c>
      <c r="FE92">
        <v>100</v>
      </c>
      <c r="FF92">
        <v>-1.2929999999999999</v>
      </c>
      <c r="FG92">
        <v>0.1782</v>
      </c>
      <c r="FH92">
        <v>-0.98020551812546231</v>
      </c>
      <c r="FI92">
        <v>-6.1462078757559423E-4</v>
      </c>
      <c r="FJ92">
        <v>-1.8861989874597051E-7</v>
      </c>
      <c r="FK92">
        <v>1.1980462299894961E-10</v>
      </c>
      <c r="FL92">
        <v>0.1782306200647516</v>
      </c>
      <c r="FM92">
        <v>0</v>
      </c>
      <c r="FN92">
        <v>0</v>
      </c>
      <c r="FO92">
        <v>0</v>
      </c>
      <c r="FP92">
        <v>3</v>
      </c>
      <c r="FQ92">
        <v>2158</v>
      </c>
      <c r="FR92">
        <v>1</v>
      </c>
      <c r="FS92">
        <v>19</v>
      </c>
      <c r="FT92">
        <v>14.6</v>
      </c>
      <c r="FU92">
        <v>14.9</v>
      </c>
      <c r="FV92">
        <v>1.7748999999999999</v>
      </c>
      <c r="FW92">
        <v>2.5488300000000002</v>
      </c>
      <c r="FX92">
        <v>1.5490699999999999</v>
      </c>
      <c r="FY92">
        <v>2.34375</v>
      </c>
      <c r="FZ92">
        <v>1.50146</v>
      </c>
      <c r="GA92">
        <v>2.36938</v>
      </c>
      <c r="GB92">
        <v>30.5015</v>
      </c>
      <c r="GC92">
        <v>23.982399999999998</v>
      </c>
      <c r="GD92">
        <v>19</v>
      </c>
      <c r="GE92">
        <v>265.101</v>
      </c>
      <c r="GF92">
        <v>610.20899999999995</v>
      </c>
      <c r="GG92">
        <v>24.416499999999999</v>
      </c>
      <c r="GH92">
        <v>25.417400000000001</v>
      </c>
      <c r="GI92">
        <v>30</v>
      </c>
      <c r="GJ92">
        <v>25.543299999999999</v>
      </c>
      <c r="GK92">
        <v>25.501999999999999</v>
      </c>
      <c r="GL92">
        <v>35.479199999999999</v>
      </c>
      <c r="GM92">
        <v>-30</v>
      </c>
      <c r="GN92">
        <v>-30</v>
      </c>
      <c r="GO92">
        <v>24.419799999999999</v>
      </c>
      <c r="GP92">
        <v>800</v>
      </c>
      <c r="GQ92">
        <v>0</v>
      </c>
      <c r="GR92">
        <v>99.616500000000002</v>
      </c>
      <c r="GS92">
        <v>99.214399999999998</v>
      </c>
    </row>
    <row r="93" spans="1:201" x14ac:dyDescent="0.25">
      <c r="A93">
        <v>77</v>
      </c>
      <c r="B93">
        <v>1690201655.5</v>
      </c>
      <c r="C93">
        <v>808.5</v>
      </c>
      <c r="D93" t="s">
        <v>487</v>
      </c>
      <c r="E93" t="s">
        <v>488</v>
      </c>
      <c r="F93" t="s">
        <v>330</v>
      </c>
      <c r="H93">
        <v>1690201655.5</v>
      </c>
      <c r="I93">
        <f t="shared" si="30"/>
        <v>1.4529897820569828E-3</v>
      </c>
      <c r="J93">
        <f t="shared" si="31"/>
        <v>1.4529897820569828</v>
      </c>
      <c r="K93">
        <f t="shared" si="32"/>
        <v>30.165425265352482</v>
      </c>
      <c r="L93">
        <f t="shared" si="33"/>
        <v>457.928</v>
      </c>
      <c r="M93">
        <f t="shared" si="34"/>
        <v>94.306826578304253</v>
      </c>
      <c r="N93">
        <f t="shared" si="35"/>
        <v>9.3445701419828282</v>
      </c>
      <c r="O93">
        <f t="shared" si="36"/>
        <v>45.374661318127202</v>
      </c>
      <c r="P93">
        <f t="shared" si="37"/>
        <v>0.13875046312403241</v>
      </c>
      <c r="Q93">
        <f t="shared" si="38"/>
        <v>2.0827723198015398</v>
      </c>
      <c r="R93">
        <f t="shared" si="39"/>
        <v>0.13381229936098074</v>
      </c>
      <c r="S93">
        <f t="shared" si="40"/>
        <v>8.4061719392949541E-2</v>
      </c>
      <c r="T93">
        <f t="shared" si="41"/>
        <v>276.11286396312261</v>
      </c>
      <c r="U93">
        <f t="shared" si="42"/>
        <v>27.371103497884206</v>
      </c>
      <c r="V93">
        <f t="shared" si="43"/>
        <v>27.371103497884206</v>
      </c>
      <c r="W93">
        <f t="shared" si="44"/>
        <v>3.6579165421837749</v>
      </c>
      <c r="X93">
        <f t="shared" si="45"/>
        <v>79.117195504218401</v>
      </c>
      <c r="Y93">
        <f t="shared" si="46"/>
        <v>2.6160524323838401</v>
      </c>
      <c r="Z93">
        <f t="shared" si="47"/>
        <v>3.3065535446644545</v>
      </c>
      <c r="AA93">
        <f t="shared" si="48"/>
        <v>1.0418641097999348</v>
      </c>
      <c r="AB93">
        <f t="shared" si="49"/>
        <v>-64.076849388712944</v>
      </c>
      <c r="AC93">
        <f t="shared" si="50"/>
        <v>-192.36948974486643</v>
      </c>
      <c r="AD93">
        <f t="shared" si="51"/>
        <v>-19.836393729755994</v>
      </c>
      <c r="AE93">
        <f t="shared" si="52"/>
        <v>-0.16986890021274803</v>
      </c>
      <c r="AF93">
        <v>14</v>
      </c>
      <c r="AG93">
        <v>5</v>
      </c>
      <c r="AH93">
        <f t="shared" si="53"/>
        <v>1</v>
      </c>
      <c r="AI93">
        <f t="shared" si="54"/>
        <v>0</v>
      </c>
      <c r="AJ93">
        <f t="shared" si="55"/>
        <v>52696.6596625776</v>
      </c>
      <c r="AK93">
        <f t="shared" si="56"/>
        <v>1799.99</v>
      </c>
      <c r="AL93">
        <f t="shared" si="57"/>
        <v>1499.1016538112099</v>
      </c>
      <c r="AM93">
        <f t="shared" si="58"/>
        <v>0.83283887899999998</v>
      </c>
      <c r="AN93">
        <f t="shared" si="59"/>
        <v>0.15339688773999999</v>
      </c>
      <c r="AO93">
        <v>33.299999999999997</v>
      </c>
      <c r="AP93">
        <v>0.5</v>
      </c>
      <c r="AQ93" t="s">
        <v>331</v>
      </c>
      <c r="AR93">
        <v>2</v>
      </c>
      <c r="AS93">
        <v>1690201655.5</v>
      </c>
      <c r="AT93">
        <v>457.928</v>
      </c>
      <c r="AU93">
        <v>799.98900000000003</v>
      </c>
      <c r="AV93">
        <v>26.401599999999998</v>
      </c>
      <c r="AW93">
        <v>10.7066</v>
      </c>
      <c r="AX93">
        <v>459.21800000000002</v>
      </c>
      <c r="AY93">
        <v>26.223299999999998</v>
      </c>
      <c r="AZ93">
        <v>300.14100000000002</v>
      </c>
      <c r="BA93">
        <v>98.986900000000006</v>
      </c>
      <c r="BB93">
        <v>9.9989900000000007E-2</v>
      </c>
      <c r="BC93">
        <v>25.657900000000001</v>
      </c>
      <c r="BD93">
        <v>27.0063</v>
      </c>
      <c r="BE93">
        <v>27.5169</v>
      </c>
      <c r="BF93">
        <v>0</v>
      </c>
      <c r="BG93">
        <v>0</v>
      </c>
      <c r="BH93">
        <v>10023.799999999999</v>
      </c>
      <c r="BI93">
        <v>1073.01</v>
      </c>
      <c r="BJ93">
        <v>1.4577199999999999</v>
      </c>
      <c r="BK93">
        <v>-342.06200000000001</v>
      </c>
      <c r="BL93">
        <v>470.346</v>
      </c>
      <c r="BM93">
        <v>808.64700000000005</v>
      </c>
      <c r="BN93">
        <v>15.695</v>
      </c>
      <c r="BO93">
        <v>799.98900000000003</v>
      </c>
      <c r="BP93">
        <v>10.7066</v>
      </c>
      <c r="BQ93">
        <v>2.61341</v>
      </c>
      <c r="BR93">
        <v>1.0598099999999999</v>
      </c>
      <c r="BS93">
        <v>21.750599999999999</v>
      </c>
      <c r="BT93">
        <v>7.7656200000000002</v>
      </c>
      <c r="BU93">
        <v>1799.99</v>
      </c>
      <c r="BV93">
        <v>0.91000400000000004</v>
      </c>
      <c r="BW93">
        <v>3.4007000000000003E-2</v>
      </c>
      <c r="BX93">
        <v>2.1993700000000001E-2</v>
      </c>
      <c r="BY93">
        <v>3.3994799999999999E-2</v>
      </c>
      <c r="BZ93">
        <v>25</v>
      </c>
      <c r="CA93">
        <v>33528.199999999997</v>
      </c>
      <c r="CB93">
        <v>1690200769.5</v>
      </c>
      <c r="CC93" t="s">
        <v>332</v>
      </c>
      <c r="CD93">
        <v>1690200769.5</v>
      </c>
      <c r="CE93">
        <v>1690200753</v>
      </c>
      <c r="CF93">
        <v>2</v>
      </c>
      <c r="CG93">
        <v>-0.245</v>
      </c>
      <c r="CH93">
        <v>3.0000000000000001E-3</v>
      </c>
      <c r="CI93">
        <v>-1.5169999999999999</v>
      </c>
      <c r="CJ93">
        <v>-1.6E-2</v>
      </c>
      <c r="CK93">
        <v>778</v>
      </c>
      <c r="CL93">
        <v>12</v>
      </c>
      <c r="CM93">
        <v>0.01</v>
      </c>
      <c r="CN93">
        <v>0.03</v>
      </c>
      <c r="CO93">
        <v>-338.841925</v>
      </c>
      <c r="CP93">
        <v>-19.862195121950819</v>
      </c>
      <c r="CQ93">
        <v>1.911365550954341</v>
      </c>
      <c r="CR93">
        <v>-1</v>
      </c>
      <c r="CS93">
        <v>15.580724999999999</v>
      </c>
      <c r="CT93">
        <v>0.67970656660406026</v>
      </c>
      <c r="CU93">
        <v>6.5392299814274732E-2</v>
      </c>
      <c r="CV93">
        <v>-1</v>
      </c>
      <c r="CW93">
        <v>0</v>
      </c>
      <c r="CX93">
        <v>0</v>
      </c>
      <c r="CY93" t="s">
        <v>333</v>
      </c>
      <c r="CZ93">
        <v>2.3653</v>
      </c>
      <c r="DA93">
        <v>2.7138</v>
      </c>
      <c r="DB93">
        <v>9.9418199999999998E-2</v>
      </c>
      <c r="DC93">
        <v>0.14632300000000001</v>
      </c>
      <c r="DD93">
        <v>0.121944</v>
      </c>
      <c r="DE93">
        <v>6.24042E-2</v>
      </c>
      <c r="DF93">
        <v>32851.699999999997</v>
      </c>
      <c r="DG93">
        <v>27432.7</v>
      </c>
      <c r="DH93">
        <v>31138.5</v>
      </c>
      <c r="DI93">
        <v>27997.9</v>
      </c>
      <c r="DJ93">
        <v>37099.699999999997</v>
      </c>
      <c r="DK93">
        <v>37294.199999999997</v>
      </c>
      <c r="DL93">
        <v>44302.1</v>
      </c>
      <c r="DM93">
        <v>42395.3</v>
      </c>
      <c r="DN93">
        <v>1.4413199999999999</v>
      </c>
      <c r="DO93">
        <v>2.08005</v>
      </c>
      <c r="DP93">
        <v>0.15141099999999999</v>
      </c>
      <c r="DQ93">
        <v>0.18948699999999999</v>
      </c>
      <c r="DR93">
        <v>24.525099999999998</v>
      </c>
      <c r="DS93">
        <v>24.412700000000001</v>
      </c>
      <c r="DT93">
        <v>36.799999999999997</v>
      </c>
      <c r="DU93">
        <v>25</v>
      </c>
      <c r="DV93">
        <v>11.8218</v>
      </c>
      <c r="DW93">
        <v>62.119900000000001</v>
      </c>
      <c r="DX93">
        <v>36.045699999999997</v>
      </c>
      <c r="DY93">
        <v>1</v>
      </c>
      <c r="DZ93">
        <v>-0.15837399999999999</v>
      </c>
      <c r="EA93">
        <v>-0.185417</v>
      </c>
      <c r="EB93">
        <v>20.192299999999999</v>
      </c>
      <c r="EC93">
        <v>5.2416999999999998</v>
      </c>
      <c r="ED93">
        <v>12.039899999999999</v>
      </c>
      <c r="EE93">
        <v>5.0172999999999996</v>
      </c>
      <c r="EF93">
        <v>3.2879999999999998</v>
      </c>
      <c r="EG93">
        <v>9999</v>
      </c>
      <c r="EH93">
        <v>9999</v>
      </c>
      <c r="EI93">
        <v>9999</v>
      </c>
      <c r="EJ93">
        <v>999.9</v>
      </c>
      <c r="EK93">
        <v>1.8687499999999999</v>
      </c>
      <c r="EL93">
        <v>1.8644700000000001</v>
      </c>
      <c r="EM93">
        <v>1.8690500000000001</v>
      </c>
      <c r="EN93">
        <v>1.8670899999999999</v>
      </c>
      <c r="EO93">
        <v>1.8632500000000001</v>
      </c>
      <c r="EP93">
        <v>1.86435</v>
      </c>
      <c r="EQ93">
        <v>1.8700600000000001</v>
      </c>
      <c r="ER93">
        <v>1.8693299999999999</v>
      </c>
      <c r="ES93">
        <v>0</v>
      </c>
      <c r="ET93">
        <v>0</v>
      </c>
      <c r="EU93">
        <v>0</v>
      </c>
      <c r="EV93">
        <v>0</v>
      </c>
      <c r="EW93" t="s">
        <v>334</v>
      </c>
      <c r="EX93" t="s">
        <v>335</v>
      </c>
      <c r="EY93" t="s">
        <v>336</v>
      </c>
      <c r="EZ93" t="s">
        <v>336</v>
      </c>
      <c r="FA93" t="s">
        <v>336</v>
      </c>
      <c r="FB93" t="s">
        <v>336</v>
      </c>
      <c r="FC93">
        <v>0</v>
      </c>
      <c r="FD93">
        <v>100</v>
      </c>
      <c r="FE93">
        <v>100</v>
      </c>
      <c r="FF93">
        <v>-1.29</v>
      </c>
      <c r="FG93">
        <v>0.17829999999999999</v>
      </c>
      <c r="FH93">
        <v>-0.98020551812546231</v>
      </c>
      <c r="FI93">
        <v>-6.1462078757559423E-4</v>
      </c>
      <c r="FJ93">
        <v>-1.8861989874597051E-7</v>
      </c>
      <c r="FK93">
        <v>1.1980462299894961E-10</v>
      </c>
      <c r="FL93">
        <v>0.1782306200647516</v>
      </c>
      <c r="FM93">
        <v>0</v>
      </c>
      <c r="FN93">
        <v>0</v>
      </c>
      <c r="FO93">
        <v>0</v>
      </c>
      <c r="FP93">
        <v>3</v>
      </c>
      <c r="FQ93">
        <v>2158</v>
      </c>
      <c r="FR93">
        <v>1</v>
      </c>
      <c r="FS93">
        <v>19</v>
      </c>
      <c r="FT93">
        <v>14.8</v>
      </c>
      <c r="FU93">
        <v>15</v>
      </c>
      <c r="FV93">
        <v>1.7748999999999999</v>
      </c>
      <c r="FW93">
        <v>2.5390600000000001</v>
      </c>
      <c r="FX93">
        <v>1.5490699999999999</v>
      </c>
      <c r="FY93">
        <v>2.34375</v>
      </c>
      <c r="FZ93">
        <v>1.50146</v>
      </c>
      <c r="GA93">
        <v>2.31812</v>
      </c>
      <c r="GB93">
        <v>30.5015</v>
      </c>
      <c r="GC93">
        <v>23.982399999999998</v>
      </c>
      <c r="GD93">
        <v>19</v>
      </c>
      <c r="GE93">
        <v>264.95999999999998</v>
      </c>
      <c r="GF93">
        <v>610.05899999999997</v>
      </c>
      <c r="GG93">
        <v>24.424399999999999</v>
      </c>
      <c r="GH93">
        <v>25.417400000000001</v>
      </c>
      <c r="GI93">
        <v>30.0001</v>
      </c>
      <c r="GJ93">
        <v>25.543299999999999</v>
      </c>
      <c r="GK93">
        <v>25.501999999999999</v>
      </c>
      <c r="GL93">
        <v>35.478999999999999</v>
      </c>
      <c r="GM93">
        <v>-30</v>
      </c>
      <c r="GN93">
        <v>-30</v>
      </c>
      <c r="GO93">
        <v>24.3809</v>
      </c>
      <c r="GP93">
        <v>800</v>
      </c>
      <c r="GQ93">
        <v>0</v>
      </c>
      <c r="GR93">
        <v>99.615499999999997</v>
      </c>
      <c r="GS93">
        <v>99.214399999999998</v>
      </c>
    </row>
    <row r="94" spans="1:201" x14ac:dyDescent="0.25">
      <c r="A94">
        <v>78</v>
      </c>
      <c r="B94">
        <v>1690201665.5</v>
      </c>
      <c r="C94">
        <v>818.5</v>
      </c>
      <c r="D94" t="s">
        <v>489</v>
      </c>
      <c r="E94" t="s">
        <v>490</v>
      </c>
      <c r="F94" t="s">
        <v>330</v>
      </c>
      <c r="H94">
        <v>1690201665.5</v>
      </c>
      <c r="I94">
        <f t="shared" si="30"/>
        <v>1.4635636860586007E-3</v>
      </c>
      <c r="J94">
        <f t="shared" si="31"/>
        <v>1.4635636860586008</v>
      </c>
      <c r="K94">
        <f t="shared" si="32"/>
        <v>30.45759522518436</v>
      </c>
      <c r="L94">
        <f t="shared" si="33"/>
        <v>454.68400000000003</v>
      </c>
      <c r="M94">
        <f t="shared" si="34"/>
        <v>92.687919292344162</v>
      </c>
      <c r="N94">
        <f t="shared" si="35"/>
        <v>9.1844308145475395</v>
      </c>
      <c r="O94">
        <f t="shared" si="36"/>
        <v>45.054563446508006</v>
      </c>
      <c r="P94">
        <f t="shared" si="37"/>
        <v>0.14077666284236368</v>
      </c>
      <c r="Q94">
        <f t="shared" si="38"/>
        <v>2.0774288061778163</v>
      </c>
      <c r="R94">
        <f t="shared" si="39"/>
        <v>0.13568350142607147</v>
      </c>
      <c r="S94">
        <f t="shared" si="40"/>
        <v>8.5244436892197489E-2</v>
      </c>
      <c r="T94">
        <f t="shared" si="41"/>
        <v>276.11262704843875</v>
      </c>
      <c r="U94">
        <f t="shared" si="42"/>
        <v>27.383402740447529</v>
      </c>
      <c r="V94">
        <f t="shared" si="43"/>
        <v>27.383402740447529</v>
      </c>
      <c r="W94">
        <f t="shared" si="44"/>
        <v>3.6605524179461062</v>
      </c>
      <c r="X94">
        <f t="shared" si="45"/>
        <v>79.349361997162532</v>
      </c>
      <c r="Y94">
        <f t="shared" si="46"/>
        <v>2.6256131379400998</v>
      </c>
      <c r="Z94">
        <f t="shared" si="47"/>
        <v>3.3089278500235317</v>
      </c>
      <c r="AA94">
        <f t="shared" si="48"/>
        <v>1.0349392800060064</v>
      </c>
      <c r="AB94">
        <f t="shared" si="49"/>
        <v>-64.543158555184291</v>
      </c>
      <c r="AC94">
        <f t="shared" si="50"/>
        <v>-191.89826576340025</v>
      </c>
      <c r="AD94">
        <f t="shared" si="51"/>
        <v>-19.841124960287711</v>
      </c>
      <c r="AE94">
        <f t="shared" si="52"/>
        <v>-0.16992223043345689</v>
      </c>
      <c r="AF94">
        <v>14</v>
      </c>
      <c r="AG94">
        <v>5</v>
      </c>
      <c r="AH94">
        <f t="shared" si="53"/>
        <v>1</v>
      </c>
      <c r="AI94">
        <f t="shared" si="54"/>
        <v>0</v>
      </c>
      <c r="AJ94">
        <f t="shared" si="55"/>
        <v>52453.108376087344</v>
      </c>
      <c r="AK94">
        <f t="shared" si="56"/>
        <v>1799.99</v>
      </c>
      <c r="AL94">
        <f t="shared" si="57"/>
        <v>1499.1029462040299</v>
      </c>
      <c r="AM94">
        <f t="shared" si="58"/>
        <v>0.83283959699999999</v>
      </c>
      <c r="AN94">
        <f t="shared" si="59"/>
        <v>0.15339675611999998</v>
      </c>
      <c r="AO94">
        <v>33.299999999999997</v>
      </c>
      <c r="AP94">
        <v>0.5</v>
      </c>
      <c r="AQ94" t="s">
        <v>331</v>
      </c>
      <c r="AR94">
        <v>2</v>
      </c>
      <c r="AS94">
        <v>1690201665.5</v>
      </c>
      <c r="AT94">
        <v>454.68400000000003</v>
      </c>
      <c r="AU94">
        <v>799.96</v>
      </c>
      <c r="AV94">
        <v>26.497299999999999</v>
      </c>
      <c r="AW94">
        <v>10.690899999999999</v>
      </c>
      <c r="AX94">
        <v>455.97199999999998</v>
      </c>
      <c r="AY94">
        <v>26.318999999999999</v>
      </c>
      <c r="AZ94">
        <v>300.16500000000002</v>
      </c>
      <c r="BA94">
        <v>98.989800000000002</v>
      </c>
      <c r="BB94">
        <v>0.100037</v>
      </c>
      <c r="BC94">
        <v>25.67</v>
      </c>
      <c r="BD94">
        <v>27.012</v>
      </c>
      <c r="BE94">
        <v>27.4893</v>
      </c>
      <c r="BF94">
        <v>0</v>
      </c>
      <c r="BG94">
        <v>0</v>
      </c>
      <c r="BH94">
        <v>9975.6200000000008</v>
      </c>
      <c r="BI94">
        <v>1073.05</v>
      </c>
      <c r="BJ94">
        <v>1.4577199999999999</v>
      </c>
      <c r="BK94">
        <v>-345.27600000000001</v>
      </c>
      <c r="BL94">
        <v>467.06</v>
      </c>
      <c r="BM94">
        <v>808.60500000000002</v>
      </c>
      <c r="BN94">
        <v>15.8063</v>
      </c>
      <c r="BO94">
        <v>799.96</v>
      </c>
      <c r="BP94">
        <v>10.690899999999999</v>
      </c>
      <c r="BQ94">
        <v>2.62296</v>
      </c>
      <c r="BR94">
        <v>1.05829</v>
      </c>
      <c r="BS94">
        <v>21.810300000000002</v>
      </c>
      <c r="BT94">
        <v>7.7446099999999998</v>
      </c>
      <c r="BU94">
        <v>1799.99</v>
      </c>
      <c r="BV94">
        <v>0.91001100000000001</v>
      </c>
      <c r="BW94">
        <v>3.4004399999999997E-2</v>
      </c>
      <c r="BX94">
        <v>2.1992100000000001E-2</v>
      </c>
      <c r="BY94">
        <v>3.39922E-2</v>
      </c>
      <c r="BZ94">
        <v>25</v>
      </c>
      <c r="CA94">
        <v>33528.300000000003</v>
      </c>
      <c r="CB94">
        <v>1690200769.5</v>
      </c>
      <c r="CC94" t="s">
        <v>332</v>
      </c>
      <c r="CD94">
        <v>1690200769.5</v>
      </c>
      <c r="CE94">
        <v>1690200753</v>
      </c>
      <c r="CF94">
        <v>2</v>
      </c>
      <c r="CG94">
        <v>-0.245</v>
      </c>
      <c r="CH94">
        <v>3.0000000000000001E-3</v>
      </c>
      <c r="CI94">
        <v>-1.5169999999999999</v>
      </c>
      <c r="CJ94">
        <v>-1.6E-2</v>
      </c>
      <c r="CK94">
        <v>778</v>
      </c>
      <c r="CL94">
        <v>12</v>
      </c>
      <c r="CM94">
        <v>0.01</v>
      </c>
      <c r="CN94">
        <v>0.03</v>
      </c>
      <c r="CO94">
        <v>-342.04750000000001</v>
      </c>
      <c r="CP94">
        <v>-18.706806754221201</v>
      </c>
      <c r="CQ94">
        <v>1.8002751317507011</v>
      </c>
      <c r="CR94">
        <v>-1</v>
      </c>
      <c r="CS94">
        <v>15.69303</v>
      </c>
      <c r="CT94">
        <v>0.67204277673542789</v>
      </c>
      <c r="CU94">
        <v>6.4652603195849645E-2</v>
      </c>
      <c r="CV94">
        <v>-1</v>
      </c>
      <c r="CW94">
        <v>0</v>
      </c>
      <c r="CX94">
        <v>0</v>
      </c>
      <c r="CY94" t="s">
        <v>333</v>
      </c>
      <c r="CZ94">
        <v>2.36537</v>
      </c>
      <c r="DA94">
        <v>2.7138100000000001</v>
      </c>
      <c r="DB94">
        <v>9.8898600000000003E-2</v>
      </c>
      <c r="DC94">
        <v>0.14632300000000001</v>
      </c>
      <c r="DD94">
        <v>0.122256</v>
      </c>
      <c r="DE94">
        <v>6.2336299999999997E-2</v>
      </c>
      <c r="DF94">
        <v>32871</v>
      </c>
      <c r="DG94">
        <v>27433.3</v>
      </c>
      <c r="DH94">
        <v>31138.799999999999</v>
      </c>
      <c r="DI94">
        <v>27998.6</v>
      </c>
      <c r="DJ94">
        <v>37086.6</v>
      </c>
      <c r="DK94">
        <v>37297.800000000003</v>
      </c>
      <c r="DL94">
        <v>44302.5</v>
      </c>
      <c r="DM94">
        <v>42396.3</v>
      </c>
      <c r="DN94">
        <v>1.44173</v>
      </c>
      <c r="DO94">
        <v>2.0799500000000002</v>
      </c>
      <c r="DP94">
        <v>0.151638</v>
      </c>
      <c r="DQ94">
        <v>0.18754999999999999</v>
      </c>
      <c r="DR94">
        <v>24.527100000000001</v>
      </c>
      <c r="DS94">
        <v>24.416799999999999</v>
      </c>
      <c r="DT94">
        <v>36.700000000000003</v>
      </c>
      <c r="DU94">
        <v>25</v>
      </c>
      <c r="DV94">
        <v>11.788500000000001</v>
      </c>
      <c r="DW94">
        <v>62.319899999999997</v>
      </c>
      <c r="DX94">
        <v>36.402200000000001</v>
      </c>
      <c r="DY94">
        <v>1</v>
      </c>
      <c r="DZ94">
        <v>-0.15863099999999999</v>
      </c>
      <c r="EA94">
        <v>-0.12876399999999999</v>
      </c>
      <c r="EB94">
        <v>20.1922</v>
      </c>
      <c r="EC94">
        <v>5.2424499999999998</v>
      </c>
      <c r="ED94">
        <v>12.039899999999999</v>
      </c>
      <c r="EE94">
        <v>5.0173500000000004</v>
      </c>
      <c r="EF94">
        <v>3.2879999999999998</v>
      </c>
      <c r="EG94">
        <v>9999</v>
      </c>
      <c r="EH94">
        <v>9999</v>
      </c>
      <c r="EI94">
        <v>9999</v>
      </c>
      <c r="EJ94">
        <v>999.9</v>
      </c>
      <c r="EK94">
        <v>1.86876</v>
      </c>
      <c r="EL94">
        <v>1.8644700000000001</v>
      </c>
      <c r="EM94">
        <v>1.8690500000000001</v>
      </c>
      <c r="EN94">
        <v>1.86707</v>
      </c>
      <c r="EO94">
        <v>1.8632500000000001</v>
      </c>
      <c r="EP94">
        <v>1.8643400000000001</v>
      </c>
      <c r="EQ94">
        <v>1.87008</v>
      </c>
      <c r="ER94">
        <v>1.8693299999999999</v>
      </c>
      <c r="ES94">
        <v>0</v>
      </c>
      <c r="ET94">
        <v>0</v>
      </c>
      <c r="EU94">
        <v>0</v>
      </c>
      <c r="EV94">
        <v>0</v>
      </c>
      <c r="EW94" t="s">
        <v>334</v>
      </c>
      <c r="EX94" t="s">
        <v>335</v>
      </c>
      <c r="EY94" t="s">
        <v>336</v>
      </c>
      <c r="EZ94" t="s">
        <v>336</v>
      </c>
      <c r="FA94" t="s">
        <v>336</v>
      </c>
      <c r="FB94" t="s">
        <v>336</v>
      </c>
      <c r="FC94">
        <v>0</v>
      </c>
      <c r="FD94">
        <v>100</v>
      </c>
      <c r="FE94">
        <v>100</v>
      </c>
      <c r="FF94">
        <v>-1.288</v>
      </c>
      <c r="FG94">
        <v>0.17829999999999999</v>
      </c>
      <c r="FH94">
        <v>-0.98020551812546231</v>
      </c>
      <c r="FI94">
        <v>-6.1462078757559423E-4</v>
      </c>
      <c r="FJ94">
        <v>-1.8861989874597051E-7</v>
      </c>
      <c r="FK94">
        <v>1.1980462299894961E-10</v>
      </c>
      <c r="FL94">
        <v>0.1782306200647516</v>
      </c>
      <c r="FM94">
        <v>0</v>
      </c>
      <c r="FN94">
        <v>0</v>
      </c>
      <c r="FO94">
        <v>0</v>
      </c>
      <c r="FP94">
        <v>3</v>
      </c>
      <c r="FQ94">
        <v>2158</v>
      </c>
      <c r="FR94">
        <v>1</v>
      </c>
      <c r="FS94">
        <v>19</v>
      </c>
      <c r="FT94">
        <v>14.9</v>
      </c>
      <c r="FU94">
        <v>15.2</v>
      </c>
      <c r="FV94">
        <v>1.7748999999999999</v>
      </c>
      <c r="FW94">
        <v>2.5488300000000002</v>
      </c>
      <c r="FX94">
        <v>1.5490699999999999</v>
      </c>
      <c r="FY94">
        <v>2.34375</v>
      </c>
      <c r="FZ94">
        <v>1.50146</v>
      </c>
      <c r="GA94">
        <v>2.3168899999999999</v>
      </c>
      <c r="GB94">
        <v>30.523099999999999</v>
      </c>
      <c r="GC94">
        <v>23.973700000000001</v>
      </c>
      <c r="GD94">
        <v>19</v>
      </c>
      <c r="GE94">
        <v>265.12200000000001</v>
      </c>
      <c r="GF94">
        <v>609.97799999999995</v>
      </c>
      <c r="GG94">
        <v>24.377700000000001</v>
      </c>
      <c r="GH94">
        <v>25.417400000000001</v>
      </c>
      <c r="GI94">
        <v>30.0001</v>
      </c>
      <c r="GJ94">
        <v>25.543299999999999</v>
      </c>
      <c r="GK94">
        <v>25.502400000000002</v>
      </c>
      <c r="GL94">
        <v>35.480800000000002</v>
      </c>
      <c r="GM94">
        <v>-30</v>
      </c>
      <c r="GN94">
        <v>-30</v>
      </c>
      <c r="GO94">
        <v>24.370100000000001</v>
      </c>
      <c r="GP94">
        <v>800</v>
      </c>
      <c r="GQ94">
        <v>0</v>
      </c>
      <c r="GR94">
        <v>99.616500000000002</v>
      </c>
      <c r="GS94">
        <v>99.216800000000006</v>
      </c>
    </row>
    <row r="95" spans="1:201" x14ac:dyDescent="0.25">
      <c r="A95">
        <v>79</v>
      </c>
      <c r="B95">
        <v>1690201675.5</v>
      </c>
      <c r="C95">
        <v>828.5</v>
      </c>
      <c r="D95" t="s">
        <v>491</v>
      </c>
      <c r="E95" t="s">
        <v>492</v>
      </c>
      <c r="F95" t="s">
        <v>330</v>
      </c>
      <c r="H95">
        <v>1690201675.5</v>
      </c>
      <c r="I95">
        <f t="shared" si="30"/>
        <v>1.4727298804481947E-3</v>
      </c>
      <c r="J95">
        <f t="shared" si="31"/>
        <v>1.4727298804481948</v>
      </c>
      <c r="K95">
        <f t="shared" si="32"/>
        <v>30.732666578294261</v>
      </c>
      <c r="L95">
        <f t="shared" si="33"/>
        <v>451.85</v>
      </c>
      <c r="M95">
        <f t="shared" si="34"/>
        <v>92.914176070432418</v>
      </c>
      <c r="N95">
        <f t="shared" si="35"/>
        <v>9.206588915488636</v>
      </c>
      <c r="O95">
        <f t="shared" si="36"/>
        <v>44.77247043885</v>
      </c>
      <c r="P95">
        <f t="shared" si="37"/>
        <v>0.14332038719006901</v>
      </c>
      <c r="Q95">
        <f t="shared" si="38"/>
        <v>2.0798406900564812</v>
      </c>
      <c r="R95">
        <f t="shared" si="39"/>
        <v>0.13805108928135032</v>
      </c>
      <c r="S95">
        <f t="shared" si="40"/>
        <v>8.6739215599588193E-2</v>
      </c>
      <c r="T95">
        <f t="shared" si="41"/>
        <v>276.11323384306775</v>
      </c>
      <c r="U95">
        <f t="shared" si="42"/>
        <v>27.364457183716691</v>
      </c>
      <c r="V95">
        <f t="shared" si="43"/>
        <v>27.364457183716691</v>
      </c>
      <c r="W95">
        <f t="shared" si="44"/>
        <v>3.6564928465912794</v>
      </c>
      <c r="X95">
        <f t="shared" si="45"/>
        <v>79.637637862015282</v>
      </c>
      <c r="Y95">
        <f t="shared" si="46"/>
        <v>2.6329799568204</v>
      </c>
      <c r="Z95">
        <f t="shared" si="47"/>
        <v>3.3062004694092648</v>
      </c>
      <c r="AA95">
        <f t="shared" si="48"/>
        <v>1.0235128897708794</v>
      </c>
      <c r="AB95">
        <f t="shared" si="49"/>
        <v>-64.947387727765388</v>
      </c>
      <c r="AC95">
        <f t="shared" si="50"/>
        <v>-191.55530857861248</v>
      </c>
      <c r="AD95">
        <f t="shared" si="51"/>
        <v>-19.779442887497797</v>
      </c>
      <c r="AE95">
        <f t="shared" si="52"/>
        <v>-0.16890535080790414</v>
      </c>
      <c r="AF95">
        <v>14</v>
      </c>
      <c r="AG95">
        <v>5</v>
      </c>
      <c r="AH95">
        <f t="shared" si="53"/>
        <v>1</v>
      </c>
      <c r="AI95">
        <f t="shared" si="54"/>
        <v>0</v>
      </c>
      <c r="AJ95">
        <f t="shared" si="55"/>
        <v>52564.392749546205</v>
      </c>
      <c r="AK95">
        <f t="shared" si="56"/>
        <v>1799.99</v>
      </c>
      <c r="AL95">
        <f t="shared" si="57"/>
        <v>1499.1048739933203</v>
      </c>
      <c r="AM95">
        <f t="shared" si="58"/>
        <v>0.83284066800000012</v>
      </c>
      <c r="AN95">
        <f t="shared" si="59"/>
        <v>0.15339709323000003</v>
      </c>
      <c r="AO95">
        <v>33.299999999999997</v>
      </c>
      <c r="AP95">
        <v>0.5</v>
      </c>
      <c r="AQ95" t="s">
        <v>331</v>
      </c>
      <c r="AR95">
        <v>2</v>
      </c>
      <c r="AS95">
        <v>1690201675.5</v>
      </c>
      <c r="AT95">
        <v>451.85</v>
      </c>
      <c r="AU95">
        <v>800.01400000000001</v>
      </c>
      <c r="AV95">
        <v>26.572399999999998</v>
      </c>
      <c r="AW95">
        <v>10.675700000000001</v>
      </c>
      <c r="AX95">
        <v>453.13600000000002</v>
      </c>
      <c r="AY95">
        <v>26.394100000000002</v>
      </c>
      <c r="AZ95">
        <v>300.30599999999998</v>
      </c>
      <c r="BA95">
        <v>98.986900000000006</v>
      </c>
      <c r="BB95">
        <v>0.100121</v>
      </c>
      <c r="BC95">
        <v>25.656099999999999</v>
      </c>
      <c r="BD95">
        <v>26.977799999999998</v>
      </c>
      <c r="BE95">
        <v>27.4861</v>
      </c>
      <c r="BF95">
        <v>0</v>
      </c>
      <c r="BG95">
        <v>0</v>
      </c>
      <c r="BH95">
        <v>9997.5</v>
      </c>
      <c r="BI95">
        <v>1073.19</v>
      </c>
      <c r="BJ95">
        <v>1.4577199999999999</v>
      </c>
      <c r="BK95">
        <v>-348.16399999999999</v>
      </c>
      <c r="BL95">
        <v>464.185</v>
      </c>
      <c r="BM95">
        <v>808.64700000000005</v>
      </c>
      <c r="BN95">
        <v>15.896599999999999</v>
      </c>
      <c r="BO95">
        <v>800.01400000000001</v>
      </c>
      <c r="BP95">
        <v>10.675700000000001</v>
      </c>
      <c r="BQ95">
        <v>2.6303100000000001</v>
      </c>
      <c r="BR95">
        <v>1.0567599999999999</v>
      </c>
      <c r="BS95">
        <v>21.856100000000001</v>
      </c>
      <c r="BT95">
        <v>7.7233000000000001</v>
      </c>
      <c r="BU95">
        <v>1799.99</v>
      </c>
      <c r="BV95">
        <v>0.91001299999999996</v>
      </c>
      <c r="BW95">
        <v>3.4001099999999999E-2</v>
      </c>
      <c r="BX95">
        <v>2.19969E-2</v>
      </c>
      <c r="BY95">
        <v>3.3988900000000002E-2</v>
      </c>
      <c r="BZ95">
        <v>25</v>
      </c>
      <c r="CA95">
        <v>33528.300000000003</v>
      </c>
      <c r="CB95">
        <v>1690200769.5</v>
      </c>
      <c r="CC95" t="s">
        <v>332</v>
      </c>
      <c r="CD95">
        <v>1690200769.5</v>
      </c>
      <c r="CE95">
        <v>1690200753</v>
      </c>
      <c r="CF95">
        <v>2</v>
      </c>
      <c r="CG95">
        <v>-0.245</v>
      </c>
      <c r="CH95">
        <v>3.0000000000000001E-3</v>
      </c>
      <c r="CI95">
        <v>-1.5169999999999999</v>
      </c>
      <c r="CJ95">
        <v>-1.6E-2</v>
      </c>
      <c r="CK95">
        <v>778</v>
      </c>
      <c r="CL95">
        <v>12</v>
      </c>
      <c r="CM95">
        <v>0.01</v>
      </c>
      <c r="CN95">
        <v>0.03</v>
      </c>
      <c r="CO95">
        <v>-344.8891463414634</v>
      </c>
      <c r="CP95">
        <v>-18.234522648083381</v>
      </c>
      <c r="CQ95">
        <v>1.79887563204347</v>
      </c>
      <c r="CR95">
        <v>-1</v>
      </c>
      <c r="CS95">
        <v>15.791499999999999</v>
      </c>
      <c r="CT95">
        <v>0.6131665505226277</v>
      </c>
      <c r="CU95">
        <v>6.0560882488656598E-2</v>
      </c>
      <c r="CV95">
        <v>-1</v>
      </c>
      <c r="CW95">
        <v>0</v>
      </c>
      <c r="CX95">
        <v>0</v>
      </c>
      <c r="CY95" t="s">
        <v>333</v>
      </c>
      <c r="CZ95">
        <v>2.3658399999999999</v>
      </c>
      <c r="DA95">
        <v>2.7139099999999998</v>
      </c>
      <c r="DB95">
        <v>9.8437899999999995E-2</v>
      </c>
      <c r="DC95">
        <v>0.14632500000000001</v>
      </c>
      <c r="DD95">
        <v>0.12249400000000001</v>
      </c>
      <c r="DE95">
        <v>6.2266599999999998E-2</v>
      </c>
      <c r="DF95">
        <v>32888.300000000003</v>
      </c>
      <c r="DG95">
        <v>27433.599999999999</v>
      </c>
      <c r="DH95">
        <v>31139.3</v>
      </c>
      <c r="DI95">
        <v>27999</v>
      </c>
      <c r="DJ95">
        <v>37077.1</v>
      </c>
      <c r="DK95">
        <v>37301.1</v>
      </c>
      <c r="DL95">
        <v>44303.3</v>
      </c>
      <c r="DM95">
        <v>42396.9</v>
      </c>
      <c r="DN95">
        <v>1.4418</v>
      </c>
      <c r="DO95">
        <v>2.0796700000000001</v>
      </c>
      <c r="DP95">
        <v>0.14954400000000001</v>
      </c>
      <c r="DQ95">
        <v>0.187282</v>
      </c>
      <c r="DR95">
        <v>24.527100000000001</v>
      </c>
      <c r="DS95">
        <v>24.417999999999999</v>
      </c>
      <c r="DT95">
        <v>36.700000000000003</v>
      </c>
      <c r="DU95">
        <v>25.1</v>
      </c>
      <c r="DV95">
        <v>11.8589</v>
      </c>
      <c r="DW95">
        <v>61.799900000000001</v>
      </c>
      <c r="DX95">
        <v>35.717100000000002</v>
      </c>
      <c r="DY95">
        <v>1</v>
      </c>
      <c r="DZ95">
        <v>-0.158549</v>
      </c>
      <c r="EA95">
        <v>-0.17826</v>
      </c>
      <c r="EB95">
        <v>20.192299999999999</v>
      </c>
      <c r="EC95">
        <v>5.2428999999999997</v>
      </c>
      <c r="ED95">
        <v>12.039899999999999</v>
      </c>
      <c r="EE95">
        <v>5.0174500000000002</v>
      </c>
      <c r="EF95">
        <v>3.2879999999999998</v>
      </c>
      <c r="EG95">
        <v>9999</v>
      </c>
      <c r="EH95">
        <v>9999</v>
      </c>
      <c r="EI95">
        <v>9999</v>
      </c>
      <c r="EJ95">
        <v>999.9</v>
      </c>
      <c r="EK95">
        <v>1.86876</v>
      </c>
      <c r="EL95">
        <v>1.8644700000000001</v>
      </c>
      <c r="EM95">
        <v>1.8690500000000001</v>
      </c>
      <c r="EN95">
        <v>1.86711</v>
      </c>
      <c r="EO95">
        <v>1.8632500000000001</v>
      </c>
      <c r="EP95">
        <v>1.86435</v>
      </c>
      <c r="EQ95">
        <v>1.87008</v>
      </c>
      <c r="ER95">
        <v>1.8693200000000001</v>
      </c>
      <c r="ES95">
        <v>0</v>
      </c>
      <c r="ET95">
        <v>0</v>
      </c>
      <c r="EU95">
        <v>0</v>
      </c>
      <c r="EV95">
        <v>0</v>
      </c>
      <c r="EW95" t="s">
        <v>334</v>
      </c>
      <c r="EX95" t="s">
        <v>335</v>
      </c>
      <c r="EY95" t="s">
        <v>336</v>
      </c>
      <c r="EZ95" t="s">
        <v>336</v>
      </c>
      <c r="FA95" t="s">
        <v>336</v>
      </c>
      <c r="FB95" t="s">
        <v>336</v>
      </c>
      <c r="FC95">
        <v>0</v>
      </c>
      <c r="FD95">
        <v>100</v>
      </c>
      <c r="FE95">
        <v>100</v>
      </c>
      <c r="FF95">
        <v>-1.286</v>
      </c>
      <c r="FG95">
        <v>0.17829999999999999</v>
      </c>
      <c r="FH95">
        <v>-0.98020551812546231</v>
      </c>
      <c r="FI95">
        <v>-6.1462078757559423E-4</v>
      </c>
      <c r="FJ95">
        <v>-1.8861989874597051E-7</v>
      </c>
      <c r="FK95">
        <v>1.1980462299894961E-10</v>
      </c>
      <c r="FL95">
        <v>0.1782306200647516</v>
      </c>
      <c r="FM95">
        <v>0</v>
      </c>
      <c r="FN95">
        <v>0</v>
      </c>
      <c r="FO95">
        <v>0</v>
      </c>
      <c r="FP95">
        <v>3</v>
      </c>
      <c r="FQ95">
        <v>2158</v>
      </c>
      <c r="FR95">
        <v>1</v>
      </c>
      <c r="FS95">
        <v>19</v>
      </c>
      <c r="FT95">
        <v>15.1</v>
      </c>
      <c r="FU95">
        <v>15.4</v>
      </c>
      <c r="FV95">
        <v>1.7736799999999999</v>
      </c>
      <c r="FW95">
        <v>2.5427200000000001</v>
      </c>
      <c r="FX95">
        <v>1.5490699999999999</v>
      </c>
      <c r="FY95">
        <v>2.34375</v>
      </c>
      <c r="FZ95">
        <v>1.50146</v>
      </c>
      <c r="GA95">
        <v>2.3840300000000001</v>
      </c>
      <c r="GB95">
        <v>30.523099999999999</v>
      </c>
      <c r="GC95">
        <v>23.982399999999998</v>
      </c>
      <c r="GD95">
        <v>19</v>
      </c>
      <c r="GE95">
        <v>265.15199999999999</v>
      </c>
      <c r="GF95">
        <v>609.76499999999999</v>
      </c>
      <c r="GG95">
        <v>24.369800000000001</v>
      </c>
      <c r="GH95">
        <v>25.415299999999998</v>
      </c>
      <c r="GI95">
        <v>30.0001</v>
      </c>
      <c r="GJ95">
        <v>25.543299999999999</v>
      </c>
      <c r="GK95">
        <v>25.504100000000001</v>
      </c>
      <c r="GL95">
        <v>35.481099999999998</v>
      </c>
      <c r="GM95">
        <v>-30</v>
      </c>
      <c r="GN95">
        <v>-30</v>
      </c>
      <c r="GO95">
        <v>24.387499999999999</v>
      </c>
      <c r="GP95">
        <v>800</v>
      </c>
      <c r="GQ95">
        <v>0</v>
      </c>
      <c r="GR95">
        <v>99.618200000000002</v>
      </c>
      <c r="GS95">
        <v>99.218199999999996</v>
      </c>
    </row>
    <row r="96" spans="1:201" x14ac:dyDescent="0.25">
      <c r="A96">
        <v>80</v>
      </c>
      <c r="B96">
        <v>1690201685.5</v>
      </c>
      <c r="C96">
        <v>838.5</v>
      </c>
      <c r="D96" t="s">
        <v>493</v>
      </c>
      <c r="E96" t="s">
        <v>494</v>
      </c>
      <c r="F96" t="s">
        <v>330</v>
      </c>
      <c r="H96">
        <v>1690201685.5</v>
      </c>
      <c r="I96">
        <f t="shared" si="30"/>
        <v>1.4809799090206358E-3</v>
      </c>
      <c r="J96">
        <f t="shared" si="31"/>
        <v>1.4809799090206357</v>
      </c>
      <c r="K96">
        <f t="shared" si="32"/>
        <v>30.97122572489166</v>
      </c>
      <c r="L96">
        <f t="shared" si="33"/>
        <v>448.94200000000001</v>
      </c>
      <c r="M96">
        <f t="shared" si="34"/>
        <v>92.479431875407428</v>
      </c>
      <c r="N96">
        <f t="shared" si="35"/>
        <v>9.1635243369311432</v>
      </c>
      <c r="O96">
        <f t="shared" si="36"/>
        <v>44.484388143873609</v>
      </c>
      <c r="P96">
        <f t="shared" si="37"/>
        <v>0.14548771980532402</v>
      </c>
      <c r="Q96">
        <f t="shared" si="38"/>
        <v>2.0804019849066346</v>
      </c>
      <c r="R96">
        <f t="shared" si="39"/>
        <v>0.14006250017885066</v>
      </c>
      <c r="S96">
        <f t="shared" si="40"/>
        <v>8.800964157725151E-2</v>
      </c>
      <c r="T96">
        <f t="shared" si="41"/>
        <v>276.11649808200002</v>
      </c>
      <c r="U96">
        <f t="shared" si="42"/>
        <v>27.36192151243273</v>
      </c>
      <c r="V96">
        <f t="shared" si="43"/>
        <v>27.36192151243273</v>
      </c>
      <c r="W96">
        <f t="shared" si="44"/>
        <v>3.655949812242095</v>
      </c>
      <c r="X96">
        <f t="shared" si="45"/>
        <v>79.892300655296708</v>
      </c>
      <c r="Y96">
        <f t="shared" si="46"/>
        <v>2.6415249849028801</v>
      </c>
      <c r="Z96">
        <f t="shared" si="47"/>
        <v>3.3063573876786987</v>
      </c>
      <c r="AA96">
        <f t="shared" si="48"/>
        <v>1.0144248273392149</v>
      </c>
      <c r="AB96">
        <f t="shared" si="49"/>
        <v>-65.311213987810035</v>
      </c>
      <c r="AC96">
        <f t="shared" si="50"/>
        <v>-191.23288004156032</v>
      </c>
      <c r="AD96">
        <f t="shared" si="51"/>
        <v>-19.740650099528331</v>
      </c>
      <c r="AE96">
        <f t="shared" si="52"/>
        <v>-0.16824604689870171</v>
      </c>
      <c r="AF96">
        <v>14</v>
      </c>
      <c r="AG96">
        <v>5</v>
      </c>
      <c r="AH96">
        <f t="shared" si="53"/>
        <v>1</v>
      </c>
      <c r="AI96">
        <f t="shared" si="54"/>
        <v>0</v>
      </c>
      <c r="AJ96">
        <f t="shared" si="55"/>
        <v>52589.625280705404</v>
      </c>
      <c r="AK96">
        <f t="shared" si="56"/>
        <v>1800</v>
      </c>
      <c r="AL96">
        <f t="shared" si="57"/>
        <v>1499.1149412</v>
      </c>
      <c r="AM96">
        <f t="shared" si="58"/>
        <v>0.832841634</v>
      </c>
      <c r="AN96">
        <f t="shared" si="59"/>
        <v>0.15339805449000002</v>
      </c>
      <c r="AO96">
        <v>33.299999999999997</v>
      </c>
      <c r="AP96">
        <v>0.5</v>
      </c>
      <c r="AQ96" t="s">
        <v>331</v>
      </c>
      <c r="AR96">
        <v>2</v>
      </c>
      <c r="AS96">
        <v>1690201685.5</v>
      </c>
      <c r="AT96">
        <v>448.94200000000001</v>
      </c>
      <c r="AU96">
        <v>800.03599999999994</v>
      </c>
      <c r="AV96">
        <v>26.6586</v>
      </c>
      <c r="AW96">
        <v>10.661</v>
      </c>
      <c r="AX96">
        <v>450.22699999999998</v>
      </c>
      <c r="AY96">
        <v>26.480399999999999</v>
      </c>
      <c r="AZ96">
        <v>300.05700000000002</v>
      </c>
      <c r="BA96">
        <v>98.987200000000001</v>
      </c>
      <c r="BB96">
        <v>9.9960800000000002E-2</v>
      </c>
      <c r="BC96">
        <v>25.6569</v>
      </c>
      <c r="BD96">
        <v>26.9819</v>
      </c>
      <c r="BE96">
        <v>27.519400000000001</v>
      </c>
      <c r="BF96">
        <v>0</v>
      </c>
      <c r="BG96">
        <v>0</v>
      </c>
      <c r="BH96">
        <v>10002.5</v>
      </c>
      <c r="BI96">
        <v>1073.22</v>
      </c>
      <c r="BJ96">
        <v>1.4577199999999999</v>
      </c>
      <c r="BK96">
        <v>-351.09300000000002</v>
      </c>
      <c r="BL96">
        <v>461.238</v>
      </c>
      <c r="BM96">
        <v>808.65700000000004</v>
      </c>
      <c r="BN96">
        <v>15.9976</v>
      </c>
      <c r="BO96">
        <v>800.03599999999994</v>
      </c>
      <c r="BP96">
        <v>10.661</v>
      </c>
      <c r="BQ96">
        <v>2.6388600000000002</v>
      </c>
      <c r="BR96">
        <v>1.05531</v>
      </c>
      <c r="BS96">
        <v>21.909300000000002</v>
      </c>
      <c r="BT96">
        <v>7.7031599999999996</v>
      </c>
      <c r="BU96">
        <v>1800</v>
      </c>
      <c r="BV96">
        <v>0.91000400000000004</v>
      </c>
      <c r="BW96">
        <v>3.3999300000000003E-2</v>
      </c>
      <c r="BX96">
        <v>2.20097E-2</v>
      </c>
      <c r="BY96">
        <v>3.3987099999999999E-2</v>
      </c>
      <c r="BZ96">
        <v>25</v>
      </c>
      <c r="CA96">
        <v>33528.199999999997</v>
      </c>
      <c r="CB96">
        <v>1690200769.5</v>
      </c>
      <c r="CC96" t="s">
        <v>332</v>
      </c>
      <c r="CD96">
        <v>1690200769.5</v>
      </c>
      <c r="CE96">
        <v>1690200753</v>
      </c>
      <c r="CF96">
        <v>2</v>
      </c>
      <c r="CG96">
        <v>-0.245</v>
      </c>
      <c r="CH96">
        <v>3.0000000000000001E-3</v>
      </c>
      <c r="CI96">
        <v>-1.5169999999999999</v>
      </c>
      <c r="CJ96">
        <v>-1.6E-2</v>
      </c>
      <c r="CK96">
        <v>778</v>
      </c>
      <c r="CL96">
        <v>12</v>
      </c>
      <c r="CM96">
        <v>0.01</v>
      </c>
      <c r="CN96">
        <v>0.03</v>
      </c>
      <c r="CO96">
        <v>-348.12864999999999</v>
      </c>
      <c r="CP96">
        <v>-17.696060037522791</v>
      </c>
      <c r="CQ96">
        <v>1.7028146779670399</v>
      </c>
      <c r="CR96">
        <v>-1</v>
      </c>
      <c r="CS96">
        <v>15.896112499999999</v>
      </c>
      <c r="CT96">
        <v>0.56103151969982956</v>
      </c>
      <c r="CU96">
        <v>5.3998681407512329E-2</v>
      </c>
      <c r="CV96">
        <v>-1</v>
      </c>
      <c r="CW96">
        <v>0</v>
      </c>
      <c r="CX96">
        <v>0</v>
      </c>
      <c r="CY96" t="s">
        <v>333</v>
      </c>
      <c r="CZ96">
        <v>2.36503</v>
      </c>
      <c r="DA96">
        <v>2.7137500000000001</v>
      </c>
      <c r="DB96">
        <v>9.7967200000000004E-2</v>
      </c>
      <c r="DC96">
        <v>0.14632700000000001</v>
      </c>
      <c r="DD96">
        <v>0.12277100000000001</v>
      </c>
      <c r="DE96">
        <v>6.22015E-2</v>
      </c>
      <c r="DF96">
        <v>32905.4</v>
      </c>
      <c r="DG96">
        <v>27433.9</v>
      </c>
      <c r="DH96">
        <v>31139.200000000001</v>
      </c>
      <c r="DI96">
        <v>27999.3</v>
      </c>
      <c r="DJ96">
        <v>37065.1</v>
      </c>
      <c r="DK96">
        <v>37304.300000000003</v>
      </c>
      <c r="DL96">
        <v>44303.199999999997</v>
      </c>
      <c r="DM96">
        <v>42397.5</v>
      </c>
      <c r="DN96">
        <v>1.4415800000000001</v>
      </c>
      <c r="DO96">
        <v>2.0796700000000001</v>
      </c>
      <c r="DP96">
        <v>0.14979799999999999</v>
      </c>
      <c r="DQ96">
        <v>0.18931899999999999</v>
      </c>
      <c r="DR96">
        <v>24.527100000000001</v>
      </c>
      <c r="DS96">
        <v>24.417999999999999</v>
      </c>
      <c r="DT96">
        <v>36.6</v>
      </c>
      <c r="DU96">
        <v>25.1</v>
      </c>
      <c r="DV96">
        <v>11.827500000000001</v>
      </c>
      <c r="DW96">
        <v>61.789900000000003</v>
      </c>
      <c r="DX96">
        <v>36.658700000000003</v>
      </c>
      <c r="DY96">
        <v>1</v>
      </c>
      <c r="DZ96">
        <v>-0.158801</v>
      </c>
      <c r="EA96">
        <v>-0.24972</v>
      </c>
      <c r="EB96">
        <v>20.1922</v>
      </c>
      <c r="EC96">
        <v>5.2421499999999996</v>
      </c>
      <c r="ED96">
        <v>12.039899999999999</v>
      </c>
      <c r="EE96">
        <v>5.0172999999999996</v>
      </c>
      <c r="EF96">
        <v>3.2879999999999998</v>
      </c>
      <c r="EG96">
        <v>9999</v>
      </c>
      <c r="EH96">
        <v>9999</v>
      </c>
      <c r="EI96">
        <v>9999</v>
      </c>
      <c r="EJ96">
        <v>999.9</v>
      </c>
      <c r="EK96">
        <v>1.8687499999999999</v>
      </c>
      <c r="EL96">
        <v>1.8644700000000001</v>
      </c>
      <c r="EM96">
        <v>1.8690500000000001</v>
      </c>
      <c r="EN96">
        <v>1.86711</v>
      </c>
      <c r="EO96">
        <v>1.8632500000000001</v>
      </c>
      <c r="EP96">
        <v>1.86435</v>
      </c>
      <c r="EQ96">
        <v>1.87008</v>
      </c>
      <c r="ER96">
        <v>1.8693299999999999</v>
      </c>
      <c r="ES96">
        <v>0</v>
      </c>
      <c r="ET96">
        <v>0</v>
      </c>
      <c r="EU96">
        <v>0</v>
      </c>
      <c r="EV96">
        <v>0</v>
      </c>
      <c r="EW96" t="s">
        <v>334</v>
      </c>
      <c r="EX96" t="s">
        <v>335</v>
      </c>
      <c r="EY96" t="s">
        <v>336</v>
      </c>
      <c r="EZ96" t="s">
        <v>336</v>
      </c>
      <c r="FA96" t="s">
        <v>336</v>
      </c>
      <c r="FB96" t="s">
        <v>336</v>
      </c>
      <c r="FC96">
        <v>0</v>
      </c>
      <c r="FD96">
        <v>100</v>
      </c>
      <c r="FE96">
        <v>100</v>
      </c>
      <c r="FF96">
        <v>-1.2849999999999999</v>
      </c>
      <c r="FG96">
        <v>0.1782</v>
      </c>
      <c r="FH96">
        <v>-0.98020551812546231</v>
      </c>
      <c r="FI96">
        <v>-6.1462078757559423E-4</v>
      </c>
      <c r="FJ96">
        <v>-1.8861989874597051E-7</v>
      </c>
      <c r="FK96">
        <v>1.1980462299894961E-10</v>
      </c>
      <c r="FL96">
        <v>0.1782306200647516</v>
      </c>
      <c r="FM96">
        <v>0</v>
      </c>
      <c r="FN96">
        <v>0</v>
      </c>
      <c r="FO96">
        <v>0</v>
      </c>
      <c r="FP96">
        <v>3</v>
      </c>
      <c r="FQ96">
        <v>2158</v>
      </c>
      <c r="FR96">
        <v>1</v>
      </c>
      <c r="FS96">
        <v>19</v>
      </c>
      <c r="FT96">
        <v>15.3</v>
      </c>
      <c r="FU96">
        <v>15.5</v>
      </c>
      <c r="FV96">
        <v>1.7748999999999999</v>
      </c>
      <c r="FW96">
        <v>2.5476100000000002</v>
      </c>
      <c r="FX96">
        <v>1.5490699999999999</v>
      </c>
      <c r="FY96">
        <v>2.34375</v>
      </c>
      <c r="FZ96">
        <v>1.50146</v>
      </c>
      <c r="GA96">
        <v>2.2985799999999998</v>
      </c>
      <c r="GB96">
        <v>30.544599999999999</v>
      </c>
      <c r="GC96">
        <v>23.982399999999998</v>
      </c>
      <c r="GD96">
        <v>19</v>
      </c>
      <c r="GE96">
        <v>265.06</v>
      </c>
      <c r="GF96">
        <v>609.76599999999996</v>
      </c>
      <c r="GG96">
        <v>24.400700000000001</v>
      </c>
      <c r="GH96">
        <v>25.415299999999998</v>
      </c>
      <c r="GI96">
        <v>29.9999</v>
      </c>
      <c r="GJ96">
        <v>25.543299999999999</v>
      </c>
      <c r="GK96">
        <v>25.504100000000001</v>
      </c>
      <c r="GL96">
        <v>35.480499999999999</v>
      </c>
      <c r="GM96">
        <v>-30</v>
      </c>
      <c r="GN96">
        <v>-30</v>
      </c>
      <c r="GO96">
        <v>24.414100000000001</v>
      </c>
      <c r="GP96">
        <v>800</v>
      </c>
      <c r="GQ96">
        <v>0</v>
      </c>
      <c r="GR96">
        <v>99.617900000000006</v>
      </c>
      <c r="GS96">
        <v>99.2196</v>
      </c>
    </row>
    <row r="97" spans="1:201" x14ac:dyDescent="0.25">
      <c r="A97">
        <v>81</v>
      </c>
      <c r="B97">
        <v>1690201695.5</v>
      </c>
      <c r="C97">
        <v>848.5</v>
      </c>
      <c r="D97" t="s">
        <v>495</v>
      </c>
      <c r="E97" t="s">
        <v>496</v>
      </c>
      <c r="F97" t="s">
        <v>330</v>
      </c>
      <c r="H97">
        <v>1690201695.5</v>
      </c>
      <c r="I97">
        <f t="shared" si="30"/>
        <v>1.4911451977389057E-3</v>
      </c>
      <c r="J97">
        <f t="shared" si="31"/>
        <v>1.4911451977389056</v>
      </c>
      <c r="K97">
        <f t="shared" si="32"/>
        <v>31.273888827832042</v>
      </c>
      <c r="L97">
        <f t="shared" si="33"/>
        <v>445.81799999999998</v>
      </c>
      <c r="M97">
        <f t="shared" si="34"/>
        <v>90.977576636034996</v>
      </c>
      <c r="N97">
        <f t="shared" si="35"/>
        <v>9.0145443771925571</v>
      </c>
      <c r="O97">
        <f t="shared" si="36"/>
        <v>44.174029400992197</v>
      </c>
      <c r="P97">
        <f t="shared" si="37"/>
        <v>0.14762821385877645</v>
      </c>
      <c r="Q97">
        <f t="shared" si="38"/>
        <v>2.0807943775727922</v>
      </c>
      <c r="R97">
        <f t="shared" si="39"/>
        <v>0.14204648696129726</v>
      </c>
      <c r="S97">
        <f t="shared" si="40"/>
        <v>8.926296671807768E-2</v>
      </c>
      <c r="T97">
        <f t="shared" si="41"/>
        <v>276.11629651800001</v>
      </c>
      <c r="U97">
        <f t="shared" si="42"/>
        <v>27.365091734174467</v>
      </c>
      <c r="V97">
        <f t="shared" si="43"/>
        <v>27.365091734174467</v>
      </c>
      <c r="W97">
        <f t="shared" si="44"/>
        <v>3.6566287516747713</v>
      </c>
      <c r="X97">
        <f t="shared" si="45"/>
        <v>80.101928394541801</v>
      </c>
      <c r="Y97">
        <f t="shared" si="46"/>
        <v>2.6495717947488702</v>
      </c>
      <c r="Z97">
        <f t="shared" si="47"/>
        <v>3.3077503224371982</v>
      </c>
      <c r="AA97">
        <f t="shared" si="48"/>
        <v>1.0070569569259011</v>
      </c>
      <c r="AB97">
        <f t="shared" si="49"/>
        <v>-65.759503220285737</v>
      </c>
      <c r="AC97">
        <f t="shared" si="50"/>
        <v>-190.82810752888594</v>
      </c>
      <c r="AD97">
        <f t="shared" si="51"/>
        <v>-19.696163633569359</v>
      </c>
      <c r="AE97">
        <f t="shared" si="52"/>
        <v>-0.16747786474104487</v>
      </c>
      <c r="AF97">
        <v>14</v>
      </c>
      <c r="AG97">
        <v>5</v>
      </c>
      <c r="AH97">
        <f t="shared" si="53"/>
        <v>1</v>
      </c>
      <c r="AI97">
        <f t="shared" si="54"/>
        <v>0</v>
      </c>
      <c r="AJ97">
        <f t="shared" si="55"/>
        <v>52606.074044004497</v>
      </c>
      <c r="AK97">
        <f t="shared" si="56"/>
        <v>1800</v>
      </c>
      <c r="AL97">
        <f t="shared" si="57"/>
        <v>1499.1135137999997</v>
      </c>
      <c r="AM97">
        <f t="shared" si="58"/>
        <v>0.83284084099999989</v>
      </c>
      <c r="AN97">
        <f t="shared" si="59"/>
        <v>0.15339794251</v>
      </c>
      <c r="AO97">
        <v>33.299999999999997</v>
      </c>
      <c r="AP97">
        <v>0.5</v>
      </c>
      <c r="AQ97" t="s">
        <v>331</v>
      </c>
      <c r="AR97">
        <v>2</v>
      </c>
      <c r="AS97">
        <v>1690201695.5</v>
      </c>
      <c r="AT97">
        <v>445.81799999999998</v>
      </c>
      <c r="AU97">
        <v>800.00900000000001</v>
      </c>
      <c r="AV97">
        <v>26.740300000000001</v>
      </c>
      <c r="AW97">
        <v>10.646100000000001</v>
      </c>
      <c r="AX97">
        <v>447.1</v>
      </c>
      <c r="AY97">
        <v>26.562000000000001</v>
      </c>
      <c r="AZ97">
        <v>300.27800000000002</v>
      </c>
      <c r="BA97">
        <v>98.985399999999998</v>
      </c>
      <c r="BB97">
        <v>9.9942900000000001E-2</v>
      </c>
      <c r="BC97">
        <v>25.664000000000001</v>
      </c>
      <c r="BD97">
        <v>27.000399999999999</v>
      </c>
      <c r="BE97">
        <v>27.508400000000002</v>
      </c>
      <c r="BF97">
        <v>0</v>
      </c>
      <c r="BG97">
        <v>0</v>
      </c>
      <c r="BH97">
        <v>10006.200000000001</v>
      </c>
      <c r="BI97">
        <v>1073.3499999999999</v>
      </c>
      <c r="BJ97">
        <v>1.4577199999999999</v>
      </c>
      <c r="BK97">
        <v>-354.19200000000001</v>
      </c>
      <c r="BL97">
        <v>458.06599999999997</v>
      </c>
      <c r="BM97">
        <v>808.61800000000005</v>
      </c>
      <c r="BN97">
        <v>16.094200000000001</v>
      </c>
      <c r="BO97">
        <v>800.00900000000001</v>
      </c>
      <c r="BP97">
        <v>10.646100000000001</v>
      </c>
      <c r="BQ97">
        <v>2.64689</v>
      </c>
      <c r="BR97">
        <v>1.0538000000000001</v>
      </c>
      <c r="BS97">
        <v>21.959099999999999</v>
      </c>
      <c r="BT97">
        <v>7.6822900000000001</v>
      </c>
      <c r="BU97">
        <v>1800</v>
      </c>
      <c r="BV97">
        <v>0.90999699999999994</v>
      </c>
      <c r="BW97">
        <v>3.3996499999999999E-2</v>
      </c>
      <c r="BX97">
        <v>2.2007800000000001E-2</v>
      </c>
      <c r="BY97">
        <v>3.39987E-2</v>
      </c>
      <c r="BZ97">
        <v>25</v>
      </c>
      <c r="CA97">
        <v>33528.199999999997</v>
      </c>
      <c r="CB97">
        <v>1690200769.5</v>
      </c>
      <c r="CC97" t="s">
        <v>332</v>
      </c>
      <c r="CD97">
        <v>1690200769.5</v>
      </c>
      <c r="CE97">
        <v>1690200753</v>
      </c>
      <c r="CF97">
        <v>2</v>
      </c>
      <c r="CG97">
        <v>-0.245</v>
      </c>
      <c r="CH97">
        <v>3.0000000000000001E-3</v>
      </c>
      <c r="CI97">
        <v>-1.5169999999999999</v>
      </c>
      <c r="CJ97">
        <v>-1.6E-2</v>
      </c>
      <c r="CK97">
        <v>778</v>
      </c>
      <c r="CL97">
        <v>12</v>
      </c>
      <c r="CM97">
        <v>0.01</v>
      </c>
      <c r="CN97">
        <v>0.03</v>
      </c>
      <c r="CO97">
        <v>-350.86429268292682</v>
      </c>
      <c r="CP97">
        <v>-17.823156794425898</v>
      </c>
      <c r="CQ97">
        <v>1.758114139915512</v>
      </c>
      <c r="CR97">
        <v>-1</v>
      </c>
      <c r="CS97">
        <v>15.986809756097561</v>
      </c>
      <c r="CT97">
        <v>0.6110822299651627</v>
      </c>
      <c r="CU97">
        <v>6.0281715890244988E-2</v>
      </c>
      <c r="CV97">
        <v>-1</v>
      </c>
      <c r="CW97">
        <v>0</v>
      </c>
      <c r="CX97">
        <v>0</v>
      </c>
      <c r="CY97" t="s">
        <v>333</v>
      </c>
      <c r="CZ97">
        <v>2.3657400000000002</v>
      </c>
      <c r="DA97">
        <v>2.71374</v>
      </c>
      <c r="DB97">
        <v>9.74574E-2</v>
      </c>
      <c r="DC97">
        <v>0.14632100000000001</v>
      </c>
      <c r="DD97">
        <v>0.123031</v>
      </c>
      <c r="DE97">
        <v>6.21337E-2</v>
      </c>
      <c r="DF97">
        <v>32923.9</v>
      </c>
      <c r="DG97">
        <v>27433.9</v>
      </c>
      <c r="DH97">
        <v>31139.200000000001</v>
      </c>
      <c r="DI97">
        <v>27999.200000000001</v>
      </c>
      <c r="DJ97">
        <v>37053.800000000003</v>
      </c>
      <c r="DK97">
        <v>37306.800000000003</v>
      </c>
      <c r="DL97">
        <v>44303.1</v>
      </c>
      <c r="DM97">
        <v>42397.3</v>
      </c>
      <c r="DN97">
        <v>1.4416199999999999</v>
      </c>
      <c r="DO97">
        <v>2.0794999999999999</v>
      </c>
      <c r="DP97">
        <v>0.15101200000000001</v>
      </c>
      <c r="DQ97">
        <v>0.18864900000000001</v>
      </c>
      <c r="DR97">
        <v>24.5258</v>
      </c>
      <c r="DS97">
        <v>24.417999999999999</v>
      </c>
      <c r="DT97">
        <v>36.5</v>
      </c>
      <c r="DU97">
        <v>25.1</v>
      </c>
      <c r="DV97">
        <v>11.797800000000001</v>
      </c>
      <c r="DW97">
        <v>61.599899999999998</v>
      </c>
      <c r="DX97">
        <v>35.645000000000003</v>
      </c>
      <c r="DY97">
        <v>1</v>
      </c>
      <c r="DZ97">
        <v>-0.15872700000000001</v>
      </c>
      <c r="EA97">
        <v>-0.22878799999999999</v>
      </c>
      <c r="EB97">
        <v>20.1922</v>
      </c>
      <c r="EC97">
        <v>5.2421499999999996</v>
      </c>
      <c r="ED97">
        <v>12.039899999999999</v>
      </c>
      <c r="EE97">
        <v>5.0174000000000003</v>
      </c>
      <c r="EF97">
        <v>3.2879999999999998</v>
      </c>
      <c r="EG97">
        <v>9999</v>
      </c>
      <c r="EH97">
        <v>9999</v>
      </c>
      <c r="EI97">
        <v>9999</v>
      </c>
      <c r="EJ97">
        <v>999.9</v>
      </c>
      <c r="EK97">
        <v>1.8687499999999999</v>
      </c>
      <c r="EL97">
        <v>1.8644700000000001</v>
      </c>
      <c r="EM97">
        <v>1.8690500000000001</v>
      </c>
      <c r="EN97">
        <v>1.8670899999999999</v>
      </c>
      <c r="EO97">
        <v>1.8632500000000001</v>
      </c>
      <c r="EP97">
        <v>1.86436</v>
      </c>
      <c r="EQ97">
        <v>1.8700699999999999</v>
      </c>
      <c r="ER97">
        <v>1.8693200000000001</v>
      </c>
      <c r="ES97">
        <v>0</v>
      </c>
      <c r="ET97">
        <v>0</v>
      </c>
      <c r="EU97">
        <v>0</v>
      </c>
      <c r="EV97">
        <v>0</v>
      </c>
      <c r="EW97" t="s">
        <v>334</v>
      </c>
      <c r="EX97" t="s">
        <v>335</v>
      </c>
      <c r="EY97" t="s">
        <v>336</v>
      </c>
      <c r="EZ97" t="s">
        <v>336</v>
      </c>
      <c r="FA97" t="s">
        <v>336</v>
      </c>
      <c r="FB97" t="s">
        <v>336</v>
      </c>
      <c r="FC97">
        <v>0</v>
      </c>
      <c r="FD97">
        <v>100</v>
      </c>
      <c r="FE97">
        <v>100</v>
      </c>
      <c r="FF97">
        <v>-1.282</v>
      </c>
      <c r="FG97">
        <v>0.17829999999999999</v>
      </c>
      <c r="FH97">
        <v>-0.98020551812546231</v>
      </c>
      <c r="FI97">
        <v>-6.1462078757559423E-4</v>
      </c>
      <c r="FJ97">
        <v>-1.8861989874597051E-7</v>
      </c>
      <c r="FK97">
        <v>1.1980462299894961E-10</v>
      </c>
      <c r="FL97">
        <v>0.1782306200647516</v>
      </c>
      <c r="FM97">
        <v>0</v>
      </c>
      <c r="FN97">
        <v>0</v>
      </c>
      <c r="FO97">
        <v>0</v>
      </c>
      <c r="FP97">
        <v>3</v>
      </c>
      <c r="FQ97">
        <v>2158</v>
      </c>
      <c r="FR97">
        <v>1</v>
      </c>
      <c r="FS97">
        <v>19</v>
      </c>
      <c r="FT97">
        <v>15.4</v>
      </c>
      <c r="FU97">
        <v>15.7</v>
      </c>
      <c r="FV97">
        <v>1.7748999999999999</v>
      </c>
      <c r="FW97">
        <v>2.5390600000000001</v>
      </c>
      <c r="FX97">
        <v>1.5490699999999999</v>
      </c>
      <c r="FY97">
        <v>2.34375</v>
      </c>
      <c r="FZ97">
        <v>1.50146</v>
      </c>
      <c r="GA97">
        <v>2.3840300000000001</v>
      </c>
      <c r="GB97">
        <v>30.544599999999999</v>
      </c>
      <c r="GC97">
        <v>23.982399999999998</v>
      </c>
      <c r="GD97">
        <v>19</v>
      </c>
      <c r="GE97">
        <v>265.08100000000002</v>
      </c>
      <c r="GF97">
        <v>609.61599999999999</v>
      </c>
      <c r="GG97">
        <v>24.422999999999998</v>
      </c>
      <c r="GH97">
        <v>25.415299999999998</v>
      </c>
      <c r="GI97">
        <v>30.0001</v>
      </c>
      <c r="GJ97">
        <v>25.543299999999999</v>
      </c>
      <c r="GK97">
        <v>25.504100000000001</v>
      </c>
      <c r="GL97">
        <v>35.481999999999999</v>
      </c>
      <c r="GM97">
        <v>-30</v>
      </c>
      <c r="GN97">
        <v>-30</v>
      </c>
      <c r="GO97">
        <v>24.422000000000001</v>
      </c>
      <c r="GP97">
        <v>800</v>
      </c>
      <c r="GQ97">
        <v>0</v>
      </c>
      <c r="GR97">
        <v>99.617699999999999</v>
      </c>
      <c r="GS97">
        <v>99.218999999999994</v>
      </c>
    </row>
    <row r="98" spans="1:201" x14ac:dyDescent="0.25">
      <c r="A98">
        <v>82</v>
      </c>
      <c r="B98">
        <v>1690201705.5</v>
      </c>
      <c r="C98">
        <v>858.5</v>
      </c>
      <c r="D98" t="s">
        <v>497</v>
      </c>
      <c r="E98" t="s">
        <v>498</v>
      </c>
      <c r="F98" t="s">
        <v>330</v>
      </c>
      <c r="H98">
        <v>1690201705.5</v>
      </c>
      <c r="I98">
        <f t="shared" si="30"/>
        <v>1.4980947331090617E-3</v>
      </c>
      <c r="J98">
        <f t="shared" si="31"/>
        <v>1.4980947331090617</v>
      </c>
      <c r="K98">
        <f t="shared" si="32"/>
        <v>31.512601614626679</v>
      </c>
      <c r="L98">
        <f t="shared" si="33"/>
        <v>442.97399999999999</v>
      </c>
      <c r="M98">
        <f t="shared" si="34"/>
        <v>89.008059339835597</v>
      </c>
      <c r="N98">
        <f t="shared" si="35"/>
        <v>8.8198391297486634</v>
      </c>
      <c r="O98">
        <f t="shared" si="36"/>
        <v>43.894445600082001</v>
      </c>
      <c r="P98">
        <f t="shared" si="37"/>
        <v>0.14914383167015013</v>
      </c>
      <c r="Q98">
        <f t="shared" si="38"/>
        <v>2.0833671577987283</v>
      </c>
      <c r="R98">
        <f t="shared" si="39"/>
        <v>0.14345602882689432</v>
      </c>
      <c r="S98">
        <f t="shared" si="40"/>
        <v>9.0152971542159274E-2</v>
      </c>
      <c r="T98">
        <f t="shared" si="41"/>
        <v>276.11450357401355</v>
      </c>
      <c r="U98">
        <f t="shared" si="42"/>
        <v>27.37197790193639</v>
      </c>
      <c r="V98">
        <f t="shared" si="43"/>
        <v>27.37197790193639</v>
      </c>
      <c r="W98">
        <f t="shared" si="44"/>
        <v>3.6581038827869969</v>
      </c>
      <c r="X98">
        <f t="shared" si="45"/>
        <v>80.251073537875371</v>
      </c>
      <c r="Y98">
        <f t="shared" si="46"/>
        <v>2.6562850976980998</v>
      </c>
      <c r="Z98">
        <f t="shared" si="47"/>
        <v>3.309968303968466</v>
      </c>
      <c r="AA98">
        <f t="shared" si="48"/>
        <v>1.0018187850888971</v>
      </c>
      <c r="AB98">
        <f t="shared" si="49"/>
        <v>-66.065977730109623</v>
      </c>
      <c r="AC98">
        <f t="shared" si="50"/>
        <v>-190.56830032027818</v>
      </c>
      <c r="AD98">
        <f t="shared" si="51"/>
        <v>-19.646846348151719</v>
      </c>
      <c r="AE98">
        <f t="shared" si="52"/>
        <v>-0.16662082452597815</v>
      </c>
      <c r="AF98">
        <v>14</v>
      </c>
      <c r="AG98">
        <v>5</v>
      </c>
      <c r="AH98">
        <f t="shared" si="53"/>
        <v>1</v>
      </c>
      <c r="AI98">
        <f t="shared" si="54"/>
        <v>0</v>
      </c>
      <c r="AJ98">
        <f t="shared" si="55"/>
        <v>52720.593535720895</v>
      </c>
      <c r="AK98">
        <f t="shared" si="56"/>
        <v>1799.99</v>
      </c>
      <c r="AL98">
        <f t="shared" si="57"/>
        <v>1499.10247280666</v>
      </c>
      <c r="AM98">
        <f t="shared" si="58"/>
        <v>0.83283933399999999</v>
      </c>
      <c r="AN98">
        <f t="shared" si="59"/>
        <v>0.15339779863999997</v>
      </c>
      <c r="AO98">
        <v>33.299999999999997</v>
      </c>
      <c r="AP98">
        <v>0.5</v>
      </c>
      <c r="AQ98" t="s">
        <v>331</v>
      </c>
      <c r="AR98">
        <v>2</v>
      </c>
      <c r="AS98">
        <v>1690201705.5</v>
      </c>
      <c r="AT98">
        <v>442.97399999999999</v>
      </c>
      <c r="AU98">
        <v>799.96699999999998</v>
      </c>
      <c r="AV98">
        <v>26.806699999999999</v>
      </c>
      <c r="AW98">
        <v>10.631</v>
      </c>
      <c r="AX98">
        <v>444.25299999999999</v>
      </c>
      <c r="AY98">
        <v>26.628499999999999</v>
      </c>
      <c r="AZ98">
        <v>300.137</v>
      </c>
      <c r="BA98">
        <v>98.990300000000005</v>
      </c>
      <c r="BB98">
        <v>0.10004300000000001</v>
      </c>
      <c r="BC98">
        <v>25.6753</v>
      </c>
      <c r="BD98">
        <v>26.993400000000001</v>
      </c>
      <c r="BE98">
        <v>27.502800000000001</v>
      </c>
      <c r="BF98">
        <v>0</v>
      </c>
      <c r="BG98">
        <v>0</v>
      </c>
      <c r="BH98">
        <v>10028.799999999999</v>
      </c>
      <c r="BI98">
        <v>1073.47</v>
      </c>
      <c r="BJ98">
        <v>1.4577199999999999</v>
      </c>
      <c r="BK98">
        <v>-356.99400000000003</v>
      </c>
      <c r="BL98">
        <v>455.17500000000001</v>
      </c>
      <c r="BM98">
        <v>808.56299999999999</v>
      </c>
      <c r="BN98">
        <v>16.175699999999999</v>
      </c>
      <c r="BO98">
        <v>799.96699999999998</v>
      </c>
      <c r="BP98">
        <v>10.631</v>
      </c>
      <c r="BQ98">
        <v>2.6536</v>
      </c>
      <c r="BR98">
        <v>1.05237</v>
      </c>
      <c r="BS98">
        <v>22.000599999999999</v>
      </c>
      <c r="BT98">
        <v>7.6623400000000004</v>
      </c>
      <c r="BU98">
        <v>1799.99</v>
      </c>
      <c r="BV98">
        <v>0.90998599999999996</v>
      </c>
      <c r="BW98">
        <v>3.3994000000000003E-2</v>
      </c>
      <c r="BX98">
        <v>2.20062E-2</v>
      </c>
      <c r="BY98">
        <v>3.40132E-2</v>
      </c>
      <c r="BZ98">
        <v>25</v>
      </c>
      <c r="CA98">
        <v>33528.1</v>
      </c>
      <c r="CB98">
        <v>1690200769.5</v>
      </c>
      <c r="CC98" t="s">
        <v>332</v>
      </c>
      <c r="CD98">
        <v>1690200769.5</v>
      </c>
      <c r="CE98">
        <v>1690200753</v>
      </c>
      <c r="CF98">
        <v>2</v>
      </c>
      <c r="CG98">
        <v>-0.245</v>
      </c>
      <c r="CH98">
        <v>3.0000000000000001E-3</v>
      </c>
      <c r="CI98">
        <v>-1.5169999999999999</v>
      </c>
      <c r="CJ98">
        <v>-1.6E-2</v>
      </c>
      <c r="CK98">
        <v>778</v>
      </c>
      <c r="CL98">
        <v>12</v>
      </c>
      <c r="CM98">
        <v>0.01</v>
      </c>
      <c r="CN98">
        <v>0.03</v>
      </c>
      <c r="CO98">
        <v>-354.00997500000011</v>
      </c>
      <c r="CP98">
        <v>-17.450915572231519</v>
      </c>
      <c r="CQ98">
        <v>1.6801238419756419</v>
      </c>
      <c r="CR98">
        <v>-1</v>
      </c>
      <c r="CS98">
        <v>16.089095</v>
      </c>
      <c r="CT98">
        <v>0.52307392120071505</v>
      </c>
      <c r="CU98">
        <v>5.0374720594758587E-2</v>
      </c>
      <c r="CV98">
        <v>-1</v>
      </c>
      <c r="CW98">
        <v>0</v>
      </c>
      <c r="CX98">
        <v>0</v>
      </c>
      <c r="CY98" t="s">
        <v>333</v>
      </c>
      <c r="CZ98">
        <v>2.3652799999999998</v>
      </c>
      <c r="DA98">
        <v>2.7138599999999999</v>
      </c>
      <c r="DB98">
        <v>9.6998299999999996E-2</v>
      </c>
      <c r="DC98">
        <v>0.14632300000000001</v>
      </c>
      <c r="DD98">
        <v>0.12325</v>
      </c>
      <c r="DE98">
        <v>6.2069800000000001E-2</v>
      </c>
      <c r="DF98">
        <v>32940.699999999997</v>
      </c>
      <c r="DG98">
        <v>27434.3</v>
      </c>
      <c r="DH98">
        <v>31139.200000000001</v>
      </c>
      <c r="DI98">
        <v>27999.599999999999</v>
      </c>
      <c r="DJ98">
        <v>37044.5</v>
      </c>
      <c r="DK98">
        <v>37310.1</v>
      </c>
      <c r="DL98">
        <v>44303.3</v>
      </c>
      <c r="DM98">
        <v>42398.2</v>
      </c>
      <c r="DN98">
        <v>1.44197</v>
      </c>
      <c r="DO98">
        <v>2.0795499999999998</v>
      </c>
      <c r="DP98">
        <v>0.15062500000000001</v>
      </c>
      <c r="DQ98">
        <v>0.188302</v>
      </c>
      <c r="DR98">
        <v>24.525099999999998</v>
      </c>
      <c r="DS98">
        <v>24.417999999999999</v>
      </c>
      <c r="DT98">
        <v>36.5</v>
      </c>
      <c r="DU98">
        <v>25.1</v>
      </c>
      <c r="DV98">
        <v>11.792</v>
      </c>
      <c r="DW98">
        <v>61.469900000000003</v>
      </c>
      <c r="DX98">
        <v>36.710700000000003</v>
      </c>
      <c r="DY98">
        <v>1</v>
      </c>
      <c r="DZ98">
        <v>-0.15834100000000001</v>
      </c>
      <c r="EA98">
        <v>-0.21095900000000001</v>
      </c>
      <c r="EB98">
        <v>20.192399999999999</v>
      </c>
      <c r="EC98">
        <v>5.2424499999999998</v>
      </c>
      <c r="ED98">
        <v>12.039899999999999</v>
      </c>
      <c r="EE98">
        <v>5.0174500000000002</v>
      </c>
      <c r="EF98">
        <v>3.2879999999999998</v>
      </c>
      <c r="EG98">
        <v>9999</v>
      </c>
      <c r="EH98">
        <v>9999</v>
      </c>
      <c r="EI98">
        <v>9999</v>
      </c>
      <c r="EJ98">
        <v>999.9</v>
      </c>
      <c r="EK98">
        <v>1.8687499999999999</v>
      </c>
      <c r="EL98">
        <v>1.8644700000000001</v>
      </c>
      <c r="EM98">
        <v>1.8690500000000001</v>
      </c>
      <c r="EN98">
        <v>1.8670899999999999</v>
      </c>
      <c r="EO98">
        <v>1.8632500000000001</v>
      </c>
      <c r="EP98">
        <v>1.86432</v>
      </c>
      <c r="EQ98">
        <v>1.8700399999999999</v>
      </c>
      <c r="ER98">
        <v>1.8693299999999999</v>
      </c>
      <c r="ES98">
        <v>0</v>
      </c>
      <c r="ET98">
        <v>0</v>
      </c>
      <c r="EU98">
        <v>0</v>
      </c>
      <c r="EV98">
        <v>0</v>
      </c>
      <c r="EW98" t="s">
        <v>334</v>
      </c>
      <c r="EX98" t="s">
        <v>335</v>
      </c>
      <c r="EY98" t="s">
        <v>336</v>
      </c>
      <c r="EZ98" t="s">
        <v>336</v>
      </c>
      <c r="FA98" t="s">
        <v>336</v>
      </c>
      <c r="FB98" t="s">
        <v>336</v>
      </c>
      <c r="FC98">
        <v>0</v>
      </c>
      <c r="FD98">
        <v>100</v>
      </c>
      <c r="FE98">
        <v>100</v>
      </c>
      <c r="FF98">
        <v>-1.2789999999999999</v>
      </c>
      <c r="FG98">
        <v>0.1782</v>
      </c>
      <c r="FH98">
        <v>-0.98020551812546231</v>
      </c>
      <c r="FI98">
        <v>-6.1462078757559423E-4</v>
      </c>
      <c r="FJ98">
        <v>-1.8861989874597051E-7</v>
      </c>
      <c r="FK98">
        <v>1.1980462299894961E-10</v>
      </c>
      <c r="FL98">
        <v>0.1782306200647516</v>
      </c>
      <c r="FM98">
        <v>0</v>
      </c>
      <c r="FN98">
        <v>0</v>
      </c>
      <c r="FO98">
        <v>0</v>
      </c>
      <c r="FP98">
        <v>3</v>
      </c>
      <c r="FQ98">
        <v>2158</v>
      </c>
      <c r="FR98">
        <v>1</v>
      </c>
      <c r="FS98">
        <v>19</v>
      </c>
      <c r="FT98">
        <v>15.6</v>
      </c>
      <c r="FU98">
        <v>15.9</v>
      </c>
      <c r="FV98">
        <v>1.7748999999999999</v>
      </c>
      <c r="FW98">
        <v>2.5512700000000001</v>
      </c>
      <c r="FX98">
        <v>1.5490699999999999</v>
      </c>
      <c r="FY98">
        <v>2.34375</v>
      </c>
      <c r="FZ98">
        <v>1.50146</v>
      </c>
      <c r="GA98">
        <v>2.2985799999999998</v>
      </c>
      <c r="GB98">
        <v>30.544599999999999</v>
      </c>
      <c r="GC98">
        <v>23.973700000000001</v>
      </c>
      <c r="GD98">
        <v>19</v>
      </c>
      <c r="GE98">
        <v>265.22300000000001</v>
      </c>
      <c r="GF98">
        <v>609.65899999999999</v>
      </c>
      <c r="GG98">
        <v>24.427</v>
      </c>
      <c r="GH98">
        <v>25.415299999999998</v>
      </c>
      <c r="GI98">
        <v>30.0002</v>
      </c>
      <c r="GJ98">
        <v>25.543299999999999</v>
      </c>
      <c r="GK98">
        <v>25.504100000000001</v>
      </c>
      <c r="GL98">
        <v>35.484099999999998</v>
      </c>
      <c r="GM98">
        <v>-30</v>
      </c>
      <c r="GN98">
        <v>-30</v>
      </c>
      <c r="GO98">
        <v>24.434899999999999</v>
      </c>
      <c r="GP98">
        <v>800</v>
      </c>
      <c r="GQ98">
        <v>0</v>
      </c>
      <c r="GR98">
        <v>99.617900000000006</v>
      </c>
      <c r="GS98">
        <v>99.221000000000004</v>
      </c>
    </row>
    <row r="99" spans="1:201" x14ac:dyDescent="0.25">
      <c r="A99">
        <v>83</v>
      </c>
      <c r="B99">
        <v>1690201715.5</v>
      </c>
      <c r="C99">
        <v>868.5</v>
      </c>
      <c r="D99" t="s">
        <v>499</v>
      </c>
      <c r="E99" t="s">
        <v>500</v>
      </c>
      <c r="F99" t="s">
        <v>330</v>
      </c>
      <c r="H99">
        <v>1690201715.5</v>
      </c>
      <c r="I99">
        <f t="shared" si="30"/>
        <v>1.5059807894734682E-3</v>
      </c>
      <c r="J99">
        <f t="shared" si="31"/>
        <v>1.5059807894734683</v>
      </c>
      <c r="K99">
        <f t="shared" si="32"/>
        <v>31.765240160483145</v>
      </c>
      <c r="L99">
        <f t="shared" si="33"/>
        <v>440.22800000000001</v>
      </c>
      <c r="M99">
        <f t="shared" si="34"/>
        <v>88.01998450079293</v>
      </c>
      <c r="N99">
        <f t="shared" si="35"/>
        <v>8.7220944362693782</v>
      </c>
      <c r="O99">
        <f t="shared" si="36"/>
        <v>43.623163662967997</v>
      </c>
      <c r="P99">
        <f t="shared" si="37"/>
        <v>0.15112936337407967</v>
      </c>
      <c r="Q99">
        <f t="shared" si="38"/>
        <v>2.0867220203379464</v>
      </c>
      <c r="R99">
        <f t="shared" si="39"/>
        <v>0.14530129317278559</v>
      </c>
      <c r="S99">
        <f t="shared" si="40"/>
        <v>9.1318210839877068E-2</v>
      </c>
      <c r="T99">
        <f t="shared" si="41"/>
        <v>276.11449810204402</v>
      </c>
      <c r="U99">
        <f t="shared" si="42"/>
        <v>27.367196826294677</v>
      </c>
      <c r="V99">
        <f t="shared" si="43"/>
        <v>27.367196826294677</v>
      </c>
      <c r="W99">
        <f t="shared" si="44"/>
        <v>3.657079642145467</v>
      </c>
      <c r="X99">
        <f t="shared" si="45"/>
        <v>80.445089592663223</v>
      </c>
      <c r="Y99">
        <f t="shared" si="46"/>
        <v>2.6627859411907999</v>
      </c>
      <c r="Z99">
        <f t="shared" si="47"/>
        <v>3.3100664747518067</v>
      </c>
      <c r="AA99">
        <f t="shared" si="48"/>
        <v>0.99429370095466707</v>
      </c>
      <c r="AB99">
        <f t="shared" si="49"/>
        <v>-66.413752815779944</v>
      </c>
      <c r="AC99">
        <f t="shared" si="50"/>
        <v>-190.28105633795118</v>
      </c>
      <c r="AD99">
        <f t="shared" si="51"/>
        <v>-19.585272743260258</v>
      </c>
      <c r="AE99">
        <f t="shared" si="52"/>
        <v>-0.16558379494736641</v>
      </c>
      <c r="AF99">
        <v>14</v>
      </c>
      <c r="AG99">
        <v>5</v>
      </c>
      <c r="AH99">
        <f t="shared" si="53"/>
        <v>1</v>
      </c>
      <c r="AI99">
        <f t="shared" si="54"/>
        <v>0</v>
      </c>
      <c r="AJ99">
        <f t="shared" si="55"/>
        <v>52872.606179208065</v>
      </c>
      <c r="AK99">
        <f t="shared" si="56"/>
        <v>1799.99</v>
      </c>
      <c r="AL99">
        <f t="shared" si="57"/>
        <v>1499.10512059195</v>
      </c>
      <c r="AM99">
        <f t="shared" si="58"/>
        <v>0.83284080500000002</v>
      </c>
      <c r="AN99">
        <f t="shared" si="59"/>
        <v>0.1533977956</v>
      </c>
      <c r="AO99">
        <v>33.299999999999997</v>
      </c>
      <c r="AP99">
        <v>0.5</v>
      </c>
      <c r="AQ99" t="s">
        <v>331</v>
      </c>
      <c r="AR99">
        <v>2</v>
      </c>
      <c r="AS99">
        <v>1690201715.5</v>
      </c>
      <c r="AT99">
        <v>440.22800000000001</v>
      </c>
      <c r="AU99">
        <v>799.92700000000002</v>
      </c>
      <c r="AV99">
        <v>26.8718</v>
      </c>
      <c r="AW99">
        <v>10.616099999999999</v>
      </c>
      <c r="AX99">
        <v>441.50599999999997</v>
      </c>
      <c r="AY99">
        <v>26.6935</v>
      </c>
      <c r="AZ99">
        <v>300.21199999999999</v>
      </c>
      <c r="BA99">
        <v>98.992199999999997</v>
      </c>
      <c r="BB99">
        <v>0.100006</v>
      </c>
      <c r="BC99">
        <v>25.675799999999999</v>
      </c>
      <c r="BD99">
        <v>27.000499999999999</v>
      </c>
      <c r="BE99">
        <v>27.4756</v>
      </c>
      <c r="BF99">
        <v>0</v>
      </c>
      <c r="BG99">
        <v>0</v>
      </c>
      <c r="BH99">
        <v>10058.799999999999</v>
      </c>
      <c r="BI99">
        <v>1073.53</v>
      </c>
      <c r="BJ99">
        <v>1.4577199999999999</v>
      </c>
      <c r="BK99">
        <v>-359.7</v>
      </c>
      <c r="BL99">
        <v>452.38400000000001</v>
      </c>
      <c r="BM99">
        <v>808.51099999999997</v>
      </c>
      <c r="BN99">
        <v>16.255700000000001</v>
      </c>
      <c r="BO99">
        <v>799.92700000000002</v>
      </c>
      <c r="BP99">
        <v>10.616099999999999</v>
      </c>
      <c r="BQ99">
        <v>2.6600899999999998</v>
      </c>
      <c r="BR99">
        <v>1.05091</v>
      </c>
      <c r="BS99">
        <v>22.040700000000001</v>
      </c>
      <c r="BT99">
        <v>7.6420000000000003</v>
      </c>
      <c r="BU99">
        <v>1799.99</v>
      </c>
      <c r="BV99">
        <v>0.90999399999999997</v>
      </c>
      <c r="BW99">
        <v>3.3991399999999998E-2</v>
      </c>
      <c r="BX99">
        <v>2.20045E-2</v>
      </c>
      <c r="BY99">
        <v>3.4010600000000002E-2</v>
      </c>
      <c r="BZ99">
        <v>25</v>
      </c>
      <c r="CA99">
        <v>33528.199999999997</v>
      </c>
      <c r="CB99">
        <v>1690200769.5</v>
      </c>
      <c r="CC99" t="s">
        <v>332</v>
      </c>
      <c r="CD99">
        <v>1690200769.5</v>
      </c>
      <c r="CE99">
        <v>1690200753</v>
      </c>
      <c r="CF99">
        <v>2</v>
      </c>
      <c r="CG99">
        <v>-0.245</v>
      </c>
      <c r="CH99">
        <v>3.0000000000000001E-3</v>
      </c>
      <c r="CI99">
        <v>-1.5169999999999999</v>
      </c>
      <c r="CJ99">
        <v>-1.6E-2</v>
      </c>
      <c r="CK99">
        <v>778</v>
      </c>
      <c r="CL99">
        <v>12</v>
      </c>
      <c r="CM99">
        <v>0.01</v>
      </c>
      <c r="CN99">
        <v>0.03</v>
      </c>
      <c r="CO99">
        <v>-356.66629268292678</v>
      </c>
      <c r="CP99">
        <v>-16.834703832752879</v>
      </c>
      <c r="CQ99">
        <v>1.6604183757804529</v>
      </c>
      <c r="CR99">
        <v>-1</v>
      </c>
      <c r="CS99">
        <v>16.166821951219511</v>
      </c>
      <c r="CT99">
        <v>0.48613170731707511</v>
      </c>
      <c r="CU99">
        <v>4.7936057573656612E-2</v>
      </c>
      <c r="CV99">
        <v>-1</v>
      </c>
      <c r="CW99">
        <v>0</v>
      </c>
      <c r="CX99">
        <v>0</v>
      </c>
      <c r="CY99" t="s">
        <v>333</v>
      </c>
      <c r="CZ99">
        <v>2.3655300000000001</v>
      </c>
      <c r="DA99">
        <v>2.7138499999999999</v>
      </c>
      <c r="DB99">
        <v>9.6550899999999995E-2</v>
      </c>
      <c r="DC99">
        <v>0.14632000000000001</v>
      </c>
      <c r="DD99">
        <v>0.12346</v>
      </c>
      <c r="DE99">
        <v>6.2004400000000001E-2</v>
      </c>
      <c r="DF99">
        <v>32957.1</v>
      </c>
      <c r="DG99">
        <v>27434.400000000001</v>
      </c>
      <c r="DH99">
        <v>31139.3</v>
      </c>
      <c r="DI99">
        <v>27999.599999999999</v>
      </c>
      <c r="DJ99">
        <v>37035.5</v>
      </c>
      <c r="DK99">
        <v>37312.699999999997</v>
      </c>
      <c r="DL99">
        <v>44303.3</v>
      </c>
      <c r="DM99">
        <v>42398.2</v>
      </c>
      <c r="DN99">
        <v>1.44187</v>
      </c>
      <c r="DO99">
        <v>2.0793499999999998</v>
      </c>
      <c r="DP99">
        <v>0.15093400000000001</v>
      </c>
      <c r="DQ99">
        <v>0.186641</v>
      </c>
      <c r="DR99">
        <v>24.527100000000001</v>
      </c>
      <c r="DS99">
        <v>24.417999999999999</v>
      </c>
      <c r="DT99">
        <v>36.4</v>
      </c>
      <c r="DU99">
        <v>25.1</v>
      </c>
      <c r="DV99">
        <v>11.7607</v>
      </c>
      <c r="DW99">
        <v>61.459899999999998</v>
      </c>
      <c r="DX99">
        <v>35.725200000000001</v>
      </c>
      <c r="DY99">
        <v>1</v>
      </c>
      <c r="DZ99">
        <v>-0.15862000000000001</v>
      </c>
      <c r="EA99">
        <v>-0.22998399999999999</v>
      </c>
      <c r="EB99">
        <v>20.192299999999999</v>
      </c>
      <c r="EC99">
        <v>5.2411000000000003</v>
      </c>
      <c r="ED99">
        <v>12.039899999999999</v>
      </c>
      <c r="EE99">
        <v>5.0171999999999999</v>
      </c>
      <c r="EF99">
        <v>3.2879999999999998</v>
      </c>
      <c r="EG99">
        <v>9999</v>
      </c>
      <c r="EH99">
        <v>9999</v>
      </c>
      <c r="EI99">
        <v>9999</v>
      </c>
      <c r="EJ99">
        <v>999.9</v>
      </c>
      <c r="EK99">
        <v>1.86876</v>
      </c>
      <c r="EL99">
        <v>1.8644700000000001</v>
      </c>
      <c r="EM99">
        <v>1.8690500000000001</v>
      </c>
      <c r="EN99">
        <v>1.8671</v>
      </c>
      <c r="EO99">
        <v>1.8632500000000001</v>
      </c>
      <c r="EP99">
        <v>1.8643400000000001</v>
      </c>
      <c r="EQ99">
        <v>1.87008</v>
      </c>
      <c r="ER99">
        <v>1.8693200000000001</v>
      </c>
      <c r="ES99">
        <v>0</v>
      </c>
      <c r="ET99">
        <v>0</v>
      </c>
      <c r="EU99">
        <v>0</v>
      </c>
      <c r="EV99">
        <v>0</v>
      </c>
      <c r="EW99" t="s">
        <v>334</v>
      </c>
      <c r="EX99" t="s">
        <v>335</v>
      </c>
      <c r="EY99" t="s">
        <v>336</v>
      </c>
      <c r="EZ99" t="s">
        <v>336</v>
      </c>
      <c r="FA99" t="s">
        <v>336</v>
      </c>
      <c r="FB99" t="s">
        <v>336</v>
      </c>
      <c r="FC99">
        <v>0</v>
      </c>
      <c r="FD99">
        <v>100</v>
      </c>
      <c r="FE99">
        <v>100</v>
      </c>
      <c r="FF99">
        <v>-1.278</v>
      </c>
      <c r="FG99">
        <v>0.17829999999999999</v>
      </c>
      <c r="FH99">
        <v>-0.98020551812546231</v>
      </c>
      <c r="FI99">
        <v>-6.1462078757559423E-4</v>
      </c>
      <c r="FJ99">
        <v>-1.8861989874597051E-7</v>
      </c>
      <c r="FK99">
        <v>1.1980462299894961E-10</v>
      </c>
      <c r="FL99">
        <v>0.1782306200647516</v>
      </c>
      <c r="FM99">
        <v>0</v>
      </c>
      <c r="FN99">
        <v>0</v>
      </c>
      <c r="FO99">
        <v>0</v>
      </c>
      <c r="FP99">
        <v>3</v>
      </c>
      <c r="FQ99">
        <v>2158</v>
      </c>
      <c r="FR99">
        <v>1</v>
      </c>
      <c r="FS99">
        <v>19</v>
      </c>
      <c r="FT99">
        <v>15.8</v>
      </c>
      <c r="FU99">
        <v>16</v>
      </c>
      <c r="FV99">
        <v>1.7748999999999999</v>
      </c>
      <c r="FW99">
        <v>2.5439500000000002</v>
      </c>
      <c r="FX99">
        <v>1.5490699999999999</v>
      </c>
      <c r="FY99">
        <v>2.34375</v>
      </c>
      <c r="FZ99">
        <v>1.50146</v>
      </c>
      <c r="GA99">
        <v>2.3877000000000002</v>
      </c>
      <c r="GB99">
        <v>30.566199999999998</v>
      </c>
      <c r="GC99">
        <v>23.982399999999998</v>
      </c>
      <c r="GD99">
        <v>19</v>
      </c>
      <c r="GE99">
        <v>265.18200000000002</v>
      </c>
      <c r="GF99">
        <v>609.48900000000003</v>
      </c>
      <c r="GG99">
        <v>24.441299999999998</v>
      </c>
      <c r="GH99">
        <v>25.415299999999998</v>
      </c>
      <c r="GI99">
        <v>30.0001</v>
      </c>
      <c r="GJ99">
        <v>25.543299999999999</v>
      </c>
      <c r="GK99">
        <v>25.504100000000001</v>
      </c>
      <c r="GL99">
        <v>35.486699999999999</v>
      </c>
      <c r="GM99">
        <v>-30</v>
      </c>
      <c r="GN99">
        <v>-30</v>
      </c>
      <c r="GO99">
        <v>24.443300000000001</v>
      </c>
      <c r="GP99">
        <v>800</v>
      </c>
      <c r="GQ99">
        <v>0</v>
      </c>
      <c r="GR99">
        <v>99.618200000000002</v>
      </c>
      <c r="GS99">
        <v>99.2209</v>
      </c>
    </row>
    <row r="100" spans="1:201" x14ac:dyDescent="0.25">
      <c r="A100">
        <v>84</v>
      </c>
      <c r="B100">
        <v>1690201725.5</v>
      </c>
      <c r="C100">
        <v>878.5</v>
      </c>
      <c r="D100" t="s">
        <v>501</v>
      </c>
      <c r="E100" t="s">
        <v>502</v>
      </c>
      <c r="F100" t="s">
        <v>330</v>
      </c>
      <c r="H100">
        <v>1690201725.5</v>
      </c>
      <c r="I100">
        <f t="shared" si="30"/>
        <v>1.5135417446461878E-3</v>
      </c>
      <c r="J100">
        <f t="shared" si="31"/>
        <v>1.5135417446461878</v>
      </c>
      <c r="K100">
        <f t="shared" si="32"/>
        <v>31.995643725027577</v>
      </c>
      <c r="L100">
        <f t="shared" si="33"/>
        <v>437.57900000000001</v>
      </c>
      <c r="M100">
        <f t="shared" si="34"/>
        <v>86.178425509299061</v>
      </c>
      <c r="N100">
        <f t="shared" si="35"/>
        <v>8.5393758880057327</v>
      </c>
      <c r="O100">
        <f t="shared" si="36"/>
        <v>43.359478194394001</v>
      </c>
      <c r="P100">
        <f t="shared" si="37"/>
        <v>0.15262828747903523</v>
      </c>
      <c r="Q100">
        <f t="shared" si="38"/>
        <v>2.0773560800121262</v>
      </c>
      <c r="R100">
        <f t="shared" si="39"/>
        <v>0.14666081820952229</v>
      </c>
      <c r="S100">
        <f t="shared" si="40"/>
        <v>9.2179724338137453E-2</v>
      </c>
      <c r="T100">
        <f t="shared" si="41"/>
        <v>276.11576697600003</v>
      </c>
      <c r="U100">
        <f t="shared" si="42"/>
        <v>27.380309296910891</v>
      </c>
      <c r="V100">
        <f t="shared" si="43"/>
        <v>27.380309296910891</v>
      </c>
      <c r="W100">
        <f t="shared" si="44"/>
        <v>3.6598892997666232</v>
      </c>
      <c r="X100">
        <f t="shared" si="45"/>
        <v>80.618842362807086</v>
      </c>
      <c r="Y100">
        <f t="shared" si="46"/>
        <v>2.6699463823728</v>
      </c>
      <c r="Z100">
        <f t="shared" si="47"/>
        <v>3.3118143403217117</v>
      </c>
      <c r="AA100">
        <f t="shared" si="48"/>
        <v>0.98994291739382323</v>
      </c>
      <c r="AB100">
        <f t="shared" si="49"/>
        <v>-66.747190938896878</v>
      </c>
      <c r="AC100">
        <f t="shared" si="50"/>
        <v>-189.89878142535895</v>
      </c>
      <c r="AD100">
        <f t="shared" si="51"/>
        <v>-19.636215677914901</v>
      </c>
      <c r="AE100">
        <f t="shared" si="52"/>
        <v>-0.16642106617069885</v>
      </c>
      <c r="AF100">
        <v>14</v>
      </c>
      <c r="AG100">
        <v>5</v>
      </c>
      <c r="AH100">
        <f t="shared" si="53"/>
        <v>1</v>
      </c>
      <c r="AI100">
        <f t="shared" si="54"/>
        <v>0</v>
      </c>
      <c r="AJ100">
        <f t="shared" si="55"/>
        <v>52447.239322780719</v>
      </c>
      <c r="AK100">
        <f t="shared" si="56"/>
        <v>1800</v>
      </c>
      <c r="AL100">
        <f t="shared" si="57"/>
        <v>1499.1106806000003</v>
      </c>
      <c r="AM100">
        <f t="shared" si="58"/>
        <v>0.83283926700000011</v>
      </c>
      <c r="AN100">
        <f t="shared" si="59"/>
        <v>0.15339764832000002</v>
      </c>
      <c r="AO100">
        <v>33.299999999999997</v>
      </c>
      <c r="AP100">
        <v>0.5</v>
      </c>
      <c r="AQ100" t="s">
        <v>331</v>
      </c>
      <c r="AR100">
        <v>2</v>
      </c>
      <c r="AS100">
        <v>1690201725.5</v>
      </c>
      <c r="AT100">
        <v>437.57900000000001</v>
      </c>
      <c r="AU100">
        <v>800.00599999999997</v>
      </c>
      <c r="AV100">
        <v>26.944800000000001</v>
      </c>
      <c r="AW100">
        <v>10.6006</v>
      </c>
      <c r="AX100">
        <v>438.85500000000002</v>
      </c>
      <c r="AY100">
        <v>26.766500000000001</v>
      </c>
      <c r="AZ100">
        <v>300.06299999999999</v>
      </c>
      <c r="BA100">
        <v>98.989500000000007</v>
      </c>
      <c r="BB100">
        <v>9.9986000000000005E-2</v>
      </c>
      <c r="BC100">
        <v>25.684699999999999</v>
      </c>
      <c r="BD100">
        <v>26.997599999999998</v>
      </c>
      <c r="BE100">
        <v>27.527899999999999</v>
      </c>
      <c r="BF100">
        <v>0</v>
      </c>
      <c r="BG100">
        <v>0</v>
      </c>
      <c r="BH100">
        <v>9975</v>
      </c>
      <c r="BI100">
        <v>1073.48</v>
      </c>
      <c r="BJ100">
        <v>1.4577199999999999</v>
      </c>
      <c r="BK100">
        <v>-362.42599999999999</v>
      </c>
      <c r="BL100">
        <v>449.69600000000003</v>
      </c>
      <c r="BM100">
        <v>808.577</v>
      </c>
      <c r="BN100">
        <v>16.344200000000001</v>
      </c>
      <c r="BO100">
        <v>800.00599999999997</v>
      </c>
      <c r="BP100">
        <v>10.6006</v>
      </c>
      <c r="BQ100">
        <v>2.6672500000000001</v>
      </c>
      <c r="BR100">
        <v>1.0493399999999999</v>
      </c>
      <c r="BS100">
        <v>22.084700000000002</v>
      </c>
      <c r="BT100">
        <v>7.6201299999999996</v>
      </c>
      <c r="BU100">
        <v>1800</v>
      </c>
      <c r="BV100">
        <v>0.90998900000000005</v>
      </c>
      <c r="BW100">
        <v>3.3999300000000003E-2</v>
      </c>
      <c r="BX100">
        <v>2.2003100000000001E-2</v>
      </c>
      <c r="BY100">
        <v>3.4008400000000001E-2</v>
      </c>
      <c r="BZ100">
        <v>25</v>
      </c>
      <c r="CA100">
        <v>33528.199999999997</v>
      </c>
      <c r="CB100">
        <v>1690200769.5</v>
      </c>
      <c r="CC100" t="s">
        <v>332</v>
      </c>
      <c r="CD100">
        <v>1690200769.5</v>
      </c>
      <c r="CE100">
        <v>1690200753</v>
      </c>
      <c r="CF100">
        <v>2</v>
      </c>
      <c r="CG100">
        <v>-0.245</v>
      </c>
      <c r="CH100">
        <v>3.0000000000000001E-3</v>
      </c>
      <c r="CI100">
        <v>-1.5169999999999999</v>
      </c>
      <c r="CJ100">
        <v>-1.6E-2</v>
      </c>
      <c r="CK100">
        <v>778</v>
      </c>
      <c r="CL100">
        <v>12</v>
      </c>
      <c r="CM100">
        <v>0.01</v>
      </c>
      <c r="CN100">
        <v>0.03</v>
      </c>
      <c r="CO100">
        <v>-359.4879268292683</v>
      </c>
      <c r="CP100">
        <v>-16.87578397212561</v>
      </c>
      <c r="CQ100">
        <v>1.664388474679525</v>
      </c>
      <c r="CR100">
        <v>-1</v>
      </c>
      <c r="CS100">
        <v>16.250070731707311</v>
      </c>
      <c r="CT100">
        <v>0.51071916376309467</v>
      </c>
      <c r="CU100">
        <v>5.0394648592699688E-2</v>
      </c>
      <c r="CV100">
        <v>-1</v>
      </c>
      <c r="CW100">
        <v>0</v>
      </c>
      <c r="CX100">
        <v>0</v>
      </c>
      <c r="CY100" t="s">
        <v>333</v>
      </c>
      <c r="CZ100">
        <v>2.36504</v>
      </c>
      <c r="DA100">
        <v>2.7137500000000001</v>
      </c>
      <c r="DB100">
        <v>9.6114099999999994E-2</v>
      </c>
      <c r="DC100">
        <v>0.14632600000000001</v>
      </c>
      <c r="DD100">
        <v>0.123691</v>
      </c>
      <c r="DE100">
        <v>6.19334E-2</v>
      </c>
      <c r="DF100">
        <v>32973.199999999997</v>
      </c>
      <c r="DG100">
        <v>27434.5</v>
      </c>
      <c r="DH100">
        <v>31139.4</v>
      </c>
      <c r="DI100">
        <v>27999.9</v>
      </c>
      <c r="DJ100">
        <v>37025.800000000003</v>
      </c>
      <c r="DK100">
        <v>37315.800000000003</v>
      </c>
      <c r="DL100">
        <v>44303.5</v>
      </c>
      <c r="DM100">
        <v>42398.5</v>
      </c>
      <c r="DN100">
        <v>1.4416199999999999</v>
      </c>
      <c r="DO100">
        <v>2.0793499999999998</v>
      </c>
      <c r="DP100">
        <v>0.15051300000000001</v>
      </c>
      <c r="DQ100">
        <v>0.189725</v>
      </c>
      <c r="DR100">
        <v>24.531099999999999</v>
      </c>
      <c r="DS100">
        <v>24.419899999999998</v>
      </c>
      <c r="DT100">
        <v>36.4</v>
      </c>
      <c r="DU100">
        <v>25.1</v>
      </c>
      <c r="DV100">
        <v>11.7622</v>
      </c>
      <c r="DW100">
        <v>61.869900000000001</v>
      </c>
      <c r="DX100">
        <v>36.706699999999998</v>
      </c>
      <c r="DY100">
        <v>1</v>
      </c>
      <c r="DZ100">
        <v>-0.15871199999999999</v>
      </c>
      <c r="EA100">
        <v>-9.8077300000000006E-2</v>
      </c>
      <c r="EB100">
        <v>20.192399999999999</v>
      </c>
      <c r="EC100">
        <v>5.2411000000000003</v>
      </c>
      <c r="ED100">
        <v>12.039899999999999</v>
      </c>
      <c r="EE100">
        <v>5.0174500000000002</v>
      </c>
      <c r="EF100">
        <v>3.2879999999999998</v>
      </c>
      <c r="EG100">
        <v>9999</v>
      </c>
      <c r="EH100">
        <v>9999</v>
      </c>
      <c r="EI100">
        <v>9999</v>
      </c>
      <c r="EJ100">
        <v>999.9</v>
      </c>
      <c r="EK100">
        <v>1.86876</v>
      </c>
      <c r="EL100">
        <v>1.8644700000000001</v>
      </c>
      <c r="EM100">
        <v>1.8690500000000001</v>
      </c>
      <c r="EN100">
        <v>1.8670800000000001</v>
      </c>
      <c r="EO100">
        <v>1.8632500000000001</v>
      </c>
      <c r="EP100">
        <v>1.8643400000000001</v>
      </c>
      <c r="EQ100">
        <v>1.8700699999999999</v>
      </c>
      <c r="ER100">
        <v>1.86934</v>
      </c>
      <c r="ES100">
        <v>0</v>
      </c>
      <c r="ET100">
        <v>0</v>
      </c>
      <c r="EU100">
        <v>0</v>
      </c>
      <c r="EV100">
        <v>0</v>
      </c>
      <c r="EW100" t="s">
        <v>334</v>
      </c>
      <c r="EX100" t="s">
        <v>335</v>
      </c>
      <c r="EY100" t="s">
        <v>336</v>
      </c>
      <c r="EZ100" t="s">
        <v>336</v>
      </c>
      <c r="FA100" t="s">
        <v>336</v>
      </c>
      <c r="FB100" t="s">
        <v>336</v>
      </c>
      <c r="FC100">
        <v>0</v>
      </c>
      <c r="FD100">
        <v>100</v>
      </c>
      <c r="FE100">
        <v>100</v>
      </c>
      <c r="FF100">
        <v>-1.276</v>
      </c>
      <c r="FG100">
        <v>0.17829999999999999</v>
      </c>
      <c r="FH100">
        <v>-0.98020551812546231</v>
      </c>
      <c r="FI100">
        <v>-6.1462078757559423E-4</v>
      </c>
      <c r="FJ100">
        <v>-1.8861989874597051E-7</v>
      </c>
      <c r="FK100">
        <v>1.1980462299894961E-10</v>
      </c>
      <c r="FL100">
        <v>0.1782306200647516</v>
      </c>
      <c r="FM100">
        <v>0</v>
      </c>
      <c r="FN100">
        <v>0</v>
      </c>
      <c r="FO100">
        <v>0</v>
      </c>
      <c r="FP100">
        <v>3</v>
      </c>
      <c r="FQ100">
        <v>2158</v>
      </c>
      <c r="FR100">
        <v>1</v>
      </c>
      <c r="FS100">
        <v>19</v>
      </c>
      <c r="FT100">
        <v>15.9</v>
      </c>
      <c r="FU100">
        <v>16.2</v>
      </c>
      <c r="FV100">
        <v>1.7748999999999999</v>
      </c>
      <c r="FW100">
        <v>2.5524900000000001</v>
      </c>
      <c r="FX100">
        <v>1.5490699999999999</v>
      </c>
      <c r="FY100">
        <v>2.34375</v>
      </c>
      <c r="FZ100">
        <v>1.50146</v>
      </c>
      <c r="GA100">
        <v>2.2692899999999998</v>
      </c>
      <c r="GB100">
        <v>30.566199999999998</v>
      </c>
      <c r="GC100">
        <v>23.973700000000001</v>
      </c>
      <c r="GD100">
        <v>19</v>
      </c>
      <c r="GE100">
        <v>265.08100000000002</v>
      </c>
      <c r="GF100">
        <v>609.49199999999996</v>
      </c>
      <c r="GG100">
        <v>24.420200000000001</v>
      </c>
      <c r="GH100">
        <v>25.414300000000001</v>
      </c>
      <c r="GI100">
        <v>30</v>
      </c>
      <c r="GJ100">
        <v>25.543299999999999</v>
      </c>
      <c r="GK100">
        <v>25.5045</v>
      </c>
      <c r="GL100">
        <v>35.484200000000001</v>
      </c>
      <c r="GM100">
        <v>-30</v>
      </c>
      <c r="GN100">
        <v>-30</v>
      </c>
      <c r="GO100">
        <v>24.4</v>
      </c>
      <c r="GP100">
        <v>800</v>
      </c>
      <c r="GQ100">
        <v>0</v>
      </c>
      <c r="GR100">
        <v>99.618499999999997</v>
      </c>
      <c r="GS100">
        <v>99.221699999999998</v>
      </c>
    </row>
    <row r="101" spans="1:201" x14ac:dyDescent="0.25">
      <c r="A101">
        <v>85</v>
      </c>
      <c r="B101">
        <v>1690201735.5</v>
      </c>
      <c r="C101">
        <v>888.5</v>
      </c>
      <c r="D101" t="s">
        <v>503</v>
      </c>
      <c r="E101" t="s">
        <v>504</v>
      </c>
      <c r="F101" t="s">
        <v>330</v>
      </c>
      <c r="H101">
        <v>1690201735.5</v>
      </c>
      <c r="I101">
        <f t="shared" si="30"/>
        <v>1.5225723020453308E-3</v>
      </c>
      <c r="J101">
        <f t="shared" si="31"/>
        <v>1.5225723020453308</v>
      </c>
      <c r="K101">
        <f t="shared" si="32"/>
        <v>32.252083153199742</v>
      </c>
      <c r="L101">
        <f t="shared" si="33"/>
        <v>434.94400000000002</v>
      </c>
      <c r="M101">
        <f t="shared" si="34"/>
        <v>86.268022335069475</v>
      </c>
      <c r="N101">
        <f t="shared" si="35"/>
        <v>8.5483000585424804</v>
      </c>
      <c r="O101">
        <f t="shared" si="36"/>
        <v>43.098609658880001</v>
      </c>
      <c r="P101">
        <f t="shared" si="37"/>
        <v>0.15511858613601082</v>
      </c>
      <c r="Q101">
        <f t="shared" si="38"/>
        <v>2.0801546241011981</v>
      </c>
      <c r="R101">
        <f t="shared" si="39"/>
        <v>0.14896695580937461</v>
      </c>
      <c r="S101">
        <f t="shared" si="40"/>
        <v>9.3636719300819612E-2</v>
      </c>
      <c r="T101">
        <f t="shared" si="41"/>
        <v>276.11413176807918</v>
      </c>
      <c r="U101">
        <f t="shared" si="42"/>
        <v>27.369613922507561</v>
      </c>
      <c r="V101">
        <f t="shared" si="43"/>
        <v>27.369613922507561</v>
      </c>
      <c r="W101">
        <f t="shared" si="44"/>
        <v>3.6575974207331829</v>
      </c>
      <c r="X101">
        <f t="shared" si="45"/>
        <v>80.863291033447226</v>
      </c>
      <c r="Y101">
        <f t="shared" si="46"/>
        <v>2.6771844333539998</v>
      </c>
      <c r="Z101">
        <f t="shared" si="47"/>
        <v>3.3107537414556187</v>
      </c>
      <c r="AA101">
        <f t="shared" si="48"/>
        <v>0.98041298737918314</v>
      </c>
      <c r="AB101">
        <f t="shared" si="49"/>
        <v>-67.145438520199093</v>
      </c>
      <c r="AC101">
        <f t="shared" si="50"/>
        <v>-189.56075533234005</v>
      </c>
      <c r="AD101">
        <f t="shared" si="51"/>
        <v>-19.573313220010199</v>
      </c>
      <c r="AE101">
        <f t="shared" si="52"/>
        <v>-0.16537530447018867</v>
      </c>
      <c r="AF101">
        <v>14</v>
      </c>
      <c r="AG101">
        <v>5</v>
      </c>
      <c r="AH101">
        <f t="shared" si="53"/>
        <v>1</v>
      </c>
      <c r="AI101">
        <f t="shared" si="54"/>
        <v>0</v>
      </c>
      <c r="AJ101">
        <f t="shared" si="55"/>
        <v>52574.562725374868</v>
      </c>
      <c r="AK101">
        <f t="shared" si="56"/>
        <v>1799.99</v>
      </c>
      <c r="AL101">
        <f t="shared" si="57"/>
        <v>1499.1009680150198</v>
      </c>
      <c r="AM101">
        <f t="shared" si="58"/>
        <v>0.83283849799999987</v>
      </c>
      <c r="AN101">
        <f t="shared" si="59"/>
        <v>0.15339759207999998</v>
      </c>
      <c r="AO101">
        <v>33.299999999999997</v>
      </c>
      <c r="AP101">
        <v>0.5</v>
      </c>
      <c r="AQ101" t="s">
        <v>331</v>
      </c>
      <c r="AR101">
        <v>2</v>
      </c>
      <c r="AS101">
        <v>1690201735.5</v>
      </c>
      <c r="AT101">
        <v>434.94400000000002</v>
      </c>
      <c r="AU101">
        <v>800.04100000000005</v>
      </c>
      <c r="AV101">
        <v>27.017700000000001</v>
      </c>
      <c r="AW101">
        <v>10.585100000000001</v>
      </c>
      <c r="AX101">
        <v>436.21800000000002</v>
      </c>
      <c r="AY101">
        <v>26.839500000000001</v>
      </c>
      <c r="AZ101">
        <v>300.20699999999999</v>
      </c>
      <c r="BA101">
        <v>98.99</v>
      </c>
      <c r="BB101">
        <v>0.10002</v>
      </c>
      <c r="BC101">
        <v>25.679300000000001</v>
      </c>
      <c r="BD101">
        <v>27.001200000000001</v>
      </c>
      <c r="BE101">
        <v>27.513100000000001</v>
      </c>
      <c r="BF101">
        <v>0</v>
      </c>
      <c r="BG101">
        <v>0</v>
      </c>
      <c r="BH101">
        <v>10000</v>
      </c>
      <c r="BI101">
        <v>1073.6300000000001</v>
      </c>
      <c r="BJ101">
        <v>1.4577199999999999</v>
      </c>
      <c r="BK101">
        <v>-365.09800000000001</v>
      </c>
      <c r="BL101">
        <v>447.02100000000002</v>
      </c>
      <c r="BM101">
        <v>808.6</v>
      </c>
      <c r="BN101">
        <v>16.432700000000001</v>
      </c>
      <c r="BO101">
        <v>800.04100000000005</v>
      </c>
      <c r="BP101">
        <v>10.585100000000001</v>
      </c>
      <c r="BQ101">
        <v>2.67448</v>
      </c>
      <c r="BR101">
        <v>1.0478099999999999</v>
      </c>
      <c r="BS101">
        <v>22.129200000000001</v>
      </c>
      <c r="BT101">
        <v>7.5987499999999999</v>
      </c>
      <c r="BU101">
        <v>1799.99</v>
      </c>
      <c r="BV101">
        <v>0.90998599999999996</v>
      </c>
      <c r="BW101">
        <v>3.4006700000000001E-2</v>
      </c>
      <c r="BX101">
        <v>2.2001400000000001E-2</v>
      </c>
      <c r="BY101">
        <v>3.4005800000000003E-2</v>
      </c>
      <c r="BZ101">
        <v>25</v>
      </c>
      <c r="CA101">
        <v>33528</v>
      </c>
      <c r="CB101">
        <v>1690200769.5</v>
      </c>
      <c r="CC101" t="s">
        <v>332</v>
      </c>
      <c r="CD101">
        <v>1690200769.5</v>
      </c>
      <c r="CE101">
        <v>1690200753</v>
      </c>
      <c r="CF101">
        <v>2</v>
      </c>
      <c r="CG101">
        <v>-0.245</v>
      </c>
      <c r="CH101">
        <v>3.0000000000000001E-3</v>
      </c>
      <c r="CI101">
        <v>-1.5169999999999999</v>
      </c>
      <c r="CJ101">
        <v>-1.6E-2</v>
      </c>
      <c r="CK101">
        <v>778</v>
      </c>
      <c r="CL101">
        <v>12</v>
      </c>
      <c r="CM101">
        <v>0.01</v>
      </c>
      <c r="CN101">
        <v>0.03</v>
      </c>
      <c r="CO101">
        <v>-362.15121951219521</v>
      </c>
      <c r="CP101">
        <v>-15.48585365853674</v>
      </c>
      <c r="CQ101">
        <v>1.52939835950556</v>
      </c>
      <c r="CR101">
        <v>-1</v>
      </c>
      <c r="CS101">
        <v>16.33713170731707</v>
      </c>
      <c r="CT101">
        <v>0.53952543554006482</v>
      </c>
      <c r="CU101">
        <v>5.3213139946245588E-2</v>
      </c>
      <c r="CV101">
        <v>-1</v>
      </c>
      <c r="CW101">
        <v>0</v>
      </c>
      <c r="CX101">
        <v>0</v>
      </c>
      <c r="CY101" t="s">
        <v>333</v>
      </c>
      <c r="CZ101">
        <v>2.36551</v>
      </c>
      <c r="DA101">
        <v>2.7138100000000001</v>
      </c>
      <c r="DB101">
        <v>9.5680799999999996E-2</v>
      </c>
      <c r="DC101">
        <v>0.14632999999999999</v>
      </c>
      <c r="DD101">
        <v>0.12392400000000001</v>
      </c>
      <c r="DE101">
        <v>6.1864099999999998E-2</v>
      </c>
      <c r="DF101">
        <v>32989.599999999999</v>
      </c>
      <c r="DG101">
        <v>27434.6</v>
      </c>
      <c r="DH101">
        <v>31140</v>
      </c>
      <c r="DI101">
        <v>28000.2</v>
      </c>
      <c r="DJ101">
        <v>37016.400000000001</v>
      </c>
      <c r="DK101">
        <v>37319.1</v>
      </c>
      <c r="DL101">
        <v>44304.3</v>
      </c>
      <c r="DM101">
        <v>42399.1</v>
      </c>
      <c r="DN101">
        <v>1.4418500000000001</v>
      </c>
      <c r="DO101">
        <v>2.07925</v>
      </c>
      <c r="DP101">
        <v>0.15059900000000001</v>
      </c>
      <c r="DQ101">
        <v>0.18868599999999999</v>
      </c>
      <c r="DR101">
        <v>24.533300000000001</v>
      </c>
      <c r="DS101">
        <v>24.4221</v>
      </c>
      <c r="DT101">
        <v>36.299999999999997</v>
      </c>
      <c r="DU101">
        <v>25.1</v>
      </c>
      <c r="DV101">
        <v>11.7296</v>
      </c>
      <c r="DW101">
        <v>62.009900000000002</v>
      </c>
      <c r="DX101">
        <v>35.745199999999997</v>
      </c>
      <c r="DY101">
        <v>1</v>
      </c>
      <c r="DZ101">
        <v>-0.15854199999999999</v>
      </c>
      <c r="EA101">
        <v>-0.13326299999999999</v>
      </c>
      <c r="EB101">
        <v>20.1922</v>
      </c>
      <c r="EC101">
        <v>5.24125</v>
      </c>
      <c r="ED101">
        <v>12.039899999999999</v>
      </c>
      <c r="EE101">
        <v>5.0174000000000003</v>
      </c>
      <c r="EF101">
        <v>3.2879999999999998</v>
      </c>
      <c r="EG101">
        <v>9999</v>
      </c>
      <c r="EH101">
        <v>9999</v>
      </c>
      <c r="EI101">
        <v>9999</v>
      </c>
      <c r="EJ101">
        <v>999.9</v>
      </c>
      <c r="EK101">
        <v>1.86876</v>
      </c>
      <c r="EL101">
        <v>1.8644700000000001</v>
      </c>
      <c r="EM101">
        <v>1.8690500000000001</v>
      </c>
      <c r="EN101">
        <v>1.8670899999999999</v>
      </c>
      <c r="EO101">
        <v>1.8632500000000001</v>
      </c>
      <c r="EP101">
        <v>1.86435</v>
      </c>
      <c r="EQ101">
        <v>1.87008</v>
      </c>
      <c r="ER101">
        <v>1.86934</v>
      </c>
      <c r="ES101">
        <v>0</v>
      </c>
      <c r="ET101">
        <v>0</v>
      </c>
      <c r="EU101">
        <v>0</v>
      </c>
      <c r="EV101">
        <v>0</v>
      </c>
      <c r="EW101" t="s">
        <v>334</v>
      </c>
      <c r="EX101" t="s">
        <v>335</v>
      </c>
      <c r="EY101" t="s">
        <v>336</v>
      </c>
      <c r="EZ101" t="s">
        <v>336</v>
      </c>
      <c r="FA101" t="s">
        <v>336</v>
      </c>
      <c r="FB101" t="s">
        <v>336</v>
      </c>
      <c r="FC101">
        <v>0</v>
      </c>
      <c r="FD101">
        <v>100</v>
      </c>
      <c r="FE101">
        <v>100</v>
      </c>
      <c r="FF101">
        <v>-1.274</v>
      </c>
      <c r="FG101">
        <v>0.1782</v>
      </c>
      <c r="FH101">
        <v>-0.98020551812546231</v>
      </c>
      <c r="FI101">
        <v>-6.1462078757559423E-4</v>
      </c>
      <c r="FJ101">
        <v>-1.8861989874597051E-7</v>
      </c>
      <c r="FK101">
        <v>1.1980462299894961E-10</v>
      </c>
      <c r="FL101">
        <v>0.1782306200647516</v>
      </c>
      <c r="FM101">
        <v>0</v>
      </c>
      <c r="FN101">
        <v>0</v>
      </c>
      <c r="FO101">
        <v>0</v>
      </c>
      <c r="FP101">
        <v>3</v>
      </c>
      <c r="FQ101">
        <v>2158</v>
      </c>
      <c r="FR101">
        <v>1</v>
      </c>
      <c r="FS101">
        <v>19</v>
      </c>
      <c r="FT101">
        <v>16.100000000000001</v>
      </c>
      <c r="FU101">
        <v>16.399999999999999</v>
      </c>
      <c r="FV101">
        <v>1.7748999999999999</v>
      </c>
      <c r="FW101">
        <v>2.5451700000000002</v>
      </c>
      <c r="FX101">
        <v>1.5490699999999999</v>
      </c>
      <c r="FY101">
        <v>2.34375</v>
      </c>
      <c r="FZ101">
        <v>1.50146</v>
      </c>
      <c r="GA101">
        <v>2.3913600000000002</v>
      </c>
      <c r="GB101">
        <v>30.566199999999998</v>
      </c>
      <c r="GC101">
        <v>23.982399999999998</v>
      </c>
      <c r="GD101">
        <v>19</v>
      </c>
      <c r="GE101">
        <v>265.17099999999999</v>
      </c>
      <c r="GF101">
        <v>609.41300000000001</v>
      </c>
      <c r="GG101">
        <v>24.3903</v>
      </c>
      <c r="GH101">
        <v>25.4131</v>
      </c>
      <c r="GI101">
        <v>30.0002</v>
      </c>
      <c r="GJ101">
        <v>25.543299999999999</v>
      </c>
      <c r="GK101">
        <v>25.504999999999999</v>
      </c>
      <c r="GL101">
        <v>35.485199999999999</v>
      </c>
      <c r="GM101">
        <v>-30</v>
      </c>
      <c r="GN101">
        <v>-30</v>
      </c>
      <c r="GO101">
        <v>24.3856</v>
      </c>
      <c r="GP101">
        <v>800</v>
      </c>
      <c r="GQ101">
        <v>0</v>
      </c>
      <c r="GR101">
        <v>99.6203</v>
      </c>
      <c r="GS101">
        <v>99.222899999999996</v>
      </c>
    </row>
    <row r="102" spans="1:201" x14ac:dyDescent="0.25">
      <c r="A102">
        <v>86</v>
      </c>
      <c r="B102">
        <v>1690201745.5</v>
      </c>
      <c r="C102">
        <v>898.5</v>
      </c>
      <c r="D102" t="s">
        <v>505</v>
      </c>
      <c r="E102" t="s">
        <v>506</v>
      </c>
      <c r="F102" t="s">
        <v>330</v>
      </c>
      <c r="H102">
        <v>1690201745.5</v>
      </c>
      <c r="I102">
        <f t="shared" si="30"/>
        <v>1.5277938825184042E-3</v>
      </c>
      <c r="J102">
        <f t="shared" si="31"/>
        <v>1.5277938825184043</v>
      </c>
      <c r="K102">
        <f t="shared" si="32"/>
        <v>32.472419260604205</v>
      </c>
      <c r="L102">
        <f t="shared" si="33"/>
        <v>432.29</v>
      </c>
      <c r="M102">
        <f t="shared" si="34"/>
        <v>82.79172968627266</v>
      </c>
      <c r="N102">
        <f t="shared" si="35"/>
        <v>8.2038321882833571</v>
      </c>
      <c r="O102">
        <f t="shared" si="36"/>
        <v>42.835614500527001</v>
      </c>
      <c r="P102">
        <f t="shared" si="37"/>
        <v>0.15581152474563209</v>
      </c>
      <c r="Q102">
        <f t="shared" si="38"/>
        <v>2.077990143286971</v>
      </c>
      <c r="R102">
        <f t="shared" si="39"/>
        <v>0.14959980667314779</v>
      </c>
      <c r="S102">
        <f t="shared" si="40"/>
        <v>9.4037342699601789E-2</v>
      </c>
      <c r="T102">
        <f t="shared" si="41"/>
        <v>276.11392383323442</v>
      </c>
      <c r="U102">
        <f t="shared" si="42"/>
        <v>27.387316434712393</v>
      </c>
      <c r="V102">
        <f t="shared" si="43"/>
        <v>27.387316434712393</v>
      </c>
      <c r="W102">
        <f t="shared" si="44"/>
        <v>3.661391517340693</v>
      </c>
      <c r="X102">
        <f t="shared" si="45"/>
        <v>80.916908977646102</v>
      </c>
      <c r="Y102">
        <f t="shared" si="46"/>
        <v>2.6818212048613499</v>
      </c>
      <c r="Z102">
        <f t="shared" si="47"/>
        <v>3.3142902253004038</v>
      </c>
      <c r="AA102">
        <f t="shared" si="48"/>
        <v>0.97957031247934312</v>
      </c>
      <c r="AB102">
        <f t="shared" si="49"/>
        <v>-67.375710219061631</v>
      </c>
      <c r="AC102">
        <f t="shared" si="50"/>
        <v>-189.33018294015594</v>
      </c>
      <c r="AD102">
        <f t="shared" si="51"/>
        <v>-19.573367552103793</v>
      </c>
      <c r="AE102">
        <f t="shared" si="52"/>
        <v>-0.16533687808691866</v>
      </c>
      <c r="AF102">
        <v>14</v>
      </c>
      <c r="AG102">
        <v>5</v>
      </c>
      <c r="AH102">
        <f t="shared" si="53"/>
        <v>1</v>
      </c>
      <c r="AI102">
        <f t="shared" si="54"/>
        <v>0</v>
      </c>
      <c r="AJ102">
        <f t="shared" si="55"/>
        <v>52473.647732635138</v>
      </c>
      <c r="AK102">
        <f t="shared" si="56"/>
        <v>1799.99</v>
      </c>
      <c r="AL102">
        <f t="shared" si="57"/>
        <v>1499.1023864071403</v>
      </c>
      <c r="AM102">
        <f t="shared" si="58"/>
        <v>0.83283928600000012</v>
      </c>
      <c r="AN102">
        <f t="shared" si="59"/>
        <v>0.15339747656000002</v>
      </c>
      <c r="AO102">
        <v>33.299999999999997</v>
      </c>
      <c r="AP102">
        <v>0.5</v>
      </c>
      <c r="AQ102" t="s">
        <v>331</v>
      </c>
      <c r="AR102">
        <v>2</v>
      </c>
      <c r="AS102">
        <v>1690201745.5</v>
      </c>
      <c r="AT102">
        <v>432.29</v>
      </c>
      <c r="AU102">
        <v>799.95699999999999</v>
      </c>
      <c r="AV102">
        <v>27.064499999999999</v>
      </c>
      <c r="AW102">
        <v>10.569800000000001</v>
      </c>
      <c r="AX102">
        <v>433.56299999999999</v>
      </c>
      <c r="AY102">
        <v>26.886199999999999</v>
      </c>
      <c r="AZ102">
        <v>300.08800000000002</v>
      </c>
      <c r="BA102">
        <v>98.99</v>
      </c>
      <c r="BB102">
        <v>9.9996299999999996E-2</v>
      </c>
      <c r="BC102">
        <v>25.697299999999998</v>
      </c>
      <c r="BD102">
        <v>27.008099999999999</v>
      </c>
      <c r="BE102">
        <v>27.498699999999999</v>
      </c>
      <c r="BF102">
        <v>0</v>
      </c>
      <c r="BG102">
        <v>0</v>
      </c>
      <c r="BH102">
        <v>9980.6200000000008</v>
      </c>
      <c r="BI102">
        <v>1073.6199999999999</v>
      </c>
      <c r="BJ102">
        <v>1.4577199999999999</v>
      </c>
      <c r="BK102">
        <v>-367.66699999999997</v>
      </c>
      <c r="BL102">
        <v>444.315</v>
      </c>
      <c r="BM102">
        <v>808.50199999999995</v>
      </c>
      <c r="BN102">
        <v>16.494700000000002</v>
      </c>
      <c r="BO102">
        <v>799.95699999999999</v>
      </c>
      <c r="BP102">
        <v>10.569800000000001</v>
      </c>
      <c r="BQ102">
        <v>2.6791100000000001</v>
      </c>
      <c r="BR102">
        <v>1.0463100000000001</v>
      </c>
      <c r="BS102">
        <v>22.157599999999999</v>
      </c>
      <c r="BT102">
        <v>7.5776399999999997</v>
      </c>
      <c r="BU102">
        <v>1799.99</v>
      </c>
      <c r="BV102">
        <v>0.90999300000000005</v>
      </c>
      <c r="BW102">
        <v>3.4004199999999998E-2</v>
      </c>
      <c r="BX102">
        <v>2.19998E-2</v>
      </c>
      <c r="BY102">
        <v>3.4003199999999997E-2</v>
      </c>
      <c r="BZ102">
        <v>25</v>
      </c>
      <c r="CA102">
        <v>33528.199999999997</v>
      </c>
      <c r="CB102">
        <v>1690200769.5</v>
      </c>
      <c r="CC102" t="s">
        <v>332</v>
      </c>
      <c r="CD102">
        <v>1690200769.5</v>
      </c>
      <c r="CE102">
        <v>1690200753</v>
      </c>
      <c r="CF102">
        <v>2</v>
      </c>
      <c r="CG102">
        <v>-0.245</v>
      </c>
      <c r="CH102">
        <v>3.0000000000000001E-3</v>
      </c>
      <c r="CI102">
        <v>-1.5169999999999999</v>
      </c>
      <c r="CJ102">
        <v>-1.6E-2</v>
      </c>
      <c r="CK102">
        <v>778</v>
      </c>
      <c r="CL102">
        <v>12</v>
      </c>
      <c r="CM102">
        <v>0.01</v>
      </c>
      <c r="CN102">
        <v>0.03</v>
      </c>
      <c r="CO102">
        <v>-364.76273170731707</v>
      </c>
      <c r="CP102">
        <v>-16.03003484320589</v>
      </c>
      <c r="CQ102">
        <v>1.581783572263427</v>
      </c>
      <c r="CR102">
        <v>-1</v>
      </c>
      <c r="CS102">
        <v>16.41968536585366</v>
      </c>
      <c r="CT102">
        <v>0.46094843205573249</v>
      </c>
      <c r="CU102">
        <v>4.5674877339606477E-2</v>
      </c>
      <c r="CV102">
        <v>-1</v>
      </c>
      <c r="CW102">
        <v>0</v>
      </c>
      <c r="CX102">
        <v>0</v>
      </c>
      <c r="CY102" t="s">
        <v>333</v>
      </c>
      <c r="CZ102">
        <v>2.36511</v>
      </c>
      <c r="DA102">
        <v>2.7137699999999998</v>
      </c>
      <c r="DB102">
        <v>9.52432E-2</v>
      </c>
      <c r="DC102">
        <v>0.146319</v>
      </c>
      <c r="DD102">
        <v>0.124073</v>
      </c>
      <c r="DE102">
        <v>6.17961E-2</v>
      </c>
      <c r="DF102">
        <v>33004.800000000003</v>
      </c>
      <c r="DG102">
        <v>27435</v>
      </c>
      <c r="DH102">
        <v>31139.3</v>
      </c>
      <c r="DI102">
        <v>28000.2</v>
      </c>
      <c r="DJ102">
        <v>37009.199999999997</v>
      </c>
      <c r="DK102">
        <v>37322.1</v>
      </c>
      <c r="DL102">
        <v>44303.4</v>
      </c>
      <c r="DM102">
        <v>42399.4</v>
      </c>
      <c r="DN102">
        <v>1.44173</v>
      </c>
      <c r="DO102">
        <v>2.0792999999999999</v>
      </c>
      <c r="DP102">
        <v>0.150897</v>
      </c>
      <c r="DQ102">
        <v>0.18768000000000001</v>
      </c>
      <c r="DR102">
        <v>24.535399999999999</v>
      </c>
      <c r="DS102">
        <v>24.424099999999999</v>
      </c>
      <c r="DT102">
        <v>36.200000000000003</v>
      </c>
      <c r="DU102">
        <v>25.1</v>
      </c>
      <c r="DV102">
        <v>11.697100000000001</v>
      </c>
      <c r="DW102">
        <v>61.879899999999999</v>
      </c>
      <c r="DX102">
        <v>36.706699999999998</v>
      </c>
      <c r="DY102">
        <v>1</v>
      </c>
      <c r="DZ102">
        <v>-0.158331</v>
      </c>
      <c r="EA102">
        <v>-0.19419700000000001</v>
      </c>
      <c r="EB102">
        <v>20.192299999999999</v>
      </c>
      <c r="EC102">
        <v>5.2411000000000003</v>
      </c>
      <c r="ED102">
        <v>12.039899999999999</v>
      </c>
      <c r="EE102">
        <v>5.01755</v>
      </c>
      <c r="EF102">
        <v>3.2879999999999998</v>
      </c>
      <c r="EG102">
        <v>9999</v>
      </c>
      <c r="EH102">
        <v>9999</v>
      </c>
      <c r="EI102">
        <v>9999</v>
      </c>
      <c r="EJ102">
        <v>999.9</v>
      </c>
      <c r="EK102">
        <v>1.86876</v>
      </c>
      <c r="EL102">
        <v>1.8644700000000001</v>
      </c>
      <c r="EM102">
        <v>1.8690500000000001</v>
      </c>
      <c r="EN102">
        <v>1.8670800000000001</v>
      </c>
      <c r="EO102">
        <v>1.8632500000000001</v>
      </c>
      <c r="EP102">
        <v>1.86435</v>
      </c>
      <c r="EQ102">
        <v>1.87008</v>
      </c>
      <c r="ER102">
        <v>1.8693299999999999</v>
      </c>
      <c r="ES102">
        <v>0</v>
      </c>
      <c r="ET102">
        <v>0</v>
      </c>
      <c r="EU102">
        <v>0</v>
      </c>
      <c r="EV102">
        <v>0</v>
      </c>
      <c r="EW102" t="s">
        <v>334</v>
      </c>
      <c r="EX102" t="s">
        <v>335</v>
      </c>
      <c r="EY102" t="s">
        <v>336</v>
      </c>
      <c r="EZ102" t="s">
        <v>336</v>
      </c>
      <c r="FA102" t="s">
        <v>336</v>
      </c>
      <c r="FB102" t="s">
        <v>336</v>
      </c>
      <c r="FC102">
        <v>0</v>
      </c>
      <c r="FD102">
        <v>100</v>
      </c>
      <c r="FE102">
        <v>100</v>
      </c>
      <c r="FF102">
        <v>-1.2729999999999999</v>
      </c>
      <c r="FG102">
        <v>0.17829999999999999</v>
      </c>
      <c r="FH102">
        <v>-0.98020551812546231</v>
      </c>
      <c r="FI102">
        <v>-6.1462078757559423E-4</v>
      </c>
      <c r="FJ102">
        <v>-1.8861989874597051E-7</v>
      </c>
      <c r="FK102">
        <v>1.1980462299894961E-10</v>
      </c>
      <c r="FL102">
        <v>0.1782306200647516</v>
      </c>
      <c r="FM102">
        <v>0</v>
      </c>
      <c r="FN102">
        <v>0</v>
      </c>
      <c r="FO102">
        <v>0</v>
      </c>
      <c r="FP102">
        <v>3</v>
      </c>
      <c r="FQ102">
        <v>2158</v>
      </c>
      <c r="FR102">
        <v>1</v>
      </c>
      <c r="FS102">
        <v>19</v>
      </c>
      <c r="FT102">
        <v>16.3</v>
      </c>
      <c r="FU102">
        <v>16.5</v>
      </c>
      <c r="FV102">
        <v>1.7748999999999999</v>
      </c>
      <c r="FW102">
        <v>2.5512700000000001</v>
      </c>
      <c r="FX102">
        <v>1.5490699999999999</v>
      </c>
      <c r="FY102">
        <v>2.34375</v>
      </c>
      <c r="FZ102">
        <v>1.50146</v>
      </c>
      <c r="GA102">
        <v>2.2802699999999998</v>
      </c>
      <c r="GB102">
        <v>30.566199999999998</v>
      </c>
      <c r="GC102">
        <v>23.973700000000001</v>
      </c>
      <c r="GD102">
        <v>19</v>
      </c>
      <c r="GE102">
        <v>265.12099999999998</v>
      </c>
      <c r="GF102">
        <v>609.471</v>
      </c>
      <c r="GG102">
        <v>24.390699999999999</v>
      </c>
      <c r="GH102">
        <v>25.4131</v>
      </c>
      <c r="GI102">
        <v>30.0002</v>
      </c>
      <c r="GJ102">
        <v>25.543299999999999</v>
      </c>
      <c r="GK102">
        <v>25.5063</v>
      </c>
      <c r="GL102">
        <v>35.487299999999998</v>
      </c>
      <c r="GM102">
        <v>-30</v>
      </c>
      <c r="GN102">
        <v>-30</v>
      </c>
      <c r="GO102">
        <v>24.3932</v>
      </c>
      <c r="GP102">
        <v>800</v>
      </c>
      <c r="GQ102">
        <v>0</v>
      </c>
      <c r="GR102">
        <v>99.618300000000005</v>
      </c>
      <c r="GS102">
        <v>99.223500000000001</v>
      </c>
    </row>
    <row r="103" spans="1:201" x14ac:dyDescent="0.25">
      <c r="A103">
        <v>87</v>
      </c>
      <c r="B103">
        <v>1690201755.5</v>
      </c>
      <c r="C103">
        <v>908.5</v>
      </c>
      <c r="D103" t="s">
        <v>507</v>
      </c>
      <c r="E103" t="s">
        <v>508</v>
      </c>
      <c r="F103" t="s">
        <v>330</v>
      </c>
      <c r="H103">
        <v>1690201755.5</v>
      </c>
      <c r="I103">
        <f t="shared" si="30"/>
        <v>1.5346113650191689E-3</v>
      </c>
      <c r="J103">
        <f t="shared" si="31"/>
        <v>1.5346113650191688</v>
      </c>
      <c r="K103">
        <f t="shared" si="32"/>
        <v>32.71474169601013</v>
      </c>
      <c r="L103">
        <f t="shared" si="33"/>
        <v>429.82299999999998</v>
      </c>
      <c r="M103">
        <f t="shared" si="34"/>
        <v>82.209481129764512</v>
      </c>
      <c r="N103">
        <f t="shared" si="35"/>
        <v>8.1461157818453476</v>
      </c>
      <c r="O103">
        <f t="shared" si="36"/>
        <v>42.591047596727996</v>
      </c>
      <c r="P103">
        <f t="shared" si="37"/>
        <v>0.15788055717544852</v>
      </c>
      <c r="Q103">
        <f t="shared" si="38"/>
        <v>2.07791745017072</v>
      </c>
      <c r="R103">
        <f t="shared" si="39"/>
        <v>0.15150618756804313</v>
      </c>
      <c r="S103">
        <f t="shared" si="40"/>
        <v>9.52426339344115E-2</v>
      </c>
      <c r="T103">
        <f t="shared" si="41"/>
        <v>276.11208324987558</v>
      </c>
      <c r="U103">
        <f t="shared" si="42"/>
        <v>27.372240921491485</v>
      </c>
      <c r="V103">
        <f t="shared" si="43"/>
        <v>27.372240921491485</v>
      </c>
      <c r="W103">
        <f t="shared" si="44"/>
        <v>3.6581602362250201</v>
      </c>
      <c r="X103">
        <f t="shared" si="45"/>
        <v>81.122483398656911</v>
      </c>
      <c r="Y103">
        <f t="shared" si="46"/>
        <v>2.6866101031944001</v>
      </c>
      <c r="Z103">
        <f t="shared" si="47"/>
        <v>3.3117946969050513</v>
      </c>
      <c r="AA103">
        <f t="shared" si="48"/>
        <v>0.97155013303061999</v>
      </c>
      <c r="AB103">
        <f t="shared" si="49"/>
        <v>-67.676361197345344</v>
      </c>
      <c r="AC103">
        <f t="shared" si="50"/>
        <v>-189.05744359123079</v>
      </c>
      <c r="AD103">
        <f t="shared" si="51"/>
        <v>-19.543135999267122</v>
      </c>
      <c r="AE103">
        <f t="shared" si="52"/>
        <v>-0.16485753796766289</v>
      </c>
      <c r="AF103">
        <v>14</v>
      </c>
      <c r="AG103">
        <v>5</v>
      </c>
      <c r="AH103">
        <f t="shared" si="53"/>
        <v>1</v>
      </c>
      <c r="AI103">
        <f t="shared" si="54"/>
        <v>0</v>
      </c>
      <c r="AJ103">
        <f t="shared" si="55"/>
        <v>52472.591740102238</v>
      </c>
      <c r="AK103">
        <f t="shared" si="56"/>
        <v>1799.98</v>
      </c>
      <c r="AL103">
        <f t="shared" si="57"/>
        <v>1499.0950678030601</v>
      </c>
      <c r="AM103">
        <f t="shared" si="58"/>
        <v>0.83283984700000002</v>
      </c>
      <c r="AN103">
        <f t="shared" si="59"/>
        <v>0.15339730621999997</v>
      </c>
      <c r="AO103">
        <v>33.299999999999997</v>
      </c>
      <c r="AP103">
        <v>0.5</v>
      </c>
      <c r="AQ103" t="s">
        <v>331</v>
      </c>
      <c r="AR103">
        <v>2</v>
      </c>
      <c r="AS103">
        <v>1690201755.5</v>
      </c>
      <c r="AT103">
        <v>429.82299999999998</v>
      </c>
      <c r="AU103">
        <v>799.96</v>
      </c>
      <c r="AV103">
        <v>27.1129</v>
      </c>
      <c r="AW103">
        <v>10.5548</v>
      </c>
      <c r="AX103">
        <v>431.09300000000002</v>
      </c>
      <c r="AY103">
        <v>26.934699999999999</v>
      </c>
      <c r="AZ103">
        <v>300.25799999999998</v>
      </c>
      <c r="BA103">
        <v>98.989699999999999</v>
      </c>
      <c r="BB103">
        <v>0.100036</v>
      </c>
      <c r="BC103">
        <v>25.6846</v>
      </c>
      <c r="BD103">
        <v>26.990600000000001</v>
      </c>
      <c r="BE103">
        <v>27.477</v>
      </c>
      <c r="BF103">
        <v>0</v>
      </c>
      <c r="BG103">
        <v>0</v>
      </c>
      <c r="BH103">
        <v>9980</v>
      </c>
      <c r="BI103">
        <v>1073.6500000000001</v>
      </c>
      <c r="BJ103">
        <v>1.4577199999999999</v>
      </c>
      <c r="BK103">
        <v>-370.13799999999998</v>
      </c>
      <c r="BL103">
        <v>441.80099999999999</v>
      </c>
      <c r="BM103">
        <v>808.49400000000003</v>
      </c>
      <c r="BN103">
        <v>16.5581</v>
      </c>
      <c r="BO103">
        <v>799.96</v>
      </c>
      <c r="BP103">
        <v>10.5548</v>
      </c>
      <c r="BQ103">
        <v>2.6839</v>
      </c>
      <c r="BR103">
        <v>1.0448200000000001</v>
      </c>
      <c r="BS103">
        <v>22.186900000000001</v>
      </c>
      <c r="BT103">
        <v>7.5567900000000003</v>
      </c>
      <c r="BU103">
        <v>1799.98</v>
      </c>
      <c r="BV103">
        <v>0.91</v>
      </c>
      <c r="BW103">
        <v>3.4001499999999997E-2</v>
      </c>
      <c r="BX103">
        <v>2.19981E-2</v>
      </c>
      <c r="BY103">
        <v>3.4000599999999999E-2</v>
      </c>
      <c r="BZ103">
        <v>25</v>
      </c>
      <c r="CA103">
        <v>33528</v>
      </c>
      <c r="CB103">
        <v>1690200769.5</v>
      </c>
      <c r="CC103" t="s">
        <v>332</v>
      </c>
      <c r="CD103">
        <v>1690200769.5</v>
      </c>
      <c r="CE103">
        <v>1690200753</v>
      </c>
      <c r="CF103">
        <v>2</v>
      </c>
      <c r="CG103">
        <v>-0.245</v>
      </c>
      <c r="CH103">
        <v>3.0000000000000001E-3</v>
      </c>
      <c r="CI103">
        <v>-1.5169999999999999</v>
      </c>
      <c r="CJ103">
        <v>-1.6E-2</v>
      </c>
      <c r="CK103">
        <v>778</v>
      </c>
      <c r="CL103">
        <v>12</v>
      </c>
      <c r="CM103">
        <v>0.01</v>
      </c>
      <c r="CN103">
        <v>0.03</v>
      </c>
      <c r="CO103">
        <v>-367.41370731707309</v>
      </c>
      <c r="CP103">
        <v>-15.36462020905906</v>
      </c>
      <c r="CQ103">
        <v>1.5167018814729361</v>
      </c>
      <c r="CR103">
        <v>-1</v>
      </c>
      <c r="CS103">
        <v>16.489575609756098</v>
      </c>
      <c r="CT103">
        <v>0.37991916376307239</v>
      </c>
      <c r="CU103">
        <v>3.7468066276255083E-2</v>
      </c>
      <c r="CV103">
        <v>-1</v>
      </c>
      <c r="CW103">
        <v>0</v>
      </c>
      <c r="CX103">
        <v>0</v>
      </c>
      <c r="CY103" t="s">
        <v>333</v>
      </c>
      <c r="CZ103">
        <v>2.3656899999999998</v>
      </c>
      <c r="DA103">
        <v>2.7138100000000001</v>
      </c>
      <c r="DB103">
        <v>9.4834600000000005E-2</v>
      </c>
      <c r="DC103">
        <v>0.146319</v>
      </c>
      <c r="DD103">
        <v>0.12422800000000001</v>
      </c>
      <c r="DE103">
        <v>6.1728900000000003E-2</v>
      </c>
      <c r="DF103">
        <v>33019.9</v>
      </c>
      <c r="DG103">
        <v>27435.3</v>
      </c>
      <c r="DH103">
        <v>31139.5</v>
      </c>
      <c r="DI103">
        <v>28000.5</v>
      </c>
      <c r="DJ103">
        <v>37002.9</v>
      </c>
      <c r="DK103">
        <v>37325.1</v>
      </c>
      <c r="DL103">
        <v>44303.9</v>
      </c>
      <c r="DM103">
        <v>42399.7</v>
      </c>
      <c r="DN103">
        <v>1.4420999999999999</v>
      </c>
      <c r="DO103">
        <v>2.0791499999999998</v>
      </c>
      <c r="DP103">
        <v>0.14982400000000001</v>
      </c>
      <c r="DQ103">
        <v>0.18635399999999999</v>
      </c>
      <c r="DR103">
        <v>24.535399999999999</v>
      </c>
      <c r="DS103">
        <v>24.424099999999999</v>
      </c>
      <c r="DT103">
        <v>36.200000000000003</v>
      </c>
      <c r="DU103">
        <v>25.1</v>
      </c>
      <c r="DV103">
        <v>11.6973</v>
      </c>
      <c r="DW103">
        <v>62.0199</v>
      </c>
      <c r="DX103">
        <v>35.637</v>
      </c>
      <c r="DY103">
        <v>1</v>
      </c>
      <c r="DZ103">
        <v>-0.15910099999999999</v>
      </c>
      <c r="EA103">
        <v>-9.50545E-2</v>
      </c>
      <c r="EB103">
        <v>20.192399999999999</v>
      </c>
      <c r="EC103">
        <v>5.24125</v>
      </c>
      <c r="ED103">
        <v>12.039899999999999</v>
      </c>
      <c r="EE103">
        <v>5.0172999999999996</v>
      </c>
      <c r="EF103">
        <v>3.2879999999999998</v>
      </c>
      <c r="EG103">
        <v>9999</v>
      </c>
      <c r="EH103">
        <v>9999</v>
      </c>
      <c r="EI103">
        <v>9999</v>
      </c>
      <c r="EJ103">
        <v>999.9</v>
      </c>
      <c r="EK103">
        <v>1.8687499999999999</v>
      </c>
      <c r="EL103">
        <v>1.8644700000000001</v>
      </c>
      <c r="EM103">
        <v>1.86904</v>
      </c>
      <c r="EN103">
        <v>1.8671199999999999</v>
      </c>
      <c r="EO103">
        <v>1.8632500000000001</v>
      </c>
      <c r="EP103">
        <v>1.8643700000000001</v>
      </c>
      <c r="EQ103">
        <v>1.8701000000000001</v>
      </c>
      <c r="ER103">
        <v>1.8693299999999999</v>
      </c>
      <c r="ES103">
        <v>0</v>
      </c>
      <c r="ET103">
        <v>0</v>
      </c>
      <c r="EU103">
        <v>0</v>
      </c>
      <c r="EV103">
        <v>0</v>
      </c>
      <c r="EW103" t="s">
        <v>334</v>
      </c>
      <c r="EX103" t="s">
        <v>335</v>
      </c>
      <c r="EY103" t="s">
        <v>336</v>
      </c>
      <c r="EZ103" t="s">
        <v>336</v>
      </c>
      <c r="FA103" t="s">
        <v>336</v>
      </c>
      <c r="FB103" t="s">
        <v>336</v>
      </c>
      <c r="FC103">
        <v>0</v>
      </c>
      <c r="FD103">
        <v>100</v>
      </c>
      <c r="FE103">
        <v>100</v>
      </c>
      <c r="FF103">
        <v>-1.27</v>
      </c>
      <c r="FG103">
        <v>0.1782</v>
      </c>
      <c r="FH103">
        <v>-0.98020551812546231</v>
      </c>
      <c r="FI103">
        <v>-6.1462078757559423E-4</v>
      </c>
      <c r="FJ103">
        <v>-1.8861989874597051E-7</v>
      </c>
      <c r="FK103">
        <v>1.1980462299894961E-10</v>
      </c>
      <c r="FL103">
        <v>0.1782306200647516</v>
      </c>
      <c r="FM103">
        <v>0</v>
      </c>
      <c r="FN103">
        <v>0</v>
      </c>
      <c r="FO103">
        <v>0</v>
      </c>
      <c r="FP103">
        <v>3</v>
      </c>
      <c r="FQ103">
        <v>2158</v>
      </c>
      <c r="FR103">
        <v>1</v>
      </c>
      <c r="FS103">
        <v>19</v>
      </c>
      <c r="FT103">
        <v>16.399999999999999</v>
      </c>
      <c r="FU103">
        <v>16.7</v>
      </c>
      <c r="FV103">
        <v>1.7748999999999999</v>
      </c>
      <c r="FW103">
        <v>2.5439500000000002</v>
      </c>
      <c r="FX103">
        <v>1.5490699999999999</v>
      </c>
      <c r="FY103">
        <v>2.34375</v>
      </c>
      <c r="FZ103">
        <v>1.50146</v>
      </c>
      <c r="GA103">
        <v>2.3828100000000001</v>
      </c>
      <c r="GB103">
        <v>30.587700000000002</v>
      </c>
      <c r="GC103">
        <v>23.991199999999999</v>
      </c>
      <c r="GD103">
        <v>19</v>
      </c>
      <c r="GE103">
        <v>265.27199999999999</v>
      </c>
      <c r="GF103">
        <v>609.34299999999996</v>
      </c>
      <c r="GG103">
        <v>24.374700000000001</v>
      </c>
      <c r="GH103">
        <v>25.4131</v>
      </c>
      <c r="GI103">
        <v>29.9998</v>
      </c>
      <c r="GJ103">
        <v>25.543299999999999</v>
      </c>
      <c r="GK103">
        <v>25.5063</v>
      </c>
      <c r="GL103">
        <v>35.489699999999999</v>
      </c>
      <c r="GM103">
        <v>-30</v>
      </c>
      <c r="GN103">
        <v>-30</v>
      </c>
      <c r="GO103">
        <v>24.367899999999999</v>
      </c>
      <c r="GP103">
        <v>800</v>
      </c>
      <c r="GQ103">
        <v>0</v>
      </c>
      <c r="GR103">
        <v>99.619100000000003</v>
      </c>
      <c r="GS103">
        <v>99.224299999999999</v>
      </c>
    </row>
    <row r="104" spans="1:201" x14ac:dyDescent="0.25">
      <c r="A104">
        <v>88</v>
      </c>
      <c r="B104">
        <v>1690201765.5</v>
      </c>
      <c r="C104">
        <v>918.5</v>
      </c>
      <c r="D104" t="s">
        <v>509</v>
      </c>
      <c r="E104" t="s">
        <v>510</v>
      </c>
      <c r="F104" t="s">
        <v>330</v>
      </c>
      <c r="H104">
        <v>1690201765.5</v>
      </c>
      <c r="I104">
        <f t="shared" si="30"/>
        <v>1.5397448388485876E-3</v>
      </c>
      <c r="J104">
        <f t="shared" si="31"/>
        <v>1.5397448388485877</v>
      </c>
      <c r="K104">
        <f t="shared" si="32"/>
        <v>32.916191470803113</v>
      </c>
      <c r="L104">
        <f t="shared" si="33"/>
        <v>427.37799999999999</v>
      </c>
      <c r="M104">
        <f t="shared" si="34"/>
        <v>81.066318487885269</v>
      </c>
      <c r="N104">
        <f t="shared" si="35"/>
        <v>8.032934620783827</v>
      </c>
      <c r="O104">
        <f t="shared" si="36"/>
        <v>42.349271514955994</v>
      </c>
      <c r="P104">
        <f t="shared" si="37"/>
        <v>0.15947641773379612</v>
      </c>
      <c r="Q104">
        <f t="shared" si="38"/>
        <v>2.0819710081268843</v>
      </c>
      <c r="R104">
        <f t="shared" si="39"/>
        <v>0.15298748883443458</v>
      </c>
      <c r="S104">
        <f t="shared" si="40"/>
        <v>9.6178184296260155E-2</v>
      </c>
      <c r="T104">
        <f t="shared" si="41"/>
        <v>276.11347622972113</v>
      </c>
      <c r="U104">
        <f t="shared" si="42"/>
        <v>27.36494549589019</v>
      </c>
      <c r="V104">
        <f t="shared" si="43"/>
        <v>27.36494549589019</v>
      </c>
      <c r="W104">
        <f t="shared" si="44"/>
        <v>3.6565974306441933</v>
      </c>
      <c r="X104">
        <f t="shared" si="45"/>
        <v>81.274320435868646</v>
      </c>
      <c r="Y104">
        <f t="shared" si="46"/>
        <v>2.6912395346886</v>
      </c>
      <c r="Z104">
        <f t="shared" si="47"/>
        <v>3.3113036445653017</v>
      </c>
      <c r="AA104">
        <f t="shared" si="48"/>
        <v>0.96535789595559329</v>
      </c>
      <c r="AB104">
        <f t="shared" si="49"/>
        <v>-67.902747393222711</v>
      </c>
      <c r="AC104">
        <f t="shared" si="50"/>
        <v>-188.88799888745876</v>
      </c>
      <c r="AD104">
        <f t="shared" si="51"/>
        <v>-19.486647442141809</v>
      </c>
      <c r="AE104">
        <f t="shared" si="52"/>
        <v>-0.16391749310216142</v>
      </c>
      <c r="AF104">
        <v>14</v>
      </c>
      <c r="AG104">
        <v>5</v>
      </c>
      <c r="AH104">
        <f t="shared" si="53"/>
        <v>1</v>
      </c>
      <c r="AI104">
        <f t="shared" si="54"/>
        <v>0</v>
      </c>
      <c r="AJ104">
        <f t="shared" si="55"/>
        <v>52656.218154557588</v>
      </c>
      <c r="AK104">
        <f t="shared" si="56"/>
        <v>1799.99</v>
      </c>
      <c r="AL104">
        <f t="shared" si="57"/>
        <v>1499.10479479376</v>
      </c>
      <c r="AM104">
        <f t="shared" si="58"/>
        <v>0.83284062400000003</v>
      </c>
      <c r="AN104">
        <f t="shared" si="59"/>
        <v>0.15339722789000002</v>
      </c>
      <c r="AO104">
        <v>33.299999999999997</v>
      </c>
      <c r="AP104">
        <v>0.5</v>
      </c>
      <c r="AQ104" t="s">
        <v>331</v>
      </c>
      <c r="AR104">
        <v>2</v>
      </c>
      <c r="AS104">
        <v>1690201765.5</v>
      </c>
      <c r="AT104">
        <v>427.37799999999999</v>
      </c>
      <c r="AU104">
        <v>799.91800000000001</v>
      </c>
      <c r="AV104">
        <v>27.159300000000002</v>
      </c>
      <c r="AW104">
        <v>10.5383</v>
      </c>
      <c r="AX104">
        <v>428.64699999999999</v>
      </c>
      <c r="AY104">
        <v>26.981000000000002</v>
      </c>
      <c r="AZ104">
        <v>300.108</v>
      </c>
      <c r="BA104">
        <v>98.990899999999996</v>
      </c>
      <c r="BB104">
        <v>0.10000199999999999</v>
      </c>
      <c r="BC104">
        <v>25.682099999999998</v>
      </c>
      <c r="BD104">
        <v>26.988399999999999</v>
      </c>
      <c r="BE104">
        <v>27.500900000000001</v>
      </c>
      <c r="BF104">
        <v>0</v>
      </c>
      <c r="BG104">
        <v>0</v>
      </c>
      <c r="BH104">
        <v>10016.200000000001</v>
      </c>
      <c r="BI104">
        <v>1073.67</v>
      </c>
      <c r="BJ104">
        <v>1.4577199999999999</v>
      </c>
      <c r="BK104">
        <v>-372.54</v>
      </c>
      <c r="BL104">
        <v>439.31</v>
      </c>
      <c r="BM104">
        <v>808.43799999999999</v>
      </c>
      <c r="BN104">
        <v>16.620999999999999</v>
      </c>
      <c r="BO104">
        <v>799.91800000000001</v>
      </c>
      <c r="BP104">
        <v>10.5383</v>
      </c>
      <c r="BQ104">
        <v>2.68852</v>
      </c>
      <c r="BR104">
        <v>1.0431999999999999</v>
      </c>
      <c r="BS104">
        <v>22.2151</v>
      </c>
      <c r="BT104">
        <v>7.5340800000000003</v>
      </c>
      <c r="BU104">
        <v>1799.99</v>
      </c>
      <c r="BV104">
        <v>0.91000599999999998</v>
      </c>
      <c r="BW104">
        <v>3.3999399999999999E-2</v>
      </c>
      <c r="BX104">
        <v>2.1996700000000001E-2</v>
      </c>
      <c r="BY104">
        <v>3.3998500000000001E-2</v>
      </c>
      <c r="BZ104">
        <v>25</v>
      </c>
      <c r="CA104">
        <v>33528.300000000003</v>
      </c>
      <c r="CB104">
        <v>1690200769.5</v>
      </c>
      <c r="CC104" t="s">
        <v>332</v>
      </c>
      <c r="CD104">
        <v>1690200769.5</v>
      </c>
      <c r="CE104">
        <v>1690200753</v>
      </c>
      <c r="CF104">
        <v>2</v>
      </c>
      <c r="CG104">
        <v>-0.245</v>
      </c>
      <c r="CH104">
        <v>3.0000000000000001E-3</v>
      </c>
      <c r="CI104">
        <v>-1.5169999999999999</v>
      </c>
      <c r="CJ104">
        <v>-1.6E-2</v>
      </c>
      <c r="CK104">
        <v>778</v>
      </c>
      <c r="CL104">
        <v>12</v>
      </c>
      <c r="CM104">
        <v>0.01</v>
      </c>
      <c r="CN104">
        <v>0.03</v>
      </c>
      <c r="CO104">
        <v>-370.12709999999998</v>
      </c>
      <c r="CP104">
        <v>-14.4582439024379</v>
      </c>
      <c r="CQ104">
        <v>1.3927465454992189</v>
      </c>
      <c r="CR104">
        <v>-1</v>
      </c>
      <c r="CS104">
        <v>16.556754999999999</v>
      </c>
      <c r="CT104">
        <v>0.372121575984947</v>
      </c>
      <c r="CU104">
        <v>3.5805683557223238E-2</v>
      </c>
      <c r="CV104">
        <v>-1</v>
      </c>
      <c r="CW104">
        <v>0</v>
      </c>
      <c r="CX104">
        <v>0</v>
      </c>
      <c r="CY104" t="s">
        <v>333</v>
      </c>
      <c r="CZ104">
        <v>2.3651900000000001</v>
      </c>
      <c r="DA104">
        <v>2.7138100000000001</v>
      </c>
      <c r="DB104">
        <v>9.4430299999999995E-2</v>
      </c>
      <c r="DC104">
        <v>0.146315</v>
      </c>
      <c r="DD104">
        <v>0.124377</v>
      </c>
      <c r="DE104">
        <v>6.16559E-2</v>
      </c>
      <c r="DF104">
        <v>33035</v>
      </c>
      <c r="DG104">
        <v>27435.7</v>
      </c>
      <c r="DH104">
        <v>31139.8</v>
      </c>
      <c r="DI104">
        <v>28000.799999999999</v>
      </c>
      <c r="DJ104">
        <v>36996.800000000003</v>
      </c>
      <c r="DK104">
        <v>37328.400000000001</v>
      </c>
      <c r="DL104">
        <v>44304.2</v>
      </c>
      <c r="DM104">
        <v>42400.2</v>
      </c>
      <c r="DN104">
        <v>1.4419999999999999</v>
      </c>
      <c r="DO104">
        <v>2.0791200000000001</v>
      </c>
      <c r="DP104">
        <v>0.14956700000000001</v>
      </c>
      <c r="DQ104">
        <v>0.18768799999999999</v>
      </c>
      <c r="DR104">
        <v>24.537400000000002</v>
      </c>
      <c r="DS104">
        <v>24.426200000000001</v>
      </c>
      <c r="DT104">
        <v>36.1</v>
      </c>
      <c r="DU104">
        <v>25.1</v>
      </c>
      <c r="DV104">
        <v>11.665900000000001</v>
      </c>
      <c r="DW104">
        <v>61.619900000000001</v>
      </c>
      <c r="DX104">
        <v>36.674700000000001</v>
      </c>
      <c r="DY104">
        <v>1</v>
      </c>
      <c r="DZ104">
        <v>-0.15851399999999999</v>
      </c>
      <c r="EA104">
        <v>-0.194246</v>
      </c>
      <c r="EB104">
        <v>20.1922</v>
      </c>
      <c r="EC104">
        <v>5.2411000000000003</v>
      </c>
      <c r="ED104">
        <v>12.039899999999999</v>
      </c>
      <c r="EE104">
        <v>5.0173500000000004</v>
      </c>
      <c r="EF104">
        <v>3.2879999999999998</v>
      </c>
      <c r="EG104">
        <v>9999</v>
      </c>
      <c r="EH104">
        <v>9999</v>
      </c>
      <c r="EI104">
        <v>9999</v>
      </c>
      <c r="EJ104">
        <v>999.9</v>
      </c>
      <c r="EK104">
        <v>1.8687499999999999</v>
      </c>
      <c r="EL104">
        <v>1.8644799999999999</v>
      </c>
      <c r="EM104">
        <v>1.8690500000000001</v>
      </c>
      <c r="EN104">
        <v>1.8670899999999999</v>
      </c>
      <c r="EO104">
        <v>1.8632500000000001</v>
      </c>
      <c r="EP104">
        <v>1.86435</v>
      </c>
      <c r="EQ104">
        <v>1.8701000000000001</v>
      </c>
      <c r="ER104">
        <v>1.8693200000000001</v>
      </c>
      <c r="ES104">
        <v>0</v>
      </c>
      <c r="ET104">
        <v>0</v>
      </c>
      <c r="EU104">
        <v>0</v>
      </c>
      <c r="EV104">
        <v>0</v>
      </c>
      <c r="EW104" t="s">
        <v>334</v>
      </c>
      <c r="EX104" t="s">
        <v>335</v>
      </c>
      <c r="EY104" t="s">
        <v>336</v>
      </c>
      <c r="EZ104" t="s">
        <v>336</v>
      </c>
      <c r="FA104" t="s">
        <v>336</v>
      </c>
      <c r="FB104" t="s">
        <v>336</v>
      </c>
      <c r="FC104">
        <v>0</v>
      </c>
      <c r="FD104">
        <v>100</v>
      </c>
      <c r="FE104">
        <v>100</v>
      </c>
      <c r="FF104">
        <v>-1.2689999999999999</v>
      </c>
      <c r="FG104">
        <v>0.17829999999999999</v>
      </c>
      <c r="FH104">
        <v>-0.98020551812546231</v>
      </c>
      <c r="FI104">
        <v>-6.1462078757559423E-4</v>
      </c>
      <c r="FJ104">
        <v>-1.8861989874597051E-7</v>
      </c>
      <c r="FK104">
        <v>1.1980462299894961E-10</v>
      </c>
      <c r="FL104">
        <v>0.1782306200647516</v>
      </c>
      <c r="FM104">
        <v>0</v>
      </c>
      <c r="FN104">
        <v>0</v>
      </c>
      <c r="FO104">
        <v>0</v>
      </c>
      <c r="FP104">
        <v>3</v>
      </c>
      <c r="FQ104">
        <v>2158</v>
      </c>
      <c r="FR104">
        <v>1</v>
      </c>
      <c r="FS104">
        <v>19</v>
      </c>
      <c r="FT104">
        <v>16.600000000000001</v>
      </c>
      <c r="FU104">
        <v>16.899999999999999</v>
      </c>
      <c r="FV104">
        <v>1.7748999999999999</v>
      </c>
      <c r="FW104">
        <v>2.5476100000000002</v>
      </c>
      <c r="FX104">
        <v>1.5490699999999999</v>
      </c>
      <c r="FY104">
        <v>2.34375</v>
      </c>
      <c r="FZ104">
        <v>1.50146</v>
      </c>
      <c r="GA104">
        <v>2.3034699999999999</v>
      </c>
      <c r="GB104">
        <v>30.587700000000002</v>
      </c>
      <c r="GC104">
        <v>23.973700000000001</v>
      </c>
      <c r="GD104">
        <v>19</v>
      </c>
      <c r="GE104">
        <v>265.233</v>
      </c>
      <c r="GF104">
        <v>609.322</v>
      </c>
      <c r="GG104">
        <v>24.372900000000001</v>
      </c>
      <c r="GH104">
        <v>25.4131</v>
      </c>
      <c r="GI104">
        <v>30.0002</v>
      </c>
      <c r="GJ104">
        <v>25.543299999999999</v>
      </c>
      <c r="GK104">
        <v>25.5063</v>
      </c>
      <c r="GL104">
        <v>35.491399999999999</v>
      </c>
      <c r="GM104">
        <v>-30</v>
      </c>
      <c r="GN104">
        <v>-30</v>
      </c>
      <c r="GO104">
        <v>24.3842</v>
      </c>
      <c r="GP104">
        <v>800</v>
      </c>
      <c r="GQ104">
        <v>0</v>
      </c>
      <c r="GR104">
        <v>99.619900000000001</v>
      </c>
      <c r="GS104">
        <v>99.225399999999993</v>
      </c>
    </row>
    <row r="105" spans="1:201" x14ac:dyDescent="0.25">
      <c r="A105">
        <v>89</v>
      </c>
      <c r="B105">
        <v>1690201775.5</v>
      </c>
      <c r="C105">
        <v>928.5</v>
      </c>
      <c r="D105" t="s">
        <v>511</v>
      </c>
      <c r="E105" t="s">
        <v>512</v>
      </c>
      <c r="F105" t="s">
        <v>330</v>
      </c>
      <c r="H105">
        <v>1690201775.5</v>
      </c>
      <c r="I105">
        <f t="shared" si="30"/>
        <v>1.5464262336686884E-3</v>
      </c>
      <c r="J105">
        <f t="shared" si="31"/>
        <v>1.5464262336686885</v>
      </c>
      <c r="K105">
        <f t="shared" si="32"/>
        <v>33.173379789757711</v>
      </c>
      <c r="L105">
        <f t="shared" si="33"/>
        <v>424.83300000000003</v>
      </c>
      <c r="M105">
        <f t="shared" si="34"/>
        <v>78.873773585181183</v>
      </c>
      <c r="N105">
        <f t="shared" si="35"/>
        <v>7.8156698193795657</v>
      </c>
      <c r="O105">
        <f t="shared" si="36"/>
        <v>42.097066051881001</v>
      </c>
      <c r="P105">
        <f t="shared" si="37"/>
        <v>0.16091239128336057</v>
      </c>
      <c r="Q105">
        <f t="shared" si="38"/>
        <v>2.0821147043995873</v>
      </c>
      <c r="R105">
        <f t="shared" si="39"/>
        <v>0.15430911699912794</v>
      </c>
      <c r="S105">
        <f t="shared" si="40"/>
        <v>9.7013896180612E-2</v>
      </c>
      <c r="T105">
        <f t="shared" si="41"/>
        <v>276.11313277362916</v>
      </c>
      <c r="U105">
        <f t="shared" si="42"/>
        <v>27.367348351820446</v>
      </c>
      <c r="V105">
        <f t="shared" si="43"/>
        <v>27.367348351820446</v>
      </c>
      <c r="W105">
        <f t="shared" si="44"/>
        <v>3.6571120993266484</v>
      </c>
      <c r="X105">
        <f t="shared" si="45"/>
        <v>81.391272526975627</v>
      </c>
      <c r="Y105">
        <f t="shared" si="46"/>
        <v>2.6958955827990998</v>
      </c>
      <c r="Z105">
        <f t="shared" si="47"/>
        <v>3.3122661669967073</v>
      </c>
      <c r="AA105">
        <f t="shared" si="48"/>
        <v>0.96121651652754858</v>
      </c>
      <c r="AB105">
        <f t="shared" si="49"/>
        <v>-68.197396904789159</v>
      </c>
      <c r="AC105">
        <f t="shared" si="50"/>
        <v>-188.62072897426202</v>
      </c>
      <c r="AD105">
        <f t="shared" si="51"/>
        <v>-19.458442722414858</v>
      </c>
      <c r="AE105">
        <f t="shared" si="52"/>
        <v>-0.16343582783690636</v>
      </c>
      <c r="AF105">
        <v>14</v>
      </c>
      <c r="AG105">
        <v>5</v>
      </c>
      <c r="AH105">
        <f t="shared" si="53"/>
        <v>1</v>
      </c>
      <c r="AI105">
        <f t="shared" si="54"/>
        <v>0</v>
      </c>
      <c r="AJ105">
        <f t="shared" si="55"/>
        <v>52661.853131677795</v>
      </c>
      <c r="AK105">
        <f t="shared" si="56"/>
        <v>1799.99</v>
      </c>
      <c r="AL105">
        <f t="shared" si="57"/>
        <v>1499.1049639928199</v>
      </c>
      <c r="AM105">
        <f t="shared" si="58"/>
        <v>0.83284071799999992</v>
      </c>
      <c r="AN105">
        <f t="shared" si="59"/>
        <v>0.15339703707999999</v>
      </c>
      <c r="AO105">
        <v>33.299999999999997</v>
      </c>
      <c r="AP105">
        <v>0.5</v>
      </c>
      <c r="AQ105" t="s">
        <v>331</v>
      </c>
      <c r="AR105">
        <v>2</v>
      </c>
      <c r="AS105">
        <v>1690201775.5</v>
      </c>
      <c r="AT105">
        <v>424.83300000000003</v>
      </c>
      <c r="AU105">
        <v>800.02099999999996</v>
      </c>
      <c r="AV105">
        <v>27.206299999999999</v>
      </c>
      <c r="AW105">
        <v>10.522600000000001</v>
      </c>
      <c r="AX105">
        <v>426.1</v>
      </c>
      <c r="AY105">
        <v>27.028099999999998</v>
      </c>
      <c r="AZ105">
        <v>300.26299999999998</v>
      </c>
      <c r="BA105">
        <v>98.990799999999993</v>
      </c>
      <c r="BB105">
        <v>0.10005699999999999</v>
      </c>
      <c r="BC105">
        <v>25.687000000000001</v>
      </c>
      <c r="BD105">
        <v>26.978200000000001</v>
      </c>
      <c r="BE105">
        <v>27.5153</v>
      </c>
      <c r="BF105">
        <v>0</v>
      </c>
      <c r="BG105">
        <v>0</v>
      </c>
      <c r="BH105">
        <v>10017.5</v>
      </c>
      <c r="BI105">
        <v>1073.6500000000001</v>
      </c>
      <c r="BJ105">
        <v>1.4577199999999999</v>
      </c>
      <c r="BK105">
        <v>-375.18799999999999</v>
      </c>
      <c r="BL105">
        <v>436.714</v>
      </c>
      <c r="BM105">
        <v>808.529</v>
      </c>
      <c r="BN105">
        <v>16.683700000000002</v>
      </c>
      <c r="BO105">
        <v>800.02099999999996</v>
      </c>
      <c r="BP105">
        <v>10.522600000000001</v>
      </c>
      <c r="BQ105">
        <v>2.6931799999999999</v>
      </c>
      <c r="BR105">
        <v>1.0416399999999999</v>
      </c>
      <c r="BS105">
        <v>22.243500000000001</v>
      </c>
      <c r="BT105">
        <v>7.5122200000000001</v>
      </c>
      <c r="BU105">
        <v>1799.99</v>
      </c>
      <c r="BV105">
        <v>0.91001100000000001</v>
      </c>
      <c r="BW105">
        <v>3.3997399999999997E-2</v>
      </c>
      <c r="BX105">
        <v>2.1995399999999998E-2</v>
      </c>
      <c r="BY105">
        <v>3.3996400000000003E-2</v>
      </c>
      <c r="BZ105">
        <v>25</v>
      </c>
      <c r="CA105">
        <v>33528.199999999997</v>
      </c>
      <c r="CB105">
        <v>1690200769.5</v>
      </c>
      <c r="CC105" t="s">
        <v>332</v>
      </c>
      <c r="CD105">
        <v>1690200769.5</v>
      </c>
      <c r="CE105">
        <v>1690200753</v>
      </c>
      <c r="CF105">
        <v>2</v>
      </c>
      <c r="CG105">
        <v>-0.245</v>
      </c>
      <c r="CH105">
        <v>3.0000000000000001E-3</v>
      </c>
      <c r="CI105">
        <v>-1.5169999999999999</v>
      </c>
      <c r="CJ105">
        <v>-1.6E-2</v>
      </c>
      <c r="CK105">
        <v>778</v>
      </c>
      <c r="CL105">
        <v>12</v>
      </c>
      <c r="CM105">
        <v>0.01</v>
      </c>
      <c r="CN105">
        <v>0.03</v>
      </c>
      <c r="CO105">
        <v>-372.30590000000001</v>
      </c>
      <c r="CP105">
        <v>-14.44991369605895</v>
      </c>
      <c r="CQ105">
        <v>1.391423530058334</v>
      </c>
      <c r="CR105">
        <v>-1</v>
      </c>
      <c r="CS105">
        <v>16.613209999999999</v>
      </c>
      <c r="CT105">
        <v>0.38093808630389719</v>
      </c>
      <c r="CU105">
        <v>3.6648388777680382E-2</v>
      </c>
      <c r="CV105">
        <v>-1</v>
      </c>
      <c r="CW105">
        <v>0</v>
      </c>
      <c r="CX105">
        <v>0</v>
      </c>
      <c r="CY105" t="s">
        <v>333</v>
      </c>
      <c r="CZ105">
        <v>2.3656899999999998</v>
      </c>
      <c r="DA105">
        <v>2.7138599999999999</v>
      </c>
      <c r="DB105">
        <v>9.4006800000000001E-2</v>
      </c>
      <c r="DC105">
        <v>0.14632700000000001</v>
      </c>
      <c r="DD105">
        <v>0.124527</v>
      </c>
      <c r="DE105">
        <v>6.1585599999999997E-2</v>
      </c>
      <c r="DF105">
        <v>33050.300000000003</v>
      </c>
      <c r="DG105">
        <v>27436</v>
      </c>
      <c r="DH105">
        <v>31139.7</v>
      </c>
      <c r="DI105">
        <v>28001.5</v>
      </c>
      <c r="DJ105">
        <v>36990.400000000001</v>
      </c>
      <c r="DK105">
        <v>37332.1</v>
      </c>
      <c r="DL105">
        <v>44304.2</v>
      </c>
      <c r="DM105">
        <v>42401.2</v>
      </c>
      <c r="DN105">
        <v>1.4420200000000001</v>
      </c>
      <c r="DO105">
        <v>2.0790500000000001</v>
      </c>
      <c r="DP105">
        <v>0.148728</v>
      </c>
      <c r="DQ105">
        <v>0.188444</v>
      </c>
      <c r="DR105">
        <v>24.540900000000001</v>
      </c>
      <c r="DS105">
        <v>24.4283</v>
      </c>
      <c r="DT105">
        <v>36.1</v>
      </c>
      <c r="DU105">
        <v>25.1</v>
      </c>
      <c r="DV105">
        <v>11.665800000000001</v>
      </c>
      <c r="DW105">
        <v>61.6999</v>
      </c>
      <c r="DX105">
        <v>35.777200000000001</v>
      </c>
      <c r="DY105">
        <v>1</v>
      </c>
      <c r="DZ105">
        <v>-0.15864600000000001</v>
      </c>
      <c r="EA105">
        <v>-0.21562600000000001</v>
      </c>
      <c r="EB105">
        <v>20.1921</v>
      </c>
      <c r="EC105">
        <v>5.2411000000000003</v>
      </c>
      <c r="ED105">
        <v>12.039899999999999</v>
      </c>
      <c r="EE105">
        <v>5.0175000000000001</v>
      </c>
      <c r="EF105">
        <v>3.2879999999999998</v>
      </c>
      <c r="EG105">
        <v>9999</v>
      </c>
      <c r="EH105">
        <v>9999</v>
      </c>
      <c r="EI105">
        <v>9999</v>
      </c>
      <c r="EJ105">
        <v>999.9</v>
      </c>
      <c r="EK105">
        <v>1.8687499999999999</v>
      </c>
      <c r="EL105">
        <v>1.8644700000000001</v>
      </c>
      <c r="EM105">
        <v>1.86904</v>
      </c>
      <c r="EN105">
        <v>1.8670800000000001</v>
      </c>
      <c r="EO105">
        <v>1.8632500000000001</v>
      </c>
      <c r="EP105">
        <v>1.86433</v>
      </c>
      <c r="EQ105">
        <v>1.87008</v>
      </c>
      <c r="ER105">
        <v>1.8692800000000001</v>
      </c>
      <c r="ES105">
        <v>0</v>
      </c>
      <c r="ET105">
        <v>0</v>
      </c>
      <c r="EU105">
        <v>0</v>
      </c>
      <c r="EV105">
        <v>0</v>
      </c>
      <c r="EW105" t="s">
        <v>334</v>
      </c>
      <c r="EX105" t="s">
        <v>335</v>
      </c>
      <c r="EY105" t="s">
        <v>336</v>
      </c>
      <c r="EZ105" t="s">
        <v>336</v>
      </c>
      <c r="FA105" t="s">
        <v>336</v>
      </c>
      <c r="FB105" t="s">
        <v>336</v>
      </c>
      <c r="FC105">
        <v>0</v>
      </c>
      <c r="FD105">
        <v>100</v>
      </c>
      <c r="FE105">
        <v>100</v>
      </c>
      <c r="FF105">
        <v>-1.2669999999999999</v>
      </c>
      <c r="FG105">
        <v>0.1782</v>
      </c>
      <c r="FH105">
        <v>-0.98020551812546231</v>
      </c>
      <c r="FI105">
        <v>-6.1462078757559423E-4</v>
      </c>
      <c r="FJ105">
        <v>-1.8861989874597051E-7</v>
      </c>
      <c r="FK105">
        <v>1.1980462299894961E-10</v>
      </c>
      <c r="FL105">
        <v>0.1782306200647516</v>
      </c>
      <c r="FM105">
        <v>0</v>
      </c>
      <c r="FN105">
        <v>0</v>
      </c>
      <c r="FO105">
        <v>0</v>
      </c>
      <c r="FP105">
        <v>3</v>
      </c>
      <c r="FQ105">
        <v>2158</v>
      </c>
      <c r="FR105">
        <v>1</v>
      </c>
      <c r="FS105">
        <v>19</v>
      </c>
      <c r="FT105">
        <v>16.8</v>
      </c>
      <c r="FU105">
        <v>17</v>
      </c>
      <c r="FV105">
        <v>1.7748999999999999</v>
      </c>
      <c r="FW105">
        <v>2.5439500000000002</v>
      </c>
      <c r="FX105">
        <v>1.5490699999999999</v>
      </c>
      <c r="FY105">
        <v>2.34375</v>
      </c>
      <c r="FZ105">
        <v>1.50146</v>
      </c>
      <c r="GA105">
        <v>2.36694</v>
      </c>
      <c r="GB105">
        <v>30.609300000000001</v>
      </c>
      <c r="GC105">
        <v>23.982399999999998</v>
      </c>
      <c r="GD105">
        <v>19</v>
      </c>
      <c r="GE105">
        <v>265.24299999999999</v>
      </c>
      <c r="GF105">
        <v>609.25800000000004</v>
      </c>
      <c r="GG105">
        <v>24.391999999999999</v>
      </c>
      <c r="GH105">
        <v>25.4131</v>
      </c>
      <c r="GI105">
        <v>30.000299999999999</v>
      </c>
      <c r="GJ105">
        <v>25.543299999999999</v>
      </c>
      <c r="GK105">
        <v>25.5063</v>
      </c>
      <c r="GL105">
        <v>35.491199999999999</v>
      </c>
      <c r="GM105">
        <v>-30</v>
      </c>
      <c r="GN105">
        <v>-30</v>
      </c>
      <c r="GO105">
        <v>24.411200000000001</v>
      </c>
      <c r="GP105">
        <v>800</v>
      </c>
      <c r="GQ105">
        <v>0</v>
      </c>
      <c r="GR105">
        <v>99.619900000000001</v>
      </c>
      <c r="GS105">
        <v>99.227900000000005</v>
      </c>
    </row>
    <row r="106" spans="1:201" x14ac:dyDescent="0.25">
      <c r="A106">
        <v>90</v>
      </c>
      <c r="B106">
        <v>1690201785.5</v>
      </c>
      <c r="C106">
        <v>938.5</v>
      </c>
      <c r="D106" t="s">
        <v>513</v>
      </c>
      <c r="E106" t="s">
        <v>514</v>
      </c>
      <c r="F106" t="s">
        <v>330</v>
      </c>
      <c r="H106">
        <v>1690201785.5</v>
      </c>
      <c r="I106">
        <f t="shared" si="30"/>
        <v>1.5513656807919483E-3</v>
      </c>
      <c r="J106">
        <f t="shared" si="31"/>
        <v>1.5513656807919483</v>
      </c>
      <c r="K106">
        <f t="shared" si="32"/>
        <v>33.363421172852711</v>
      </c>
      <c r="L106">
        <f t="shared" si="33"/>
        <v>422.49900000000002</v>
      </c>
      <c r="M106">
        <f t="shared" si="34"/>
        <v>76.57394564105654</v>
      </c>
      <c r="N106">
        <f t="shared" si="35"/>
        <v>7.5877975003737923</v>
      </c>
      <c r="O106">
        <f t="shared" si="36"/>
        <v>41.865896151386998</v>
      </c>
      <c r="P106">
        <f t="shared" si="37"/>
        <v>0.16187508751189711</v>
      </c>
      <c r="Q106">
        <f t="shared" si="38"/>
        <v>2.0775139174788499</v>
      </c>
      <c r="R106">
        <f t="shared" si="39"/>
        <v>0.15518019220117463</v>
      </c>
      <c r="S106">
        <f t="shared" si="40"/>
        <v>9.7566056773302254E-2</v>
      </c>
      <c r="T106">
        <f t="shared" si="41"/>
        <v>276.11270937998137</v>
      </c>
      <c r="U106">
        <f t="shared" si="42"/>
        <v>27.377941983750297</v>
      </c>
      <c r="V106">
        <f t="shared" si="43"/>
        <v>27.377941983750297</v>
      </c>
      <c r="W106">
        <f t="shared" si="44"/>
        <v>3.6593819074997369</v>
      </c>
      <c r="X106">
        <f t="shared" si="45"/>
        <v>81.487982307950702</v>
      </c>
      <c r="Y106">
        <f t="shared" si="46"/>
        <v>2.7005400117003</v>
      </c>
      <c r="Z106">
        <f t="shared" si="47"/>
        <v>3.3140347020677319</v>
      </c>
      <c r="AA106">
        <f t="shared" si="48"/>
        <v>0.95884189579943691</v>
      </c>
      <c r="AB106">
        <f t="shared" si="49"/>
        <v>-68.415226522924925</v>
      </c>
      <c r="AC106">
        <f t="shared" si="50"/>
        <v>-188.38243080678643</v>
      </c>
      <c r="AD106">
        <f t="shared" si="51"/>
        <v>-19.478808459673761</v>
      </c>
      <c r="AE106">
        <f t="shared" si="52"/>
        <v>-0.1637564094037316</v>
      </c>
      <c r="AF106">
        <v>14</v>
      </c>
      <c r="AG106">
        <v>5</v>
      </c>
      <c r="AH106">
        <f t="shared" si="53"/>
        <v>1</v>
      </c>
      <c r="AI106">
        <f t="shared" si="54"/>
        <v>0</v>
      </c>
      <c r="AJ106">
        <f t="shared" si="55"/>
        <v>52452.41029266941</v>
      </c>
      <c r="AK106">
        <f t="shared" si="56"/>
        <v>1799.99</v>
      </c>
      <c r="AL106">
        <f t="shared" si="57"/>
        <v>1499.1051403918398</v>
      </c>
      <c r="AM106">
        <f t="shared" si="58"/>
        <v>0.83284081599999993</v>
      </c>
      <c r="AN106">
        <f t="shared" si="59"/>
        <v>0.15339680185999999</v>
      </c>
      <c r="AO106">
        <v>33.299999999999997</v>
      </c>
      <c r="AP106">
        <v>0.5</v>
      </c>
      <c r="AQ106" t="s">
        <v>331</v>
      </c>
      <c r="AR106">
        <v>2</v>
      </c>
      <c r="AS106">
        <v>1690201785.5</v>
      </c>
      <c r="AT106">
        <v>422.49900000000002</v>
      </c>
      <c r="AU106">
        <v>799.99900000000002</v>
      </c>
      <c r="AV106">
        <v>27.2531</v>
      </c>
      <c r="AW106">
        <v>10.507099999999999</v>
      </c>
      <c r="AX106">
        <v>423.76400000000001</v>
      </c>
      <c r="AY106">
        <v>27.0748</v>
      </c>
      <c r="AZ106">
        <v>300.08699999999999</v>
      </c>
      <c r="BA106">
        <v>98.991100000000003</v>
      </c>
      <c r="BB106">
        <v>0.100013</v>
      </c>
      <c r="BC106">
        <v>25.696000000000002</v>
      </c>
      <c r="BD106">
        <v>26.9984</v>
      </c>
      <c r="BE106">
        <v>27.506900000000002</v>
      </c>
      <c r="BF106">
        <v>0</v>
      </c>
      <c r="BG106">
        <v>0</v>
      </c>
      <c r="BH106">
        <v>9976.25</v>
      </c>
      <c r="BI106">
        <v>1073.67</v>
      </c>
      <c r="BJ106">
        <v>1.4577199999999999</v>
      </c>
      <c r="BK106">
        <v>-377.5</v>
      </c>
      <c r="BL106">
        <v>434.33600000000001</v>
      </c>
      <c r="BM106">
        <v>808.49400000000003</v>
      </c>
      <c r="BN106">
        <v>16.745999999999999</v>
      </c>
      <c r="BO106">
        <v>799.99900000000002</v>
      </c>
      <c r="BP106">
        <v>10.507099999999999</v>
      </c>
      <c r="BQ106">
        <v>2.69781</v>
      </c>
      <c r="BR106">
        <v>1.0401100000000001</v>
      </c>
      <c r="BS106">
        <v>22.271799999999999</v>
      </c>
      <c r="BT106">
        <v>7.4906800000000002</v>
      </c>
      <c r="BU106">
        <v>1799.99</v>
      </c>
      <c r="BV106">
        <v>0.91001699999999996</v>
      </c>
      <c r="BW106">
        <v>3.3994900000000002E-2</v>
      </c>
      <c r="BX106">
        <v>2.1993800000000001E-2</v>
      </c>
      <c r="BY106">
        <v>3.3994000000000003E-2</v>
      </c>
      <c r="BZ106">
        <v>25</v>
      </c>
      <c r="CA106">
        <v>33528.400000000001</v>
      </c>
      <c r="CB106">
        <v>1690200769.5</v>
      </c>
      <c r="CC106" t="s">
        <v>332</v>
      </c>
      <c r="CD106">
        <v>1690200769.5</v>
      </c>
      <c r="CE106">
        <v>1690200753</v>
      </c>
      <c r="CF106">
        <v>2</v>
      </c>
      <c r="CG106">
        <v>-0.245</v>
      </c>
      <c r="CH106">
        <v>3.0000000000000001E-3</v>
      </c>
      <c r="CI106">
        <v>-1.5169999999999999</v>
      </c>
      <c r="CJ106">
        <v>-1.6E-2</v>
      </c>
      <c r="CK106">
        <v>778</v>
      </c>
      <c r="CL106">
        <v>12</v>
      </c>
      <c r="CM106">
        <v>0.01</v>
      </c>
      <c r="CN106">
        <v>0.03</v>
      </c>
      <c r="CO106">
        <v>-374.81202439024389</v>
      </c>
      <c r="CP106">
        <v>-14.820668989546521</v>
      </c>
      <c r="CQ106">
        <v>1.462265240492113</v>
      </c>
      <c r="CR106">
        <v>-1</v>
      </c>
      <c r="CS106">
        <v>16.677487804878051</v>
      </c>
      <c r="CT106">
        <v>0.37359094076651778</v>
      </c>
      <c r="CU106">
        <v>3.6842441029810727E-2</v>
      </c>
      <c r="CV106">
        <v>-1</v>
      </c>
      <c r="CW106">
        <v>0</v>
      </c>
      <c r="CX106">
        <v>0</v>
      </c>
      <c r="CY106" t="s">
        <v>333</v>
      </c>
      <c r="CZ106">
        <v>2.3651200000000001</v>
      </c>
      <c r="DA106">
        <v>2.7137799999999999</v>
      </c>
      <c r="DB106">
        <v>9.3617800000000001E-2</v>
      </c>
      <c r="DC106">
        <v>0.14632500000000001</v>
      </c>
      <c r="DD106">
        <v>0.124676</v>
      </c>
      <c r="DE106">
        <v>6.1516399999999999E-2</v>
      </c>
      <c r="DF106">
        <v>33064.9</v>
      </c>
      <c r="DG106">
        <v>27436</v>
      </c>
      <c r="DH106">
        <v>31140</v>
      </c>
      <c r="DI106">
        <v>28001.4</v>
      </c>
      <c r="DJ106">
        <v>36984.199999999997</v>
      </c>
      <c r="DK106">
        <v>37334.9</v>
      </c>
      <c r="DL106">
        <v>44304.6</v>
      </c>
      <c r="DM106">
        <v>42401.3</v>
      </c>
      <c r="DN106">
        <v>1.44208</v>
      </c>
      <c r="DO106">
        <v>2.07925</v>
      </c>
      <c r="DP106">
        <v>0.149779</v>
      </c>
      <c r="DQ106">
        <v>0.18771699999999999</v>
      </c>
      <c r="DR106">
        <v>24.544</v>
      </c>
      <c r="DS106">
        <v>24.431699999999999</v>
      </c>
      <c r="DT106">
        <v>36</v>
      </c>
      <c r="DU106">
        <v>25.2</v>
      </c>
      <c r="DV106">
        <v>11.7026</v>
      </c>
      <c r="DW106">
        <v>62.079900000000002</v>
      </c>
      <c r="DX106">
        <v>36.402200000000001</v>
      </c>
      <c r="DY106">
        <v>1</v>
      </c>
      <c r="DZ106">
        <v>-0.15889500000000001</v>
      </c>
      <c r="EA106">
        <v>-0.22917999999999999</v>
      </c>
      <c r="EB106">
        <v>20.192299999999999</v>
      </c>
      <c r="EC106">
        <v>5.24125</v>
      </c>
      <c r="ED106">
        <v>12.039899999999999</v>
      </c>
      <c r="EE106">
        <v>5.0174500000000002</v>
      </c>
      <c r="EF106">
        <v>3.2879999999999998</v>
      </c>
      <c r="EG106">
        <v>9999</v>
      </c>
      <c r="EH106">
        <v>9999</v>
      </c>
      <c r="EI106">
        <v>9999</v>
      </c>
      <c r="EJ106">
        <v>999.9</v>
      </c>
      <c r="EK106">
        <v>1.86876</v>
      </c>
      <c r="EL106">
        <v>1.8644700000000001</v>
      </c>
      <c r="EM106">
        <v>1.8690500000000001</v>
      </c>
      <c r="EN106">
        <v>1.8670800000000001</v>
      </c>
      <c r="EO106">
        <v>1.8632599999999999</v>
      </c>
      <c r="EP106">
        <v>1.86433</v>
      </c>
      <c r="EQ106">
        <v>1.8700699999999999</v>
      </c>
      <c r="ER106">
        <v>1.8693500000000001</v>
      </c>
      <c r="ES106">
        <v>0</v>
      </c>
      <c r="ET106">
        <v>0</v>
      </c>
      <c r="EU106">
        <v>0</v>
      </c>
      <c r="EV106">
        <v>0</v>
      </c>
      <c r="EW106" t="s">
        <v>334</v>
      </c>
      <c r="EX106" t="s">
        <v>335</v>
      </c>
      <c r="EY106" t="s">
        <v>336</v>
      </c>
      <c r="EZ106" t="s">
        <v>336</v>
      </c>
      <c r="FA106" t="s">
        <v>336</v>
      </c>
      <c r="FB106" t="s">
        <v>336</v>
      </c>
      <c r="FC106">
        <v>0</v>
      </c>
      <c r="FD106">
        <v>100</v>
      </c>
      <c r="FE106">
        <v>100</v>
      </c>
      <c r="FF106">
        <v>-1.2649999999999999</v>
      </c>
      <c r="FG106">
        <v>0.17829999999999999</v>
      </c>
      <c r="FH106">
        <v>-0.98020551812546231</v>
      </c>
      <c r="FI106">
        <v>-6.1462078757559423E-4</v>
      </c>
      <c r="FJ106">
        <v>-1.8861989874597051E-7</v>
      </c>
      <c r="FK106">
        <v>1.1980462299894961E-10</v>
      </c>
      <c r="FL106">
        <v>0.1782306200647516</v>
      </c>
      <c r="FM106">
        <v>0</v>
      </c>
      <c r="FN106">
        <v>0</v>
      </c>
      <c r="FO106">
        <v>0</v>
      </c>
      <c r="FP106">
        <v>3</v>
      </c>
      <c r="FQ106">
        <v>2158</v>
      </c>
      <c r="FR106">
        <v>1</v>
      </c>
      <c r="FS106">
        <v>19</v>
      </c>
      <c r="FT106">
        <v>16.899999999999999</v>
      </c>
      <c r="FU106">
        <v>17.2</v>
      </c>
      <c r="FV106">
        <v>1.7748999999999999</v>
      </c>
      <c r="FW106">
        <v>2.5488300000000002</v>
      </c>
      <c r="FX106">
        <v>1.5490699999999999</v>
      </c>
      <c r="FY106">
        <v>2.34375</v>
      </c>
      <c r="FZ106">
        <v>1.50146</v>
      </c>
      <c r="GA106">
        <v>2.3168899999999999</v>
      </c>
      <c r="GB106">
        <v>30.6309</v>
      </c>
      <c r="GC106">
        <v>23.982399999999998</v>
      </c>
      <c r="GD106">
        <v>19</v>
      </c>
      <c r="GE106">
        <v>265.26299999999998</v>
      </c>
      <c r="GF106">
        <v>609.42899999999997</v>
      </c>
      <c r="GG106">
        <v>24.422499999999999</v>
      </c>
      <c r="GH106">
        <v>25.412700000000001</v>
      </c>
      <c r="GI106">
        <v>30.0001</v>
      </c>
      <c r="GJ106">
        <v>25.543299999999999</v>
      </c>
      <c r="GK106">
        <v>25.5063</v>
      </c>
      <c r="GL106">
        <v>35.492400000000004</v>
      </c>
      <c r="GM106">
        <v>-30</v>
      </c>
      <c r="GN106">
        <v>-30</v>
      </c>
      <c r="GO106">
        <v>24.400400000000001</v>
      </c>
      <c r="GP106">
        <v>800</v>
      </c>
      <c r="GQ106">
        <v>0</v>
      </c>
      <c r="GR106">
        <v>99.620800000000003</v>
      </c>
      <c r="GS106">
        <v>99.227900000000005</v>
      </c>
    </row>
    <row r="107" spans="1:201" x14ac:dyDescent="0.25">
      <c r="A107">
        <v>91</v>
      </c>
      <c r="B107">
        <v>1690201795.5</v>
      </c>
      <c r="C107">
        <v>948.5</v>
      </c>
      <c r="D107" t="s">
        <v>515</v>
      </c>
      <c r="E107" t="s">
        <v>516</v>
      </c>
      <c r="F107" t="s">
        <v>330</v>
      </c>
      <c r="H107">
        <v>1690201795.5</v>
      </c>
      <c r="I107">
        <f t="shared" si="30"/>
        <v>1.5570328280841209E-3</v>
      </c>
      <c r="J107">
        <f t="shared" si="31"/>
        <v>1.5570328280841208</v>
      </c>
      <c r="K107">
        <f t="shared" si="32"/>
        <v>33.57813723657511</v>
      </c>
      <c r="L107">
        <f t="shared" si="33"/>
        <v>420.22500000000002</v>
      </c>
      <c r="M107">
        <f t="shared" si="34"/>
        <v>75.303138687119031</v>
      </c>
      <c r="N107">
        <f t="shared" si="35"/>
        <v>7.4618926838694009</v>
      </c>
      <c r="O107">
        <f t="shared" si="36"/>
        <v>41.640679362749999</v>
      </c>
      <c r="P107">
        <f t="shared" si="37"/>
        <v>0.16341429222532788</v>
      </c>
      <c r="Q107">
        <f t="shared" si="38"/>
        <v>2.0821894309250633</v>
      </c>
      <c r="R107">
        <f t="shared" si="39"/>
        <v>0.15660898556414798</v>
      </c>
      <c r="S107">
        <f t="shared" si="40"/>
        <v>9.8468429623119302E-2</v>
      </c>
      <c r="T107">
        <f t="shared" si="41"/>
        <v>276.11247946725871</v>
      </c>
      <c r="U107">
        <f t="shared" si="42"/>
        <v>27.372394276493445</v>
      </c>
      <c r="V107">
        <f t="shared" si="43"/>
        <v>27.372394276493445</v>
      </c>
      <c r="W107">
        <f t="shared" si="44"/>
        <v>3.6581930937574696</v>
      </c>
      <c r="X107">
        <f t="shared" si="45"/>
        <v>81.612183310518731</v>
      </c>
      <c r="Y107">
        <f t="shared" si="46"/>
        <v>2.7046400352159998</v>
      </c>
      <c r="Z107">
        <f t="shared" si="47"/>
        <v>3.3140150471472651</v>
      </c>
      <c r="AA107">
        <f t="shared" si="48"/>
        <v>0.95355305854146977</v>
      </c>
      <c r="AB107">
        <f t="shared" si="49"/>
        <v>-68.665147718509729</v>
      </c>
      <c r="AC107">
        <f t="shared" si="50"/>
        <v>-188.19485930774459</v>
      </c>
      <c r="AD107">
        <f t="shared" si="51"/>
        <v>-19.415167689255203</v>
      </c>
      <c r="AE107">
        <f t="shared" si="52"/>
        <v>-0.16269524825082726</v>
      </c>
      <c r="AF107">
        <v>14</v>
      </c>
      <c r="AG107">
        <v>5</v>
      </c>
      <c r="AH107">
        <f t="shared" si="53"/>
        <v>1</v>
      </c>
      <c r="AI107">
        <f t="shared" si="54"/>
        <v>0</v>
      </c>
      <c r="AJ107">
        <f t="shared" si="55"/>
        <v>52663.680237244087</v>
      </c>
      <c r="AK107">
        <f t="shared" si="56"/>
        <v>1799.99</v>
      </c>
      <c r="AL107">
        <f t="shared" si="57"/>
        <v>1499.1068179825197</v>
      </c>
      <c r="AM107">
        <f t="shared" si="58"/>
        <v>0.83284174799999988</v>
      </c>
      <c r="AN107">
        <f t="shared" si="59"/>
        <v>0.15339667412999999</v>
      </c>
      <c r="AO107">
        <v>33.299999999999997</v>
      </c>
      <c r="AP107">
        <v>0.5</v>
      </c>
      <c r="AQ107" t="s">
        <v>331</v>
      </c>
      <c r="AR107">
        <v>2</v>
      </c>
      <c r="AS107">
        <v>1690201795.5</v>
      </c>
      <c r="AT107">
        <v>420.22500000000002</v>
      </c>
      <c r="AU107">
        <v>800.01900000000001</v>
      </c>
      <c r="AV107">
        <v>27.2944</v>
      </c>
      <c r="AW107">
        <v>10.491300000000001</v>
      </c>
      <c r="AX107">
        <v>421.48899999999998</v>
      </c>
      <c r="AY107">
        <v>27.116199999999999</v>
      </c>
      <c r="AZ107">
        <v>300.14699999999999</v>
      </c>
      <c r="BA107">
        <v>98.991500000000002</v>
      </c>
      <c r="BB107">
        <v>9.9890000000000007E-2</v>
      </c>
      <c r="BC107">
        <v>25.695900000000002</v>
      </c>
      <c r="BD107">
        <v>27.0183</v>
      </c>
      <c r="BE107">
        <v>27.511800000000001</v>
      </c>
      <c r="BF107">
        <v>0</v>
      </c>
      <c r="BG107">
        <v>0</v>
      </c>
      <c r="BH107">
        <v>10018.1</v>
      </c>
      <c r="BI107">
        <v>1073.6600000000001</v>
      </c>
      <c r="BJ107">
        <v>1.4577199999999999</v>
      </c>
      <c r="BK107">
        <v>-379.79399999999998</v>
      </c>
      <c r="BL107">
        <v>432.017</v>
      </c>
      <c r="BM107">
        <v>808.50099999999998</v>
      </c>
      <c r="BN107">
        <v>16.803100000000001</v>
      </c>
      <c r="BO107">
        <v>800.01900000000001</v>
      </c>
      <c r="BP107">
        <v>10.491300000000001</v>
      </c>
      <c r="BQ107">
        <v>2.7019099999999998</v>
      </c>
      <c r="BR107">
        <v>1.0385500000000001</v>
      </c>
      <c r="BS107">
        <v>22.296800000000001</v>
      </c>
      <c r="BT107">
        <v>7.4687099999999997</v>
      </c>
      <c r="BU107">
        <v>1799.99</v>
      </c>
      <c r="BV107">
        <v>0.91002499999999997</v>
      </c>
      <c r="BW107">
        <v>3.3992099999999997E-2</v>
      </c>
      <c r="BX107">
        <v>2.1991900000000002E-2</v>
      </c>
      <c r="BY107">
        <v>3.3991100000000003E-2</v>
      </c>
      <c r="BZ107">
        <v>25</v>
      </c>
      <c r="CA107">
        <v>33528.400000000001</v>
      </c>
      <c r="CB107">
        <v>1690200769.5</v>
      </c>
      <c r="CC107" t="s">
        <v>332</v>
      </c>
      <c r="CD107">
        <v>1690200769.5</v>
      </c>
      <c r="CE107">
        <v>1690200753</v>
      </c>
      <c r="CF107">
        <v>2</v>
      </c>
      <c r="CG107">
        <v>-0.245</v>
      </c>
      <c r="CH107">
        <v>3.0000000000000001E-3</v>
      </c>
      <c r="CI107">
        <v>-1.5169999999999999</v>
      </c>
      <c r="CJ107">
        <v>-1.6E-2</v>
      </c>
      <c r="CK107">
        <v>778</v>
      </c>
      <c r="CL107">
        <v>12</v>
      </c>
      <c r="CM107">
        <v>0.01</v>
      </c>
      <c r="CN107">
        <v>0.03</v>
      </c>
      <c r="CO107">
        <v>-377.17309999999998</v>
      </c>
      <c r="CP107">
        <v>-14.113575984989909</v>
      </c>
      <c r="CQ107">
        <v>1.358339957448063</v>
      </c>
      <c r="CR107">
        <v>-1</v>
      </c>
      <c r="CS107">
        <v>16.737612500000001</v>
      </c>
      <c r="CT107">
        <v>0.36680037523448911</v>
      </c>
      <c r="CU107">
        <v>3.5303535145223178E-2</v>
      </c>
      <c r="CV107">
        <v>-1</v>
      </c>
      <c r="CW107">
        <v>0</v>
      </c>
      <c r="CX107">
        <v>0</v>
      </c>
      <c r="CY107" t="s">
        <v>333</v>
      </c>
      <c r="CZ107">
        <v>2.3653200000000001</v>
      </c>
      <c r="DA107">
        <v>2.7136999999999998</v>
      </c>
      <c r="DB107">
        <v>9.3238799999999997E-2</v>
      </c>
      <c r="DC107">
        <v>0.14632800000000001</v>
      </c>
      <c r="DD107">
        <v>0.124808</v>
      </c>
      <c r="DE107">
        <v>6.1446099999999997E-2</v>
      </c>
      <c r="DF107">
        <v>33079.199999999997</v>
      </c>
      <c r="DG107">
        <v>27436.1</v>
      </c>
      <c r="DH107">
        <v>31140.5</v>
      </c>
      <c r="DI107">
        <v>28001.599999999999</v>
      </c>
      <c r="DJ107">
        <v>36979</v>
      </c>
      <c r="DK107">
        <v>37338</v>
      </c>
      <c r="DL107">
        <v>44305.2</v>
      </c>
      <c r="DM107">
        <v>42401.599999999999</v>
      </c>
      <c r="DN107">
        <v>1.4418500000000001</v>
      </c>
      <c r="DO107">
        <v>2.0790000000000002</v>
      </c>
      <c r="DP107">
        <v>0.15076200000000001</v>
      </c>
      <c r="DQ107">
        <v>0.18773599999999999</v>
      </c>
      <c r="DR107">
        <v>24.547799999999999</v>
      </c>
      <c r="DS107">
        <v>24.436299999999999</v>
      </c>
      <c r="DT107">
        <v>36</v>
      </c>
      <c r="DU107">
        <v>25.2</v>
      </c>
      <c r="DV107">
        <v>11.702400000000001</v>
      </c>
      <c r="DW107">
        <v>61.7699</v>
      </c>
      <c r="DX107">
        <v>36.021599999999999</v>
      </c>
      <c r="DY107">
        <v>1</v>
      </c>
      <c r="DZ107">
        <v>-0.15892300000000001</v>
      </c>
      <c r="EA107">
        <v>-0.17485300000000001</v>
      </c>
      <c r="EB107">
        <v>20.1922</v>
      </c>
      <c r="EC107">
        <v>5.2411000000000003</v>
      </c>
      <c r="ED107">
        <v>12.039899999999999</v>
      </c>
      <c r="EE107">
        <v>5.0174500000000002</v>
      </c>
      <c r="EF107">
        <v>3.2879999999999998</v>
      </c>
      <c r="EG107">
        <v>9999</v>
      </c>
      <c r="EH107">
        <v>9999</v>
      </c>
      <c r="EI107">
        <v>9999</v>
      </c>
      <c r="EJ107">
        <v>999.9</v>
      </c>
      <c r="EK107">
        <v>1.86876</v>
      </c>
      <c r="EL107">
        <v>1.8644700000000001</v>
      </c>
      <c r="EM107">
        <v>1.8690500000000001</v>
      </c>
      <c r="EN107">
        <v>1.8670800000000001</v>
      </c>
      <c r="EO107">
        <v>1.8632500000000001</v>
      </c>
      <c r="EP107">
        <v>1.8643400000000001</v>
      </c>
      <c r="EQ107">
        <v>1.87008</v>
      </c>
      <c r="ER107">
        <v>1.86931</v>
      </c>
      <c r="ES107">
        <v>0</v>
      </c>
      <c r="ET107">
        <v>0</v>
      </c>
      <c r="EU107">
        <v>0</v>
      </c>
      <c r="EV107">
        <v>0</v>
      </c>
      <c r="EW107" t="s">
        <v>334</v>
      </c>
      <c r="EX107" t="s">
        <v>335</v>
      </c>
      <c r="EY107" t="s">
        <v>336</v>
      </c>
      <c r="EZ107" t="s">
        <v>336</v>
      </c>
      <c r="FA107" t="s">
        <v>336</v>
      </c>
      <c r="FB107" t="s">
        <v>336</v>
      </c>
      <c r="FC107">
        <v>0</v>
      </c>
      <c r="FD107">
        <v>100</v>
      </c>
      <c r="FE107">
        <v>100</v>
      </c>
      <c r="FF107">
        <v>-1.264</v>
      </c>
      <c r="FG107">
        <v>0.1782</v>
      </c>
      <c r="FH107">
        <v>-0.98020551812546231</v>
      </c>
      <c r="FI107">
        <v>-6.1462078757559423E-4</v>
      </c>
      <c r="FJ107">
        <v>-1.8861989874597051E-7</v>
      </c>
      <c r="FK107">
        <v>1.1980462299894961E-10</v>
      </c>
      <c r="FL107">
        <v>0.1782306200647516</v>
      </c>
      <c r="FM107">
        <v>0</v>
      </c>
      <c r="FN107">
        <v>0</v>
      </c>
      <c r="FO107">
        <v>0</v>
      </c>
      <c r="FP107">
        <v>3</v>
      </c>
      <c r="FQ107">
        <v>2158</v>
      </c>
      <c r="FR107">
        <v>1</v>
      </c>
      <c r="FS107">
        <v>19</v>
      </c>
      <c r="FT107">
        <v>17.100000000000001</v>
      </c>
      <c r="FU107">
        <v>17.399999999999999</v>
      </c>
      <c r="FV107">
        <v>1.7748999999999999</v>
      </c>
      <c r="FW107">
        <v>2.5427200000000001</v>
      </c>
      <c r="FX107">
        <v>1.5490699999999999</v>
      </c>
      <c r="FY107">
        <v>2.34375</v>
      </c>
      <c r="FZ107">
        <v>1.50146</v>
      </c>
      <c r="GA107">
        <v>2.3925800000000002</v>
      </c>
      <c r="GB107">
        <v>30.6309</v>
      </c>
      <c r="GC107">
        <v>23.991199999999999</v>
      </c>
      <c r="GD107">
        <v>19</v>
      </c>
      <c r="GE107">
        <v>265.16300000000001</v>
      </c>
      <c r="GF107">
        <v>609.21600000000001</v>
      </c>
      <c r="GG107">
        <v>24.406400000000001</v>
      </c>
      <c r="GH107">
        <v>25.411000000000001</v>
      </c>
      <c r="GI107">
        <v>30</v>
      </c>
      <c r="GJ107">
        <v>25.5412</v>
      </c>
      <c r="GK107">
        <v>25.5063</v>
      </c>
      <c r="GL107">
        <v>35.492600000000003</v>
      </c>
      <c r="GM107">
        <v>-30</v>
      </c>
      <c r="GN107">
        <v>-30</v>
      </c>
      <c r="GO107">
        <v>24.406500000000001</v>
      </c>
      <c r="GP107">
        <v>800</v>
      </c>
      <c r="GQ107">
        <v>0</v>
      </c>
      <c r="GR107">
        <v>99.622200000000007</v>
      </c>
      <c r="GS107">
        <v>99.228499999999997</v>
      </c>
    </row>
    <row r="108" spans="1:201" x14ac:dyDescent="0.25">
      <c r="A108">
        <v>92</v>
      </c>
      <c r="B108">
        <v>1690201805.5</v>
      </c>
      <c r="C108">
        <v>958.5</v>
      </c>
      <c r="D108" t="s">
        <v>517</v>
      </c>
      <c r="E108" t="s">
        <v>518</v>
      </c>
      <c r="F108" t="s">
        <v>330</v>
      </c>
      <c r="H108">
        <v>1690201805.5</v>
      </c>
      <c r="I108">
        <f t="shared" si="30"/>
        <v>1.5625812070008151E-3</v>
      </c>
      <c r="J108">
        <f t="shared" si="31"/>
        <v>1.5625812070008152</v>
      </c>
      <c r="K108">
        <f t="shared" si="32"/>
        <v>33.786223199996485</v>
      </c>
      <c r="L108">
        <f t="shared" si="33"/>
        <v>417.92599999999999</v>
      </c>
      <c r="M108">
        <f t="shared" si="34"/>
        <v>72.860788890867994</v>
      </c>
      <c r="N108">
        <f t="shared" si="35"/>
        <v>7.2198660642959132</v>
      </c>
      <c r="O108">
        <f t="shared" si="36"/>
        <v>41.412806404092002</v>
      </c>
      <c r="P108">
        <f t="shared" si="37"/>
        <v>0.16438791759804727</v>
      </c>
      <c r="Q108">
        <f t="shared" si="38"/>
        <v>2.0762562061688992</v>
      </c>
      <c r="R108">
        <f t="shared" si="39"/>
        <v>0.15748432772173587</v>
      </c>
      <c r="S108">
        <f t="shared" si="40"/>
        <v>9.9023805374782892E-2</v>
      </c>
      <c r="T108">
        <f t="shared" si="41"/>
        <v>276.113911266</v>
      </c>
      <c r="U108">
        <f t="shared" si="42"/>
        <v>27.383454751330653</v>
      </c>
      <c r="V108">
        <f t="shared" si="43"/>
        <v>27.383454751330653</v>
      </c>
      <c r="W108">
        <f t="shared" si="44"/>
        <v>3.660563568023437</v>
      </c>
      <c r="X108">
        <f t="shared" si="45"/>
        <v>81.700561748585571</v>
      </c>
      <c r="Y108">
        <f t="shared" si="46"/>
        <v>2.7089662829202004</v>
      </c>
      <c r="Z108">
        <f t="shared" si="47"/>
        <v>3.3157254062174171</v>
      </c>
      <c r="AA108">
        <f t="shared" si="48"/>
        <v>0.9515972851032366</v>
      </c>
      <c r="AB108">
        <f t="shared" si="49"/>
        <v>-68.909831228735939</v>
      </c>
      <c r="AC108">
        <f t="shared" si="50"/>
        <v>-187.9228157536362</v>
      </c>
      <c r="AD108">
        <f t="shared" si="51"/>
        <v>-19.444428343962112</v>
      </c>
      <c r="AE108">
        <f t="shared" si="52"/>
        <v>-0.16316406033422481</v>
      </c>
      <c r="AF108">
        <v>14</v>
      </c>
      <c r="AG108">
        <v>5</v>
      </c>
      <c r="AH108">
        <f t="shared" si="53"/>
        <v>1</v>
      </c>
      <c r="AI108">
        <f t="shared" si="54"/>
        <v>0</v>
      </c>
      <c r="AJ108">
        <f t="shared" si="55"/>
        <v>52394.179656432927</v>
      </c>
      <c r="AK108">
        <f t="shared" si="56"/>
        <v>1800</v>
      </c>
      <c r="AL108">
        <f t="shared" si="57"/>
        <v>1499.1107886</v>
      </c>
      <c r="AM108">
        <f t="shared" si="58"/>
        <v>0.83283932699999996</v>
      </c>
      <c r="AN108">
        <f t="shared" si="59"/>
        <v>0.15339661737000002</v>
      </c>
      <c r="AO108">
        <v>33.299999999999997</v>
      </c>
      <c r="AP108">
        <v>0.5</v>
      </c>
      <c r="AQ108" t="s">
        <v>331</v>
      </c>
      <c r="AR108">
        <v>2</v>
      </c>
      <c r="AS108">
        <v>1690201805.5</v>
      </c>
      <c r="AT108">
        <v>417.92599999999999</v>
      </c>
      <c r="AU108">
        <v>800.02099999999996</v>
      </c>
      <c r="AV108">
        <v>27.338100000000001</v>
      </c>
      <c r="AW108">
        <v>10.4756</v>
      </c>
      <c r="AX108">
        <v>419.18799999999999</v>
      </c>
      <c r="AY108">
        <v>27.1599</v>
      </c>
      <c r="AZ108">
        <v>300.142</v>
      </c>
      <c r="BA108">
        <v>98.991200000000006</v>
      </c>
      <c r="BB108">
        <v>0.10004200000000001</v>
      </c>
      <c r="BC108">
        <v>25.704599999999999</v>
      </c>
      <c r="BD108">
        <v>26.9758</v>
      </c>
      <c r="BE108">
        <v>27.494199999999999</v>
      </c>
      <c r="BF108">
        <v>0</v>
      </c>
      <c r="BG108">
        <v>0</v>
      </c>
      <c r="BH108">
        <v>9965</v>
      </c>
      <c r="BI108">
        <v>1073.71</v>
      </c>
      <c r="BJ108">
        <v>1.4577199999999999</v>
      </c>
      <c r="BK108">
        <v>-382.09500000000003</v>
      </c>
      <c r="BL108">
        <v>429.67200000000003</v>
      </c>
      <c r="BM108">
        <v>808.49</v>
      </c>
      <c r="BN108">
        <v>16.862500000000001</v>
      </c>
      <c r="BO108">
        <v>800.02099999999996</v>
      </c>
      <c r="BP108">
        <v>10.4756</v>
      </c>
      <c r="BQ108">
        <v>2.7062300000000001</v>
      </c>
      <c r="BR108">
        <v>1.0369900000000001</v>
      </c>
      <c r="BS108">
        <v>22.323</v>
      </c>
      <c r="BT108">
        <v>7.4467699999999999</v>
      </c>
      <c r="BU108">
        <v>1800</v>
      </c>
      <c r="BV108">
        <v>0.91001299999999996</v>
      </c>
      <c r="BW108">
        <v>3.4006799999999997E-2</v>
      </c>
      <c r="BX108">
        <v>2.1990599999999999E-2</v>
      </c>
      <c r="BY108">
        <v>3.3989100000000001E-2</v>
      </c>
      <c r="BZ108">
        <v>25</v>
      </c>
      <c r="CA108">
        <v>33528.5</v>
      </c>
      <c r="CB108">
        <v>1690200769.5</v>
      </c>
      <c r="CC108" t="s">
        <v>332</v>
      </c>
      <c r="CD108">
        <v>1690200769.5</v>
      </c>
      <c r="CE108">
        <v>1690200753</v>
      </c>
      <c r="CF108">
        <v>2</v>
      </c>
      <c r="CG108">
        <v>-0.245</v>
      </c>
      <c r="CH108">
        <v>3.0000000000000001E-3</v>
      </c>
      <c r="CI108">
        <v>-1.5169999999999999</v>
      </c>
      <c r="CJ108">
        <v>-1.6E-2</v>
      </c>
      <c r="CK108">
        <v>778</v>
      </c>
      <c r="CL108">
        <v>12</v>
      </c>
      <c r="CM108">
        <v>0.01</v>
      </c>
      <c r="CN108">
        <v>0.03</v>
      </c>
      <c r="CO108">
        <v>-379.495</v>
      </c>
      <c r="CP108">
        <v>-13.713568480300101</v>
      </c>
      <c r="CQ108">
        <v>1.3197961963879079</v>
      </c>
      <c r="CR108">
        <v>-1</v>
      </c>
      <c r="CS108">
        <v>16.796810000000001</v>
      </c>
      <c r="CT108">
        <v>0.34322701688555213</v>
      </c>
      <c r="CU108">
        <v>3.3027926062651633E-2</v>
      </c>
      <c r="CV108">
        <v>-1</v>
      </c>
      <c r="CW108">
        <v>0</v>
      </c>
      <c r="CX108">
        <v>0</v>
      </c>
      <c r="CY108" t="s">
        <v>333</v>
      </c>
      <c r="CZ108">
        <v>2.3653200000000001</v>
      </c>
      <c r="DA108">
        <v>2.7138</v>
      </c>
      <c r="DB108">
        <v>9.2853000000000005E-2</v>
      </c>
      <c r="DC108">
        <v>0.14632700000000001</v>
      </c>
      <c r="DD108">
        <v>0.124947</v>
      </c>
      <c r="DE108">
        <v>6.13755E-2</v>
      </c>
      <c r="DF108">
        <v>33093.199999999997</v>
      </c>
      <c r="DG108">
        <v>27436.2</v>
      </c>
      <c r="DH108">
        <v>31140.400000000001</v>
      </c>
      <c r="DI108">
        <v>28001.7</v>
      </c>
      <c r="DJ108">
        <v>36973</v>
      </c>
      <c r="DK108">
        <v>37340.9</v>
      </c>
      <c r="DL108">
        <v>44305.1</v>
      </c>
      <c r="DM108">
        <v>42401.8</v>
      </c>
      <c r="DN108">
        <v>1.4418</v>
      </c>
      <c r="DO108">
        <v>2.0789</v>
      </c>
      <c r="DP108">
        <v>0.147954</v>
      </c>
      <c r="DQ108">
        <v>0.18639900000000001</v>
      </c>
      <c r="DR108">
        <v>24.551200000000001</v>
      </c>
      <c r="DS108">
        <v>24.4406</v>
      </c>
      <c r="DT108">
        <v>35.9</v>
      </c>
      <c r="DU108">
        <v>25.2</v>
      </c>
      <c r="DV108">
        <v>11.668200000000001</v>
      </c>
      <c r="DW108">
        <v>62.179900000000004</v>
      </c>
      <c r="DX108">
        <v>36.025599999999997</v>
      </c>
      <c r="DY108">
        <v>1</v>
      </c>
      <c r="DZ108">
        <v>-0.15862000000000001</v>
      </c>
      <c r="EA108">
        <v>-0.17522099999999999</v>
      </c>
      <c r="EB108">
        <v>20.192499999999999</v>
      </c>
      <c r="EC108">
        <v>5.2406499999999996</v>
      </c>
      <c r="ED108">
        <v>12.039899999999999</v>
      </c>
      <c r="EE108">
        <v>5.0172499999999998</v>
      </c>
      <c r="EF108">
        <v>3.2879999999999998</v>
      </c>
      <c r="EG108">
        <v>9999</v>
      </c>
      <c r="EH108">
        <v>9999</v>
      </c>
      <c r="EI108">
        <v>9999</v>
      </c>
      <c r="EJ108">
        <v>999.9</v>
      </c>
      <c r="EK108">
        <v>1.8687499999999999</v>
      </c>
      <c r="EL108">
        <v>1.8644700000000001</v>
      </c>
      <c r="EM108">
        <v>1.8690500000000001</v>
      </c>
      <c r="EN108">
        <v>1.8670899999999999</v>
      </c>
      <c r="EO108">
        <v>1.8632500000000001</v>
      </c>
      <c r="EP108">
        <v>1.86435</v>
      </c>
      <c r="EQ108">
        <v>1.87008</v>
      </c>
      <c r="ER108">
        <v>1.8693299999999999</v>
      </c>
      <c r="ES108">
        <v>0</v>
      </c>
      <c r="ET108">
        <v>0</v>
      </c>
      <c r="EU108">
        <v>0</v>
      </c>
      <c r="EV108">
        <v>0</v>
      </c>
      <c r="EW108" t="s">
        <v>334</v>
      </c>
      <c r="EX108" t="s">
        <v>335</v>
      </c>
      <c r="EY108" t="s">
        <v>336</v>
      </c>
      <c r="EZ108" t="s">
        <v>336</v>
      </c>
      <c r="FA108" t="s">
        <v>336</v>
      </c>
      <c r="FB108" t="s">
        <v>336</v>
      </c>
      <c r="FC108">
        <v>0</v>
      </c>
      <c r="FD108">
        <v>100</v>
      </c>
      <c r="FE108">
        <v>100</v>
      </c>
      <c r="FF108">
        <v>-1.262</v>
      </c>
      <c r="FG108">
        <v>0.1782</v>
      </c>
      <c r="FH108">
        <v>-0.98020551812546231</v>
      </c>
      <c r="FI108">
        <v>-6.1462078757559423E-4</v>
      </c>
      <c r="FJ108">
        <v>-1.8861989874597051E-7</v>
      </c>
      <c r="FK108">
        <v>1.1980462299894961E-10</v>
      </c>
      <c r="FL108">
        <v>0.1782306200647516</v>
      </c>
      <c r="FM108">
        <v>0</v>
      </c>
      <c r="FN108">
        <v>0</v>
      </c>
      <c r="FO108">
        <v>0</v>
      </c>
      <c r="FP108">
        <v>3</v>
      </c>
      <c r="FQ108">
        <v>2158</v>
      </c>
      <c r="FR108">
        <v>1</v>
      </c>
      <c r="FS108">
        <v>19</v>
      </c>
      <c r="FT108">
        <v>17.3</v>
      </c>
      <c r="FU108">
        <v>17.5</v>
      </c>
      <c r="FV108">
        <v>1.7748999999999999</v>
      </c>
      <c r="FW108">
        <v>2.5488300000000002</v>
      </c>
      <c r="FX108">
        <v>1.5490699999999999</v>
      </c>
      <c r="FY108">
        <v>2.34375</v>
      </c>
      <c r="FZ108">
        <v>1.50146</v>
      </c>
      <c r="GA108">
        <v>2.34497</v>
      </c>
      <c r="GB108">
        <v>30.6309</v>
      </c>
      <c r="GC108">
        <v>23.982399999999998</v>
      </c>
      <c r="GD108">
        <v>19</v>
      </c>
      <c r="GE108">
        <v>265.14299999999997</v>
      </c>
      <c r="GF108">
        <v>609.13</v>
      </c>
      <c r="GG108">
        <v>24.4056</v>
      </c>
      <c r="GH108">
        <v>25.411000000000001</v>
      </c>
      <c r="GI108">
        <v>30.0002</v>
      </c>
      <c r="GJ108">
        <v>25.5412</v>
      </c>
      <c r="GK108">
        <v>25.5063</v>
      </c>
      <c r="GL108">
        <v>35.491700000000002</v>
      </c>
      <c r="GM108">
        <v>-30</v>
      </c>
      <c r="GN108">
        <v>-30</v>
      </c>
      <c r="GO108">
        <v>24.406099999999999</v>
      </c>
      <c r="GP108">
        <v>800</v>
      </c>
      <c r="GQ108">
        <v>0</v>
      </c>
      <c r="GR108">
        <v>99.621899999999997</v>
      </c>
      <c r="GS108">
        <v>99.228800000000007</v>
      </c>
    </row>
    <row r="109" spans="1:201" x14ac:dyDescent="0.25">
      <c r="A109">
        <v>93</v>
      </c>
      <c r="B109">
        <v>1690201815.5</v>
      </c>
      <c r="C109">
        <v>968.5</v>
      </c>
      <c r="D109" t="s">
        <v>519</v>
      </c>
      <c r="E109" t="s">
        <v>520</v>
      </c>
      <c r="F109" t="s">
        <v>330</v>
      </c>
      <c r="H109">
        <v>1690201815.5</v>
      </c>
      <c r="I109">
        <f t="shared" si="30"/>
        <v>1.567650787634502E-3</v>
      </c>
      <c r="J109">
        <f t="shared" si="31"/>
        <v>1.5676507876345021</v>
      </c>
      <c r="K109">
        <f t="shared" si="32"/>
        <v>33.974267600479166</v>
      </c>
      <c r="L109">
        <f t="shared" si="33"/>
        <v>415.78100000000001</v>
      </c>
      <c r="M109">
        <f t="shared" si="34"/>
        <v>72.465102690357512</v>
      </c>
      <c r="N109">
        <f t="shared" si="35"/>
        <v>7.1807389780296997</v>
      </c>
      <c r="O109">
        <f t="shared" si="36"/>
        <v>41.200725896734902</v>
      </c>
      <c r="P109">
        <f t="shared" si="37"/>
        <v>0.16618067218954166</v>
      </c>
      <c r="Q109">
        <f t="shared" si="38"/>
        <v>2.0817205029851475</v>
      </c>
      <c r="R109">
        <f t="shared" si="39"/>
        <v>0.15914682456442739</v>
      </c>
      <c r="S109">
        <f t="shared" si="40"/>
        <v>0.10007391898666734</v>
      </c>
      <c r="T109">
        <f t="shared" si="41"/>
        <v>276.11402673866269</v>
      </c>
      <c r="U109">
        <f t="shared" si="42"/>
        <v>27.370861439708701</v>
      </c>
      <c r="V109">
        <f t="shared" si="43"/>
        <v>27.370861439708701</v>
      </c>
      <c r="W109">
        <f t="shared" si="44"/>
        <v>3.6578646828282171</v>
      </c>
      <c r="X109">
        <f t="shared" si="45"/>
        <v>81.859720531037397</v>
      </c>
      <c r="Y109">
        <f t="shared" si="46"/>
        <v>2.7131491700020001</v>
      </c>
      <c r="Z109">
        <f t="shared" si="47"/>
        <v>3.3143885080493285</v>
      </c>
      <c r="AA109">
        <f t="shared" si="48"/>
        <v>0.94471551282621702</v>
      </c>
      <c r="AB109">
        <f t="shared" si="49"/>
        <v>-69.133399734681532</v>
      </c>
      <c r="AC109">
        <f t="shared" si="50"/>
        <v>-187.76720982239632</v>
      </c>
      <c r="AD109">
        <f t="shared" si="51"/>
        <v>-19.375447650462174</v>
      </c>
      <c r="AE109">
        <f t="shared" si="52"/>
        <v>-0.16203046887730466</v>
      </c>
      <c r="AF109">
        <v>14</v>
      </c>
      <c r="AG109">
        <v>5</v>
      </c>
      <c r="AH109">
        <f t="shared" si="53"/>
        <v>1</v>
      </c>
      <c r="AI109">
        <f t="shared" si="54"/>
        <v>0</v>
      </c>
      <c r="AJ109">
        <f t="shared" si="55"/>
        <v>52642.151904404265</v>
      </c>
      <c r="AK109">
        <f t="shared" si="56"/>
        <v>1799.99</v>
      </c>
      <c r="AL109">
        <f t="shared" si="57"/>
        <v>1499.10337100167</v>
      </c>
      <c r="AM109">
        <f t="shared" si="58"/>
        <v>0.83283983299999997</v>
      </c>
      <c r="AN109">
        <f t="shared" si="59"/>
        <v>0.15339753373000001</v>
      </c>
      <c r="AO109">
        <v>33.299999999999997</v>
      </c>
      <c r="AP109">
        <v>0.5</v>
      </c>
      <c r="AQ109" t="s">
        <v>331</v>
      </c>
      <c r="AR109">
        <v>2</v>
      </c>
      <c r="AS109">
        <v>1690201815.5</v>
      </c>
      <c r="AT109">
        <v>415.78100000000001</v>
      </c>
      <c r="AU109">
        <v>800.03300000000002</v>
      </c>
      <c r="AV109">
        <v>27.38</v>
      </c>
      <c r="AW109">
        <v>10.4598</v>
      </c>
      <c r="AX109">
        <v>417.041</v>
      </c>
      <c r="AY109">
        <v>27.201699999999999</v>
      </c>
      <c r="AZ109">
        <v>300.07600000000002</v>
      </c>
      <c r="BA109">
        <v>98.992400000000004</v>
      </c>
      <c r="BB109">
        <v>9.9972900000000003E-2</v>
      </c>
      <c r="BC109">
        <v>25.697800000000001</v>
      </c>
      <c r="BD109">
        <v>26.9864</v>
      </c>
      <c r="BE109">
        <v>27.513200000000001</v>
      </c>
      <c r="BF109">
        <v>0</v>
      </c>
      <c r="BG109">
        <v>0</v>
      </c>
      <c r="BH109">
        <v>10013.799999999999</v>
      </c>
      <c r="BI109">
        <v>1073.6600000000001</v>
      </c>
      <c r="BJ109">
        <v>1.4577199999999999</v>
      </c>
      <c r="BK109">
        <v>-384.25200000000001</v>
      </c>
      <c r="BL109">
        <v>427.48500000000001</v>
      </c>
      <c r="BM109">
        <v>808.48900000000003</v>
      </c>
      <c r="BN109">
        <v>16.920200000000001</v>
      </c>
      <c r="BO109">
        <v>800.03300000000002</v>
      </c>
      <c r="BP109">
        <v>10.4598</v>
      </c>
      <c r="BQ109">
        <v>2.71041</v>
      </c>
      <c r="BR109">
        <v>1.0354399999999999</v>
      </c>
      <c r="BS109">
        <v>22.348400000000002</v>
      </c>
      <c r="BT109">
        <v>7.4247800000000002</v>
      </c>
      <c r="BU109">
        <v>1799.99</v>
      </c>
      <c r="BV109">
        <v>0.91000199999999998</v>
      </c>
      <c r="BW109">
        <v>3.4008200000000002E-2</v>
      </c>
      <c r="BX109">
        <v>2.2002399999999998E-2</v>
      </c>
      <c r="BY109">
        <v>3.3987099999999999E-2</v>
      </c>
      <c r="BZ109">
        <v>25</v>
      </c>
      <c r="CA109">
        <v>33528.199999999997</v>
      </c>
      <c r="CB109">
        <v>1690200769.5</v>
      </c>
      <c r="CC109" t="s">
        <v>332</v>
      </c>
      <c r="CD109">
        <v>1690200769.5</v>
      </c>
      <c r="CE109">
        <v>1690200753</v>
      </c>
      <c r="CF109">
        <v>2</v>
      </c>
      <c r="CG109">
        <v>-0.245</v>
      </c>
      <c r="CH109">
        <v>3.0000000000000001E-3</v>
      </c>
      <c r="CI109">
        <v>-1.5169999999999999</v>
      </c>
      <c r="CJ109">
        <v>-1.6E-2</v>
      </c>
      <c r="CK109">
        <v>778</v>
      </c>
      <c r="CL109">
        <v>12</v>
      </c>
      <c r="CM109">
        <v>0.01</v>
      </c>
      <c r="CN109">
        <v>0.03</v>
      </c>
      <c r="CO109">
        <v>-381.80648780487797</v>
      </c>
      <c r="CP109">
        <v>-13.23311498257905</v>
      </c>
      <c r="CQ109">
        <v>1.305119826700373</v>
      </c>
      <c r="CR109">
        <v>-1</v>
      </c>
      <c r="CS109">
        <v>16.85515365853658</v>
      </c>
      <c r="CT109">
        <v>0.34316027874565269</v>
      </c>
      <c r="CU109">
        <v>3.3851844331792579E-2</v>
      </c>
      <c r="CV109">
        <v>-1</v>
      </c>
      <c r="CW109">
        <v>0</v>
      </c>
      <c r="CX109">
        <v>0</v>
      </c>
      <c r="CY109" t="s">
        <v>333</v>
      </c>
      <c r="CZ109">
        <v>2.3650899999999999</v>
      </c>
      <c r="DA109">
        <v>2.7137699999999998</v>
      </c>
      <c r="DB109">
        <v>9.2493699999999998E-2</v>
      </c>
      <c r="DC109">
        <v>0.14632999999999999</v>
      </c>
      <c r="DD109">
        <v>0.125081</v>
      </c>
      <c r="DE109">
        <v>6.1305199999999997E-2</v>
      </c>
      <c r="DF109">
        <v>33105.9</v>
      </c>
      <c r="DG109">
        <v>27436.1</v>
      </c>
      <c r="DH109">
        <v>31140</v>
      </c>
      <c r="DI109">
        <v>28001.7</v>
      </c>
      <c r="DJ109">
        <v>36966.800000000003</v>
      </c>
      <c r="DK109">
        <v>37343.800000000003</v>
      </c>
      <c r="DL109">
        <v>44304.6</v>
      </c>
      <c r="DM109">
        <v>42401.8</v>
      </c>
      <c r="DN109">
        <v>1.44215</v>
      </c>
      <c r="DO109">
        <v>2.0787499999999999</v>
      </c>
      <c r="DP109">
        <v>0.148509</v>
      </c>
      <c r="DQ109">
        <v>0.18743799999999999</v>
      </c>
      <c r="DR109">
        <v>24.552800000000001</v>
      </c>
      <c r="DS109">
        <v>24.442699999999999</v>
      </c>
      <c r="DT109">
        <v>35.799999999999997</v>
      </c>
      <c r="DU109">
        <v>25.2</v>
      </c>
      <c r="DV109">
        <v>11.6374</v>
      </c>
      <c r="DW109">
        <v>61.959899999999998</v>
      </c>
      <c r="DX109">
        <v>36.498399999999997</v>
      </c>
      <c r="DY109">
        <v>1</v>
      </c>
      <c r="DZ109">
        <v>-0.158831</v>
      </c>
      <c r="EA109">
        <v>-0.21295500000000001</v>
      </c>
      <c r="EB109">
        <v>20.192399999999999</v>
      </c>
      <c r="EC109">
        <v>5.2411000000000003</v>
      </c>
      <c r="ED109">
        <v>12.039899999999999</v>
      </c>
      <c r="EE109">
        <v>5.0171999999999999</v>
      </c>
      <c r="EF109">
        <v>3.2879999999999998</v>
      </c>
      <c r="EG109">
        <v>9999</v>
      </c>
      <c r="EH109">
        <v>9999</v>
      </c>
      <c r="EI109">
        <v>9999</v>
      </c>
      <c r="EJ109">
        <v>999.9</v>
      </c>
      <c r="EK109">
        <v>1.86876</v>
      </c>
      <c r="EL109">
        <v>1.8644700000000001</v>
      </c>
      <c r="EM109">
        <v>1.8690500000000001</v>
      </c>
      <c r="EN109">
        <v>1.8670899999999999</v>
      </c>
      <c r="EO109">
        <v>1.8632500000000001</v>
      </c>
      <c r="EP109">
        <v>1.8643400000000001</v>
      </c>
      <c r="EQ109">
        <v>1.8701099999999999</v>
      </c>
      <c r="ER109">
        <v>1.86931</v>
      </c>
      <c r="ES109">
        <v>0</v>
      </c>
      <c r="ET109">
        <v>0</v>
      </c>
      <c r="EU109">
        <v>0</v>
      </c>
      <c r="EV109">
        <v>0</v>
      </c>
      <c r="EW109" t="s">
        <v>334</v>
      </c>
      <c r="EX109" t="s">
        <v>335</v>
      </c>
      <c r="EY109" t="s">
        <v>336</v>
      </c>
      <c r="EZ109" t="s">
        <v>336</v>
      </c>
      <c r="FA109" t="s">
        <v>336</v>
      </c>
      <c r="FB109" t="s">
        <v>336</v>
      </c>
      <c r="FC109">
        <v>0</v>
      </c>
      <c r="FD109">
        <v>100</v>
      </c>
      <c r="FE109">
        <v>100</v>
      </c>
      <c r="FF109">
        <v>-1.26</v>
      </c>
      <c r="FG109">
        <v>0.17829999999999999</v>
      </c>
      <c r="FH109">
        <v>-0.98020551812546231</v>
      </c>
      <c r="FI109">
        <v>-6.1462078757559423E-4</v>
      </c>
      <c r="FJ109">
        <v>-1.8861989874597051E-7</v>
      </c>
      <c r="FK109">
        <v>1.1980462299894961E-10</v>
      </c>
      <c r="FL109">
        <v>0.1782306200647516</v>
      </c>
      <c r="FM109">
        <v>0</v>
      </c>
      <c r="FN109">
        <v>0</v>
      </c>
      <c r="FO109">
        <v>0</v>
      </c>
      <c r="FP109">
        <v>3</v>
      </c>
      <c r="FQ109">
        <v>2158</v>
      </c>
      <c r="FR109">
        <v>1</v>
      </c>
      <c r="FS109">
        <v>19</v>
      </c>
      <c r="FT109">
        <v>17.399999999999999</v>
      </c>
      <c r="FU109">
        <v>17.7</v>
      </c>
      <c r="FV109">
        <v>1.7748999999999999</v>
      </c>
      <c r="FW109">
        <v>2.5451700000000002</v>
      </c>
      <c r="FX109">
        <v>1.5490699999999999</v>
      </c>
      <c r="FY109">
        <v>2.34375</v>
      </c>
      <c r="FZ109">
        <v>1.50024</v>
      </c>
      <c r="GA109">
        <v>2.3168899999999999</v>
      </c>
      <c r="GB109">
        <v>30.6309</v>
      </c>
      <c r="GC109">
        <v>23.982399999999998</v>
      </c>
      <c r="GD109">
        <v>19</v>
      </c>
      <c r="GE109">
        <v>265.28399999999999</v>
      </c>
      <c r="GF109">
        <v>609.00300000000004</v>
      </c>
      <c r="GG109">
        <v>24.414100000000001</v>
      </c>
      <c r="GH109">
        <v>25.411000000000001</v>
      </c>
      <c r="GI109">
        <v>29.9999</v>
      </c>
      <c r="GJ109">
        <v>25.5412</v>
      </c>
      <c r="GK109">
        <v>25.5063</v>
      </c>
      <c r="GL109">
        <v>35.493600000000001</v>
      </c>
      <c r="GM109">
        <v>-30</v>
      </c>
      <c r="GN109">
        <v>-30</v>
      </c>
      <c r="GO109">
        <v>24.4208</v>
      </c>
      <c r="GP109">
        <v>800</v>
      </c>
      <c r="GQ109">
        <v>0</v>
      </c>
      <c r="GR109">
        <v>99.620900000000006</v>
      </c>
      <c r="GS109">
        <v>99.228999999999999</v>
      </c>
    </row>
    <row r="110" spans="1:201" x14ac:dyDescent="0.25">
      <c r="A110">
        <v>94</v>
      </c>
      <c r="B110">
        <v>1690201825.5</v>
      </c>
      <c r="C110">
        <v>978.5</v>
      </c>
      <c r="D110" t="s">
        <v>521</v>
      </c>
      <c r="E110" t="s">
        <v>522</v>
      </c>
      <c r="F110" t="s">
        <v>330</v>
      </c>
      <c r="H110">
        <v>1690201825.5</v>
      </c>
      <c r="I110">
        <f t="shared" si="30"/>
        <v>1.5732485084320234E-3</v>
      </c>
      <c r="J110">
        <f t="shared" si="31"/>
        <v>1.5732485084320234</v>
      </c>
      <c r="K110">
        <f t="shared" si="32"/>
        <v>34.192267395192047</v>
      </c>
      <c r="L110">
        <f t="shared" si="33"/>
        <v>413.49900000000002</v>
      </c>
      <c r="M110">
        <f t="shared" si="34"/>
        <v>69.941786969349025</v>
      </c>
      <c r="N110">
        <f t="shared" si="35"/>
        <v>6.9307904204336879</v>
      </c>
      <c r="O110">
        <f t="shared" si="36"/>
        <v>40.975145649550505</v>
      </c>
      <c r="P110">
        <f t="shared" si="37"/>
        <v>0.16715045140049786</v>
      </c>
      <c r="Q110">
        <f t="shared" si="38"/>
        <v>2.078661054502434</v>
      </c>
      <c r="R110">
        <f t="shared" si="39"/>
        <v>0.16002616749295351</v>
      </c>
      <c r="S110">
        <f t="shared" si="40"/>
        <v>0.10063113895563872</v>
      </c>
      <c r="T110">
        <f t="shared" si="41"/>
        <v>276.11503392306719</v>
      </c>
      <c r="U110">
        <f t="shared" si="42"/>
        <v>27.379092604085475</v>
      </c>
      <c r="V110">
        <f t="shared" si="43"/>
        <v>27.379092604085475</v>
      </c>
      <c r="W110">
        <f t="shared" si="44"/>
        <v>3.6596285152220589</v>
      </c>
      <c r="X110">
        <f t="shared" si="45"/>
        <v>81.929867839466525</v>
      </c>
      <c r="Y110">
        <f t="shared" si="46"/>
        <v>2.7167627748619503</v>
      </c>
      <c r="Z110">
        <f t="shared" si="47"/>
        <v>3.3159613783158766</v>
      </c>
      <c r="AA110">
        <f t="shared" si="48"/>
        <v>0.94286574036010862</v>
      </c>
      <c r="AB110">
        <f t="shared" si="49"/>
        <v>-69.380259221852228</v>
      </c>
      <c r="AC110">
        <f t="shared" si="50"/>
        <v>-187.51715880170647</v>
      </c>
      <c r="AD110">
        <f t="shared" si="51"/>
        <v>-19.379699895654888</v>
      </c>
      <c r="AE110">
        <f t="shared" si="52"/>
        <v>-0.16208399614637869</v>
      </c>
      <c r="AF110">
        <v>14</v>
      </c>
      <c r="AG110">
        <v>5</v>
      </c>
      <c r="AH110">
        <f t="shared" si="53"/>
        <v>1</v>
      </c>
      <c r="AI110">
        <f t="shared" si="54"/>
        <v>0</v>
      </c>
      <c r="AJ110">
        <f t="shared" si="55"/>
        <v>52502.517758559792</v>
      </c>
      <c r="AK110">
        <f t="shared" si="56"/>
        <v>1799.99</v>
      </c>
      <c r="AL110">
        <f t="shared" si="57"/>
        <v>1499.10411799752</v>
      </c>
      <c r="AM110">
        <f t="shared" si="58"/>
        <v>0.83284024800000001</v>
      </c>
      <c r="AN110">
        <f t="shared" si="59"/>
        <v>0.15339809327999998</v>
      </c>
      <c r="AO110">
        <v>33.299999999999997</v>
      </c>
      <c r="AP110">
        <v>0.5</v>
      </c>
      <c r="AQ110" t="s">
        <v>331</v>
      </c>
      <c r="AR110">
        <v>2</v>
      </c>
      <c r="AS110">
        <v>1690201825.5</v>
      </c>
      <c r="AT110">
        <v>413.49900000000002</v>
      </c>
      <c r="AU110">
        <v>799.97199999999998</v>
      </c>
      <c r="AV110">
        <v>27.4161</v>
      </c>
      <c r="AW110">
        <v>10.4442</v>
      </c>
      <c r="AX110">
        <v>414.75799999999998</v>
      </c>
      <c r="AY110">
        <v>27.2378</v>
      </c>
      <c r="AZ110">
        <v>300.21899999999999</v>
      </c>
      <c r="BA110">
        <v>98.993700000000004</v>
      </c>
      <c r="BB110">
        <v>9.9999500000000005E-2</v>
      </c>
      <c r="BC110">
        <v>25.7058</v>
      </c>
      <c r="BD110">
        <v>27.007000000000001</v>
      </c>
      <c r="BE110">
        <v>27.5321</v>
      </c>
      <c r="BF110">
        <v>0</v>
      </c>
      <c r="BG110">
        <v>0</v>
      </c>
      <c r="BH110">
        <v>9986.25</v>
      </c>
      <c r="BI110">
        <v>1073.73</v>
      </c>
      <c r="BJ110">
        <v>1.1872</v>
      </c>
      <c r="BK110">
        <v>-386.47300000000001</v>
      </c>
      <c r="BL110">
        <v>425.15499999999997</v>
      </c>
      <c r="BM110">
        <v>808.41499999999996</v>
      </c>
      <c r="BN110">
        <v>16.971900000000002</v>
      </c>
      <c r="BO110">
        <v>799.97199999999998</v>
      </c>
      <c r="BP110">
        <v>10.4442</v>
      </c>
      <c r="BQ110">
        <v>2.7140200000000001</v>
      </c>
      <c r="BR110">
        <v>1.0339100000000001</v>
      </c>
      <c r="BS110">
        <v>22.370200000000001</v>
      </c>
      <c r="BT110">
        <v>7.4032</v>
      </c>
      <c r="BU110">
        <v>1799.99</v>
      </c>
      <c r="BV110">
        <v>0.90999200000000002</v>
      </c>
      <c r="BW110">
        <v>3.4005300000000002E-2</v>
      </c>
      <c r="BX110">
        <v>2.2008400000000001E-2</v>
      </c>
      <c r="BY110">
        <v>3.39946E-2</v>
      </c>
      <c r="BZ110">
        <v>25</v>
      </c>
      <c r="CA110">
        <v>33528.1</v>
      </c>
      <c r="CB110">
        <v>1690200769.5</v>
      </c>
      <c r="CC110" t="s">
        <v>332</v>
      </c>
      <c r="CD110">
        <v>1690200769.5</v>
      </c>
      <c r="CE110">
        <v>1690200753</v>
      </c>
      <c r="CF110">
        <v>2</v>
      </c>
      <c r="CG110">
        <v>-0.245</v>
      </c>
      <c r="CH110">
        <v>3.0000000000000001E-3</v>
      </c>
      <c r="CI110">
        <v>-1.5169999999999999</v>
      </c>
      <c r="CJ110">
        <v>-1.6E-2</v>
      </c>
      <c r="CK110">
        <v>778</v>
      </c>
      <c r="CL110">
        <v>12</v>
      </c>
      <c r="CM110">
        <v>0.01</v>
      </c>
      <c r="CN110">
        <v>0.03</v>
      </c>
      <c r="CO110">
        <v>-384</v>
      </c>
      <c r="CP110">
        <v>-13.482934333957919</v>
      </c>
      <c r="CQ110">
        <v>1.2978562516704191</v>
      </c>
      <c r="CR110">
        <v>-1</v>
      </c>
      <c r="CS110">
        <v>16.91132</v>
      </c>
      <c r="CT110">
        <v>0.34328555347088069</v>
      </c>
      <c r="CU110">
        <v>3.3058215317829737E-2</v>
      </c>
      <c r="CV110">
        <v>-1</v>
      </c>
      <c r="CW110">
        <v>0</v>
      </c>
      <c r="CX110">
        <v>0</v>
      </c>
      <c r="CY110" t="s">
        <v>333</v>
      </c>
      <c r="CZ110">
        <v>2.36557</v>
      </c>
      <c r="DA110">
        <v>2.7137799999999999</v>
      </c>
      <c r="DB110">
        <v>9.2110499999999998E-2</v>
      </c>
      <c r="DC110">
        <v>0.14632400000000001</v>
      </c>
      <c r="DD110">
        <v>0.125197</v>
      </c>
      <c r="DE110">
        <v>6.1236199999999998E-2</v>
      </c>
      <c r="DF110">
        <v>33120.199999999997</v>
      </c>
      <c r="DG110">
        <v>27436.799999999999</v>
      </c>
      <c r="DH110">
        <v>31140.3</v>
      </c>
      <c r="DI110">
        <v>28002.3</v>
      </c>
      <c r="DJ110">
        <v>36962.1</v>
      </c>
      <c r="DK110">
        <v>37347.300000000003</v>
      </c>
      <c r="DL110">
        <v>44305.1</v>
      </c>
      <c r="DM110">
        <v>42402.7</v>
      </c>
      <c r="DN110">
        <v>1.44197</v>
      </c>
      <c r="DO110">
        <v>2.0788199999999999</v>
      </c>
      <c r="DP110">
        <v>0.149675</v>
      </c>
      <c r="DQ110">
        <v>0.188474</v>
      </c>
      <c r="DR110">
        <v>24.554300000000001</v>
      </c>
      <c r="DS110">
        <v>24.444700000000001</v>
      </c>
      <c r="DT110">
        <v>35.799999999999997</v>
      </c>
      <c r="DU110">
        <v>25.2</v>
      </c>
      <c r="DV110">
        <v>11.635300000000001</v>
      </c>
      <c r="DW110">
        <v>61.9499</v>
      </c>
      <c r="DX110">
        <v>35.616999999999997</v>
      </c>
      <c r="DY110">
        <v>1</v>
      </c>
      <c r="DZ110">
        <v>-0.15895300000000001</v>
      </c>
      <c r="EA110">
        <v>-0.24156</v>
      </c>
      <c r="EB110">
        <v>20.192299999999999</v>
      </c>
      <c r="EC110">
        <v>5.24125</v>
      </c>
      <c r="ED110">
        <v>12.039899999999999</v>
      </c>
      <c r="EE110">
        <v>5.0172499999999998</v>
      </c>
      <c r="EF110">
        <v>3.2879999999999998</v>
      </c>
      <c r="EG110">
        <v>9999</v>
      </c>
      <c r="EH110">
        <v>9999</v>
      </c>
      <c r="EI110">
        <v>9999</v>
      </c>
      <c r="EJ110">
        <v>999.9</v>
      </c>
      <c r="EK110">
        <v>1.8687499999999999</v>
      </c>
      <c r="EL110">
        <v>1.8644700000000001</v>
      </c>
      <c r="EM110">
        <v>1.8690500000000001</v>
      </c>
      <c r="EN110">
        <v>1.8670800000000001</v>
      </c>
      <c r="EO110">
        <v>1.8632599999999999</v>
      </c>
      <c r="EP110">
        <v>1.86433</v>
      </c>
      <c r="EQ110">
        <v>1.87009</v>
      </c>
      <c r="ER110">
        <v>1.8693200000000001</v>
      </c>
      <c r="ES110">
        <v>0</v>
      </c>
      <c r="ET110">
        <v>0</v>
      </c>
      <c r="EU110">
        <v>0</v>
      </c>
      <c r="EV110">
        <v>0</v>
      </c>
      <c r="EW110" t="s">
        <v>334</v>
      </c>
      <c r="EX110" t="s">
        <v>335</v>
      </c>
      <c r="EY110" t="s">
        <v>336</v>
      </c>
      <c r="EZ110" t="s">
        <v>336</v>
      </c>
      <c r="FA110" t="s">
        <v>336</v>
      </c>
      <c r="FB110" t="s">
        <v>336</v>
      </c>
      <c r="FC110">
        <v>0</v>
      </c>
      <c r="FD110">
        <v>100</v>
      </c>
      <c r="FE110">
        <v>100</v>
      </c>
      <c r="FF110">
        <v>-1.2589999999999999</v>
      </c>
      <c r="FG110">
        <v>0.17829999999999999</v>
      </c>
      <c r="FH110">
        <v>-0.98020551812546231</v>
      </c>
      <c r="FI110">
        <v>-6.1462078757559423E-4</v>
      </c>
      <c r="FJ110">
        <v>-1.8861989874597051E-7</v>
      </c>
      <c r="FK110">
        <v>1.1980462299894961E-10</v>
      </c>
      <c r="FL110">
        <v>0.1782306200647516</v>
      </c>
      <c r="FM110">
        <v>0</v>
      </c>
      <c r="FN110">
        <v>0</v>
      </c>
      <c r="FO110">
        <v>0</v>
      </c>
      <c r="FP110">
        <v>3</v>
      </c>
      <c r="FQ110">
        <v>2158</v>
      </c>
      <c r="FR110">
        <v>1</v>
      </c>
      <c r="FS110">
        <v>19</v>
      </c>
      <c r="FT110">
        <v>17.600000000000001</v>
      </c>
      <c r="FU110">
        <v>17.899999999999999</v>
      </c>
      <c r="FV110">
        <v>1.7748999999999999</v>
      </c>
      <c r="FW110">
        <v>2.5500500000000001</v>
      </c>
      <c r="FX110">
        <v>1.5490699999999999</v>
      </c>
      <c r="FY110">
        <v>2.34375</v>
      </c>
      <c r="FZ110">
        <v>1.50146</v>
      </c>
      <c r="GA110">
        <v>2.33887</v>
      </c>
      <c r="GB110">
        <v>30.6524</v>
      </c>
      <c r="GC110">
        <v>23.982399999999998</v>
      </c>
      <c r="GD110">
        <v>19</v>
      </c>
      <c r="GE110">
        <v>265.214</v>
      </c>
      <c r="GF110">
        <v>609.06700000000001</v>
      </c>
      <c r="GG110">
        <v>24.4328</v>
      </c>
      <c r="GH110">
        <v>25.411000000000001</v>
      </c>
      <c r="GI110">
        <v>30.0001</v>
      </c>
      <c r="GJ110">
        <v>25.5412</v>
      </c>
      <c r="GK110">
        <v>25.5063</v>
      </c>
      <c r="GL110">
        <v>35.497199999999999</v>
      </c>
      <c r="GM110">
        <v>-30</v>
      </c>
      <c r="GN110">
        <v>-30</v>
      </c>
      <c r="GO110">
        <v>24.4466</v>
      </c>
      <c r="GP110">
        <v>800</v>
      </c>
      <c r="GQ110">
        <v>0</v>
      </c>
      <c r="GR110">
        <v>99.621799999999993</v>
      </c>
      <c r="GS110">
        <v>99.230900000000005</v>
      </c>
    </row>
    <row r="111" spans="1:201" x14ac:dyDescent="0.25">
      <c r="A111">
        <v>95</v>
      </c>
      <c r="B111">
        <v>1690201835.5</v>
      </c>
      <c r="C111">
        <v>988.5</v>
      </c>
      <c r="D111" t="s">
        <v>523</v>
      </c>
      <c r="E111" t="s">
        <v>524</v>
      </c>
      <c r="F111" t="s">
        <v>330</v>
      </c>
      <c r="H111">
        <v>1690201835.5</v>
      </c>
      <c r="I111">
        <f t="shared" si="30"/>
        <v>1.5769392756243691E-3</v>
      </c>
      <c r="J111">
        <f t="shared" si="31"/>
        <v>1.5769392756243692</v>
      </c>
      <c r="K111">
        <f t="shared" si="32"/>
        <v>34.355803123484769</v>
      </c>
      <c r="L111">
        <f t="shared" si="33"/>
        <v>411.46199999999999</v>
      </c>
      <c r="M111">
        <f t="shared" si="34"/>
        <v>66.400114255639537</v>
      </c>
      <c r="N111">
        <f t="shared" si="35"/>
        <v>6.5797710241474219</v>
      </c>
      <c r="O111">
        <f t="shared" si="36"/>
        <v>40.7729079307692</v>
      </c>
      <c r="P111">
        <f t="shared" si="37"/>
        <v>0.16717375938311119</v>
      </c>
      <c r="Q111">
        <f t="shared" si="38"/>
        <v>2.0851299321591727</v>
      </c>
      <c r="R111">
        <f t="shared" si="39"/>
        <v>0.16006863210725769</v>
      </c>
      <c r="S111">
        <f t="shared" si="40"/>
        <v>0.10065609772204095</v>
      </c>
      <c r="T111">
        <f t="shared" si="41"/>
        <v>276.11482031825386</v>
      </c>
      <c r="U111">
        <f t="shared" si="42"/>
        <v>27.404318618332159</v>
      </c>
      <c r="V111">
        <f t="shared" si="43"/>
        <v>27.404318618332159</v>
      </c>
      <c r="W111">
        <f t="shared" si="44"/>
        <v>3.6650387490330645</v>
      </c>
      <c r="X111">
        <f t="shared" si="45"/>
        <v>81.883365796848523</v>
      </c>
      <c r="Y111">
        <f t="shared" si="46"/>
        <v>2.7202649008732203</v>
      </c>
      <c r="Z111">
        <f t="shared" si="47"/>
        <v>3.3221215009922278</v>
      </c>
      <c r="AA111">
        <f t="shared" si="48"/>
        <v>0.94477384815984422</v>
      </c>
      <c r="AB111">
        <f t="shared" si="49"/>
        <v>-69.543022055034683</v>
      </c>
      <c r="AC111">
        <f t="shared" si="50"/>
        <v>-187.41792166990251</v>
      </c>
      <c r="AD111">
        <f t="shared" si="51"/>
        <v>-19.314817489491368</v>
      </c>
      <c r="AE111">
        <f t="shared" si="52"/>
        <v>-0.16094089617467944</v>
      </c>
      <c r="AF111">
        <v>14</v>
      </c>
      <c r="AG111">
        <v>5</v>
      </c>
      <c r="AH111">
        <f t="shared" si="53"/>
        <v>1</v>
      </c>
      <c r="AI111">
        <f t="shared" si="54"/>
        <v>0</v>
      </c>
      <c r="AJ111">
        <f t="shared" si="55"/>
        <v>52789.585494643601</v>
      </c>
      <c r="AK111">
        <f t="shared" si="56"/>
        <v>1799.99</v>
      </c>
      <c r="AL111">
        <f t="shared" si="57"/>
        <v>1499.1007574161902</v>
      </c>
      <c r="AM111">
        <f t="shared" si="58"/>
        <v>0.83283838100000007</v>
      </c>
      <c r="AN111">
        <f t="shared" si="59"/>
        <v>0.15339797460999999</v>
      </c>
      <c r="AO111">
        <v>33.299999999999997</v>
      </c>
      <c r="AP111">
        <v>0.5</v>
      </c>
      <c r="AQ111" t="s">
        <v>331</v>
      </c>
      <c r="AR111">
        <v>2</v>
      </c>
      <c r="AS111">
        <v>1690201835.5</v>
      </c>
      <c r="AT111">
        <v>411.46199999999999</v>
      </c>
      <c r="AU111">
        <v>800.00199999999995</v>
      </c>
      <c r="AV111">
        <v>27.451699999999999</v>
      </c>
      <c r="AW111">
        <v>10.428699999999999</v>
      </c>
      <c r="AX111">
        <v>412.71899999999999</v>
      </c>
      <c r="AY111">
        <v>27.273399999999999</v>
      </c>
      <c r="AZ111">
        <v>300.00900000000001</v>
      </c>
      <c r="BA111">
        <v>98.992800000000003</v>
      </c>
      <c r="BB111">
        <v>9.9966600000000003E-2</v>
      </c>
      <c r="BC111">
        <v>25.737100000000002</v>
      </c>
      <c r="BD111">
        <v>27.016100000000002</v>
      </c>
      <c r="BE111">
        <v>27.503299999999999</v>
      </c>
      <c r="BF111">
        <v>0</v>
      </c>
      <c r="BG111">
        <v>0</v>
      </c>
      <c r="BH111">
        <v>10044.4</v>
      </c>
      <c r="BI111">
        <v>1073.71</v>
      </c>
      <c r="BJ111">
        <v>1.2755000000000001</v>
      </c>
      <c r="BK111">
        <v>-388.54</v>
      </c>
      <c r="BL111">
        <v>423.07600000000002</v>
      </c>
      <c r="BM111">
        <v>808.43299999999999</v>
      </c>
      <c r="BN111">
        <v>17.023</v>
      </c>
      <c r="BO111">
        <v>800.00199999999995</v>
      </c>
      <c r="BP111">
        <v>10.428699999999999</v>
      </c>
      <c r="BQ111">
        <v>2.7175099999999999</v>
      </c>
      <c r="BR111">
        <v>1.0323599999999999</v>
      </c>
      <c r="BS111">
        <v>22.391400000000001</v>
      </c>
      <c r="BT111">
        <v>7.3812699999999998</v>
      </c>
      <c r="BU111">
        <v>1799.99</v>
      </c>
      <c r="BV111">
        <v>0.90997700000000004</v>
      </c>
      <c r="BW111">
        <v>3.40028E-2</v>
      </c>
      <c r="BX111">
        <v>2.20068E-2</v>
      </c>
      <c r="BY111">
        <v>3.4013099999999998E-2</v>
      </c>
      <c r="BZ111">
        <v>25</v>
      </c>
      <c r="CA111">
        <v>33528.1</v>
      </c>
      <c r="CB111">
        <v>1690200769.5</v>
      </c>
      <c r="CC111" t="s">
        <v>332</v>
      </c>
      <c r="CD111">
        <v>1690200769.5</v>
      </c>
      <c r="CE111">
        <v>1690200753</v>
      </c>
      <c r="CF111">
        <v>2</v>
      </c>
      <c r="CG111">
        <v>-0.245</v>
      </c>
      <c r="CH111">
        <v>3.0000000000000001E-3</v>
      </c>
      <c r="CI111">
        <v>-1.5169999999999999</v>
      </c>
      <c r="CJ111">
        <v>-1.6E-2</v>
      </c>
      <c r="CK111">
        <v>778</v>
      </c>
      <c r="CL111">
        <v>12</v>
      </c>
      <c r="CM111">
        <v>0.01</v>
      </c>
      <c r="CN111">
        <v>0.03</v>
      </c>
      <c r="CO111">
        <v>-386.37067500000001</v>
      </c>
      <c r="CP111">
        <v>-12.10150469043003</v>
      </c>
      <c r="CQ111">
        <v>1.165624733512032</v>
      </c>
      <c r="CR111">
        <v>-1</v>
      </c>
      <c r="CS111">
        <v>16.971025000000001</v>
      </c>
      <c r="CT111">
        <v>0.30348292682918798</v>
      </c>
      <c r="CU111">
        <v>2.919988655799843E-2</v>
      </c>
      <c r="CV111">
        <v>-1</v>
      </c>
      <c r="CW111">
        <v>0</v>
      </c>
      <c r="CX111">
        <v>0</v>
      </c>
      <c r="CY111" t="s">
        <v>333</v>
      </c>
      <c r="CZ111">
        <v>2.3648500000000001</v>
      </c>
      <c r="DA111">
        <v>2.7137899999999999</v>
      </c>
      <c r="DB111">
        <v>9.1765700000000006E-2</v>
      </c>
      <c r="DC111">
        <v>0.14632600000000001</v>
      </c>
      <c r="DD111">
        <v>0.125309</v>
      </c>
      <c r="DE111">
        <v>6.1165900000000002E-2</v>
      </c>
      <c r="DF111">
        <v>33133.300000000003</v>
      </c>
      <c r="DG111">
        <v>27437.1</v>
      </c>
      <c r="DH111">
        <v>31140.799999999999</v>
      </c>
      <c r="DI111">
        <v>28002.6</v>
      </c>
      <c r="DJ111">
        <v>36957.9</v>
      </c>
      <c r="DK111">
        <v>37350.6</v>
      </c>
      <c r="DL111">
        <v>44305.8</v>
      </c>
      <c r="DM111">
        <v>42403.199999999997</v>
      </c>
      <c r="DN111">
        <v>1.44197</v>
      </c>
      <c r="DO111">
        <v>2.0786799999999999</v>
      </c>
      <c r="DP111">
        <v>0.15004000000000001</v>
      </c>
      <c r="DQ111">
        <v>0.186443</v>
      </c>
      <c r="DR111">
        <v>24.557500000000001</v>
      </c>
      <c r="DS111">
        <v>24.449100000000001</v>
      </c>
      <c r="DT111">
        <v>35.700000000000003</v>
      </c>
      <c r="DU111">
        <v>25.2</v>
      </c>
      <c r="DV111">
        <v>11.603</v>
      </c>
      <c r="DW111">
        <v>61.759900000000002</v>
      </c>
      <c r="DX111">
        <v>36.923099999999998</v>
      </c>
      <c r="DY111">
        <v>1</v>
      </c>
      <c r="DZ111">
        <v>-0.158999</v>
      </c>
      <c r="EA111">
        <v>-0.143208</v>
      </c>
      <c r="EB111">
        <v>20.192599999999999</v>
      </c>
      <c r="EC111">
        <v>5.24125</v>
      </c>
      <c r="ED111">
        <v>12.039899999999999</v>
      </c>
      <c r="EE111">
        <v>5.0175000000000001</v>
      </c>
      <c r="EF111">
        <v>3.2879999999999998</v>
      </c>
      <c r="EG111">
        <v>9999</v>
      </c>
      <c r="EH111">
        <v>9999</v>
      </c>
      <c r="EI111">
        <v>9999</v>
      </c>
      <c r="EJ111">
        <v>999.9</v>
      </c>
      <c r="EK111">
        <v>1.8687499999999999</v>
      </c>
      <c r="EL111">
        <v>1.8644700000000001</v>
      </c>
      <c r="EM111">
        <v>1.8690500000000001</v>
      </c>
      <c r="EN111">
        <v>1.8670800000000001</v>
      </c>
      <c r="EO111">
        <v>1.8632599999999999</v>
      </c>
      <c r="EP111">
        <v>1.8643400000000001</v>
      </c>
      <c r="EQ111">
        <v>1.87009</v>
      </c>
      <c r="ER111">
        <v>1.8692899999999999</v>
      </c>
      <c r="ES111">
        <v>0</v>
      </c>
      <c r="ET111">
        <v>0</v>
      </c>
      <c r="EU111">
        <v>0</v>
      </c>
      <c r="EV111">
        <v>0</v>
      </c>
      <c r="EW111" t="s">
        <v>334</v>
      </c>
      <c r="EX111" t="s">
        <v>335</v>
      </c>
      <c r="EY111" t="s">
        <v>336</v>
      </c>
      <c r="EZ111" t="s">
        <v>336</v>
      </c>
      <c r="FA111" t="s">
        <v>336</v>
      </c>
      <c r="FB111" t="s">
        <v>336</v>
      </c>
      <c r="FC111">
        <v>0</v>
      </c>
      <c r="FD111">
        <v>100</v>
      </c>
      <c r="FE111">
        <v>100</v>
      </c>
      <c r="FF111">
        <v>-1.2569999999999999</v>
      </c>
      <c r="FG111">
        <v>0.17829999999999999</v>
      </c>
      <c r="FH111">
        <v>-0.98020551812546231</v>
      </c>
      <c r="FI111">
        <v>-6.1462078757559423E-4</v>
      </c>
      <c r="FJ111">
        <v>-1.8861989874597051E-7</v>
      </c>
      <c r="FK111">
        <v>1.1980462299894961E-10</v>
      </c>
      <c r="FL111">
        <v>0.1782306200647516</v>
      </c>
      <c r="FM111">
        <v>0</v>
      </c>
      <c r="FN111">
        <v>0</v>
      </c>
      <c r="FO111">
        <v>0</v>
      </c>
      <c r="FP111">
        <v>3</v>
      </c>
      <c r="FQ111">
        <v>2158</v>
      </c>
      <c r="FR111">
        <v>1</v>
      </c>
      <c r="FS111">
        <v>19</v>
      </c>
      <c r="FT111">
        <v>17.8</v>
      </c>
      <c r="FU111">
        <v>18</v>
      </c>
      <c r="FV111">
        <v>1.7748999999999999</v>
      </c>
      <c r="FW111">
        <v>2.5463900000000002</v>
      </c>
      <c r="FX111">
        <v>1.5490699999999999</v>
      </c>
      <c r="FY111">
        <v>2.34375</v>
      </c>
      <c r="FZ111">
        <v>1.50146</v>
      </c>
      <c r="GA111">
        <v>2.2741699999999998</v>
      </c>
      <c r="GB111">
        <v>30.6524</v>
      </c>
      <c r="GC111">
        <v>23.973700000000001</v>
      </c>
      <c r="GD111">
        <v>19</v>
      </c>
      <c r="GE111">
        <v>265.214</v>
      </c>
      <c r="GF111">
        <v>608.93899999999996</v>
      </c>
      <c r="GG111">
        <v>24.4345</v>
      </c>
      <c r="GH111">
        <v>25.411000000000001</v>
      </c>
      <c r="GI111">
        <v>29.9998</v>
      </c>
      <c r="GJ111">
        <v>25.5412</v>
      </c>
      <c r="GK111">
        <v>25.5063</v>
      </c>
      <c r="GL111">
        <v>35.499200000000002</v>
      </c>
      <c r="GM111">
        <v>-30</v>
      </c>
      <c r="GN111">
        <v>-30</v>
      </c>
      <c r="GO111">
        <v>24.418700000000001</v>
      </c>
      <c r="GP111">
        <v>800</v>
      </c>
      <c r="GQ111">
        <v>0</v>
      </c>
      <c r="GR111">
        <v>99.623500000000007</v>
      </c>
      <c r="GS111">
        <v>99.232200000000006</v>
      </c>
    </row>
    <row r="112" spans="1:201" x14ac:dyDescent="0.25">
      <c r="A112">
        <v>96</v>
      </c>
      <c r="B112">
        <v>1690201845.5</v>
      </c>
      <c r="C112">
        <v>998.5</v>
      </c>
      <c r="D112" t="s">
        <v>525</v>
      </c>
      <c r="E112" t="s">
        <v>526</v>
      </c>
      <c r="F112" t="s">
        <v>330</v>
      </c>
      <c r="H112">
        <v>1690201845.5</v>
      </c>
      <c r="I112">
        <f t="shared" si="30"/>
        <v>1.5831650542745292E-3</v>
      </c>
      <c r="J112">
        <f t="shared" si="31"/>
        <v>1.5831650542745292</v>
      </c>
      <c r="K112">
        <f t="shared" si="32"/>
        <v>34.559021569536974</v>
      </c>
      <c r="L112">
        <f t="shared" si="33"/>
        <v>409.45600000000002</v>
      </c>
      <c r="M112">
        <f t="shared" si="34"/>
        <v>66.141428310360993</v>
      </c>
      <c r="N112">
        <f t="shared" si="35"/>
        <v>6.5540479198190154</v>
      </c>
      <c r="O112">
        <f t="shared" si="36"/>
        <v>40.573575648608006</v>
      </c>
      <c r="P112">
        <f t="shared" si="37"/>
        <v>0.16910067915613286</v>
      </c>
      <c r="Q112">
        <f t="shared" si="38"/>
        <v>2.0773774945647663</v>
      </c>
      <c r="R112">
        <f t="shared" si="39"/>
        <v>0.16180878227741954</v>
      </c>
      <c r="S112">
        <f t="shared" si="40"/>
        <v>0.10175943308145111</v>
      </c>
      <c r="T112">
        <f t="shared" si="41"/>
        <v>276.1145812795819</v>
      </c>
      <c r="U112">
        <f t="shared" si="42"/>
        <v>27.392460081943824</v>
      </c>
      <c r="V112">
        <f t="shared" si="43"/>
        <v>27.392460081943824</v>
      </c>
      <c r="W112">
        <f t="shared" si="44"/>
        <v>3.6624945749889291</v>
      </c>
      <c r="X112">
        <f t="shared" si="45"/>
        <v>82.076584195634723</v>
      </c>
      <c r="Y112">
        <f t="shared" si="46"/>
        <v>2.7242113545142002</v>
      </c>
      <c r="Z112">
        <f t="shared" si="47"/>
        <v>3.3191090750327406</v>
      </c>
      <c r="AA112">
        <f t="shared" si="48"/>
        <v>0.9382832204747289</v>
      </c>
      <c r="AB112">
        <f t="shared" si="49"/>
        <v>-69.817578893506735</v>
      </c>
      <c r="AC112">
        <f t="shared" si="50"/>
        <v>-187.10653732041632</v>
      </c>
      <c r="AD112">
        <f t="shared" si="51"/>
        <v>-19.352055791844244</v>
      </c>
      <c r="AE112">
        <f t="shared" si="52"/>
        <v>-0.16159072618538062</v>
      </c>
      <c r="AF112">
        <v>14</v>
      </c>
      <c r="AG112">
        <v>5</v>
      </c>
      <c r="AH112">
        <f t="shared" si="53"/>
        <v>1</v>
      </c>
      <c r="AI112">
        <f t="shared" si="54"/>
        <v>0</v>
      </c>
      <c r="AJ112">
        <f t="shared" si="55"/>
        <v>52441.732139616412</v>
      </c>
      <c r="AK112">
        <f t="shared" si="56"/>
        <v>1799.99</v>
      </c>
      <c r="AL112">
        <f t="shared" si="57"/>
        <v>1499.1017384107399</v>
      </c>
      <c r="AM112">
        <f t="shared" si="58"/>
        <v>0.83283892599999998</v>
      </c>
      <c r="AN112">
        <f t="shared" si="59"/>
        <v>0.15339784180999999</v>
      </c>
      <c r="AO112">
        <v>33.299999999999997</v>
      </c>
      <c r="AP112">
        <v>0.5</v>
      </c>
      <c r="AQ112" t="s">
        <v>331</v>
      </c>
      <c r="AR112">
        <v>2</v>
      </c>
      <c r="AS112">
        <v>1690201845.5</v>
      </c>
      <c r="AT112">
        <v>409.45600000000002</v>
      </c>
      <c r="AU112">
        <v>799.99099999999999</v>
      </c>
      <c r="AV112">
        <v>27.491900000000001</v>
      </c>
      <c r="AW112">
        <v>10.413500000000001</v>
      </c>
      <c r="AX112">
        <v>410.71199999999999</v>
      </c>
      <c r="AY112">
        <v>27.313600000000001</v>
      </c>
      <c r="AZ112">
        <v>300.20400000000001</v>
      </c>
      <c r="BA112">
        <v>98.991399999999999</v>
      </c>
      <c r="BB112">
        <v>0.100018</v>
      </c>
      <c r="BC112">
        <v>25.721800000000002</v>
      </c>
      <c r="BD112">
        <v>26.985900000000001</v>
      </c>
      <c r="BE112">
        <v>27.541399999999999</v>
      </c>
      <c r="BF112">
        <v>0</v>
      </c>
      <c r="BG112">
        <v>0</v>
      </c>
      <c r="BH112">
        <v>9975</v>
      </c>
      <c r="BI112">
        <v>1073.68</v>
      </c>
      <c r="BJ112">
        <v>1.2334499999999999</v>
      </c>
      <c r="BK112">
        <v>-390.53500000000003</v>
      </c>
      <c r="BL112">
        <v>421.03100000000001</v>
      </c>
      <c r="BM112">
        <v>808.40899999999999</v>
      </c>
      <c r="BN112">
        <v>17.078299999999999</v>
      </c>
      <c r="BO112">
        <v>799.99099999999999</v>
      </c>
      <c r="BP112">
        <v>10.413500000000001</v>
      </c>
      <c r="BQ112">
        <v>2.72146</v>
      </c>
      <c r="BR112">
        <v>1.03085</v>
      </c>
      <c r="BS112">
        <v>22.415299999999998</v>
      </c>
      <c r="BT112">
        <v>7.3598600000000003</v>
      </c>
      <c r="BU112">
        <v>1799.99</v>
      </c>
      <c r="BV112">
        <v>0.90998299999999999</v>
      </c>
      <c r="BW112">
        <v>3.4000599999999999E-2</v>
      </c>
      <c r="BX112">
        <v>2.2005299999999998E-2</v>
      </c>
      <c r="BY112">
        <v>3.4010899999999997E-2</v>
      </c>
      <c r="BZ112">
        <v>25</v>
      </c>
      <c r="CA112">
        <v>33528.1</v>
      </c>
      <c r="CB112">
        <v>1690200769.5</v>
      </c>
      <c r="CC112" t="s">
        <v>332</v>
      </c>
      <c r="CD112">
        <v>1690200769.5</v>
      </c>
      <c r="CE112">
        <v>1690200753</v>
      </c>
      <c r="CF112">
        <v>2</v>
      </c>
      <c r="CG112">
        <v>-0.245</v>
      </c>
      <c r="CH112">
        <v>3.0000000000000001E-3</v>
      </c>
      <c r="CI112">
        <v>-1.5169999999999999</v>
      </c>
      <c r="CJ112">
        <v>-1.6E-2</v>
      </c>
      <c r="CK112">
        <v>778</v>
      </c>
      <c r="CL112">
        <v>12</v>
      </c>
      <c r="CM112">
        <v>0.01</v>
      </c>
      <c r="CN112">
        <v>0.03</v>
      </c>
      <c r="CO112">
        <v>-388.25797499999999</v>
      </c>
      <c r="CP112">
        <v>-12.675906191369309</v>
      </c>
      <c r="CQ112">
        <v>1.2214286407215911</v>
      </c>
      <c r="CR112">
        <v>-1</v>
      </c>
      <c r="CS112">
        <v>17.017692499999999</v>
      </c>
      <c r="CT112">
        <v>0.31772195121950503</v>
      </c>
      <c r="CU112">
        <v>3.057410986030501E-2</v>
      </c>
      <c r="CV112">
        <v>-1</v>
      </c>
      <c r="CW112">
        <v>0</v>
      </c>
      <c r="CX112">
        <v>0</v>
      </c>
      <c r="CY112" t="s">
        <v>333</v>
      </c>
      <c r="CZ112">
        <v>2.36551</v>
      </c>
      <c r="DA112">
        <v>2.7137899999999999</v>
      </c>
      <c r="DB112">
        <v>9.1425199999999998E-2</v>
      </c>
      <c r="DC112">
        <v>0.14632200000000001</v>
      </c>
      <c r="DD112">
        <v>0.12543499999999999</v>
      </c>
      <c r="DE112">
        <v>6.1097199999999997E-2</v>
      </c>
      <c r="DF112">
        <v>33145.599999999999</v>
      </c>
      <c r="DG112">
        <v>27437.8</v>
      </c>
      <c r="DH112">
        <v>31140.7</v>
      </c>
      <c r="DI112">
        <v>28003.200000000001</v>
      </c>
      <c r="DJ112">
        <v>36952.400000000001</v>
      </c>
      <c r="DK112">
        <v>37354.1</v>
      </c>
      <c r="DL112">
        <v>44305.599999999999</v>
      </c>
      <c r="DM112">
        <v>42404.1</v>
      </c>
      <c r="DN112">
        <v>1.44173</v>
      </c>
      <c r="DO112">
        <v>2.0783999999999998</v>
      </c>
      <c r="DP112">
        <v>0.14794199999999999</v>
      </c>
      <c r="DQ112">
        <v>0.188392</v>
      </c>
      <c r="DR112">
        <v>24.561599999999999</v>
      </c>
      <c r="DS112">
        <v>24.455300000000001</v>
      </c>
      <c r="DT112">
        <v>35.6</v>
      </c>
      <c r="DU112">
        <v>25.2</v>
      </c>
      <c r="DV112">
        <v>11.5731</v>
      </c>
      <c r="DW112">
        <v>62.229900000000001</v>
      </c>
      <c r="DX112">
        <v>35.673099999999998</v>
      </c>
      <c r="DY112">
        <v>1</v>
      </c>
      <c r="DZ112">
        <v>-0.15911800000000001</v>
      </c>
      <c r="EA112">
        <v>-0.11768000000000001</v>
      </c>
      <c r="EB112">
        <v>20.192499999999999</v>
      </c>
      <c r="EC112">
        <v>5.2411000000000003</v>
      </c>
      <c r="ED112">
        <v>12.039899999999999</v>
      </c>
      <c r="EE112">
        <v>5.0174000000000003</v>
      </c>
      <c r="EF112">
        <v>3.2879999999999998</v>
      </c>
      <c r="EG112">
        <v>9999</v>
      </c>
      <c r="EH112">
        <v>9999</v>
      </c>
      <c r="EI112">
        <v>9999</v>
      </c>
      <c r="EJ112">
        <v>999.9</v>
      </c>
      <c r="EK112">
        <v>1.86876</v>
      </c>
      <c r="EL112">
        <v>1.8644700000000001</v>
      </c>
      <c r="EM112">
        <v>1.8690500000000001</v>
      </c>
      <c r="EN112">
        <v>1.8670899999999999</v>
      </c>
      <c r="EO112">
        <v>1.8632599999999999</v>
      </c>
      <c r="EP112">
        <v>1.8643400000000001</v>
      </c>
      <c r="EQ112">
        <v>1.87012</v>
      </c>
      <c r="ER112">
        <v>1.86934</v>
      </c>
      <c r="ES112">
        <v>0</v>
      </c>
      <c r="ET112">
        <v>0</v>
      </c>
      <c r="EU112">
        <v>0</v>
      </c>
      <c r="EV112">
        <v>0</v>
      </c>
      <c r="EW112" t="s">
        <v>334</v>
      </c>
      <c r="EX112" t="s">
        <v>335</v>
      </c>
      <c r="EY112" t="s">
        <v>336</v>
      </c>
      <c r="EZ112" t="s">
        <v>336</v>
      </c>
      <c r="FA112" t="s">
        <v>336</v>
      </c>
      <c r="FB112" t="s">
        <v>336</v>
      </c>
      <c r="FC112">
        <v>0</v>
      </c>
      <c r="FD112">
        <v>100</v>
      </c>
      <c r="FE112">
        <v>100</v>
      </c>
      <c r="FF112">
        <v>-1.256</v>
      </c>
      <c r="FG112">
        <v>0.17829999999999999</v>
      </c>
      <c r="FH112">
        <v>-0.98020551812546231</v>
      </c>
      <c r="FI112">
        <v>-6.1462078757559423E-4</v>
      </c>
      <c r="FJ112">
        <v>-1.8861989874597051E-7</v>
      </c>
      <c r="FK112">
        <v>1.1980462299894961E-10</v>
      </c>
      <c r="FL112">
        <v>0.1782306200647516</v>
      </c>
      <c r="FM112">
        <v>0</v>
      </c>
      <c r="FN112">
        <v>0</v>
      </c>
      <c r="FO112">
        <v>0</v>
      </c>
      <c r="FP112">
        <v>3</v>
      </c>
      <c r="FQ112">
        <v>2158</v>
      </c>
      <c r="FR112">
        <v>1</v>
      </c>
      <c r="FS112">
        <v>19</v>
      </c>
      <c r="FT112">
        <v>17.899999999999999</v>
      </c>
      <c r="FU112">
        <v>18.2</v>
      </c>
      <c r="FV112">
        <v>1.7748999999999999</v>
      </c>
      <c r="FW112">
        <v>2.5439500000000002</v>
      </c>
      <c r="FX112">
        <v>1.5490699999999999</v>
      </c>
      <c r="FY112">
        <v>2.34253</v>
      </c>
      <c r="FZ112">
        <v>1.50146</v>
      </c>
      <c r="GA112">
        <v>2.3767100000000001</v>
      </c>
      <c r="GB112">
        <v>30.673999999999999</v>
      </c>
      <c r="GC112">
        <v>23.982399999999998</v>
      </c>
      <c r="GD112">
        <v>19</v>
      </c>
      <c r="GE112">
        <v>265.113</v>
      </c>
      <c r="GF112">
        <v>608.70500000000004</v>
      </c>
      <c r="GG112">
        <v>24.4053</v>
      </c>
      <c r="GH112">
        <v>25.411000000000001</v>
      </c>
      <c r="GI112">
        <v>30</v>
      </c>
      <c r="GJ112">
        <v>25.5412</v>
      </c>
      <c r="GK112">
        <v>25.5063</v>
      </c>
      <c r="GL112">
        <v>35.497700000000002</v>
      </c>
      <c r="GM112">
        <v>-30</v>
      </c>
      <c r="GN112">
        <v>-30</v>
      </c>
      <c r="GO112">
        <v>24.416499999999999</v>
      </c>
      <c r="GP112">
        <v>800</v>
      </c>
      <c r="GQ112">
        <v>0</v>
      </c>
      <c r="GR112">
        <v>99.623099999999994</v>
      </c>
      <c r="GS112">
        <v>99.234099999999998</v>
      </c>
    </row>
    <row r="113" spans="1:201" x14ac:dyDescent="0.25">
      <c r="A113">
        <v>97</v>
      </c>
      <c r="B113">
        <v>1690201855.5</v>
      </c>
      <c r="C113">
        <v>1008.5</v>
      </c>
      <c r="D113" t="s">
        <v>527</v>
      </c>
      <c r="E113" t="s">
        <v>528</v>
      </c>
      <c r="F113" t="s">
        <v>330</v>
      </c>
      <c r="H113">
        <v>1690201855.5</v>
      </c>
      <c r="I113">
        <f t="shared" si="30"/>
        <v>1.5876045208032758E-3</v>
      </c>
      <c r="J113">
        <f t="shared" si="31"/>
        <v>1.5876045208032759</v>
      </c>
      <c r="K113">
        <f t="shared" si="32"/>
        <v>34.741754102756147</v>
      </c>
      <c r="L113">
        <f t="shared" si="33"/>
        <v>407.279</v>
      </c>
      <c r="M113">
        <f t="shared" si="34"/>
        <v>65.353773219416325</v>
      </c>
      <c r="N113">
        <f t="shared" si="35"/>
        <v>6.4762105120083699</v>
      </c>
      <c r="O113">
        <f t="shared" si="36"/>
        <v>40.359177614195197</v>
      </c>
      <c r="P113">
        <f t="shared" si="37"/>
        <v>0.1707086900925695</v>
      </c>
      <c r="Q113">
        <f t="shared" si="38"/>
        <v>2.0842399033384589</v>
      </c>
      <c r="R113">
        <f t="shared" si="39"/>
        <v>0.16330404441195251</v>
      </c>
      <c r="S113">
        <f t="shared" si="40"/>
        <v>0.10270353959291939</v>
      </c>
      <c r="T113">
        <f t="shared" si="41"/>
        <v>276.11440169457956</v>
      </c>
      <c r="U113">
        <f t="shared" si="42"/>
        <v>27.383690761244175</v>
      </c>
      <c r="V113">
        <f t="shared" si="43"/>
        <v>27.383690761244175</v>
      </c>
      <c r="W113">
        <f t="shared" si="44"/>
        <v>3.6606141641294618</v>
      </c>
      <c r="X113">
        <f t="shared" si="45"/>
        <v>82.210319664827239</v>
      </c>
      <c r="Y113">
        <f t="shared" si="46"/>
        <v>2.7282942403353601</v>
      </c>
      <c r="Z113">
        <f t="shared" si="47"/>
        <v>3.3186761120242063</v>
      </c>
      <c r="AA113">
        <f t="shared" si="48"/>
        <v>0.93231992379410178</v>
      </c>
      <c r="AB113">
        <f t="shared" si="49"/>
        <v>-70.013359367424457</v>
      </c>
      <c r="AC113">
        <f t="shared" si="50"/>
        <v>-186.98645977321917</v>
      </c>
      <c r="AD113">
        <f t="shared" si="51"/>
        <v>-19.274900268674987</v>
      </c>
      <c r="AE113">
        <f t="shared" si="52"/>
        <v>-0.1603177147390511</v>
      </c>
      <c r="AF113">
        <v>14</v>
      </c>
      <c r="AG113">
        <v>5</v>
      </c>
      <c r="AH113">
        <f t="shared" si="53"/>
        <v>1</v>
      </c>
      <c r="AI113">
        <f t="shared" si="54"/>
        <v>0</v>
      </c>
      <c r="AJ113">
        <f t="shared" si="55"/>
        <v>52752.394492351632</v>
      </c>
      <c r="AK113">
        <f t="shared" si="56"/>
        <v>1799.99</v>
      </c>
      <c r="AL113">
        <f t="shared" si="57"/>
        <v>1499.1032918021101</v>
      </c>
      <c r="AM113">
        <f t="shared" si="58"/>
        <v>0.832839789</v>
      </c>
      <c r="AN113">
        <f t="shared" si="59"/>
        <v>0.15339774203999998</v>
      </c>
      <c r="AO113">
        <v>33.299999999999997</v>
      </c>
      <c r="AP113">
        <v>0.5</v>
      </c>
      <c r="AQ113" t="s">
        <v>331</v>
      </c>
      <c r="AR113">
        <v>2</v>
      </c>
      <c r="AS113">
        <v>1690201855.5</v>
      </c>
      <c r="AT113">
        <v>407.279</v>
      </c>
      <c r="AU113">
        <v>800.00199999999995</v>
      </c>
      <c r="AV113">
        <v>27.5322</v>
      </c>
      <c r="AW113">
        <v>10.3988</v>
      </c>
      <c r="AX113">
        <v>408.53399999999999</v>
      </c>
      <c r="AY113">
        <v>27.353899999999999</v>
      </c>
      <c r="AZ113">
        <v>300.06700000000001</v>
      </c>
      <c r="BA113">
        <v>98.994699999999995</v>
      </c>
      <c r="BB113">
        <v>9.9968799999999997E-2</v>
      </c>
      <c r="BC113">
        <v>25.7196</v>
      </c>
      <c r="BD113">
        <v>26.9969</v>
      </c>
      <c r="BE113">
        <v>27.513100000000001</v>
      </c>
      <c r="BF113">
        <v>0</v>
      </c>
      <c r="BG113">
        <v>0</v>
      </c>
      <c r="BH113">
        <v>10036.200000000001</v>
      </c>
      <c r="BI113">
        <v>1073.71</v>
      </c>
      <c r="BJ113">
        <v>1.28952</v>
      </c>
      <c r="BK113">
        <v>-392.72300000000001</v>
      </c>
      <c r="BL113">
        <v>418.81</v>
      </c>
      <c r="BM113">
        <v>808.40899999999999</v>
      </c>
      <c r="BN113">
        <v>17.133299999999998</v>
      </c>
      <c r="BO113">
        <v>800.00199999999995</v>
      </c>
      <c r="BP113">
        <v>10.3988</v>
      </c>
      <c r="BQ113">
        <v>2.7255400000000001</v>
      </c>
      <c r="BR113">
        <v>1.0294300000000001</v>
      </c>
      <c r="BS113">
        <v>22.439900000000002</v>
      </c>
      <c r="BT113">
        <v>7.3396699999999999</v>
      </c>
      <c r="BU113">
        <v>1799.99</v>
      </c>
      <c r="BV113">
        <v>0.90998999999999997</v>
      </c>
      <c r="BW113">
        <v>3.3998100000000003E-2</v>
      </c>
      <c r="BX113">
        <v>2.2003700000000001E-2</v>
      </c>
      <c r="BY113">
        <v>3.4008400000000001E-2</v>
      </c>
      <c r="BZ113">
        <v>25</v>
      </c>
      <c r="CA113">
        <v>33528.1</v>
      </c>
      <c r="CB113">
        <v>1690200769.5</v>
      </c>
      <c r="CC113" t="s">
        <v>332</v>
      </c>
      <c r="CD113">
        <v>1690200769.5</v>
      </c>
      <c r="CE113">
        <v>1690200753</v>
      </c>
      <c r="CF113">
        <v>2</v>
      </c>
      <c r="CG113">
        <v>-0.245</v>
      </c>
      <c r="CH113">
        <v>3.0000000000000001E-3</v>
      </c>
      <c r="CI113">
        <v>-1.5169999999999999</v>
      </c>
      <c r="CJ113">
        <v>-1.6E-2</v>
      </c>
      <c r="CK113">
        <v>778</v>
      </c>
      <c r="CL113">
        <v>12</v>
      </c>
      <c r="CM113">
        <v>0.01</v>
      </c>
      <c r="CN113">
        <v>0.03</v>
      </c>
      <c r="CO113">
        <v>-390.34432500000003</v>
      </c>
      <c r="CP113">
        <v>-12.28330581613473</v>
      </c>
      <c r="CQ113">
        <v>1.182686166899318</v>
      </c>
      <c r="CR113">
        <v>-1</v>
      </c>
      <c r="CS113">
        <v>17.071652499999999</v>
      </c>
      <c r="CT113">
        <v>0.33091969981240482</v>
      </c>
      <c r="CU113">
        <v>3.1838702764874181E-2</v>
      </c>
      <c r="CV113">
        <v>-1</v>
      </c>
      <c r="CW113">
        <v>0</v>
      </c>
      <c r="CX113">
        <v>0</v>
      </c>
      <c r="CY113" t="s">
        <v>333</v>
      </c>
      <c r="CZ113">
        <v>2.3650600000000002</v>
      </c>
      <c r="DA113">
        <v>2.7137899999999999</v>
      </c>
      <c r="DB113">
        <v>9.1058899999999998E-2</v>
      </c>
      <c r="DC113">
        <v>0.14632800000000001</v>
      </c>
      <c r="DD113">
        <v>0.12556700000000001</v>
      </c>
      <c r="DE113">
        <v>6.1032999999999997E-2</v>
      </c>
      <c r="DF113">
        <v>33159.199999999997</v>
      </c>
      <c r="DG113">
        <v>27438</v>
      </c>
      <c r="DH113">
        <v>31140.9</v>
      </c>
      <c r="DI113">
        <v>28003.599999999999</v>
      </c>
      <c r="DJ113">
        <v>36946.9</v>
      </c>
      <c r="DK113">
        <v>37357.300000000003</v>
      </c>
      <c r="DL113">
        <v>44305.9</v>
      </c>
      <c r="DM113">
        <v>42404.800000000003</v>
      </c>
      <c r="DN113">
        <v>1.4418</v>
      </c>
      <c r="DO113">
        <v>2.0782699999999998</v>
      </c>
      <c r="DP113">
        <v>0.148393</v>
      </c>
      <c r="DQ113">
        <v>0.186253</v>
      </c>
      <c r="DR113">
        <v>24.565200000000001</v>
      </c>
      <c r="DS113">
        <v>24.4621</v>
      </c>
      <c r="DT113">
        <v>35.6</v>
      </c>
      <c r="DU113">
        <v>25.2</v>
      </c>
      <c r="DV113">
        <v>11.5709</v>
      </c>
      <c r="DW113">
        <v>61.5899</v>
      </c>
      <c r="DX113">
        <v>36.542499999999997</v>
      </c>
      <c r="DY113">
        <v>1</v>
      </c>
      <c r="DZ113">
        <v>-0.159024</v>
      </c>
      <c r="EA113">
        <v>-0.214722</v>
      </c>
      <c r="EB113">
        <v>20.192299999999999</v>
      </c>
      <c r="EC113">
        <v>5.2411000000000003</v>
      </c>
      <c r="ED113">
        <v>12.039899999999999</v>
      </c>
      <c r="EE113">
        <v>5.0170000000000003</v>
      </c>
      <c r="EF113">
        <v>3.2879999999999998</v>
      </c>
      <c r="EG113">
        <v>9999</v>
      </c>
      <c r="EH113">
        <v>9999</v>
      </c>
      <c r="EI113">
        <v>9999</v>
      </c>
      <c r="EJ113">
        <v>999.9</v>
      </c>
      <c r="EK113">
        <v>1.86876</v>
      </c>
      <c r="EL113">
        <v>1.8644700000000001</v>
      </c>
      <c r="EM113">
        <v>1.8690500000000001</v>
      </c>
      <c r="EN113">
        <v>1.8670800000000001</v>
      </c>
      <c r="EO113">
        <v>1.8632500000000001</v>
      </c>
      <c r="EP113">
        <v>1.86433</v>
      </c>
      <c r="EQ113">
        <v>1.87012</v>
      </c>
      <c r="ER113">
        <v>1.8693200000000001</v>
      </c>
      <c r="ES113">
        <v>0</v>
      </c>
      <c r="ET113">
        <v>0</v>
      </c>
      <c r="EU113">
        <v>0</v>
      </c>
      <c r="EV113">
        <v>0</v>
      </c>
      <c r="EW113" t="s">
        <v>334</v>
      </c>
      <c r="EX113" t="s">
        <v>335</v>
      </c>
      <c r="EY113" t="s">
        <v>336</v>
      </c>
      <c r="EZ113" t="s">
        <v>336</v>
      </c>
      <c r="FA113" t="s">
        <v>336</v>
      </c>
      <c r="FB113" t="s">
        <v>336</v>
      </c>
      <c r="FC113">
        <v>0</v>
      </c>
      <c r="FD113">
        <v>100</v>
      </c>
      <c r="FE113">
        <v>100</v>
      </c>
      <c r="FF113">
        <v>-1.2549999999999999</v>
      </c>
      <c r="FG113">
        <v>0.17829999999999999</v>
      </c>
      <c r="FH113">
        <v>-0.98020551812546231</v>
      </c>
      <c r="FI113">
        <v>-6.1462078757559423E-4</v>
      </c>
      <c r="FJ113">
        <v>-1.8861989874597051E-7</v>
      </c>
      <c r="FK113">
        <v>1.1980462299894961E-10</v>
      </c>
      <c r="FL113">
        <v>0.1782306200647516</v>
      </c>
      <c r="FM113">
        <v>0</v>
      </c>
      <c r="FN113">
        <v>0</v>
      </c>
      <c r="FO113">
        <v>0</v>
      </c>
      <c r="FP113">
        <v>3</v>
      </c>
      <c r="FQ113">
        <v>2158</v>
      </c>
      <c r="FR113">
        <v>1</v>
      </c>
      <c r="FS113">
        <v>19</v>
      </c>
      <c r="FT113">
        <v>18.100000000000001</v>
      </c>
      <c r="FU113">
        <v>18.399999999999999</v>
      </c>
      <c r="FV113">
        <v>1.7761199999999999</v>
      </c>
      <c r="FW113">
        <v>2.5500500000000001</v>
      </c>
      <c r="FX113">
        <v>1.5490699999999999</v>
      </c>
      <c r="FY113">
        <v>2.34253</v>
      </c>
      <c r="FZ113">
        <v>1.50146</v>
      </c>
      <c r="GA113">
        <v>2.3095699999999999</v>
      </c>
      <c r="GB113">
        <v>30.673999999999999</v>
      </c>
      <c r="GC113">
        <v>23.973700000000001</v>
      </c>
      <c r="GD113">
        <v>19</v>
      </c>
      <c r="GE113">
        <v>265.14299999999997</v>
      </c>
      <c r="GF113">
        <v>608.59799999999996</v>
      </c>
      <c r="GG113">
        <v>24.4194</v>
      </c>
      <c r="GH113">
        <v>25.411000000000001</v>
      </c>
      <c r="GI113">
        <v>30.0001</v>
      </c>
      <c r="GJ113">
        <v>25.5412</v>
      </c>
      <c r="GK113">
        <v>25.5063</v>
      </c>
      <c r="GL113">
        <v>35.496400000000001</v>
      </c>
      <c r="GM113">
        <v>-30</v>
      </c>
      <c r="GN113">
        <v>-30</v>
      </c>
      <c r="GO113">
        <v>24.428000000000001</v>
      </c>
      <c r="GP113">
        <v>800</v>
      </c>
      <c r="GQ113">
        <v>0</v>
      </c>
      <c r="GR113">
        <v>99.623599999999996</v>
      </c>
      <c r="GS113">
        <v>99.235799999999998</v>
      </c>
    </row>
    <row r="114" spans="1:201" x14ac:dyDescent="0.25">
      <c r="A114">
        <v>98</v>
      </c>
      <c r="B114">
        <v>1690201865.5</v>
      </c>
      <c r="C114">
        <v>1018.5</v>
      </c>
      <c r="D114" t="s">
        <v>529</v>
      </c>
      <c r="E114" t="s">
        <v>530</v>
      </c>
      <c r="F114" t="s">
        <v>330</v>
      </c>
      <c r="H114">
        <v>1690201865.5</v>
      </c>
      <c r="I114">
        <f t="shared" si="30"/>
        <v>1.5923040574926874E-3</v>
      </c>
      <c r="J114">
        <f t="shared" si="31"/>
        <v>1.5923040574926874</v>
      </c>
      <c r="K114">
        <f t="shared" si="32"/>
        <v>34.92011226372091</v>
      </c>
      <c r="L114">
        <f t="shared" si="33"/>
        <v>405.38299999999998</v>
      </c>
      <c r="M114">
        <f t="shared" si="34"/>
        <v>63.199491855010173</v>
      </c>
      <c r="N114">
        <f t="shared" si="35"/>
        <v>6.2625603813261401</v>
      </c>
      <c r="O114">
        <f t="shared" si="36"/>
        <v>40.170188723785998</v>
      </c>
      <c r="P114">
        <f t="shared" si="37"/>
        <v>0.17147188903037769</v>
      </c>
      <c r="Q114">
        <f t="shared" si="38"/>
        <v>2.0818485814765961</v>
      </c>
      <c r="R114">
        <f t="shared" si="39"/>
        <v>0.16399426597825306</v>
      </c>
      <c r="S114">
        <f t="shared" si="40"/>
        <v>0.10314107584136371</v>
      </c>
      <c r="T114">
        <f t="shared" si="41"/>
        <v>276.11414280201797</v>
      </c>
      <c r="U114">
        <f t="shared" si="42"/>
        <v>27.393232822248219</v>
      </c>
      <c r="V114">
        <f t="shared" si="43"/>
        <v>27.393232822248219</v>
      </c>
      <c r="W114">
        <f t="shared" si="44"/>
        <v>3.6626603145784711</v>
      </c>
      <c r="X114">
        <f t="shared" si="45"/>
        <v>82.262628151178603</v>
      </c>
      <c r="Y114">
        <f t="shared" si="46"/>
        <v>2.731568473172</v>
      </c>
      <c r="Z114">
        <f t="shared" si="47"/>
        <v>3.320546078532824</v>
      </c>
      <c r="AA114">
        <f t="shared" si="48"/>
        <v>0.93109184140647105</v>
      </c>
      <c r="AB114">
        <f t="shared" si="49"/>
        <v>-70.220608935427506</v>
      </c>
      <c r="AC114">
        <f t="shared" si="50"/>
        <v>-186.7766444059755</v>
      </c>
      <c r="AD114">
        <f t="shared" si="51"/>
        <v>-19.277225473501577</v>
      </c>
      <c r="AE114">
        <f t="shared" si="52"/>
        <v>-0.16033601288660293</v>
      </c>
      <c r="AF114">
        <v>14</v>
      </c>
      <c r="AG114">
        <v>5</v>
      </c>
      <c r="AH114">
        <f t="shared" si="53"/>
        <v>1</v>
      </c>
      <c r="AI114">
        <f t="shared" si="54"/>
        <v>0</v>
      </c>
      <c r="AJ114">
        <f t="shared" si="55"/>
        <v>52642.4179935262</v>
      </c>
      <c r="AK114">
        <f t="shared" si="56"/>
        <v>1799.99</v>
      </c>
      <c r="AL114">
        <f t="shared" si="57"/>
        <v>1499.10484339349</v>
      </c>
      <c r="AM114">
        <f t="shared" si="58"/>
        <v>0.83284065100000004</v>
      </c>
      <c r="AN114">
        <f t="shared" si="59"/>
        <v>0.15339759821000004</v>
      </c>
      <c r="AO114">
        <v>33.299999999999997</v>
      </c>
      <c r="AP114">
        <v>0.5</v>
      </c>
      <c r="AQ114" t="s">
        <v>331</v>
      </c>
      <c r="AR114">
        <v>2</v>
      </c>
      <c r="AS114">
        <v>1690201865.5</v>
      </c>
      <c r="AT114">
        <v>405.38299999999998</v>
      </c>
      <c r="AU114">
        <v>800.00599999999997</v>
      </c>
      <c r="AV114">
        <v>27.565999999999999</v>
      </c>
      <c r="AW114">
        <v>10.385400000000001</v>
      </c>
      <c r="AX114">
        <v>406.637</v>
      </c>
      <c r="AY114">
        <v>27.387799999999999</v>
      </c>
      <c r="AZ114">
        <v>300.11799999999999</v>
      </c>
      <c r="BA114">
        <v>98.991900000000001</v>
      </c>
      <c r="BB114">
        <v>0.10004200000000001</v>
      </c>
      <c r="BC114">
        <v>25.729099999999999</v>
      </c>
      <c r="BD114">
        <v>27.021999999999998</v>
      </c>
      <c r="BE114">
        <v>27.538599999999999</v>
      </c>
      <c r="BF114">
        <v>0</v>
      </c>
      <c r="BG114">
        <v>0</v>
      </c>
      <c r="BH114">
        <v>10015</v>
      </c>
      <c r="BI114">
        <v>1073.68</v>
      </c>
      <c r="BJ114">
        <v>1.2909200000000001</v>
      </c>
      <c r="BK114">
        <v>-394.62299999999999</v>
      </c>
      <c r="BL114">
        <v>416.875</v>
      </c>
      <c r="BM114">
        <v>808.40200000000004</v>
      </c>
      <c r="BN114">
        <v>17.180599999999998</v>
      </c>
      <c r="BO114">
        <v>800.00599999999997</v>
      </c>
      <c r="BP114">
        <v>10.385400000000001</v>
      </c>
      <c r="BQ114">
        <v>2.7288100000000002</v>
      </c>
      <c r="BR114">
        <v>1.02807</v>
      </c>
      <c r="BS114">
        <v>22.459700000000002</v>
      </c>
      <c r="BT114">
        <v>7.3203899999999997</v>
      </c>
      <c r="BU114">
        <v>1799.99</v>
      </c>
      <c r="BV114">
        <v>0.90999799999999997</v>
      </c>
      <c r="BW114">
        <v>3.3995200000000003E-2</v>
      </c>
      <c r="BX114">
        <v>2.2001799999999998E-2</v>
      </c>
      <c r="BY114">
        <v>3.4005500000000001E-2</v>
      </c>
      <c r="BZ114">
        <v>25</v>
      </c>
      <c r="CA114">
        <v>33528.199999999997</v>
      </c>
      <c r="CB114">
        <v>1690200769.5</v>
      </c>
      <c r="CC114" t="s">
        <v>332</v>
      </c>
      <c r="CD114">
        <v>1690200769.5</v>
      </c>
      <c r="CE114">
        <v>1690200753</v>
      </c>
      <c r="CF114">
        <v>2</v>
      </c>
      <c r="CG114">
        <v>-0.245</v>
      </c>
      <c r="CH114">
        <v>3.0000000000000001E-3</v>
      </c>
      <c r="CI114">
        <v>-1.5169999999999999</v>
      </c>
      <c r="CJ114">
        <v>-1.6E-2</v>
      </c>
      <c r="CK114">
        <v>778</v>
      </c>
      <c r="CL114">
        <v>12</v>
      </c>
      <c r="CM114">
        <v>0.01</v>
      </c>
      <c r="CN114">
        <v>0.03</v>
      </c>
      <c r="CO114">
        <v>-392.54712500000011</v>
      </c>
      <c r="CP114">
        <v>-11.84124202626599</v>
      </c>
      <c r="CQ114">
        <v>1.1433165613140599</v>
      </c>
      <c r="CR114">
        <v>-1</v>
      </c>
      <c r="CS114">
        <v>17.130767500000001</v>
      </c>
      <c r="CT114">
        <v>0.31247392120073458</v>
      </c>
      <c r="CU114">
        <v>3.009488650501942E-2</v>
      </c>
      <c r="CV114">
        <v>-1</v>
      </c>
      <c r="CW114">
        <v>0</v>
      </c>
      <c r="CX114">
        <v>0</v>
      </c>
      <c r="CY114" t="s">
        <v>333</v>
      </c>
      <c r="CZ114">
        <v>2.3652299999999999</v>
      </c>
      <c r="DA114">
        <v>2.7138499999999999</v>
      </c>
      <c r="DB114">
        <v>9.0734300000000004E-2</v>
      </c>
      <c r="DC114">
        <v>0.14632400000000001</v>
      </c>
      <c r="DD114">
        <v>0.12567</v>
      </c>
      <c r="DE114">
        <v>6.09711E-2</v>
      </c>
      <c r="DF114">
        <v>33171.4</v>
      </c>
      <c r="DG114">
        <v>27438.1</v>
      </c>
      <c r="DH114">
        <v>31141.3</v>
      </c>
      <c r="DI114">
        <v>28003.599999999999</v>
      </c>
      <c r="DJ114">
        <v>36943</v>
      </c>
      <c r="DK114">
        <v>37359.800000000003</v>
      </c>
      <c r="DL114">
        <v>44306.6</v>
      </c>
      <c r="DM114">
        <v>42404.9</v>
      </c>
      <c r="DN114">
        <v>1.44225</v>
      </c>
      <c r="DO114">
        <v>2.0783999999999998</v>
      </c>
      <c r="DP114">
        <v>0.149649</v>
      </c>
      <c r="DQ114">
        <v>0.18734899999999999</v>
      </c>
      <c r="DR114">
        <v>24.569900000000001</v>
      </c>
      <c r="DS114">
        <v>24.4696</v>
      </c>
      <c r="DT114">
        <v>35.5</v>
      </c>
      <c r="DU114">
        <v>25.3</v>
      </c>
      <c r="DV114">
        <v>11.6073</v>
      </c>
      <c r="DW114">
        <v>61.729900000000001</v>
      </c>
      <c r="DX114">
        <v>36.398200000000003</v>
      </c>
      <c r="DY114">
        <v>1</v>
      </c>
      <c r="DZ114">
        <v>-0.15887699999999999</v>
      </c>
      <c r="EA114">
        <v>-0.17032700000000001</v>
      </c>
      <c r="EB114">
        <v>20.192399999999999</v>
      </c>
      <c r="EC114">
        <v>5.2411000000000003</v>
      </c>
      <c r="ED114">
        <v>12.039899999999999</v>
      </c>
      <c r="EE114">
        <v>5.0170000000000003</v>
      </c>
      <c r="EF114">
        <v>3.2879999999999998</v>
      </c>
      <c r="EG114">
        <v>9999</v>
      </c>
      <c r="EH114">
        <v>9999</v>
      </c>
      <c r="EI114">
        <v>9999</v>
      </c>
      <c r="EJ114">
        <v>999.9</v>
      </c>
      <c r="EK114">
        <v>1.8687499999999999</v>
      </c>
      <c r="EL114">
        <v>1.8644700000000001</v>
      </c>
      <c r="EM114">
        <v>1.8690500000000001</v>
      </c>
      <c r="EN114">
        <v>1.8671</v>
      </c>
      <c r="EO114">
        <v>1.86327</v>
      </c>
      <c r="EP114">
        <v>1.8643400000000001</v>
      </c>
      <c r="EQ114">
        <v>1.87008</v>
      </c>
      <c r="ER114">
        <v>1.8693200000000001</v>
      </c>
      <c r="ES114">
        <v>0</v>
      </c>
      <c r="ET114">
        <v>0</v>
      </c>
      <c r="EU114">
        <v>0</v>
      </c>
      <c r="EV114">
        <v>0</v>
      </c>
      <c r="EW114" t="s">
        <v>334</v>
      </c>
      <c r="EX114" t="s">
        <v>335</v>
      </c>
      <c r="EY114" t="s">
        <v>336</v>
      </c>
      <c r="EZ114" t="s">
        <v>336</v>
      </c>
      <c r="FA114" t="s">
        <v>336</v>
      </c>
      <c r="FB114" t="s">
        <v>336</v>
      </c>
      <c r="FC114">
        <v>0</v>
      </c>
      <c r="FD114">
        <v>100</v>
      </c>
      <c r="FE114">
        <v>100</v>
      </c>
      <c r="FF114">
        <v>-1.254</v>
      </c>
      <c r="FG114">
        <v>0.1782</v>
      </c>
      <c r="FH114">
        <v>-0.98020551812546231</v>
      </c>
      <c r="FI114">
        <v>-6.1462078757559423E-4</v>
      </c>
      <c r="FJ114">
        <v>-1.8861989874597051E-7</v>
      </c>
      <c r="FK114">
        <v>1.1980462299894961E-10</v>
      </c>
      <c r="FL114">
        <v>0.1782306200647516</v>
      </c>
      <c r="FM114">
        <v>0</v>
      </c>
      <c r="FN114">
        <v>0</v>
      </c>
      <c r="FO114">
        <v>0</v>
      </c>
      <c r="FP114">
        <v>3</v>
      </c>
      <c r="FQ114">
        <v>2158</v>
      </c>
      <c r="FR114">
        <v>1</v>
      </c>
      <c r="FS114">
        <v>19</v>
      </c>
      <c r="FT114">
        <v>18.3</v>
      </c>
      <c r="FU114">
        <v>18.5</v>
      </c>
      <c r="FV114">
        <v>1.7748999999999999</v>
      </c>
      <c r="FW114">
        <v>2.5439500000000002</v>
      </c>
      <c r="FX114">
        <v>1.5490699999999999</v>
      </c>
      <c r="FY114">
        <v>2.34375</v>
      </c>
      <c r="FZ114">
        <v>1.50146</v>
      </c>
      <c r="GA114">
        <v>2.34009</v>
      </c>
      <c r="GB114">
        <v>30.673999999999999</v>
      </c>
      <c r="GC114">
        <v>23.982399999999998</v>
      </c>
      <c r="GD114">
        <v>19</v>
      </c>
      <c r="GE114">
        <v>265.32600000000002</v>
      </c>
      <c r="GF114">
        <v>608.70500000000004</v>
      </c>
      <c r="GG114">
        <v>24.4253</v>
      </c>
      <c r="GH114">
        <v>25.411000000000001</v>
      </c>
      <c r="GI114">
        <v>30.0002</v>
      </c>
      <c r="GJ114">
        <v>25.5412</v>
      </c>
      <c r="GK114">
        <v>25.5063</v>
      </c>
      <c r="GL114">
        <v>35.498399999999997</v>
      </c>
      <c r="GM114">
        <v>-30</v>
      </c>
      <c r="GN114">
        <v>-30</v>
      </c>
      <c r="GO114">
        <v>24.421700000000001</v>
      </c>
      <c r="GP114">
        <v>800</v>
      </c>
      <c r="GQ114">
        <v>0</v>
      </c>
      <c r="GR114">
        <v>99.625100000000003</v>
      </c>
      <c r="GS114">
        <v>99.235900000000001</v>
      </c>
    </row>
    <row r="115" spans="1:201" x14ac:dyDescent="0.25">
      <c r="A115">
        <v>99</v>
      </c>
      <c r="B115">
        <v>1690201875.5</v>
      </c>
      <c r="C115">
        <v>1028.5</v>
      </c>
      <c r="D115" t="s">
        <v>531</v>
      </c>
      <c r="E115" t="s">
        <v>532</v>
      </c>
      <c r="F115" t="s">
        <v>330</v>
      </c>
      <c r="H115">
        <v>1690201875.5</v>
      </c>
      <c r="I115">
        <f t="shared" si="30"/>
        <v>1.5977015596174459E-3</v>
      </c>
      <c r="J115">
        <f t="shared" si="31"/>
        <v>1.597701559617446</v>
      </c>
      <c r="K115">
        <f t="shared" si="32"/>
        <v>35.111672257587749</v>
      </c>
      <c r="L115">
        <f t="shared" si="33"/>
        <v>403.27800000000002</v>
      </c>
      <c r="M115">
        <f t="shared" si="34"/>
        <v>61.695127106646247</v>
      </c>
      <c r="N115">
        <f t="shared" si="35"/>
        <v>6.1136580453082185</v>
      </c>
      <c r="O115">
        <f t="shared" si="36"/>
        <v>39.962698916786998</v>
      </c>
      <c r="P115">
        <f t="shared" si="37"/>
        <v>0.17273431583519544</v>
      </c>
      <c r="Q115">
        <f t="shared" si="38"/>
        <v>2.08542908978034</v>
      </c>
      <c r="R115">
        <f t="shared" si="39"/>
        <v>0.16516121038600778</v>
      </c>
      <c r="S115">
        <f t="shared" si="40"/>
        <v>0.10387849982702511</v>
      </c>
      <c r="T115">
        <f t="shared" si="41"/>
        <v>276.11367232063174</v>
      </c>
      <c r="U115">
        <f t="shared" si="42"/>
        <v>27.395105953061847</v>
      </c>
      <c r="V115">
        <f t="shared" si="43"/>
        <v>27.395105953061847</v>
      </c>
      <c r="W115">
        <f t="shared" si="44"/>
        <v>3.6630620962916876</v>
      </c>
      <c r="X115">
        <f t="shared" si="45"/>
        <v>82.347038752244345</v>
      </c>
      <c r="Y115">
        <f t="shared" si="46"/>
        <v>2.7354091740659996</v>
      </c>
      <c r="Z115">
        <f t="shared" si="47"/>
        <v>3.3218063642773634</v>
      </c>
      <c r="AA115">
        <f t="shared" si="48"/>
        <v>0.92765292222568796</v>
      </c>
      <c r="AB115">
        <f t="shared" si="49"/>
        <v>-70.458638779129359</v>
      </c>
      <c r="AC115">
        <f t="shared" si="50"/>
        <v>-186.58892156591779</v>
      </c>
      <c r="AD115">
        <f t="shared" si="51"/>
        <v>-19.225582075211978</v>
      </c>
      <c r="AE115">
        <f t="shared" si="52"/>
        <v>-0.15947009962741276</v>
      </c>
      <c r="AF115">
        <v>14</v>
      </c>
      <c r="AG115">
        <v>5</v>
      </c>
      <c r="AH115">
        <f t="shared" si="53"/>
        <v>1</v>
      </c>
      <c r="AI115">
        <f t="shared" si="54"/>
        <v>0</v>
      </c>
      <c r="AJ115">
        <f t="shared" si="55"/>
        <v>52803.469314675909</v>
      </c>
      <c r="AK115">
        <f t="shared" si="56"/>
        <v>1799.99</v>
      </c>
      <c r="AL115">
        <f t="shared" si="57"/>
        <v>1499.10446899557</v>
      </c>
      <c r="AM115">
        <f t="shared" si="58"/>
        <v>0.83284044299999993</v>
      </c>
      <c r="AN115">
        <f t="shared" si="59"/>
        <v>0.15339733683000001</v>
      </c>
      <c r="AO115">
        <v>33.299999999999997</v>
      </c>
      <c r="AP115">
        <v>0.5</v>
      </c>
      <c r="AQ115" t="s">
        <v>331</v>
      </c>
      <c r="AR115">
        <v>2</v>
      </c>
      <c r="AS115">
        <v>1690201875.5</v>
      </c>
      <c r="AT115">
        <v>403.27800000000002</v>
      </c>
      <c r="AU115">
        <v>799.91300000000001</v>
      </c>
      <c r="AV115">
        <v>27.603999999999999</v>
      </c>
      <c r="AW115">
        <v>10.370200000000001</v>
      </c>
      <c r="AX115">
        <v>404.53</v>
      </c>
      <c r="AY115">
        <v>27.425799999999999</v>
      </c>
      <c r="AZ115">
        <v>300.19400000000002</v>
      </c>
      <c r="BA115">
        <v>98.994699999999995</v>
      </c>
      <c r="BB115">
        <v>9.99665E-2</v>
      </c>
      <c r="BC115">
        <v>25.735499999999998</v>
      </c>
      <c r="BD115">
        <v>27.0078</v>
      </c>
      <c r="BE115">
        <v>27.546800000000001</v>
      </c>
      <c r="BF115">
        <v>0</v>
      </c>
      <c r="BG115">
        <v>0</v>
      </c>
      <c r="BH115">
        <v>10046.9</v>
      </c>
      <c r="BI115">
        <v>1073.71</v>
      </c>
      <c r="BJ115">
        <v>1.5137799999999999</v>
      </c>
      <c r="BK115">
        <v>-396.63600000000002</v>
      </c>
      <c r="BL115">
        <v>414.726</v>
      </c>
      <c r="BM115">
        <v>808.29600000000005</v>
      </c>
      <c r="BN115">
        <v>17.233799999999999</v>
      </c>
      <c r="BO115">
        <v>799.91300000000001</v>
      </c>
      <c r="BP115">
        <v>10.370200000000001</v>
      </c>
      <c r="BQ115">
        <v>2.73265</v>
      </c>
      <c r="BR115">
        <v>1.0266</v>
      </c>
      <c r="BS115">
        <v>22.482800000000001</v>
      </c>
      <c r="BT115">
        <v>7.2994199999999996</v>
      </c>
      <c r="BU115">
        <v>1799.99</v>
      </c>
      <c r="BV115">
        <v>0.91000300000000001</v>
      </c>
      <c r="BW115">
        <v>3.3993000000000002E-2</v>
      </c>
      <c r="BX115">
        <v>2.20004E-2</v>
      </c>
      <c r="BY115">
        <v>3.40033E-2</v>
      </c>
      <c r="BZ115">
        <v>25</v>
      </c>
      <c r="CA115">
        <v>33528.199999999997</v>
      </c>
      <c r="CB115">
        <v>1690200769.5</v>
      </c>
      <c r="CC115" t="s">
        <v>332</v>
      </c>
      <c r="CD115">
        <v>1690200769.5</v>
      </c>
      <c r="CE115">
        <v>1690200753</v>
      </c>
      <c r="CF115">
        <v>2</v>
      </c>
      <c r="CG115">
        <v>-0.245</v>
      </c>
      <c r="CH115">
        <v>3.0000000000000001E-3</v>
      </c>
      <c r="CI115">
        <v>-1.5169999999999999</v>
      </c>
      <c r="CJ115">
        <v>-1.6E-2</v>
      </c>
      <c r="CK115">
        <v>778</v>
      </c>
      <c r="CL115">
        <v>12</v>
      </c>
      <c r="CM115">
        <v>0.01</v>
      </c>
      <c r="CN115">
        <v>0.03</v>
      </c>
      <c r="CO115">
        <v>-394.37112500000001</v>
      </c>
      <c r="CP115">
        <v>-12.163485928705359</v>
      </c>
      <c r="CQ115">
        <v>1.1740302633982611</v>
      </c>
      <c r="CR115">
        <v>-1</v>
      </c>
      <c r="CS115">
        <v>17.176592500000002</v>
      </c>
      <c r="CT115">
        <v>0.29819549718566007</v>
      </c>
      <c r="CU115">
        <v>2.872327790747433E-2</v>
      </c>
      <c r="CV115">
        <v>-1</v>
      </c>
      <c r="CW115">
        <v>0</v>
      </c>
      <c r="CX115">
        <v>0</v>
      </c>
      <c r="CY115" t="s">
        <v>333</v>
      </c>
      <c r="CZ115">
        <v>2.3654700000000002</v>
      </c>
      <c r="DA115">
        <v>2.7138</v>
      </c>
      <c r="DB115">
        <v>9.0378100000000003E-2</v>
      </c>
      <c r="DC115">
        <v>0.146317</v>
      </c>
      <c r="DD115">
        <v>0.12579399999999999</v>
      </c>
      <c r="DE115">
        <v>6.0904600000000003E-2</v>
      </c>
      <c r="DF115">
        <v>33184.6</v>
      </c>
      <c r="DG115">
        <v>27438.7</v>
      </c>
      <c r="DH115">
        <v>31141.5</v>
      </c>
      <c r="DI115">
        <v>28003.9</v>
      </c>
      <c r="DJ115">
        <v>36937.800000000003</v>
      </c>
      <c r="DK115">
        <v>37362.9</v>
      </c>
      <c r="DL115">
        <v>44306.8</v>
      </c>
      <c r="DM115">
        <v>42405.4</v>
      </c>
      <c r="DN115">
        <v>1.4422200000000001</v>
      </c>
      <c r="DO115">
        <v>2.0783499999999999</v>
      </c>
      <c r="DP115">
        <v>0.14843000000000001</v>
      </c>
      <c r="DQ115">
        <v>0.18735199999999999</v>
      </c>
      <c r="DR115">
        <v>24.575600000000001</v>
      </c>
      <c r="DS115">
        <v>24.477900000000002</v>
      </c>
      <c r="DT115">
        <v>35.5</v>
      </c>
      <c r="DU115">
        <v>25.3</v>
      </c>
      <c r="DV115">
        <v>11.607100000000001</v>
      </c>
      <c r="DW115">
        <v>61.629899999999999</v>
      </c>
      <c r="DX115">
        <v>35.761200000000002</v>
      </c>
      <c r="DY115">
        <v>1</v>
      </c>
      <c r="DZ115">
        <v>-0.15906799999999999</v>
      </c>
      <c r="EA115">
        <v>-8.09695E-2</v>
      </c>
      <c r="EB115">
        <v>20.192399999999999</v>
      </c>
      <c r="EC115">
        <v>5.24125</v>
      </c>
      <c r="ED115">
        <v>12.039899999999999</v>
      </c>
      <c r="EE115">
        <v>5.0171000000000001</v>
      </c>
      <c r="EF115">
        <v>3.2879999999999998</v>
      </c>
      <c r="EG115">
        <v>9999</v>
      </c>
      <c r="EH115">
        <v>9999</v>
      </c>
      <c r="EI115">
        <v>9999</v>
      </c>
      <c r="EJ115">
        <v>999.9</v>
      </c>
      <c r="EK115">
        <v>1.86876</v>
      </c>
      <c r="EL115">
        <v>1.8644700000000001</v>
      </c>
      <c r="EM115">
        <v>1.8690500000000001</v>
      </c>
      <c r="EN115">
        <v>1.8671</v>
      </c>
      <c r="EO115">
        <v>1.8632500000000001</v>
      </c>
      <c r="EP115">
        <v>1.86435</v>
      </c>
      <c r="EQ115">
        <v>1.8701099999999999</v>
      </c>
      <c r="ER115">
        <v>1.86934</v>
      </c>
      <c r="ES115">
        <v>0</v>
      </c>
      <c r="ET115">
        <v>0</v>
      </c>
      <c r="EU115">
        <v>0</v>
      </c>
      <c r="EV115">
        <v>0</v>
      </c>
      <c r="EW115" t="s">
        <v>334</v>
      </c>
      <c r="EX115" t="s">
        <v>335</v>
      </c>
      <c r="EY115" t="s">
        <v>336</v>
      </c>
      <c r="EZ115" t="s">
        <v>336</v>
      </c>
      <c r="FA115" t="s">
        <v>336</v>
      </c>
      <c r="FB115" t="s">
        <v>336</v>
      </c>
      <c r="FC115">
        <v>0</v>
      </c>
      <c r="FD115">
        <v>100</v>
      </c>
      <c r="FE115">
        <v>100</v>
      </c>
      <c r="FF115">
        <v>-1.252</v>
      </c>
      <c r="FG115">
        <v>0.1782</v>
      </c>
      <c r="FH115">
        <v>-0.98020551812546231</v>
      </c>
      <c r="FI115">
        <v>-6.1462078757559423E-4</v>
      </c>
      <c r="FJ115">
        <v>-1.8861989874597051E-7</v>
      </c>
      <c r="FK115">
        <v>1.1980462299894961E-10</v>
      </c>
      <c r="FL115">
        <v>0.1782306200647516</v>
      </c>
      <c r="FM115">
        <v>0</v>
      </c>
      <c r="FN115">
        <v>0</v>
      </c>
      <c r="FO115">
        <v>0</v>
      </c>
      <c r="FP115">
        <v>3</v>
      </c>
      <c r="FQ115">
        <v>2158</v>
      </c>
      <c r="FR115">
        <v>1</v>
      </c>
      <c r="FS115">
        <v>19</v>
      </c>
      <c r="FT115">
        <v>18.399999999999999</v>
      </c>
      <c r="FU115">
        <v>18.7</v>
      </c>
      <c r="FV115">
        <v>1.7761199999999999</v>
      </c>
      <c r="FW115">
        <v>2.5439500000000002</v>
      </c>
      <c r="FX115">
        <v>1.5490699999999999</v>
      </c>
      <c r="FY115">
        <v>2.34253</v>
      </c>
      <c r="FZ115">
        <v>1.50146</v>
      </c>
      <c r="GA115">
        <v>2.3779300000000001</v>
      </c>
      <c r="GB115">
        <v>30.695599999999999</v>
      </c>
      <c r="GC115">
        <v>23.982399999999998</v>
      </c>
      <c r="GD115">
        <v>19</v>
      </c>
      <c r="GE115">
        <v>265.31400000000002</v>
      </c>
      <c r="GF115">
        <v>608.66200000000003</v>
      </c>
      <c r="GG115">
        <v>24.403300000000002</v>
      </c>
      <c r="GH115">
        <v>25.411000000000001</v>
      </c>
      <c r="GI115">
        <v>30</v>
      </c>
      <c r="GJ115">
        <v>25.5412</v>
      </c>
      <c r="GK115">
        <v>25.5063</v>
      </c>
      <c r="GL115">
        <v>35.502400000000002</v>
      </c>
      <c r="GM115">
        <v>-30</v>
      </c>
      <c r="GN115">
        <v>-30</v>
      </c>
      <c r="GO115">
        <v>24.383800000000001</v>
      </c>
      <c r="GP115">
        <v>800</v>
      </c>
      <c r="GQ115">
        <v>0</v>
      </c>
      <c r="GR115">
        <v>99.625600000000006</v>
      </c>
      <c r="GS115">
        <v>99.236999999999995</v>
      </c>
    </row>
    <row r="116" spans="1:201" x14ac:dyDescent="0.25">
      <c r="A116">
        <v>100</v>
      </c>
      <c r="B116">
        <v>1690201885.5</v>
      </c>
      <c r="C116">
        <v>1038.5</v>
      </c>
      <c r="D116" t="s">
        <v>533</v>
      </c>
      <c r="E116" t="s">
        <v>534</v>
      </c>
      <c r="F116" t="s">
        <v>330</v>
      </c>
      <c r="H116">
        <v>1690201885.5</v>
      </c>
      <c r="I116">
        <f t="shared" si="30"/>
        <v>1.6016404979221563E-3</v>
      </c>
      <c r="J116">
        <f t="shared" si="31"/>
        <v>1.6016404979221563</v>
      </c>
      <c r="K116">
        <f t="shared" si="32"/>
        <v>35.281192525850059</v>
      </c>
      <c r="L116">
        <f t="shared" si="33"/>
        <v>401.39499999999998</v>
      </c>
      <c r="M116">
        <f t="shared" si="34"/>
        <v>59.794579523721964</v>
      </c>
      <c r="N116">
        <f t="shared" si="35"/>
        <v>5.9252720446132194</v>
      </c>
      <c r="O116">
        <f t="shared" si="36"/>
        <v>39.775755449604993</v>
      </c>
      <c r="P116">
        <f t="shared" si="37"/>
        <v>0.17359015877339593</v>
      </c>
      <c r="Q116">
        <f t="shared" si="38"/>
        <v>2.0799184666280448</v>
      </c>
      <c r="R116">
        <f t="shared" si="39"/>
        <v>0.16592431090625367</v>
      </c>
      <c r="S116">
        <f t="shared" si="40"/>
        <v>0.10436322774438214</v>
      </c>
      <c r="T116">
        <f t="shared" si="41"/>
        <v>276.11363716682706</v>
      </c>
      <c r="U116">
        <f t="shared" si="42"/>
        <v>27.401782553101398</v>
      </c>
      <c r="V116">
        <f t="shared" si="43"/>
        <v>27.401782553101398</v>
      </c>
      <c r="W116">
        <f t="shared" si="44"/>
        <v>3.6644945226450965</v>
      </c>
      <c r="X116">
        <f t="shared" si="45"/>
        <v>82.430985288591785</v>
      </c>
      <c r="Y116">
        <f t="shared" si="46"/>
        <v>2.7388634199408997</v>
      </c>
      <c r="Z116">
        <f t="shared" si="47"/>
        <v>3.3226139543911901</v>
      </c>
      <c r="AA116">
        <f t="shared" si="48"/>
        <v>0.9256311027041968</v>
      </c>
      <c r="AB116">
        <f t="shared" si="49"/>
        <v>-70.632345958367097</v>
      </c>
      <c r="AC116">
        <f t="shared" si="50"/>
        <v>-186.38479213507273</v>
      </c>
      <c r="AD116">
        <f t="shared" si="51"/>
        <v>-19.256470025706808</v>
      </c>
      <c r="AE116">
        <f t="shared" si="52"/>
        <v>-0.15997095231955427</v>
      </c>
      <c r="AF116">
        <v>13</v>
      </c>
      <c r="AG116">
        <v>4</v>
      </c>
      <c r="AH116">
        <f t="shared" si="53"/>
        <v>1</v>
      </c>
      <c r="AI116">
        <f t="shared" si="54"/>
        <v>0</v>
      </c>
      <c r="AJ116">
        <f t="shared" si="55"/>
        <v>52553.363639876683</v>
      </c>
      <c r="AK116">
        <f t="shared" si="56"/>
        <v>1799.99</v>
      </c>
      <c r="AL116">
        <f t="shared" si="57"/>
        <v>1499.1059755871997</v>
      </c>
      <c r="AM116">
        <f t="shared" si="58"/>
        <v>0.83284127999999991</v>
      </c>
      <c r="AN116">
        <f t="shared" si="59"/>
        <v>0.15339731730000003</v>
      </c>
      <c r="AO116">
        <v>33.299999999999997</v>
      </c>
      <c r="AP116">
        <v>0.5</v>
      </c>
      <c r="AQ116" t="s">
        <v>331</v>
      </c>
      <c r="AR116">
        <v>2</v>
      </c>
      <c r="AS116">
        <v>1690201885.5</v>
      </c>
      <c r="AT116">
        <v>401.39499999999998</v>
      </c>
      <c r="AU116">
        <v>800.05</v>
      </c>
      <c r="AV116">
        <v>27.639099999999999</v>
      </c>
      <c r="AW116">
        <v>10.3567</v>
      </c>
      <c r="AX116">
        <v>402.64499999999998</v>
      </c>
      <c r="AY116">
        <v>27.460799999999999</v>
      </c>
      <c r="AZ116">
        <v>300.077</v>
      </c>
      <c r="BA116">
        <v>98.993799999999993</v>
      </c>
      <c r="BB116">
        <v>9.9999000000000005E-2</v>
      </c>
      <c r="BC116">
        <v>25.739599999999999</v>
      </c>
      <c r="BD116">
        <v>27.0275</v>
      </c>
      <c r="BE116">
        <v>27.527000000000001</v>
      </c>
      <c r="BF116">
        <v>0</v>
      </c>
      <c r="BG116">
        <v>0</v>
      </c>
      <c r="BH116">
        <v>9997.5</v>
      </c>
      <c r="BI116">
        <v>1073.69</v>
      </c>
      <c r="BJ116">
        <v>1.5137799999999999</v>
      </c>
      <c r="BK116">
        <v>-398.65600000000001</v>
      </c>
      <c r="BL116">
        <v>412.80399999999997</v>
      </c>
      <c r="BM116">
        <v>808.423</v>
      </c>
      <c r="BN116">
        <v>17.282399999999999</v>
      </c>
      <c r="BO116">
        <v>800.05</v>
      </c>
      <c r="BP116">
        <v>10.3567</v>
      </c>
      <c r="BQ116">
        <v>2.7360899999999999</v>
      </c>
      <c r="BR116">
        <v>1.02525</v>
      </c>
      <c r="BS116">
        <v>22.503499999999999</v>
      </c>
      <c r="BT116">
        <v>7.2801799999999997</v>
      </c>
      <c r="BU116">
        <v>1799.99</v>
      </c>
      <c r="BV116">
        <v>0.91000800000000004</v>
      </c>
      <c r="BW116">
        <v>3.3992399999999999E-2</v>
      </c>
      <c r="BX116">
        <v>2.1999000000000001E-2</v>
      </c>
      <c r="BY116">
        <v>3.4001000000000003E-2</v>
      </c>
      <c r="BZ116">
        <v>25</v>
      </c>
      <c r="CA116">
        <v>33528.300000000003</v>
      </c>
      <c r="CB116">
        <v>1690200769.5</v>
      </c>
      <c r="CC116" t="s">
        <v>332</v>
      </c>
      <c r="CD116">
        <v>1690200769.5</v>
      </c>
      <c r="CE116">
        <v>1690200753</v>
      </c>
      <c r="CF116">
        <v>2</v>
      </c>
      <c r="CG116">
        <v>-0.245</v>
      </c>
      <c r="CH116">
        <v>3.0000000000000001E-3</v>
      </c>
      <c r="CI116">
        <v>-1.5169999999999999</v>
      </c>
      <c r="CJ116">
        <v>-1.6E-2</v>
      </c>
      <c r="CK116">
        <v>778</v>
      </c>
      <c r="CL116">
        <v>12</v>
      </c>
      <c r="CM116">
        <v>0.01</v>
      </c>
      <c r="CN116">
        <v>0.03</v>
      </c>
      <c r="CO116">
        <v>-396.43678048780492</v>
      </c>
      <c r="CP116">
        <v>-11.926620209059349</v>
      </c>
      <c r="CQ116">
        <v>1.1767091671307399</v>
      </c>
      <c r="CR116">
        <v>-1</v>
      </c>
      <c r="CS116">
        <v>17.227507317073169</v>
      </c>
      <c r="CT116">
        <v>0.30463902439023732</v>
      </c>
      <c r="CU116">
        <v>3.006653913786448E-2</v>
      </c>
      <c r="CV116">
        <v>-1</v>
      </c>
      <c r="CW116">
        <v>0</v>
      </c>
      <c r="CX116">
        <v>0</v>
      </c>
      <c r="CY116" t="s">
        <v>333</v>
      </c>
      <c r="CZ116">
        <v>2.3650899999999999</v>
      </c>
      <c r="DA116">
        <v>2.7137899999999999</v>
      </c>
      <c r="DB116">
        <v>9.0055899999999994E-2</v>
      </c>
      <c r="DC116">
        <v>0.14633199999999999</v>
      </c>
      <c r="DD116">
        <v>0.12590399999999999</v>
      </c>
      <c r="DE116">
        <v>6.0843099999999997E-2</v>
      </c>
      <c r="DF116">
        <v>33197.199999999997</v>
      </c>
      <c r="DG116">
        <v>27438.7</v>
      </c>
      <c r="DH116">
        <v>31142.2</v>
      </c>
      <c r="DI116">
        <v>28004.400000000001</v>
      </c>
      <c r="DJ116">
        <v>36934.1</v>
      </c>
      <c r="DK116">
        <v>37366</v>
      </c>
      <c r="DL116">
        <v>44308</v>
      </c>
      <c r="DM116">
        <v>42406.1</v>
      </c>
      <c r="DN116">
        <v>1.44235</v>
      </c>
      <c r="DO116">
        <v>2.0783499999999999</v>
      </c>
      <c r="DP116">
        <v>0.149287</v>
      </c>
      <c r="DQ116">
        <v>0.185754</v>
      </c>
      <c r="DR116">
        <v>24.581199999999999</v>
      </c>
      <c r="DS116">
        <v>24.484200000000001</v>
      </c>
      <c r="DT116">
        <v>35.4</v>
      </c>
      <c r="DU116">
        <v>25.3</v>
      </c>
      <c r="DV116">
        <v>11.5753</v>
      </c>
      <c r="DW116">
        <v>61.739899999999999</v>
      </c>
      <c r="DX116">
        <v>36.778799999999997</v>
      </c>
      <c r="DY116">
        <v>1</v>
      </c>
      <c r="DZ116">
        <v>-0.15919700000000001</v>
      </c>
      <c r="EA116">
        <v>-8.4991800000000006E-2</v>
      </c>
      <c r="EB116">
        <v>20.192299999999999</v>
      </c>
      <c r="EC116">
        <v>5.2415500000000002</v>
      </c>
      <c r="ED116">
        <v>12.039899999999999</v>
      </c>
      <c r="EE116">
        <v>5.0171000000000001</v>
      </c>
      <c r="EF116">
        <v>3.2879999999999998</v>
      </c>
      <c r="EG116">
        <v>9999</v>
      </c>
      <c r="EH116">
        <v>9999</v>
      </c>
      <c r="EI116">
        <v>9999</v>
      </c>
      <c r="EJ116">
        <v>999.9</v>
      </c>
      <c r="EK116">
        <v>1.86876</v>
      </c>
      <c r="EL116">
        <v>1.8644700000000001</v>
      </c>
      <c r="EM116">
        <v>1.8690500000000001</v>
      </c>
      <c r="EN116">
        <v>1.8670899999999999</v>
      </c>
      <c r="EO116">
        <v>1.8632500000000001</v>
      </c>
      <c r="EP116">
        <v>1.86436</v>
      </c>
      <c r="EQ116">
        <v>1.8701000000000001</v>
      </c>
      <c r="ER116">
        <v>1.8693200000000001</v>
      </c>
      <c r="ES116">
        <v>0</v>
      </c>
      <c r="ET116">
        <v>0</v>
      </c>
      <c r="EU116">
        <v>0</v>
      </c>
      <c r="EV116">
        <v>0</v>
      </c>
      <c r="EW116" t="s">
        <v>334</v>
      </c>
      <c r="EX116" t="s">
        <v>335</v>
      </c>
      <c r="EY116" t="s">
        <v>336</v>
      </c>
      <c r="EZ116" t="s">
        <v>336</v>
      </c>
      <c r="FA116" t="s">
        <v>336</v>
      </c>
      <c r="FB116" t="s">
        <v>336</v>
      </c>
      <c r="FC116">
        <v>0</v>
      </c>
      <c r="FD116">
        <v>100</v>
      </c>
      <c r="FE116">
        <v>100</v>
      </c>
      <c r="FF116">
        <v>-1.25</v>
      </c>
      <c r="FG116">
        <v>0.17829999999999999</v>
      </c>
      <c r="FH116">
        <v>-0.98020551812546231</v>
      </c>
      <c r="FI116">
        <v>-6.1462078757559423E-4</v>
      </c>
      <c r="FJ116">
        <v>-1.8861989874597051E-7</v>
      </c>
      <c r="FK116">
        <v>1.1980462299894961E-10</v>
      </c>
      <c r="FL116">
        <v>0.1782306200647516</v>
      </c>
      <c r="FM116">
        <v>0</v>
      </c>
      <c r="FN116">
        <v>0</v>
      </c>
      <c r="FO116">
        <v>0</v>
      </c>
      <c r="FP116">
        <v>3</v>
      </c>
      <c r="FQ116">
        <v>2158</v>
      </c>
      <c r="FR116">
        <v>1</v>
      </c>
      <c r="FS116">
        <v>19</v>
      </c>
      <c r="FT116">
        <v>18.600000000000001</v>
      </c>
      <c r="FU116">
        <v>18.899999999999999</v>
      </c>
      <c r="FV116">
        <v>1.7761199999999999</v>
      </c>
      <c r="FW116">
        <v>2.5561500000000001</v>
      </c>
      <c r="FX116">
        <v>1.5490699999999999</v>
      </c>
      <c r="FY116">
        <v>2.34253</v>
      </c>
      <c r="FZ116">
        <v>1.50146</v>
      </c>
      <c r="GA116">
        <v>2.2412100000000001</v>
      </c>
      <c r="GB116">
        <v>30.695599999999999</v>
      </c>
      <c r="GC116">
        <v>23.982399999999998</v>
      </c>
      <c r="GD116">
        <v>19</v>
      </c>
      <c r="GE116">
        <v>265.36500000000001</v>
      </c>
      <c r="GF116">
        <v>608.66200000000003</v>
      </c>
      <c r="GG116">
        <v>24.371400000000001</v>
      </c>
      <c r="GH116">
        <v>25.409400000000002</v>
      </c>
      <c r="GI116">
        <v>30.0002</v>
      </c>
      <c r="GJ116">
        <v>25.5412</v>
      </c>
      <c r="GK116">
        <v>25.5063</v>
      </c>
      <c r="GL116">
        <v>35.501399999999997</v>
      </c>
      <c r="GM116">
        <v>-30</v>
      </c>
      <c r="GN116">
        <v>-30</v>
      </c>
      <c r="GO116">
        <v>24.3596</v>
      </c>
      <c r="GP116">
        <v>800</v>
      </c>
      <c r="GQ116">
        <v>0</v>
      </c>
      <c r="GR116">
        <v>99.628200000000007</v>
      </c>
      <c r="GS116">
        <v>99.238600000000005</v>
      </c>
    </row>
    <row r="117" spans="1:201" x14ac:dyDescent="0.25">
      <c r="A117">
        <v>101</v>
      </c>
      <c r="B117">
        <v>1690201895.5</v>
      </c>
      <c r="C117">
        <v>1048.5</v>
      </c>
      <c r="D117" t="s">
        <v>535</v>
      </c>
      <c r="E117" t="s">
        <v>536</v>
      </c>
      <c r="F117" t="s">
        <v>330</v>
      </c>
      <c r="H117">
        <v>1690201895.5</v>
      </c>
      <c r="I117">
        <f t="shared" si="30"/>
        <v>1.6062340910770214E-3</v>
      </c>
      <c r="J117">
        <f t="shared" si="31"/>
        <v>1.6062340910770214</v>
      </c>
      <c r="K117">
        <f t="shared" si="32"/>
        <v>35.460107044221203</v>
      </c>
      <c r="L117">
        <f t="shared" si="33"/>
        <v>399.52</v>
      </c>
      <c r="M117">
        <f t="shared" si="34"/>
        <v>59.000346615737946</v>
      </c>
      <c r="N117">
        <f t="shared" si="35"/>
        <v>5.8464527769904846</v>
      </c>
      <c r="O117">
        <f t="shared" si="36"/>
        <v>39.589171037856005</v>
      </c>
      <c r="P117">
        <f t="shared" si="37"/>
        <v>0.1750579213899886</v>
      </c>
      <c r="Q117">
        <f t="shared" si="38"/>
        <v>2.0824055606407725</v>
      </c>
      <c r="R117">
        <f t="shared" si="39"/>
        <v>0.16727388112519967</v>
      </c>
      <c r="S117">
        <f t="shared" si="40"/>
        <v>0.10521669511358203</v>
      </c>
      <c r="T117">
        <f t="shared" si="41"/>
        <v>276.11367619061019</v>
      </c>
      <c r="U117">
        <f t="shared" si="42"/>
        <v>27.3920547832053</v>
      </c>
      <c r="V117">
        <f t="shared" si="43"/>
        <v>27.3920547832053</v>
      </c>
      <c r="W117">
        <f t="shared" si="44"/>
        <v>3.6624076479527412</v>
      </c>
      <c r="X117">
        <f t="shared" si="45"/>
        <v>82.545177972446155</v>
      </c>
      <c r="Y117">
        <f t="shared" si="46"/>
        <v>2.7416333315152803</v>
      </c>
      <c r="Z117">
        <f t="shared" si="47"/>
        <v>3.3213730939322055</v>
      </c>
      <c r="AA117">
        <f t="shared" si="48"/>
        <v>0.92077431643746088</v>
      </c>
      <c r="AB117">
        <f t="shared" si="49"/>
        <v>-70.834923416496636</v>
      </c>
      <c r="AC117">
        <f t="shared" si="50"/>
        <v>-186.22284033523738</v>
      </c>
      <c r="AD117">
        <f t="shared" si="51"/>
        <v>-19.215216359746044</v>
      </c>
      <c r="AE117">
        <f t="shared" si="52"/>
        <v>-0.15930392086983147</v>
      </c>
      <c r="AF117">
        <v>14</v>
      </c>
      <c r="AG117">
        <v>5</v>
      </c>
      <c r="AH117">
        <f t="shared" si="53"/>
        <v>1</v>
      </c>
      <c r="AI117">
        <f t="shared" si="54"/>
        <v>0</v>
      </c>
      <c r="AJ117">
        <f t="shared" si="55"/>
        <v>52666.873776797984</v>
      </c>
      <c r="AK117">
        <f t="shared" si="56"/>
        <v>1799.99</v>
      </c>
      <c r="AL117">
        <f t="shared" si="57"/>
        <v>1499.1022460079198</v>
      </c>
      <c r="AM117">
        <f t="shared" si="58"/>
        <v>0.83283920799999989</v>
      </c>
      <c r="AN117">
        <f t="shared" si="59"/>
        <v>0.15339733897999999</v>
      </c>
      <c r="AO117">
        <v>33.299999999999997</v>
      </c>
      <c r="AP117">
        <v>0.5</v>
      </c>
      <c r="AQ117" t="s">
        <v>331</v>
      </c>
      <c r="AR117">
        <v>2</v>
      </c>
      <c r="AS117">
        <v>1690201895.5</v>
      </c>
      <c r="AT117">
        <v>399.52</v>
      </c>
      <c r="AU117">
        <v>799.98199999999997</v>
      </c>
      <c r="AV117">
        <v>27.6676</v>
      </c>
      <c r="AW117">
        <v>10.343299999999999</v>
      </c>
      <c r="AX117">
        <v>400.77</v>
      </c>
      <c r="AY117">
        <v>27.4894</v>
      </c>
      <c r="AZ117">
        <v>300.20100000000002</v>
      </c>
      <c r="BA117">
        <v>98.991900000000001</v>
      </c>
      <c r="BB117">
        <v>9.9937799999999993E-2</v>
      </c>
      <c r="BC117">
        <v>25.7333</v>
      </c>
      <c r="BD117">
        <v>26.9907</v>
      </c>
      <c r="BE117">
        <v>27.519200000000001</v>
      </c>
      <c r="BF117">
        <v>0</v>
      </c>
      <c r="BG117">
        <v>0</v>
      </c>
      <c r="BH117">
        <v>10020</v>
      </c>
      <c r="BI117">
        <v>1073.74</v>
      </c>
      <c r="BJ117">
        <v>1.5137799999999999</v>
      </c>
      <c r="BK117">
        <v>-400.46199999999999</v>
      </c>
      <c r="BL117">
        <v>410.88900000000001</v>
      </c>
      <c r="BM117">
        <v>808.34299999999996</v>
      </c>
      <c r="BN117">
        <v>17.324400000000001</v>
      </c>
      <c r="BO117">
        <v>799.98199999999997</v>
      </c>
      <c r="BP117">
        <v>10.343299999999999</v>
      </c>
      <c r="BQ117">
        <v>2.7388699999999999</v>
      </c>
      <c r="BR117">
        <v>1.0239</v>
      </c>
      <c r="BS117">
        <v>22.520199999999999</v>
      </c>
      <c r="BT117">
        <v>7.2609700000000004</v>
      </c>
      <c r="BU117">
        <v>1799.99</v>
      </c>
      <c r="BV117">
        <v>0.90999600000000003</v>
      </c>
      <c r="BW117">
        <v>3.4008400000000001E-2</v>
      </c>
      <c r="BX117">
        <v>2.19974E-2</v>
      </c>
      <c r="BY117">
        <v>3.3998599999999997E-2</v>
      </c>
      <c r="BZ117">
        <v>25</v>
      </c>
      <c r="CA117">
        <v>33528.199999999997</v>
      </c>
      <c r="CB117">
        <v>1690200769.5</v>
      </c>
      <c r="CC117" t="s">
        <v>332</v>
      </c>
      <c r="CD117">
        <v>1690200769.5</v>
      </c>
      <c r="CE117">
        <v>1690200753</v>
      </c>
      <c r="CF117">
        <v>2</v>
      </c>
      <c r="CG117">
        <v>-0.245</v>
      </c>
      <c r="CH117">
        <v>3.0000000000000001E-3</v>
      </c>
      <c r="CI117">
        <v>-1.5169999999999999</v>
      </c>
      <c r="CJ117">
        <v>-1.6E-2</v>
      </c>
      <c r="CK117">
        <v>778</v>
      </c>
      <c r="CL117">
        <v>12</v>
      </c>
      <c r="CM117">
        <v>0.01</v>
      </c>
      <c r="CN117">
        <v>0.03</v>
      </c>
      <c r="CO117">
        <v>-398.36630000000002</v>
      </c>
      <c r="CP117">
        <v>-11.987729831143699</v>
      </c>
      <c r="CQ117">
        <v>1.153651663198209</v>
      </c>
      <c r="CR117">
        <v>-1</v>
      </c>
      <c r="CS117">
        <v>17.275052500000001</v>
      </c>
      <c r="CT117">
        <v>0.28258649155716398</v>
      </c>
      <c r="CU117">
        <v>2.7207857206145589E-2</v>
      </c>
      <c r="CV117">
        <v>-1</v>
      </c>
      <c r="CW117">
        <v>0</v>
      </c>
      <c r="CX117">
        <v>0</v>
      </c>
      <c r="CY117" t="s">
        <v>333</v>
      </c>
      <c r="CZ117">
        <v>2.3654799999999998</v>
      </c>
      <c r="DA117">
        <v>2.7137500000000001</v>
      </c>
      <c r="DB117">
        <v>8.9733400000000005E-2</v>
      </c>
      <c r="DC117">
        <v>0.14632000000000001</v>
      </c>
      <c r="DD117">
        <v>0.12599199999999999</v>
      </c>
      <c r="DE117">
        <v>6.0781599999999998E-2</v>
      </c>
      <c r="DF117">
        <v>33209.1</v>
      </c>
      <c r="DG117">
        <v>27439.1</v>
      </c>
      <c r="DH117">
        <v>31142.400000000001</v>
      </c>
      <c r="DI117">
        <v>28004.400000000001</v>
      </c>
      <c r="DJ117">
        <v>36930.5</v>
      </c>
      <c r="DK117">
        <v>37368.800000000003</v>
      </c>
      <c r="DL117">
        <v>44308.3</v>
      </c>
      <c r="DM117">
        <v>42406.400000000001</v>
      </c>
      <c r="DN117">
        <v>1.4419200000000001</v>
      </c>
      <c r="DO117">
        <v>2.0781000000000001</v>
      </c>
      <c r="DP117">
        <v>0.146791</v>
      </c>
      <c r="DQ117">
        <v>0.18489700000000001</v>
      </c>
      <c r="DR117">
        <v>24.5854</v>
      </c>
      <c r="DS117">
        <v>24.490400000000001</v>
      </c>
      <c r="DT117">
        <v>35.4</v>
      </c>
      <c r="DU117">
        <v>25.3</v>
      </c>
      <c r="DV117">
        <v>11.575799999999999</v>
      </c>
      <c r="DW117">
        <v>61.6999</v>
      </c>
      <c r="DX117">
        <v>35.901400000000002</v>
      </c>
      <c r="DY117">
        <v>1</v>
      </c>
      <c r="DZ117">
        <v>-0.15909799999999999</v>
      </c>
      <c r="EA117">
        <v>-7.5054500000000003E-3</v>
      </c>
      <c r="EB117">
        <v>20.192499999999999</v>
      </c>
      <c r="EC117">
        <v>5.2413999999999996</v>
      </c>
      <c r="ED117">
        <v>12.039899999999999</v>
      </c>
      <c r="EE117">
        <v>5.01715</v>
      </c>
      <c r="EF117">
        <v>3.2879999999999998</v>
      </c>
      <c r="EG117">
        <v>9999</v>
      </c>
      <c r="EH117">
        <v>9999</v>
      </c>
      <c r="EI117">
        <v>9999</v>
      </c>
      <c r="EJ117">
        <v>999.9</v>
      </c>
      <c r="EK117">
        <v>1.8687499999999999</v>
      </c>
      <c r="EL117">
        <v>1.8644700000000001</v>
      </c>
      <c r="EM117">
        <v>1.8690500000000001</v>
      </c>
      <c r="EN117">
        <v>1.86711</v>
      </c>
      <c r="EO117">
        <v>1.8632500000000001</v>
      </c>
      <c r="EP117">
        <v>1.86436</v>
      </c>
      <c r="EQ117">
        <v>1.8701099999999999</v>
      </c>
      <c r="ER117">
        <v>1.86934</v>
      </c>
      <c r="ES117">
        <v>0</v>
      </c>
      <c r="ET117">
        <v>0</v>
      </c>
      <c r="EU117">
        <v>0</v>
      </c>
      <c r="EV117">
        <v>0</v>
      </c>
      <c r="EW117" t="s">
        <v>334</v>
      </c>
      <c r="EX117" t="s">
        <v>335</v>
      </c>
      <c r="EY117" t="s">
        <v>336</v>
      </c>
      <c r="EZ117" t="s">
        <v>336</v>
      </c>
      <c r="FA117" t="s">
        <v>336</v>
      </c>
      <c r="FB117" t="s">
        <v>336</v>
      </c>
      <c r="FC117">
        <v>0</v>
      </c>
      <c r="FD117">
        <v>100</v>
      </c>
      <c r="FE117">
        <v>100</v>
      </c>
      <c r="FF117">
        <v>-1.25</v>
      </c>
      <c r="FG117">
        <v>0.1782</v>
      </c>
      <c r="FH117">
        <v>-0.98020551812546231</v>
      </c>
      <c r="FI117">
        <v>-6.1462078757559423E-4</v>
      </c>
      <c r="FJ117">
        <v>-1.8861989874597051E-7</v>
      </c>
      <c r="FK117">
        <v>1.1980462299894961E-10</v>
      </c>
      <c r="FL117">
        <v>0.1782306200647516</v>
      </c>
      <c r="FM117">
        <v>0</v>
      </c>
      <c r="FN117">
        <v>0</v>
      </c>
      <c r="FO117">
        <v>0</v>
      </c>
      <c r="FP117">
        <v>3</v>
      </c>
      <c r="FQ117">
        <v>2158</v>
      </c>
      <c r="FR117">
        <v>1</v>
      </c>
      <c r="FS117">
        <v>19</v>
      </c>
      <c r="FT117">
        <v>18.8</v>
      </c>
      <c r="FU117">
        <v>19</v>
      </c>
      <c r="FV117">
        <v>1.7761199999999999</v>
      </c>
      <c r="FW117">
        <v>2.5427200000000001</v>
      </c>
      <c r="FX117">
        <v>1.5490699999999999</v>
      </c>
      <c r="FY117">
        <v>2.34375</v>
      </c>
      <c r="FZ117">
        <v>1.50146</v>
      </c>
      <c r="GA117">
        <v>2.3803700000000001</v>
      </c>
      <c r="GB117">
        <v>30.695599999999999</v>
      </c>
      <c r="GC117">
        <v>23.991199999999999</v>
      </c>
      <c r="GD117">
        <v>19</v>
      </c>
      <c r="GE117">
        <v>265.19299999999998</v>
      </c>
      <c r="GF117">
        <v>608.44899999999996</v>
      </c>
      <c r="GG117">
        <v>24.331</v>
      </c>
      <c r="GH117">
        <v>25.408799999999999</v>
      </c>
      <c r="GI117">
        <v>30.0001</v>
      </c>
      <c r="GJ117">
        <v>25.5412</v>
      </c>
      <c r="GK117">
        <v>25.5063</v>
      </c>
      <c r="GL117">
        <v>35.502200000000002</v>
      </c>
      <c r="GM117">
        <v>-30</v>
      </c>
      <c r="GN117">
        <v>-30</v>
      </c>
      <c r="GO117">
        <v>24.309799999999999</v>
      </c>
      <c r="GP117">
        <v>800</v>
      </c>
      <c r="GQ117">
        <v>0</v>
      </c>
      <c r="GR117">
        <v>99.628799999999998</v>
      </c>
      <c r="GS117">
        <v>99.2393</v>
      </c>
    </row>
    <row r="118" spans="1:201" x14ac:dyDescent="0.25">
      <c r="A118">
        <v>102</v>
      </c>
      <c r="B118">
        <v>1690201905.5</v>
      </c>
      <c r="C118">
        <v>1058.5</v>
      </c>
      <c r="D118" t="s">
        <v>537</v>
      </c>
      <c r="E118" t="s">
        <v>538</v>
      </c>
      <c r="F118" t="s">
        <v>330</v>
      </c>
      <c r="H118">
        <v>1690201905.5</v>
      </c>
      <c r="I118">
        <f t="shared" si="30"/>
        <v>1.6100278751986052E-3</v>
      </c>
      <c r="J118">
        <f t="shared" si="31"/>
        <v>1.6100278751986052</v>
      </c>
      <c r="K118">
        <f t="shared" si="32"/>
        <v>35.627074677589441</v>
      </c>
      <c r="L118">
        <f t="shared" si="33"/>
        <v>397.65</v>
      </c>
      <c r="M118">
        <f t="shared" si="34"/>
        <v>57.423976387977248</v>
      </c>
      <c r="N118">
        <f t="shared" si="35"/>
        <v>5.6902572424772053</v>
      </c>
      <c r="O118">
        <f t="shared" si="36"/>
        <v>39.403937776499994</v>
      </c>
      <c r="P118">
        <f t="shared" si="37"/>
        <v>0.17606534621891504</v>
      </c>
      <c r="Q118">
        <f t="shared" si="38"/>
        <v>2.0792004090039904</v>
      </c>
      <c r="R118">
        <f t="shared" si="39"/>
        <v>0.16818207142043742</v>
      </c>
      <c r="S118">
        <f t="shared" si="40"/>
        <v>0.10579265862468429</v>
      </c>
      <c r="T118">
        <f t="shared" si="41"/>
        <v>276.11503169399998</v>
      </c>
      <c r="U118">
        <f t="shared" si="42"/>
        <v>27.391633438456378</v>
      </c>
      <c r="V118">
        <f t="shared" si="43"/>
        <v>27.391633438456378</v>
      </c>
      <c r="W118">
        <f t="shared" si="44"/>
        <v>3.6623172813340865</v>
      </c>
      <c r="X118">
        <f t="shared" si="45"/>
        <v>82.634225794768426</v>
      </c>
      <c r="Y118">
        <f t="shared" si="46"/>
        <v>2.7443631261509998</v>
      </c>
      <c r="Z118">
        <f t="shared" si="47"/>
        <v>3.3210974021429576</v>
      </c>
      <c r="AA118">
        <f t="shared" si="48"/>
        <v>0.91795415518308676</v>
      </c>
      <c r="AB118">
        <f t="shared" si="49"/>
        <v>-71.002229296258491</v>
      </c>
      <c r="AC118">
        <f t="shared" si="50"/>
        <v>-186.04591515703075</v>
      </c>
      <c r="AD118">
        <f t="shared" si="51"/>
        <v>-19.226378049597244</v>
      </c>
      <c r="AE118">
        <f t="shared" si="52"/>
        <v>-0.15949080888651679</v>
      </c>
      <c r="AF118">
        <v>14</v>
      </c>
      <c r="AG118">
        <v>5</v>
      </c>
      <c r="AH118">
        <f t="shared" si="53"/>
        <v>1</v>
      </c>
      <c r="AI118">
        <f t="shared" si="54"/>
        <v>0</v>
      </c>
      <c r="AJ118">
        <f t="shared" si="55"/>
        <v>52522.246312134623</v>
      </c>
      <c r="AK118">
        <f t="shared" si="56"/>
        <v>1800</v>
      </c>
      <c r="AL118">
        <f t="shared" si="57"/>
        <v>1499.1111414</v>
      </c>
      <c r="AM118">
        <f t="shared" si="58"/>
        <v>0.83283952299999997</v>
      </c>
      <c r="AN118">
        <f t="shared" si="59"/>
        <v>0.15339723983</v>
      </c>
      <c r="AO118">
        <v>33.299999999999997</v>
      </c>
      <c r="AP118">
        <v>0.5</v>
      </c>
      <c r="AQ118" t="s">
        <v>331</v>
      </c>
      <c r="AR118">
        <v>2</v>
      </c>
      <c r="AS118">
        <v>1690201905.5</v>
      </c>
      <c r="AT118">
        <v>397.65</v>
      </c>
      <c r="AU118">
        <v>799.97699999999998</v>
      </c>
      <c r="AV118">
        <v>27.6951</v>
      </c>
      <c r="AW118">
        <v>10.3291</v>
      </c>
      <c r="AX118">
        <v>398.89800000000002</v>
      </c>
      <c r="AY118">
        <v>27.5169</v>
      </c>
      <c r="AZ118">
        <v>300.17899999999997</v>
      </c>
      <c r="BA118">
        <v>98.992000000000004</v>
      </c>
      <c r="BB118">
        <v>0.10001</v>
      </c>
      <c r="BC118">
        <v>25.7319</v>
      </c>
      <c r="BD118">
        <v>26.9893</v>
      </c>
      <c r="BE118">
        <v>27.520700000000001</v>
      </c>
      <c r="BF118">
        <v>0</v>
      </c>
      <c r="BG118">
        <v>0</v>
      </c>
      <c r="BH118">
        <v>9991.25</v>
      </c>
      <c r="BI118">
        <v>1073.8</v>
      </c>
      <c r="BJ118">
        <v>1.5137799999999999</v>
      </c>
      <c r="BK118">
        <v>-402.327</v>
      </c>
      <c r="BL118">
        <v>408.97699999999998</v>
      </c>
      <c r="BM118">
        <v>808.32600000000002</v>
      </c>
      <c r="BN118">
        <v>17.366</v>
      </c>
      <c r="BO118">
        <v>799.97699999999998</v>
      </c>
      <c r="BP118">
        <v>10.3291</v>
      </c>
      <c r="BQ118">
        <v>2.74159</v>
      </c>
      <c r="BR118">
        <v>1.0225</v>
      </c>
      <c r="BS118">
        <v>22.5366</v>
      </c>
      <c r="BT118">
        <v>7.2409800000000004</v>
      </c>
      <c r="BU118">
        <v>1800</v>
      </c>
      <c r="BV118">
        <v>0.91</v>
      </c>
      <c r="BW118">
        <v>3.40069E-2</v>
      </c>
      <c r="BX118">
        <v>2.1996399999999999E-2</v>
      </c>
      <c r="BY118">
        <v>3.3997100000000002E-2</v>
      </c>
      <c r="BZ118">
        <v>25</v>
      </c>
      <c r="CA118">
        <v>33528.400000000001</v>
      </c>
      <c r="CB118">
        <v>1690200769.5</v>
      </c>
      <c r="CC118" t="s">
        <v>332</v>
      </c>
      <c r="CD118">
        <v>1690200769.5</v>
      </c>
      <c r="CE118">
        <v>1690200753</v>
      </c>
      <c r="CF118">
        <v>2</v>
      </c>
      <c r="CG118">
        <v>-0.245</v>
      </c>
      <c r="CH118">
        <v>3.0000000000000001E-3</v>
      </c>
      <c r="CI118">
        <v>-1.5169999999999999</v>
      </c>
      <c r="CJ118">
        <v>-1.6E-2</v>
      </c>
      <c r="CK118">
        <v>778</v>
      </c>
      <c r="CL118">
        <v>12</v>
      </c>
      <c r="CM118">
        <v>0.01</v>
      </c>
      <c r="CN118">
        <v>0.03</v>
      </c>
      <c r="CO118">
        <v>-400.30385365853658</v>
      </c>
      <c r="CP118">
        <v>-10.84829268292647</v>
      </c>
      <c r="CQ118">
        <v>1.070416138841104</v>
      </c>
      <c r="CR118">
        <v>-1</v>
      </c>
      <c r="CS118">
        <v>17.320734146341469</v>
      </c>
      <c r="CT118">
        <v>0.253741463414627</v>
      </c>
      <c r="CU118">
        <v>2.502504706027207E-2</v>
      </c>
      <c r="CV118">
        <v>-1</v>
      </c>
      <c r="CW118">
        <v>0</v>
      </c>
      <c r="CX118">
        <v>0</v>
      </c>
      <c r="CY118" t="s">
        <v>333</v>
      </c>
      <c r="CZ118">
        <v>2.3654299999999999</v>
      </c>
      <c r="DA118">
        <v>2.7137899999999999</v>
      </c>
      <c r="DB118">
        <v>8.9412800000000001E-2</v>
      </c>
      <c r="DC118">
        <v>0.14632000000000001</v>
      </c>
      <c r="DD118">
        <v>0.126079</v>
      </c>
      <c r="DE118">
        <v>6.0718000000000001E-2</v>
      </c>
      <c r="DF118">
        <v>33221.1</v>
      </c>
      <c r="DG118">
        <v>27439.7</v>
      </c>
      <c r="DH118">
        <v>31142.7</v>
      </c>
      <c r="DI118">
        <v>28005</v>
      </c>
      <c r="DJ118">
        <v>36927.1</v>
      </c>
      <c r="DK118">
        <v>37372</v>
      </c>
      <c r="DL118">
        <v>44308.6</v>
      </c>
      <c r="DM118">
        <v>42407.199999999997</v>
      </c>
      <c r="DN118">
        <v>1.44235</v>
      </c>
      <c r="DO118">
        <v>2.0780500000000002</v>
      </c>
      <c r="DP118">
        <v>0.14647099999999999</v>
      </c>
      <c r="DQ118">
        <v>0.18476300000000001</v>
      </c>
      <c r="DR118">
        <v>24.589099999999998</v>
      </c>
      <c r="DS118">
        <v>24.4941</v>
      </c>
      <c r="DT118">
        <v>35.299999999999997</v>
      </c>
      <c r="DU118">
        <v>25.3</v>
      </c>
      <c r="DV118">
        <v>11.542299999999999</v>
      </c>
      <c r="DW118">
        <v>61.689900000000002</v>
      </c>
      <c r="DX118">
        <v>35.861400000000003</v>
      </c>
      <c r="DY118">
        <v>1</v>
      </c>
      <c r="DZ118">
        <v>-0.159639</v>
      </c>
      <c r="EA118">
        <v>-0.26450200000000001</v>
      </c>
      <c r="EB118">
        <v>20.192</v>
      </c>
      <c r="EC118">
        <v>5.2413999999999996</v>
      </c>
      <c r="ED118">
        <v>12.039899999999999</v>
      </c>
      <c r="EE118">
        <v>5.0172499999999998</v>
      </c>
      <c r="EF118">
        <v>3.2879999999999998</v>
      </c>
      <c r="EG118">
        <v>9999</v>
      </c>
      <c r="EH118">
        <v>9999</v>
      </c>
      <c r="EI118">
        <v>9999</v>
      </c>
      <c r="EJ118">
        <v>999.9</v>
      </c>
      <c r="EK118">
        <v>1.86877</v>
      </c>
      <c r="EL118">
        <v>1.8644700000000001</v>
      </c>
      <c r="EM118">
        <v>1.8690500000000001</v>
      </c>
      <c r="EN118">
        <v>1.8671</v>
      </c>
      <c r="EO118">
        <v>1.86327</v>
      </c>
      <c r="EP118">
        <v>1.86435</v>
      </c>
      <c r="EQ118">
        <v>1.8701099999999999</v>
      </c>
      <c r="ER118">
        <v>1.8693299999999999</v>
      </c>
      <c r="ES118">
        <v>0</v>
      </c>
      <c r="ET118">
        <v>0</v>
      </c>
      <c r="EU118">
        <v>0</v>
      </c>
      <c r="EV118">
        <v>0</v>
      </c>
      <c r="EW118" t="s">
        <v>334</v>
      </c>
      <c r="EX118" t="s">
        <v>335</v>
      </c>
      <c r="EY118" t="s">
        <v>336</v>
      </c>
      <c r="EZ118" t="s">
        <v>336</v>
      </c>
      <c r="FA118" t="s">
        <v>336</v>
      </c>
      <c r="FB118" t="s">
        <v>336</v>
      </c>
      <c r="FC118">
        <v>0</v>
      </c>
      <c r="FD118">
        <v>100</v>
      </c>
      <c r="FE118">
        <v>100</v>
      </c>
      <c r="FF118">
        <v>-1.248</v>
      </c>
      <c r="FG118">
        <v>0.1782</v>
      </c>
      <c r="FH118">
        <v>-0.98020551812546231</v>
      </c>
      <c r="FI118">
        <v>-6.1462078757559423E-4</v>
      </c>
      <c r="FJ118">
        <v>-1.8861989874597051E-7</v>
      </c>
      <c r="FK118">
        <v>1.1980462299894961E-10</v>
      </c>
      <c r="FL118">
        <v>0.1782306200647516</v>
      </c>
      <c r="FM118">
        <v>0</v>
      </c>
      <c r="FN118">
        <v>0</v>
      </c>
      <c r="FO118">
        <v>0</v>
      </c>
      <c r="FP118">
        <v>3</v>
      </c>
      <c r="FQ118">
        <v>2158</v>
      </c>
      <c r="FR118">
        <v>1</v>
      </c>
      <c r="FS118">
        <v>19</v>
      </c>
      <c r="FT118">
        <v>18.899999999999999</v>
      </c>
      <c r="FU118">
        <v>19.2</v>
      </c>
      <c r="FV118">
        <v>1.7761199999999999</v>
      </c>
      <c r="FW118">
        <v>2.5512700000000001</v>
      </c>
      <c r="FX118">
        <v>1.5490699999999999</v>
      </c>
      <c r="FY118">
        <v>2.34375</v>
      </c>
      <c r="FZ118">
        <v>1.50146</v>
      </c>
      <c r="GA118">
        <v>2.32666</v>
      </c>
      <c r="GB118">
        <v>30.717199999999998</v>
      </c>
      <c r="GC118">
        <v>23.982399999999998</v>
      </c>
      <c r="GD118">
        <v>19</v>
      </c>
      <c r="GE118">
        <v>265.36399999999998</v>
      </c>
      <c r="GF118">
        <v>608.40700000000004</v>
      </c>
      <c r="GG118">
        <v>24.344000000000001</v>
      </c>
      <c r="GH118">
        <v>25.408799999999999</v>
      </c>
      <c r="GI118">
        <v>30.0001</v>
      </c>
      <c r="GJ118">
        <v>25.5412</v>
      </c>
      <c r="GK118">
        <v>25.5063</v>
      </c>
      <c r="GL118">
        <v>35.500100000000003</v>
      </c>
      <c r="GM118">
        <v>-30</v>
      </c>
      <c r="GN118">
        <v>-30</v>
      </c>
      <c r="GO118">
        <v>24.371200000000002</v>
      </c>
      <c r="GP118">
        <v>800</v>
      </c>
      <c r="GQ118">
        <v>0</v>
      </c>
      <c r="GR118">
        <v>99.629599999999996</v>
      </c>
      <c r="GS118">
        <v>99.241200000000006</v>
      </c>
    </row>
    <row r="119" spans="1:201" x14ac:dyDescent="0.25">
      <c r="A119">
        <v>103</v>
      </c>
      <c r="B119">
        <v>1690201915.5</v>
      </c>
      <c r="C119">
        <v>1068.5</v>
      </c>
      <c r="D119" t="s">
        <v>539</v>
      </c>
      <c r="E119" t="s">
        <v>540</v>
      </c>
      <c r="F119" t="s">
        <v>330</v>
      </c>
      <c r="H119">
        <v>1690201915.5</v>
      </c>
      <c r="I119">
        <f t="shared" si="30"/>
        <v>1.6126471802062627E-3</v>
      </c>
      <c r="J119">
        <f t="shared" si="31"/>
        <v>1.6126471802062627</v>
      </c>
      <c r="K119">
        <f t="shared" si="32"/>
        <v>35.776369277862969</v>
      </c>
      <c r="L119">
        <f t="shared" si="33"/>
        <v>395.83600000000001</v>
      </c>
      <c r="M119">
        <f t="shared" si="34"/>
        <v>55.212755946683956</v>
      </c>
      <c r="N119">
        <f t="shared" si="35"/>
        <v>5.4713092652172772</v>
      </c>
      <c r="O119">
        <f t="shared" si="36"/>
        <v>39.225377128391997</v>
      </c>
      <c r="P119">
        <f t="shared" si="37"/>
        <v>0.17659549854480816</v>
      </c>
      <c r="Q119">
        <f t="shared" si="38"/>
        <v>2.0796529347572434</v>
      </c>
      <c r="R119">
        <f t="shared" si="39"/>
        <v>0.16866746874720082</v>
      </c>
      <c r="S119">
        <f t="shared" si="40"/>
        <v>0.10609980722399739</v>
      </c>
      <c r="T119">
        <f t="shared" si="41"/>
        <v>276.11316276146255</v>
      </c>
      <c r="U119">
        <f t="shared" si="42"/>
        <v>27.397145694044127</v>
      </c>
      <c r="V119">
        <f t="shared" si="43"/>
        <v>27.397145694044127</v>
      </c>
      <c r="W119">
        <f t="shared" si="44"/>
        <v>3.6634996592038016</v>
      </c>
      <c r="X119">
        <f t="shared" si="45"/>
        <v>82.670833764804485</v>
      </c>
      <c r="Y119">
        <f t="shared" si="46"/>
        <v>2.7466860912894</v>
      </c>
      <c r="Z119">
        <f t="shared" si="47"/>
        <v>3.32243666382224</v>
      </c>
      <c r="AA119">
        <f t="shared" si="48"/>
        <v>0.91681356791440161</v>
      </c>
      <c r="AB119">
        <f t="shared" si="49"/>
        <v>-71.117740647096184</v>
      </c>
      <c r="AC119">
        <f t="shared" si="50"/>
        <v>-185.94202730871814</v>
      </c>
      <c r="AD119">
        <f t="shared" si="51"/>
        <v>-19.212645000054906</v>
      </c>
      <c r="AE119">
        <f t="shared" si="52"/>
        <v>-0.1592501944066953</v>
      </c>
      <c r="AF119">
        <v>13</v>
      </c>
      <c r="AG119">
        <v>4</v>
      </c>
      <c r="AH119">
        <f t="shared" si="53"/>
        <v>1</v>
      </c>
      <c r="AI119">
        <f t="shared" si="54"/>
        <v>0</v>
      </c>
      <c r="AJ119">
        <f t="shared" si="55"/>
        <v>52541.553083634448</v>
      </c>
      <c r="AK119">
        <f t="shared" si="56"/>
        <v>1799.99</v>
      </c>
      <c r="AL119">
        <f t="shared" si="57"/>
        <v>1499.1036877999099</v>
      </c>
      <c r="AM119">
        <f t="shared" si="58"/>
        <v>0.83284000899999999</v>
      </c>
      <c r="AN119">
        <f t="shared" si="59"/>
        <v>0.15339705373999998</v>
      </c>
      <c r="AO119">
        <v>33.299999999999997</v>
      </c>
      <c r="AP119">
        <v>0.5</v>
      </c>
      <c r="AQ119" t="s">
        <v>331</v>
      </c>
      <c r="AR119">
        <v>2</v>
      </c>
      <c r="AS119">
        <v>1690201915.5</v>
      </c>
      <c r="AT119">
        <v>395.83600000000001</v>
      </c>
      <c r="AU119">
        <v>799.976</v>
      </c>
      <c r="AV119">
        <v>27.717700000000001</v>
      </c>
      <c r="AW119">
        <v>10.3162</v>
      </c>
      <c r="AX119">
        <v>397.08300000000003</v>
      </c>
      <c r="AY119">
        <v>27.539400000000001</v>
      </c>
      <c r="AZ119">
        <v>300.04700000000003</v>
      </c>
      <c r="BA119">
        <v>98.995000000000005</v>
      </c>
      <c r="BB119">
        <v>0.100022</v>
      </c>
      <c r="BC119">
        <v>25.738700000000001</v>
      </c>
      <c r="BD119">
        <v>27.0351</v>
      </c>
      <c r="BE119">
        <v>27.486799999999999</v>
      </c>
      <c r="BF119">
        <v>0</v>
      </c>
      <c r="BG119">
        <v>0</v>
      </c>
      <c r="BH119">
        <v>9995</v>
      </c>
      <c r="BI119">
        <v>1073.8499999999999</v>
      </c>
      <c r="BJ119">
        <v>1.5137799999999999</v>
      </c>
      <c r="BK119">
        <v>-404.13900000000001</v>
      </c>
      <c r="BL119">
        <v>407.12099999999998</v>
      </c>
      <c r="BM119">
        <v>808.31500000000005</v>
      </c>
      <c r="BN119">
        <v>17.401399999999999</v>
      </c>
      <c r="BO119">
        <v>799.976</v>
      </c>
      <c r="BP119">
        <v>10.3162</v>
      </c>
      <c r="BQ119">
        <v>2.7439100000000001</v>
      </c>
      <c r="BR119">
        <v>1.0212600000000001</v>
      </c>
      <c r="BS119">
        <v>22.5505</v>
      </c>
      <c r="BT119">
        <v>7.2232200000000004</v>
      </c>
      <c r="BU119">
        <v>1799.99</v>
      </c>
      <c r="BV119">
        <v>0.91000700000000001</v>
      </c>
      <c r="BW119">
        <v>3.4004199999999998E-2</v>
      </c>
      <c r="BX119">
        <v>2.1994699999999999E-2</v>
      </c>
      <c r="BY119">
        <v>3.3994400000000001E-2</v>
      </c>
      <c r="BZ119">
        <v>25</v>
      </c>
      <c r="CA119">
        <v>33528.300000000003</v>
      </c>
      <c r="CB119">
        <v>1690200769.5</v>
      </c>
      <c r="CC119" t="s">
        <v>332</v>
      </c>
      <c r="CD119">
        <v>1690200769.5</v>
      </c>
      <c r="CE119">
        <v>1690200753</v>
      </c>
      <c r="CF119">
        <v>2</v>
      </c>
      <c r="CG119">
        <v>-0.245</v>
      </c>
      <c r="CH119">
        <v>3.0000000000000001E-3</v>
      </c>
      <c r="CI119">
        <v>-1.5169999999999999</v>
      </c>
      <c r="CJ119">
        <v>-1.6E-2</v>
      </c>
      <c r="CK119">
        <v>778</v>
      </c>
      <c r="CL119">
        <v>12</v>
      </c>
      <c r="CM119">
        <v>0.01</v>
      </c>
      <c r="CN119">
        <v>0.03</v>
      </c>
      <c r="CO119">
        <v>-402.14058536585372</v>
      </c>
      <c r="CP119">
        <v>-11.288926829267909</v>
      </c>
      <c r="CQ119">
        <v>1.1134104928729109</v>
      </c>
      <c r="CR119">
        <v>-1</v>
      </c>
      <c r="CS119">
        <v>17.361092682926831</v>
      </c>
      <c r="CT119">
        <v>0.23503275261324499</v>
      </c>
      <c r="CU119">
        <v>2.3200582312329181E-2</v>
      </c>
      <c r="CV119">
        <v>-1</v>
      </c>
      <c r="CW119">
        <v>0</v>
      </c>
      <c r="CX119">
        <v>0</v>
      </c>
      <c r="CY119" t="s">
        <v>333</v>
      </c>
      <c r="CZ119">
        <v>2.3649900000000001</v>
      </c>
      <c r="DA119">
        <v>2.7138100000000001</v>
      </c>
      <c r="DB119">
        <v>8.9103600000000005E-2</v>
      </c>
      <c r="DC119">
        <v>0.14632300000000001</v>
      </c>
      <c r="DD119">
        <v>0.12615399999999999</v>
      </c>
      <c r="DE119">
        <v>6.0661699999999999E-2</v>
      </c>
      <c r="DF119">
        <v>33232.1</v>
      </c>
      <c r="DG119">
        <v>27439.599999999999</v>
      </c>
      <c r="DH119">
        <v>31142.400000000001</v>
      </c>
      <c r="DI119">
        <v>28005</v>
      </c>
      <c r="DJ119">
        <v>36923.599999999999</v>
      </c>
      <c r="DK119">
        <v>37374.5</v>
      </c>
      <c r="DL119">
        <v>44308.4</v>
      </c>
      <c r="DM119">
        <v>42407.6</v>
      </c>
      <c r="DN119">
        <v>1.4423699999999999</v>
      </c>
      <c r="DO119">
        <v>2.0779999999999998</v>
      </c>
      <c r="DP119">
        <v>0.149142</v>
      </c>
      <c r="DQ119">
        <v>0.182562</v>
      </c>
      <c r="DR119">
        <v>24.591200000000001</v>
      </c>
      <c r="DS119">
        <v>24.496200000000002</v>
      </c>
      <c r="DT119">
        <v>35.200000000000003</v>
      </c>
      <c r="DU119">
        <v>25.3</v>
      </c>
      <c r="DV119">
        <v>11.510400000000001</v>
      </c>
      <c r="DW119">
        <v>62.099899999999998</v>
      </c>
      <c r="DX119">
        <v>36.975200000000001</v>
      </c>
      <c r="DY119">
        <v>1</v>
      </c>
      <c r="DZ119">
        <v>-0.15936</v>
      </c>
      <c r="EA119">
        <v>-0.14165800000000001</v>
      </c>
      <c r="EB119">
        <v>20.192299999999999</v>
      </c>
      <c r="EC119">
        <v>5.242</v>
      </c>
      <c r="ED119">
        <v>12.039899999999999</v>
      </c>
      <c r="EE119">
        <v>5.0170000000000003</v>
      </c>
      <c r="EF119">
        <v>3.2879999999999998</v>
      </c>
      <c r="EG119">
        <v>9999</v>
      </c>
      <c r="EH119">
        <v>9999</v>
      </c>
      <c r="EI119">
        <v>9999</v>
      </c>
      <c r="EJ119">
        <v>999.9</v>
      </c>
      <c r="EK119">
        <v>1.8687499999999999</v>
      </c>
      <c r="EL119">
        <v>1.8644700000000001</v>
      </c>
      <c r="EM119">
        <v>1.8690500000000001</v>
      </c>
      <c r="EN119">
        <v>1.8670800000000001</v>
      </c>
      <c r="EO119">
        <v>1.8632500000000001</v>
      </c>
      <c r="EP119">
        <v>1.86435</v>
      </c>
      <c r="EQ119">
        <v>1.8701000000000001</v>
      </c>
      <c r="ER119">
        <v>1.8693200000000001</v>
      </c>
      <c r="ES119">
        <v>0</v>
      </c>
      <c r="ET119">
        <v>0</v>
      </c>
      <c r="EU119">
        <v>0</v>
      </c>
      <c r="EV119">
        <v>0</v>
      </c>
      <c r="EW119" t="s">
        <v>334</v>
      </c>
      <c r="EX119" t="s">
        <v>335</v>
      </c>
      <c r="EY119" t="s">
        <v>336</v>
      </c>
      <c r="EZ119" t="s">
        <v>336</v>
      </c>
      <c r="FA119" t="s">
        <v>336</v>
      </c>
      <c r="FB119" t="s">
        <v>336</v>
      </c>
      <c r="FC119">
        <v>0</v>
      </c>
      <c r="FD119">
        <v>100</v>
      </c>
      <c r="FE119">
        <v>100</v>
      </c>
      <c r="FF119">
        <v>-1.2470000000000001</v>
      </c>
      <c r="FG119">
        <v>0.17829999999999999</v>
      </c>
      <c r="FH119">
        <v>-0.98020551812546231</v>
      </c>
      <c r="FI119">
        <v>-6.1462078757559423E-4</v>
      </c>
      <c r="FJ119">
        <v>-1.8861989874597051E-7</v>
      </c>
      <c r="FK119">
        <v>1.1980462299894961E-10</v>
      </c>
      <c r="FL119">
        <v>0.1782306200647516</v>
      </c>
      <c r="FM119">
        <v>0</v>
      </c>
      <c r="FN119">
        <v>0</v>
      </c>
      <c r="FO119">
        <v>0</v>
      </c>
      <c r="FP119">
        <v>3</v>
      </c>
      <c r="FQ119">
        <v>2158</v>
      </c>
      <c r="FR119">
        <v>1</v>
      </c>
      <c r="FS119">
        <v>19</v>
      </c>
      <c r="FT119">
        <v>19.100000000000001</v>
      </c>
      <c r="FU119">
        <v>19.399999999999999</v>
      </c>
      <c r="FV119">
        <v>1.7761199999999999</v>
      </c>
      <c r="FW119">
        <v>2.5463900000000002</v>
      </c>
      <c r="FX119">
        <v>1.5490699999999999</v>
      </c>
      <c r="FY119">
        <v>2.34253</v>
      </c>
      <c r="FZ119">
        <v>1.50146</v>
      </c>
      <c r="GA119">
        <v>2.2924799999999999</v>
      </c>
      <c r="GB119">
        <v>30.717199999999998</v>
      </c>
      <c r="GC119">
        <v>23.973700000000001</v>
      </c>
      <c r="GD119">
        <v>19</v>
      </c>
      <c r="GE119">
        <v>265.37599999999998</v>
      </c>
      <c r="GF119">
        <v>608.36400000000003</v>
      </c>
      <c r="GG119">
        <v>24.373100000000001</v>
      </c>
      <c r="GH119">
        <v>25.408799999999999</v>
      </c>
      <c r="GI119">
        <v>30.000299999999999</v>
      </c>
      <c r="GJ119">
        <v>25.5412</v>
      </c>
      <c r="GK119">
        <v>25.5063</v>
      </c>
      <c r="GL119">
        <v>35.505699999999997</v>
      </c>
      <c r="GM119">
        <v>-30</v>
      </c>
      <c r="GN119">
        <v>-30</v>
      </c>
      <c r="GO119">
        <v>24.344799999999999</v>
      </c>
      <c r="GP119">
        <v>800</v>
      </c>
      <c r="GQ119">
        <v>0</v>
      </c>
      <c r="GR119">
        <v>99.628900000000002</v>
      </c>
      <c r="GS119">
        <v>99.241699999999994</v>
      </c>
    </row>
    <row r="120" spans="1:201" x14ac:dyDescent="0.25">
      <c r="A120">
        <v>104</v>
      </c>
      <c r="B120">
        <v>1690201925.5</v>
      </c>
      <c r="C120">
        <v>1078.5</v>
      </c>
      <c r="D120" t="s">
        <v>541</v>
      </c>
      <c r="E120" t="s">
        <v>542</v>
      </c>
      <c r="F120" t="s">
        <v>330</v>
      </c>
      <c r="H120">
        <v>1690201925.5</v>
      </c>
      <c r="I120">
        <f t="shared" si="30"/>
        <v>1.6172264666711976E-3</v>
      </c>
      <c r="J120">
        <f t="shared" si="31"/>
        <v>1.6172264666711975</v>
      </c>
      <c r="K120">
        <f t="shared" si="32"/>
        <v>35.947595857171834</v>
      </c>
      <c r="L120">
        <f t="shared" si="33"/>
        <v>394.178</v>
      </c>
      <c r="M120">
        <f t="shared" si="34"/>
        <v>54.67398370998248</v>
      </c>
      <c r="N120">
        <f t="shared" si="35"/>
        <v>5.4176885827153916</v>
      </c>
      <c r="O120">
        <f t="shared" si="36"/>
        <v>39.059411903941402</v>
      </c>
      <c r="P120">
        <f t="shared" si="37"/>
        <v>0.17806234144531277</v>
      </c>
      <c r="Q120">
        <f t="shared" si="38"/>
        <v>2.0821147043995873</v>
      </c>
      <c r="R120">
        <f t="shared" si="39"/>
        <v>0.17001435321893235</v>
      </c>
      <c r="S120">
        <f t="shared" si="40"/>
        <v>0.10695173479182285</v>
      </c>
      <c r="T120">
        <f t="shared" si="41"/>
        <v>276.11436288599998</v>
      </c>
      <c r="U120">
        <f t="shared" si="42"/>
        <v>27.385956609731636</v>
      </c>
      <c r="V120">
        <f t="shared" si="43"/>
        <v>27.385956609731636</v>
      </c>
      <c r="W120">
        <f t="shared" si="44"/>
        <v>3.6610999506746871</v>
      </c>
      <c r="X120">
        <f t="shared" si="45"/>
        <v>82.778951223764224</v>
      </c>
      <c r="Y120">
        <f t="shared" si="46"/>
        <v>2.7490065981934899</v>
      </c>
      <c r="Z120">
        <f t="shared" si="47"/>
        <v>3.3209004916751148</v>
      </c>
      <c r="AA120">
        <f t="shared" si="48"/>
        <v>0.91209335248119716</v>
      </c>
      <c r="AB120">
        <f t="shared" si="49"/>
        <v>-71.319687180199807</v>
      </c>
      <c r="AC120">
        <f t="shared" si="50"/>
        <v>-185.78170644381376</v>
      </c>
      <c r="AD120">
        <f t="shared" si="51"/>
        <v>-19.171559791212587</v>
      </c>
      <c r="AE120">
        <f t="shared" si="52"/>
        <v>-0.15859052922618844</v>
      </c>
      <c r="AF120">
        <v>14</v>
      </c>
      <c r="AG120">
        <v>5</v>
      </c>
      <c r="AH120">
        <f t="shared" si="53"/>
        <v>1</v>
      </c>
      <c r="AI120">
        <f t="shared" si="54"/>
        <v>0</v>
      </c>
      <c r="AJ120">
        <f t="shared" si="55"/>
        <v>52654.114208946739</v>
      </c>
      <c r="AK120">
        <f t="shared" si="56"/>
        <v>1800</v>
      </c>
      <c r="AL120">
        <f t="shared" si="57"/>
        <v>1499.1119045999999</v>
      </c>
      <c r="AM120">
        <f t="shared" si="58"/>
        <v>0.83283994699999997</v>
      </c>
      <c r="AN120">
        <f t="shared" si="59"/>
        <v>0.15339686826999999</v>
      </c>
      <c r="AO120">
        <v>33.299999999999997</v>
      </c>
      <c r="AP120">
        <v>0.5</v>
      </c>
      <c r="AQ120" t="s">
        <v>331</v>
      </c>
      <c r="AR120">
        <v>2</v>
      </c>
      <c r="AS120">
        <v>1690201925.5</v>
      </c>
      <c r="AT120">
        <v>394.178</v>
      </c>
      <c r="AU120">
        <v>799.97199999999998</v>
      </c>
      <c r="AV120">
        <v>27.7423</v>
      </c>
      <c r="AW120">
        <v>10.302</v>
      </c>
      <c r="AX120">
        <v>395.423</v>
      </c>
      <c r="AY120">
        <v>27.564</v>
      </c>
      <c r="AZ120">
        <v>300.22199999999998</v>
      </c>
      <c r="BA120">
        <v>98.990799999999993</v>
      </c>
      <c r="BB120">
        <v>9.9996299999999996E-2</v>
      </c>
      <c r="BC120">
        <v>25.730899999999998</v>
      </c>
      <c r="BD120">
        <v>26.9803</v>
      </c>
      <c r="BE120">
        <v>27.489699999999999</v>
      </c>
      <c r="BF120">
        <v>0</v>
      </c>
      <c r="BG120">
        <v>0</v>
      </c>
      <c r="BH120">
        <v>10017.5</v>
      </c>
      <c r="BI120">
        <v>1073.81</v>
      </c>
      <c r="BJ120">
        <v>1.5137799999999999</v>
      </c>
      <c r="BK120">
        <v>-405.79399999999998</v>
      </c>
      <c r="BL120">
        <v>405.42500000000001</v>
      </c>
      <c r="BM120">
        <v>808.29899999999998</v>
      </c>
      <c r="BN120">
        <v>17.440300000000001</v>
      </c>
      <c r="BO120">
        <v>799.97199999999998</v>
      </c>
      <c r="BP120">
        <v>10.302</v>
      </c>
      <c r="BQ120">
        <v>2.7462300000000002</v>
      </c>
      <c r="BR120">
        <v>1.0198</v>
      </c>
      <c r="BS120">
        <v>22.564399999999999</v>
      </c>
      <c r="BT120">
        <v>7.2024299999999997</v>
      </c>
      <c r="BU120">
        <v>1800</v>
      </c>
      <c r="BV120">
        <v>0.91001100000000001</v>
      </c>
      <c r="BW120">
        <v>3.4002499999999998E-2</v>
      </c>
      <c r="BX120">
        <v>2.1993599999999999E-2</v>
      </c>
      <c r="BY120">
        <v>3.3992700000000001E-2</v>
      </c>
      <c r="BZ120">
        <v>25</v>
      </c>
      <c r="CA120">
        <v>33528.5</v>
      </c>
      <c r="CB120">
        <v>1690200769.5</v>
      </c>
      <c r="CC120" t="s">
        <v>332</v>
      </c>
      <c r="CD120">
        <v>1690200769.5</v>
      </c>
      <c r="CE120">
        <v>1690200753</v>
      </c>
      <c r="CF120">
        <v>2</v>
      </c>
      <c r="CG120">
        <v>-0.245</v>
      </c>
      <c r="CH120">
        <v>3.0000000000000001E-3</v>
      </c>
      <c r="CI120">
        <v>-1.5169999999999999</v>
      </c>
      <c r="CJ120">
        <v>-1.6E-2</v>
      </c>
      <c r="CK120">
        <v>778</v>
      </c>
      <c r="CL120">
        <v>12</v>
      </c>
      <c r="CM120">
        <v>0.01</v>
      </c>
      <c r="CN120">
        <v>0.03</v>
      </c>
      <c r="CO120">
        <v>-403.9187</v>
      </c>
      <c r="CP120">
        <v>-10.66568105065593</v>
      </c>
      <c r="CQ120">
        <v>1.027000662122471</v>
      </c>
      <c r="CR120">
        <v>-1</v>
      </c>
      <c r="CS120">
        <v>17.397637499999998</v>
      </c>
      <c r="CT120">
        <v>0.21879512195119849</v>
      </c>
      <c r="CU120">
        <v>2.1058747440197079E-2</v>
      </c>
      <c r="CV120">
        <v>-1</v>
      </c>
      <c r="CW120">
        <v>0</v>
      </c>
      <c r="CX120">
        <v>0</v>
      </c>
      <c r="CY120" t="s">
        <v>333</v>
      </c>
      <c r="CZ120">
        <v>2.3655599999999999</v>
      </c>
      <c r="DA120">
        <v>2.7138</v>
      </c>
      <c r="DB120">
        <v>8.8814799999999999E-2</v>
      </c>
      <c r="DC120">
        <v>0.146317</v>
      </c>
      <c r="DD120">
        <v>0.12622700000000001</v>
      </c>
      <c r="DE120">
        <v>6.0595200000000002E-2</v>
      </c>
      <c r="DF120">
        <v>33242.5</v>
      </c>
      <c r="DG120">
        <v>27440</v>
      </c>
      <c r="DH120">
        <v>31142.2</v>
      </c>
      <c r="DI120">
        <v>28005.3</v>
      </c>
      <c r="DJ120">
        <v>36920.199999999997</v>
      </c>
      <c r="DK120">
        <v>37377.300000000003</v>
      </c>
      <c r="DL120">
        <v>44308.1</v>
      </c>
      <c r="DM120">
        <v>42407.7</v>
      </c>
      <c r="DN120">
        <v>1.4422200000000001</v>
      </c>
      <c r="DO120">
        <v>2.0778300000000001</v>
      </c>
      <c r="DP120">
        <v>0.14554700000000001</v>
      </c>
      <c r="DQ120">
        <v>0.18256500000000001</v>
      </c>
      <c r="DR120">
        <v>24.595300000000002</v>
      </c>
      <c r="DS120">
        <v>24.499099999999999</v>
      </c>
      <c r="DT120">
        <v>35.200000000000003</v>
      </c>
      <c r="DU120">
        <v>25.3</v>
      </c>
      <c r="DV120">
        <v>11.5108</v>
      </c>
      <c r="DW120">
        <v>61.939900000000002</v>
      </c>
      <c r="DX120">
        <v>35.861400000000003</v>
      </c>
      <c r="DY120">
        <v>1</v>
      </c>
      <c r="DZ120">
        <v>-0.15971299999999999</v>
      </c>
      <c r="EA120">
        <v>-4.3472200000000003E-2</v>
      </c>
      <c r="EB120">
        <v>20.1922</v>
      </c>
      <c r="EC120">
        <v>5.2413999999999996</v>
      </c>
      <c r="ED120">
        <v>12.039899999999999</v>
      </c>
      <c r="EE120">
        <v>5.0171999999999999</v>
      </c>
      <c r="EF120">
        <v>3.2879999999999998</v>
      </c>
      <c r="EG120">
        <v>9999</v>
      </c>
      <c r="EH120">
        <v>9999</v>
      </c>
      <c r="EI120">
        <v>9999</v>
      </c>
      <c r="EJ120">
        <v>999.9</v>
      </c>
      <c r="EK120">
        <v>1.8687400000000001</v>
      </c>
      <c r="EL120">
        <v>1.8644700000000001</v>
      </c>
      <c r="EM120">
        <v>1.8690500000000001</v>
      </c>
      <c r="EN120">
        <v>1.8670800000000001</v>
      </c>
      <c r="EO120">
        <v>1.8632599999999999</v>
      </c>
      <c r="EP120">
        <v>1.86435</v>
      </c>
      <c r="EQ120">
        <v>1.87008</v>
      </c>
      <c r="ER120">
        <v>1.8693299999999999</v>
      </c>
      <c r="ES120">
        <v>0</v>
      </c>
      <c r="ET120">
        <v>0</v>
      </c>
      <c r="EU120">
        <v>0</v>
      </c>
      <c r="EV120">
        <v>0</v>
      </c>
      <c r="EW120" t="s">
        <v>334</v>
      </c>
      <c r="EX120" t="s">
        <v>335</v>
      </c>
      <c r="EY120" t="s">
        <v>336</v>
      </c>
      <c r="EZ120" t="s">
        <v>336</v>
      </c>
      <c r="FA120" t="s">
        <v>336</v>
      </c>
      <c r="FB120" t="s">
        <v>336</v>
      </c>
      <c r="FC120">
        <v>0</v>
      </c>
      <c r="FD120">
        <v>100</v>
      </c>
      <c r="FE120">
        <v>100</v>
      </c>
      <c r="FF120">
        <v>-1.2450000000000001</v>
      </c>
      <c r="FG120">
        <v>0.17829999999999999</v>
      </c>
      <c r="FH120">
        <v>-0.98020551812546231</v>
      </c>
      <c r="FI120">
        <v>-6.1462078757559423E-4</v>
      </c>
      <c r="FJ120">
        <v>-1.8861989874597051E-7</v>
      </c>
      <c r="FK120">
        <v>1.1980462299894961E-10</v>
      </c>
      <c r="FL120">
        <v>0.1782306200647516</v>
      </c>
      <c r="FM120">
        <v>0</v>
      </c>
      <c r="FN120">
        <v>0</v>
      </c>
      <c r="FO120">
        <v>0</v>
      </c>
      <c r="FP120">
        <v>3</v>
      </c>
      <c r="FQ120">
        <v>2158</v>
      </c>
      <c r="FR120">
        <v>1</v>
      </c>
      <c r="FS120">
        <v>19</v>
      </c>
      <c r="FT120">
        <v>19.3</v>
      </c>
      <c r="FU120">
        <v>19.5</v>
      </c>
      <c r="FV120">
        <v>1.7761199999999999</v>
      </c>
      <c r="FW120">
        <v>2.5427200000000001</v>
      </c>
      <c r="FX120">
        <v>1.5490699999999999</v>
      </c>
      <c r="FY120">
        <v>2.34253</v>
      </c>
      <c r="FZ120">
        <v>1.50146</v>
      </c>
      <c r="GA120">
        <v>2.3767100000000001</v>
      </c>
      <c r="GB120">
        <v>30.738800000000001</v>
      </c>
      <c r="GC120">
        <v>23.982399999999998</v>
      </c>
      <c r="GD120">
        <v>19</v>
      </c>
      <c r="GE120">
        <v>265.31299999999999</v>
      </c>
      <c r="GF120">
        <v>608.21500000000003</v>
      </c>
      <c r="GG120">
        <v>24.328299999999999</v>
      </c>
      <c r="GH120">
        <v>25.408799999999999</v>
      </c>
      <c r="GI120">
        <v>30</v>
      </c>
      <c r="GJ120">
        <v>25.540600000000001</v>
      </c>
      <c r="GK120">
        <v>25.5063</v>
      </c>
      <c r="GL120">
        <v>35.502899999999997</v>
      </c>
      <c r="GM120">
        <v>-30</v>
      </c>
      <c r="GN120">
        <v>-30</v>
      </c>
      <c r="GO120">
        <v>24.349</v>
      </c>
      <c r="GP120">
        <v>800</v>
      </c>
      <c r="GQ120">
        <v>0</v>
      </c>
      <c r="GR120">
        <v>99.628399999999999</v>
      </c>
      <c r="GS120">
        <v>99.2423</v>
      </c>
    </row>
    <row r="121" spans="1:201" x14ac:dyDescent="0.25">
      <c r="A121">
        <v>105</v>
      </c>
      <c r="B121">
        <v>1690201935.5</v>
      </c>
      <c r="C121">
        <v>1088.5</v>
      </c>
      <c r="D121" t="s">
        <v>543</v>
      </c>
      <c r="E121" t="s">
        <v>544</v>
      </c>
      <c r="F121" t="s">
        <v>330</v>
      </c>
      <c r="H121">
        <v>1690201935.5</v>
      </c>
      <c r="I121">
        <f t="shared" si="30"/>
        <v>1.620174077729498E-3</v>
      </c>
      <c r="J121">
        <f t="shared" si="31"/>
        <v>1.620174077729498</v>
      </c>
      <c r="K121">
        <f t="shared" si="32"/>
        <v>36.106068658131377</v>
      </c>
      <c r="L121">
        <f t="shared" si="33"/>
        <v>392.31900000000002</v>
      </c>
      <c r="M121">
        <f t="shared" si="34"/>
        <v>52.810941844018899</v>
      </c>
      <c r="N121">
        <f t="shared" si="35"/>
        <v>5.2331868388488774</v>
      </c>
      <c r="O121">
        <f t="shared" si="36"/>
        <v>38.876008564556102</v>
      </c>
      <c r="P121">
        <f t="shared" si="37"/>
        <v>0.17886158075088235</v>
      </c>
      <c r="Q121">
        <f t="shared" si="38"/>
        <v>2.0807450937254308</v>
      </c>
      <c r="R121">
        <f t="shared" si="39"/>
        <v>0.17073787014451558</v>
      </c>
      <c r="S121">
        <f t="shared" si="40"/>
        <v>0.10741030081199386</v>
      </c>
      <c r="T121">
        <f t="shared" si="41"/>
        <v>276.11260012058841</v>
      </c>
      <c r="U121">
        <f t="shared" si="42"/>
        <v>27.386079111749371</v>
      </c>
      <c r="V121">
        <f t="shared" si="43"/>
        <v>27.386079111749371</v>
      </c>
      <c r="W121">
        <f t="shared" si="44"/>
        <v>3.6611262160956128</v>
      </c>
      <c r="X121">
        <f t="shared" si="45"/>
        <v>82.845033754728519</v>
      </c>
      <c r="Y121">
        <f t="shared" si="46"/>
        <v>2.7512337587219799</v>
      </c>
      <c r="Z121">
        <f t="shared" si="47"/>
        <v>3.3209398729527932</v>
      </c>
      <c r="AA121">
        <f t="shared" si="48"/>
        <v>0.90989245737363289</v>
      </c>
      <c r="AB121">
        <f t="shared" si="49"/>
        <v>-71.44967682787086</v>
      </c>
      <c r="AC121">
        <f t="shared" si="50"/>
        <v>-185.65080612679574</v>
      </c>
      <c r="AD121">
        <f t="shared" si="51"/>
        <v>-19.170693028041917</v>
      </c>
      <c r="AE121">
        <f t="shared" si="52"/>
        <v>-0.15857586212010233</v>
      </c>
      <c r="AF121">
        <v>14</v>
      </c>
      <c r="AG121">
        <v>5</v>
      </c>
      <c r="AH121">
        <f t="shared" si="53"/>
        <v>1</v>
      </c>
      <c r="AI121">
        <f t="shared" si="54"/>
        <v>0</v>
      </c>
      <c r="AJ121">
        <f t="shared" si="55"/>
        <v>52592.193618571488</v>
      </c>
      <c r="AK121">
        <f t="shared" si="56"/>
        <v>1799.99</v>
      </c>
      <c r="AL121">
        <f t="shared" si="57"/>
        <v>1499.1042673966899</v>
      </c>
      <c r="AM121">
        <f t="shared" si="58"/>
        <v>0.83284033099999999</v>
      </c>
      <c r="AN121">
        <f t="shared" si="59"/>
        <v>0.15339674116000002</v>
      </c>
      <c r="AO121">
        <v>33.299999999999997</v>
      </c>
      <c r="AP121">
        <v>0.5</v>
      </c>
      <c r="AQ121" t="s">
        <v>331</v>
      </c>
      <c r="AR121">
        <v>2</v>
      </c>
      <c r="AS121">
        <v>1690201935.5</v>
      </c>
      <c r="AT121">
        <v>392.31900000000002</v>
      </c>
      <c r="AU121">
        <v>799.96699999999998</v>
      </c>
      <c r="AV121">
        <v>27.764199999999999</v>
      </c>
      <c r="AW121">
        <v>10.2875</v>
      </c>
      <c r="AX121">
        <v>393.56299999999999</v>
      </c>
      <c r="AY121">
        <v>27.585999999999999</v>
      </c>
      <c r="AZ121">
        <v>300.13600000000002</v>
      </c>
      <c r="BA121">
        <v>98.992900000000006</v>
      </c>
      <c r="BB121">
        <v>9.9951899999999996E-2</v>
      </c>
      <c r="BC121">
        <v>25.731100000000001</v>
      </c>
      <c r="BD121">
        <v>26.956099999999999</v>
      </c>
      <c r="BE121">
        <v>27.524100000000001</v>
      </c>
      <c r="BF121">
        <v>0</v>
      </c>
      <c r="BG121">
        <v>0</v>
      </c>
      <c r="BH121">
        <v>10005</v>
      </c>
      <c r="BI121">
        <v>1073.81</v>
      </c>
      <c r="BJ121">
        <v>1.2432700000000001</v>
      </c>
      <c r="BK121">
        <v>-407.64800000000002</v>
      </c>
      <c r="BL121">
        <v>403.52199999999999</v>
      </c>
      <c r="BM121">
        <v>808.28200000000004</v>
      </c>
      <c r="BN121">
        <v>17.476700000000001</v>
      </c>
      <c r="BO121">
        <v>799.96699999999998</v>
      </c>
      <c r="BP121">
        <v>10.2875</v>
      </c>
      <c r="BQ121">
        <v>2.7484600000000001</v>
      </c>
      <c r="BR121">
        <v>1.0183899999999999</v>
      </c>
      <c r="BS121">
        <v>22.5777</v>
      </c>
      <c r="BT121">
        <v>7.1821099999999998</v>
      </c>
      <c r="BU121">
        <v>1799.99</v>
      </c>
      <c r="BV121">
        <v>0.91001600000000005</v>
      </c>
      <c r="BW121">
        <v>3.4000700000000002E-2</v>
      </c>
      <c r="BX121">
        <v>2.1992299999999999E-2</v>
      </c>
      <c r="BY121">
        <v>3.3990800000000002E-2</v>
      </c>
      <c r="BZ121">
        <v>25</v>
      </c>
      <c r="CA121">
        <v>33528.400000000001</v>
      </c>
      <c r="CB121">
        <v>1690200769.5</v>
      </c>
      <c r="CC121" t="s">
        <v>332</v>
      </c>
      <c r="CD121">
        <v>1690200769.5</v>
      </c>
      <c r="CE121">
        <v>1690200753</v>
      </c>
      <c r="CF121">
        <v>2</v>
      </c>
      <c r="CG121">
        <v>-0.245</v>
      </c>
      <c r="CH121">
        <v>3.0000000000000001E-3</v>
      </c>
      <c r="CI121">
        <v>-1.5169999999999999</v>
      </c>
      <c r="CJ121">
        <v>-1.6E-2</v>
      </c>
      <c r="CK121">
        <v>778</v>
      </c>
      <c r="CL121">
        <v>12</v>
      </c>
      <c r="CM121">
        <v>0.01</v>
      </c>
      <c r="CN121">
        <v>0.03</v>
      </c>
      <c r="CO121">
        <v>-405.60079999999999</v>
      </c>
      <c r="CP121">
        <v>-9.8372532833010311</v>
      </c>
      <c r="CQ121">
        <v>0.94855121632940742</v>
      </c>
      <c r="CR121">
        <v>-1</v>
      </c>
      <c r="CS121">
        <v>17.434660000000001</v>
      </c>
      <c r="CT121">
        <v>0.22598273921201861</v>
      </c>
      <c r="CU121">
        <v>2.1749285045720629E-2</v>
      </c>
      <c r="CV121">
        <v>-1</v>
      </c>
      <c r="CW121">
        <v>0</v>
      </c>
      <c r="CX121">
        <v>0</v>
      </c>
      <c r="CY121" t="s">
        <v>333</v>
      </c>
      <c r="CZ121">
        <v>2.3652899999999999</v>
      </c>
      <c r="DA121">
        <v>2.7137500000000001</v>
      </c>
      <c r="DB121">
        <v>8.8495900000000002E-2</v>
      </c>
      <c r="DC121">
        <v>0.146319</v>
      </c>
      <c r="DD121">
        <v>0.12629799999999999</v>
      </c>
      <c r="DE121">
        <v>6.0530899999999999E-2</v>
      </c>
      <c r="DF121">
        <v>33254.199999999997</v>
      </c>
      <c r="DG121">
        <v>27440.1</v>
      </c>
      <c r="DH121">
        <v>31142.3</v>
      </c>
      <c r="DI121">
        <v>28005.4</v>
      </c>
      <c r="DJ121">
        <v>36917.199999999997</v>
      </c>
      <c r="DK121">
        <v>37380.199999999997</v>
      </c>
      <c r="DL121">
        <v>44308.2</v>
      </c>
      <c r="DM121">
        <v>42408</v>
      </c>
      <c r="DN121">
        <v>1.44232</v>
      </c>
      <c r="DO121">
        <v>2.0778699999999999</v>
      </c>
      <c r="DP121">
        <v>0.14375499999999999</v>
      </c>
      <c r="DQ121">
        <v>0.18446899999999999</v>
      </c>
      <c r="DR121">
        <v>24.6004</v>
      </c>
      <c r="DS121">
        <v>24.502400000000002</v>
      </c>
      <c r="DT121">
        <v>35.1</v>
      </c>
      <c r="DU121">
        <v>25.3</v>
      </c>
      <c r="DV121">
        <v>11.4781</v>
      </c>
      <c r="DW121">
        <v>61.719900000000003</v>
      </c>
      <c r="DX121">
        <v>36.033700000000003</v>
      </c>
      <c r="DY121">
        <v>1</v>
      </c>
      <c r="DZ121">
        <v>-0.159583</v>
      </c>
      <c r="EA121">
        <v>-0.196302</v>
      </c>
      <c r="EB121">
        <v>20.192299999999999</v>
      </c>
      <c r="EC121">
        <v>5.2423000000000002</v>
      </c>
      <c r="ED121">
        <v>12.039899999999999</v>
      </c>
      <c r="EE121">
        <v>5.0173500000000004</v>
      </c>
      <c r="EF121">
        <v>3.2879999999999998</v>
      </c>
      <c r="EG121">
        <v>9999</v>
      </c>
      <c r="EH121">
        <v>9999</v>
      </c>
      <c r="EI121">
        <v>9999</v>
      </c>
      <c r="EJ121">
        <v>999.9</v>
      </c>
      <c r="EK121">
        <v>1.8687400000000001</v>
      </c>
      <c r="EL121">
        <v>1.8644700000000001</v>
      </c>
      <c r="EM121">
        <v>1.8690500000000001</v>
      </c>
      <c r="EN121">
        <v>1.8670800000000001</v>
      </c>
      <c r="EO121">
        <v>1.8632500000000001</v>
      </c>
      <c r="EP121">
        <v>1.86435</v>
      </c>
      <c r="EQ121">
        <v>1.87009</v>
      </c>
      <c r="ER121">
        <v>1.8693299999999999</v>
      </c>
      <c r="ES121">
        <v>0</v>
      </c>
      <c r="ET121">
        <v>0</v>
      </c>
      <c r="EU121">
        <v>0</v>
      </c>
      <c r="EV121">
        <v>0</v>
      </c>
      <c r="EW121" t="s">
        <v>334</v>
      </c>
      <c r="EX121" t="s">
        <v>335</v>
      </c>
      <c r="EY121" t="s">
        <v>336</v>
      </c>
      <c r="EZ121" t="s">
        <v>336</v>
      </c>
      <c r="FA121" t="s">
        <v>336</v>
      </c>
      <c r="FB121" t="s">
        <v>336</v>
      </c>
      <c r="FC121">
        <v>0</v>
      </c>
      <c r="FD121">
        <v>100</v>
      </c>
      <c r="FE121">
        <v>100</v>
      </c>
      <c r="FF121">
        <v>-1.244</v>
      </c>
      <c r="FG121">
        <v>0.1782</v>
      </c>
      <c r="FH121">
        <v>-0.98020551812546231</v>
      </c>
      <c r="FI121">
        <v>-6.1462078757559423E-4</v>
      </c>
      <c r="FJ121">
        <v>-1.8861989874597051E-7</v>
      </c>
      <c r="FK121">
        <v>1.1980462299894961E-10</v>
      </c>
      <c r="FL121">
        <v>0.1782306200647516</v>
      </c>
      <c r="FM121">
        <v>0</v>
      </c>
      <c r="FN121">
        <v>0</v>
      </c>
      <c r="FO121">
        <v>0</v>
      </c>
      <c r="FP121">
        <v>3</v>
      </c>
      <c r="FQ121">
        <v>2158</v>
      </c>
      <c r="FR121">
        <v>1</v>
      </c>
      <c r="FS121">
        <v>19</v>
      </c>
      <c r="FT121">
        <v>19.399999999999999</v>
      </c>
      <c r="FU121">
        <v>19.7</v>
      </c>
      <c r="FV121">
        <v>1.7761199999999999</v>
      </c>
      <c r="FW121">
        <v>2.5500500000000001</v>
      </c>
      <c r="FX121">
        <v>1.5490699999999999</v>
      </c>
      <c r="FY121">
        <v>2.34253</v>
      </c>
      <c r="FZ121">
        <v>1.50146</v>
      </c>
      <c r="GA121">
        <v>2.34253</v>
      </c>
      <c r="GB121">
        <v>30.738800000000001</v>
      </c>
      <c r="GC121">
        <v>23.982399999999998</v>
      </c>
      <c r="GD121">
        <v>19</v>
      </c>
      <c r="GE121">
        <v>265.35300000000001</v>
      </c>
      <c r="GF121">
        <v>608.25800000000004</v>
      </c>
      <c r="GG121">
        <v>24.3565</v>
      </c>
      <c r="GH121">
        <v>25.408799999999999</v>
      </c>
      <c r="GI121">
        <v>29.9999</v>
      </c>
      <c r="GJ121">
        <v>25.540600000000001</v>
      </c>
      <c r="GK121">
        <v>25.5063</v>
      </c>
      <c r="GL121">
        <v>35.505000000000003</v>
      </c>
      <c r="GM121">
        <v>-30</v>
      </c>
      <c r="GN121">
        <v>-30</v>
      </c>
      <c r="GO121">
        <v>24.3857</v>
      </c>
      <c r="GP121">
        <v>800</v>
      </c>
      <c r="GQ121">
        <v>0</v>
      </c>
      <c r="GR121">
        <v>99.628500000000003</v>
      </c>
      <c r="GS121">
        <v>99.242999999999995</v>
      </c>
    </row>
    <row r="122" spans="1:201" x14ac:dyDescent="0.25">
      <c r="A122">
        <v>106</v>
      </c>
      <c r="B122">
        <v>1690201945.5</v>
      </c>
      <c r="C122">
        <v>1098.5</v>
      </c>
      <c r="D122" t="s">
        <v>545</v>
      </c>
      <c r="E122" t="s">
        <v>546</v>
      </c>
      <c r="F122" t="s">
        <v>330</v>
      </c>
      <c r="H122">
        <v>1690201945.5</v>
      </c>
      <c r="I122">
        <f t="shared" si="30"/>
        <v>1.6249570560364587E-3</v>
      </c>
      <c r="J122">
        <f t="shared" si="31"/>
        <v>1.6249570560364588</v>
      </c>
      <c r="K122">
        <f t="shared" si="32"/>
        <v>36.26393033415512</v>
      </c>
      <c r="L122">
        <f t="shared" si="33"/>
        <v>390.613</v>
      </c>
      <c r="M122">
        <f t="shared" si="34"/>
        <v>50.625823919193799</v>
      </c>
      <c r="N122">
        <f t="shared" si="35"/>
        <v>5.0166152575688781</v>
      </c>
      <c r="O122">
        <f t="shared" si="36"/>
        <v>38.706631989485999</v>
      </c>
      <c r="P122">
        <f t="shared" si="37"/>
        <v>0.17938255133074485</v>
      </c>
      <c r="Q122">
        <f t="shared" si="38"/>
        <v>2.0837979670006233</v>
      </c>
      <c r="R122">
        <f t="shared" si="39"/>
        <v>0.1712239938332234</v>
      </c>
      <c r="S122">
        <f t="shared" si="40"/>
        <v>0.10771708458678239</v>
      </c>
      <c r="T122">
        <f t="shared" si="41"/>
        <v>276.11393673599997</v>
      </c>
      <c r="U122">
        <f t="shared" si="42"/>
        <v>27.404452521532598</v>
      </c>
      <c r="V122">
        <f t="shared" si="43"/>
        <v>27.404452521532598</v>
      </c>
      <c r="W122">
        <f t="shared" si="44"/>
        <v>3.6650674859227861</v>
      </c>
      <c r="X122">
        <f t="shared" si="45"/>
        <v>82.852589005455556</v>
      </c>
      <c r="Y122">
        <f t="shared" si="46"/>
        <v>2.7551248520813996</v>
      </c>
      <c r="Z122">
        <f t="shared" si="47"/>
        <v>3.3253334448003598</v>
      </c>
      <c r="AA122">
        <f t="shared" si="48"/>
        <v>0.90994263384138652</v>
      </c>
      <c r="AB122">
        <f t="shared" si="49"/>
        <v>-71.660606171207831</v>
      </c>
      <c r="AC122">
        <f t="shared" si="50"/>
        <v>-185.48207347004288</v>
      </c>
      <c r="AD122">
        <f t="shared" si="51"/>
        <v>-19.129103516349055</v>
      </c>
      <c r="AE122">
        <f t="shared" si="52"/>
        <v>-0.15784642159979967</v>
      </c>
      <c r="AF122">
        <v>13</v>
      </c>
      <c r="AG122">
        <v>4</v>
      </c>
      <c r="AH122">
        <f t="shared" si="53"/>
        <v>1</v>
      </c>
      <c r="AI122">
        <f t="shared" si="54"/>
        <v>0</v>
      </c>
      <c r="AJ122">
        <f t="shared" si="55"/>
        <v>52726.353072598336</v>
      </c>
      <c r="AK122">
        <f t="shared" si="56"/>
        <v>1800</v>
      </c>
      <c r="AL122">
        <f t="shared" si="57"/>
        <v>1499.1133986</v>
      </c>
      <c r="AM122">
        <f t="shared" si="58"/>
        <v>0.83284077700000003</v>
      </c>
      <c r="AN122">
        <f t="shared" si="59"/>
        <v>0.15339663151999999</v>
      </c>
      <c r="AO122">
        <v>33.299999999999997</v>
      </c>
      <c r="AP122">
        <v>0.5</v>
      </c>
      <c r="AQ122" t="s">
        <v>331</v>
      </c>
      <c r="AR122">
        <v>2</v>
      </c>
      <c r="AS122">
        <v>1690201945.5</v>
      </c>
      <c r="AT122">
        <v>390.613</v>
      </c>
      <c r="AU122">
        <v>800.03800000000001</v>
      </c>
      <c r="AV122">
        <v>27.803699999999999</v>
      </c>
      <c r="AW122">
        <v>10.2746</v>
      </c>
      <c r="AX122">
        <v>391.85500000000002</v>
      </c>
      <c r="AY122">
        <v>27.625399999999999</v>
      </c>
      <c r="AZ122">
        <v>300.11</v>
      </c>
      <c r="BA122">
        <v>98.992000000000004</v>
      </c>
      <c r="BB122">
        <v>0.100022</v>
      </c>
      <c r="BC122">
        <v>25.753399999999999</v>
      </c>
      <c r="BD122">
        <v>26.992799999999999</v>
      </c>
      <c r="BE122">
        <v>27.478400000000001</v>
      </c>
      <c r="BF122">
        <v>0</v>
      </c>
      <c r="BG122">
        <v>0</v>
      </c>
      <c r="BH122">
        <v>10032.5</v>
      </c>
      <c r="BI122">
        <v>1073.57</v>
      </c>
      <c r="BJ122">
        <v>1.36381</v>
      </c>
      <c r="BK122">
        <v>-409.42500000000001</v>
      </c>
      <c r="BL122">
        <v>401.78399999999999</v>
      </c>
      <c r="BM122">
        <v>808.34299999999996</v>
      </c>
      <c r="BN122">
        <v>17.5291</v>
      </c>
      <c r="BO122">
        <v>800.03800000000001</v>
      </c>
      <c r="BP122">
        <v>10.2746</v>
      </c>
      <c r="BQ122">
        <v>2.7523399999999998</v>
      </c>
      <c r="BR122">
        <v>1.01711</v>
      </c>
      <c r="BS122">
        <v>22.600999999999999</v>
      </c>
      <c r="BT122">
        <v>7.1637399999999998</v>
      </c>
      <c r="BU122">
        <v>1800</v>
      </c>
      <c r="BV122">
        <v>0.910022</v>
      </c>
      <c r="BW122">
        <v>3.3997600000000003E-2</v>
      </c>
      <c r="BX122">
        <v>2.1992100000000001E-2</v>
      </c>
      <c r="BY122">
        <v>3.3987799999999999E-2</v>
      </c>
      <c r="BZ122">
        <v>25</v>
      </c>
      <c r="CA122">
        <v>33528.5</v>
      </c>
      <c r="CB122">
        <v>1690200769.5</v>
      </c>
      <c r="CC122" t="s">
        <v>332</v>
      </c>
      <c r="CD122">
        <v>1690200769.5</v>
      </c>
      <c r="CE122">
        <v>1690200753</v>
      </c>
      <c r="CF122">
        <v>2</v>
      </c>
      <c r="CG122">
        <v>-0.245</v>
      </c>
      <c r="CH122">
        <v>3.0000000000000001E-3</v>
      </c>
      <c r="CI122">
        <v>-1.5169999999999999</v>
      </c>
      <c r="CJ122">
        <v>-1.6E-2</v>
      </c>
      <c r="CK122">
        <v>778</v>
      </c>
      <c r="CL122">
        <v>12</v>
      </c>
      <c r="CM122">
        <v>0.01</v>
      </c>
      <c r="CN122">
        <v>0.03</v>
      </c>
      <c r="CO122">
        <v>-407.38653658536589</v>
      </c>
      <c r="CP122">
        <v>-11.03931010452985</v>
      </c>
      <c r="CQ122">
        <v>1.0900677557272069</v>
      </c>
      <c r="CR122">
        <v>-1</v>
      </c>
      <c r="CS122">
        <v>17.475565853658541</v>
      </c>
      <c r="CT122">
        <v>0.25375609756099282</v>
      </c>
      <c r="CU122">
        <v>2.516330671352781E-2</v>
      </c>
      <c r="CV122">
        <v>-1</v>
      </c>
      <c r="CW122">
        <v>0</v>
      </c>
      <c r="CX122">
        <v>0</v>
      </c>
      <c r="CY122" t="s">
        <v>333</v>
      </c>
      <c r="CZ122">
        <v>2.3651900000000001</v>
      </c>
      <c r="DA122">
        <v>2.7138399999999998</v>
      </c>
      <c r="DB122">
        <v>8.8200200000000006E-2</v>
      </c>
      <c r="DC122">
        <v>0.14632600000000001</v>
      </c>
      <c r="DD122">
        <v>0.12642200000000001</v>
      </c>
      <c r="DE122">
        <v>6.0472400000000003E-2</v>
      </c>
      <c r="DF122">
        <v>33264.800000000003</v>
      </c>
      <c r="DG122">
        <v>27440</v>
      </c>
      <c r="DH122">
        <v>31142.2</v>
      </c>
      <c r="DI122">
        <v>28005.5</v>
      </c>
      <c r="DJ122">
        <v>36911.599999999999</v>
      </c>
      <c r="DK122">
        <v>37382.699999999997</v>
      </c>
      <c r="DL122">
        <v>44307.8</v>
      </c>
      <c r="DM122">
        <v>42408.2</v>
      </c>
      <c r="DN122">
        <v>1.4427000000000001</v>
      </c>
      <c r="DO122">
        <v>2.07748</v>
      </c>
      <c r="DP122">
        <v>0.14571799999999999</v>
      </c>
      <c r="DQ122">
        <v>0.18145900000000001</v>
      </c>
      <c r="DR122">
        <v>24.6051</v>
      </c>
      <c r="DS122">
        <v>24.5059</v>
      </c>
      <c r="DT122">
        <v>35.1</v>
      </c>
      <c r="DU122">
        <v>25.4</v>
      </c>
      <c r="DV122">
        <v>11.545400000000001</v>
      </c>
      <c r="DW122">
        <v>61.559899999999999</v>
      </c>
      <c r="DX122">
        <v>36.902999999999999</v>
      </c>
      <c r="DY122">
        <v>1</v>
      </c>
      <c r="DZ122">
        <v>-0.159273</v>
      </c>
      <c r="EA122">
        <v>-0.24446899999999999</v>
      </c>
      <c r="EB122">
        <v>20.1921</v>
      </c>
      <c r="EC122">
        <v>5.2421499999999996</v>
      </c>
      <c r="ED122">
        <v>12.039899999999999</v>
      </c>
      <c r="EE122">
        <v>5.0174000000000003</v>
      </c>
      <c r="EF122">
        <v>3.2879999999999998</v>
      </c>
      <c r="EG122">
        <v>9999</v>
      </c>
      <c r="EH122">
        <v>9999</v>
      </c>
      <c r="EI122">
        <v>9999</v>
      </c>
      <c r="EJ122">
        <v>999.9</v>
      </c>
      <c r="EK122">
        <v>1.86876</v>
      </c>
      <c r="EL122">
        <v>1.8644700000000001</v>
      </c>
      <c r="EM122">
        <v>1.8690500000000001</v>
      </c>
      <c r="EN122">
        <v>1.8670899999999999</v>
      </c>
      <c r="EO122">
        <v>1.8632599999999999</v>
      </c>
      <c r="EP122">
        <v>1.86435</v>
      </c>
      <c r="EQ122">
        <v>1.87008</v>
      </c>
      <c r="ER122">
        <v>1.8693200000000001</v>
      </c>
      <c r="ES122">
        <v>0</v>
      </c>
      <c r="ET122">
        <v>0</v>
      </c>
      <c r="EU122">
        <v>0</v>
      </c>
      <c r="EV122">
        <v>0</v>
      </c>
      <c r="EW122" t="s">
        <v>334</v>
      </c>
      <c r="EX122" t="s">
        <v>335</v>
      </c>
      <c r="EY122" t="s">
        <v>336</v>
      </c>
      <c r="EZ122" t="s">
        <v>336</v>
      </c>
      <c r="FA122" t="s">
        <v>336</v>
      </c>
      <c r="FB122" t="s">
        <v>336</v>
      </c>
      <c r="FC122">
        <v>0</v>
      </c>
      <c r="FD122">
        <v>100</v>
      </c>
      <c r="FE122">
        <v>100</v>
      </c>
      <c r="FF122">
        <v>-1.242</v>
      </c>
      <c r="FG122">
        <v>0.17829999999999999</v>
      </c>
      <c r="FH122">
        <v>-0.98020551812546231</v>
      </c>
      <c r="FI122">
        <v>-6.1462078757559423E-4</v>
      </c>
      <c r="FJ122">
        <v>-1.8861989874597051E-7</v>
      </c>
      <c r="FK122">
        <v>1.1980462299894961E-10</v>
      </c>
      <c r="FL122">
        <v>0.1782306200647516</v>
      </c>
      <c r="FM122">
        <v>0</v>
      </c>
      <c r="FN122">
        <v>0</v>
      </c>
      <c r="FO122">
        <v>0</v>
      </c>
      <c r="FP122">
        <v>3</v>
      </c>
      <c r="FQ122">
        <v>2158</v>
      </c>
      <c r="FR122">
        <v>1</v>
      </c>
      <c r="FS122">
        <v>19</v>
      </c>
      <c r="FT122">
        <v>19.600000000000001</v>
      </c>
      <c r="FU122">
        <v>19.899999999999999</v>
      </c>
      <c r="FV122">
        <v>1.7761199999999999</v>
      </c>
      <c r="FW122">
        <v>2.5524900000000001</v>
      </c>
      <c r="FX122">
        <v>1.5490699999999999</v>
      </c>
      <c r="FY122">
        <v>2.34253</v>
      </c>
      <c r="FZ122">
        <v>1.50024</v>
      </c>
      <c r="GA122">
        <v>2.2692899999999998</v>
      </c>
      <c r="GB122">
        <v>30.738800000000001</v>
      </c>
      <c r="GC122">
        <v>23.973700000000001</v>
      </c>
      <c r="GD122">
        <v>19</v>
      </c>
      <c r="GE122">
        <v>265.50599999999997</v>
      </c>
      <c r="GF122">
        <v>607.91700000000003</v>
      </c>
      <c r="GG122">
        <v>24.406199999999998</v>
      </c>
      <c r="GH122">
        <v>25.408799999999999</v>
      </c>
      <c r="GI122">
        <v>30.0002</v>
      </c>
      <c r="GJ122">
        <v>25.5412</v>
      </c>
      <c r="GK122">
        <v>25.5063</v>
      </c>
      <c r="GL122">
        <v>35.5032</v>
      </c>
      <c r="GM122">
        <v>-30</v>
      </c>
      <c r="GN122">
        <v>-30</v>
      </c>
      <c r="GO122">
        <v>24.4163</v>
      </c>
      <c r="GP122">
        <v>800</v>
      </c>
      <c r="GQ122">
        <v>0</v>
      </c>
      <c r="GR122">
        <v>99.627899999999997</v>
      </c>
      <c r="GS122">
        <v>99.243300000000005</v>
      </c>
    </row>
    <row r="123" spans="1:201" x14ac:dyDescent="0.25">
      <c r="A123">
        <v>107</v>
      </c>
      <c r="B123">
        <v>1690201955.5</v>
      </c>
      <c r="C123">
        <v>1108.5</v>
      </c>
      <c r="D123" t="s">
        <v>547</v>
      </c>
      <c r="E123" t="s">
        <v>548</v>
      </c>
      <c r="F123" t="s">
        <v>330</v>
      </c>
      <c r="H123">
        <v>1690201955.5</v>
      </c>
      <c r="I123">
        <f t="shared" si="30"/>
        <v>1.6309569746276451E-3</v>
      </c>
      <c r="J123">
        <f t="shared" si="31"/>
        <v>1.6309569746276451</v>
      </c>
      <c r="K123">
        <f t="shared" si="32"/>
        <v>36.401375953904598</v>
      </c>
      <c r="L123">
        <f t="shared" si="33"/>
        <v>389.13</v>
      </c>
      <c r="M123">
        <f t="shared" si="34"/>
        <v>51.892230806751932</v>
      </c>
      <c r="N123">
        <f t="shared" si="35"/>
        <v>5.1421616896354951</v>
      </c>
      <c r="O123">
        <f t="shared" si="36"/>
        <v>38.560095551480998</v>
      </c>
      <c r="P123">
        <f t="shared" si="37"/>
        <v>0.18162478680176614</v>
      </c>
      <c r="Q123">
        <f t="shared" si="38"/>
        <v>2.0818621085269111</v>
      </c>
      <c r="R123">
        <f t="shared" si="39"/>
        <v>0.17325871422422123</v>
      </c>
      <c r="S123">
        <f t="shared" si="40"/>
        <v>0.10900623670799285</v>
      </c>
      <c r="T123">
        <f t="shared" si="41"/>
        <v>276.11641382400001</v>
      </c>
      <c r="U123">
        <f t="shared" si="42"/>
        <v>27.391146080614849</v>
      </c>
      <c r="V123">
        <f t="shared" si="43"/>
        <v>27.391146080614849</v>
      </c>
      <c r="W123">
        <f t="shared" si="44"/>
        <v>3.6622127591876614</v>
      </c>
      <c r="X123">
        <f t="shared" si="45"/>
        <v>83.050193736900141</v>
      </c>
      <c r="Y123">
        <f t="shared" si="46"/>
        <v>2.7596336571419302</v>
      </c>
      <c r="Z123">
        <f t="shared" si="47"/>
        <v>3.3228503546714707</v>
      </c>
      <c r="AA123">
        <f t="shared" si="48"/>
        <v>0.90257910204573122</v>
      </c>
      <c r="AB123">
        <f t="shared" si="49"/>
        <v>-71.925202581079148</v>
      </c>
      <c r="AC123">
        <f t="shared" si="50"/>
        <v>-185.23047066268492</v>
      </c>
      <c r="AD123">
        <f t="shared" si="51"/>
        <v>-19.118438427616276</v>
      </c>
      <c r="AE123">
        <f t="shared" si="52"/>
        <v>-0.15769784738034787</v>
      </c>
      <c r="AF123">
        <v>13</v>
      </c>
      <c r="AG123">
        <v>4</v>
      </c>
      <c r="AH123">
        <f t="shared" si="53"/>
        <v>1</v>
      </c>
      <c r="AI123">
        <f t="shared" si="54"/>
        <v>0</v>
      </c>
      <c r="AJ123">
        <f t="shared" si="55"/>
        <v>52640.9944026831</v>
      </c>
      <c r="AK123">
        <f t="shared" si="56"/>
        <v>1800</v>
      </c>
      <c r="AL123">
        <f t="shared" si="57"/>
        <v>1499.1160014</v>
      </c>
      <c r="AM123">
        <f t="shared" si="58"/>
        <v>0.83284222299999999</v>
      </c>
      <c r="AN123">
        <f t="shared" si="59"/>
        <v>0.15339800768</v>
      </c>
      <c r="AO123">
        <v>33.299999999999997</v>
      </c>
      <c r="AP123">
        <v>0.5</v>
      </c>
      <c r="AQ123" t="s">
        <v>331</v>
      </c>
      <c r="AR123">
        <v>2</v>
      </c>
      <c r="AS123">
        <v>1690201955.5</v>
      </c>
      <c r="AT123">
        <v>389.13</v>
      </c>
      <c r="AU123">
        <v>799.96699999999998</v>
      </c>
      <c r="AV123">
        <v>27.8489</v>
      </c>
      <c r="AW123">
        <v>10.2607</v>
      </c>
      <c r="AX123">
        <v>390.37200000000001</v>
      </c>
      <c r="AY123">
        <v>27.6707</v>
      </c>
      <c r="AZ123">
        <v>300.19200000000001</v>
      </c>
      <c r="BA123">
        <v>98.993099999999998</v>
      </c>
      <c r="BB123">
        <v>9.9993700000000005E-2</v>
      </c>
      <c r="BC123">
        <v>25.7408</v>
      </c>
      <c r="BD123">
        <v>27.0015</v>
      </c>
      <c r="BE123">
        <v>27.523499999999999</v>
      </c>
      <c r="BF123">
        <v>0</v>
      </c>
      <c r="BG123">
        <v>0</v>
      </c>
      <c r="BH123">
        <v>10015</v>
      </c>
      <c r="BI123">
        <v>1073.5999999999999</v>
      </c>
      <c r="BJ123">
        <v>1.3455900000000001</v>
      </c>
      <c r="BK123">
        <v>-410.83699999999999</v>
      </c>
      <c r="BL123">
        <v>400.27800000000002</v>
      </c>
      <c r="BM123">
        <v>808.26099999999997</v>
      </c>
      <c r="BN123">
        <v>17.588200000000001</v>
      </c>
      <c r="BO123">
        <v>799.96699999999998</v>
      </c>
      <c r="BP123">
        <v>10.2607</v>
      </c>
      <c r="BQ123">
        <v>2.75685</v>
      </c>
      <c r="BR123">
        <v>1.0157400000000001</v>
      </c>
      <c r="BS123">
        <v>22.628</v>
      </c>
      <c r="BT123">
        <v>7.1440799999999998</v>
      </c>
      <c r="BU123">
        <v>1800</v>
      </c>
      <c r="BV123">
        <v>0.91000899999999996</v>
      </c>
      <c r="BW123">
        <v>3.3995499999999998E-2</v>
      </c>
      <c r="BX123">
        <v>2.2009899999999999E-2</v>
      </c>
      <c r="BY123">
        <v>3.3985599999999998E-2</v>
      </c>
      <c r="BZ123">
        <v>25</v>
      </c>
      <c r="CA123">
        <v>33528.300000000003</v>
      </c>
      <c r="CB123">
        <v>1690200769.5</v>
      </c>
      <c r="CC123" t="s">
        <v>332</v>
      </c>
      <c r="CD123">
        <v>1690200769.5</v>
      </c>
      <c r="CE123">
        <v>1690200753</v>
      </c>
      <c r="CF123">
        <v>2</v>
      </c>
      <c r="CG123">
        <v>-0.245</v>
      </c>
      <c r="CH123">
        <v>3.0000000000000001E-3</v>
      </c>
      <c r="CI123">
        <v>-1.5169999999999999</v>
      </c>
      <c r="CJ123">
        <v>-1.6E-2</v>
      </c>
      <c r="CK123">
        <v>778</v>
      </c>
      <c r="CL123">
        <v>12</v>
      </c>
      <c r="CM123">
        <v>0.01</v>
      </c>
      <c r="CN123">
        <v>0.03</v>
      </c>
      <c r="CO123">
        <v>-409.1419268292683</v>
      </c>
      <c r="CP123">
        <v>-9.6632822299652652</v>
      </c>
      <c r="CQ123">
        <v>0.95555248710975182</v>
      </c>
      <c r="CR123">
        <v>-1</v>
      </c>
      <c r="CS123">
        <v>17.524609756097561</v>
      </c>
      <c r="CT123">
        <v>0.33637839721253721</v>
      </c>
      <c r="CU123">
        <v>3.3194547046149922E-2</v>
      </c>
      <c r="CV123">
        <v>-1</v>
      </c>
      <c r="CW123">
        <v>0</v>
      </c>
      <c r="CX123">
        <v>0</v>
      </c>
      <c r="CY123" t="s">
        <v>333</v>
      </c>
      <c r="CZ123">
        <v>2.3654600000000001</v>
      </c>
      <c r="DA123">
        <v>2.7138</v>
      </c>
      <c r="DB123">
        <v>8.7944700000000001E-2</v>
      </c>
      <c r="DC123">
        <v>0.146319</v>
      </c>
      <c r="DD123">
        <v>0.12656600000000001</v>
      </c>
      <c r="DE123">
        <v>6.0410199999999997E-2</v>
      </c>
      <c r="DF123">
        <v>33274.699999999997</v>
      </c>
      <c r="DG123">
        <v>27440.6</v>
      </c>
      <c r="DH123">
        <v>31142.7</v>
      </c>
      <c r="DI123">
        <v>28005.9</v>
      </c>
      <c r="DJ123">
        <v>36906.300000000003</v>
      </c>
      <c r="DK123">
        <v>37385.800000000003</v>
      </c>
      <c r="DL123">
        <v>44308.9</v>
      </c>
      <c r="DM123">
        <v>42408.9</v>
      </c>
      <c r="DN123">
        <v>1.44255</v>
      </c>
      <c r="DO123">
        <v>2.0775999999999999</v>
      </c>
      <c r="DP123">
        <v>0.14596799999999999</v>
      </c>
      <c r="DQ123">
        <v>0.18384700000000001</v>
      </c>
      <c r="DR123">
        <v>24.6097</v>
      </c>
      <c r="DS123">
        <v>24.512</v>
      </c>
      <c r="DT123">
        <v>35</v>
      </c>
      <c r="DU123">
        <v>25.4</v>
      </c>
      <c r="DV123">
        <v>11.5115</v>
      </c>
      <c r="DW123">
        <v>61.5199</v>
      </c>
      <c r="DX123">
        <v>35.989600000000003</v>
      </c>
      <c r="DY123">
        <v>1</v>
      </c>
      <c r="DZ123">
        <v>-0.15943599999999999</v>
      </c>
      <c r="EA123">
        <v>-0.16321099999999999</v>
      </c>
      <c r="EB123">
        <v>20.192299999999999</v>
      </c>
      <c r="EC123">
        <v>5.2416999999999998</v>
      </c>
      <c r="ED123">
        <v>12.039899999999999</v>
      </c>
      <c r="EE123">
        <v>5.0173500000000004</v>
      </c>
      <c r="EF123">
        <v>3.2879999999999998</v>
      </c>
      <c r="EG123">
        <v>9999</v>
      </c>
      <c r="EH123">
        <v>9999</v>
      </c>
      <c r="EI123">
        <v>9999</v>
      </c>
      <c r="EJ123">
        <v>999.9</v>
      </c>
      <c r="EK123">
        <v>1.86876</v>
      </c>
      <c r="EL123">
        <v>1.8644700000000001</v>
      </c>
      <c r="EM123">
        <v>1.8690500000000001</v>
      </c>
      <c r="EN123">
        <v>1.8670800000000001</v>
      </c>
      <c r="EO123">
        <v>1.8632599999999999</v>
      </c>
      <c r="EP123">
        <v>1.8643400000000001</v>
      </c>
      <c r="EQ123">
        <v>1.8701000000000001</v>
      </c>
      <c r="ER123">
        <v>1.8693299999999999</v>
      </c>
      <c r="ES123">
        <v>0</v>
      </c>
      <c r="ET123">
        <v>0</v>
      </c>
      <c r="EU123">
        <v>0</v>
      </c>
      <c r="EV123">
        <v>0</v>
      </c>
      <c r="EW123" t="s">
        <v>334</v>
      </c>
      <c r="EX123" t="s">
        <v>335</v>
      </c>
      <c r="EY123" t="s">
        <v>336</v>
      </c>
      <c r="EZ123" t="s">
        <v>336</v>
      </c>
      <c r="FA123" t="s">
        <v>336</v>
      </c>
      <c r="FB123" t="s">
        <v>336</v>
      </c>
      <c r="FC123">
        <v>0</v>
      </c>
      <c r="FD123">
        <v>100</v>
      </c>
      <c r="FE123">
        <v>100</v>
      </c>
      <c r="FF123">
        <v>-1.242</v>
      </c>
      <c r="FG123">
        <v>0.1782</v>
      </c>
      <c r="FH123">
        <v>-0.98020551812546231</v>
      </c>
      <c r="FI123">
        <v>-6.1462078757559423E-4</v>
      </c>
      <c r="FJ123">
        <v>-1.8861989874597051E-7</v>
      </c>
      <c r="FK123">
        <v>1.1980462299894961E-10</v>
      </c>
      <c r="FL123">
        <v>0.1782306200647516</v>
      </c>
      <c r="FM123">
        <v>0</v>
      </c>
      <c r="FN123">
        <v>0</v>
      </c>
      <c r="FO123">
        <v>0</v>
      </c>
      <c r="FP123">
        <v>3</v>
      </c>
      <c r="FQ123">
        <v>2158</v>
      </c>
      <c r="FR123">
        <v>1</v>
      </c>
      <c r="FS123">
        <v>19</v>
      </c>
      <c r="FT123">
        <v>19.8</v>
      </c>
      <c r="FU123">
        <v>20</v>
      </c>
      <c r="FV123">
        <v>1.7761199999999999</v>
      </c>
      <c r="FW123">
        <v>2.5439500000000002</v>
      </c>
      <c r="FX123">
        <v>1.5490699999999999</v>
      </c>
      <c r="FY123">
        <v>2.34253</v>
      </c>
      <c r="FZ123">
        <v>1.50146</v>
      </c>
      <c r="GA123">
        <v>2.3840300000000001</v>
      </c>
      <c r="GB123">
        <v>30.760400000000001</v>
      </c>
      <c r="GC123">
        <v>23.982399999999998</v>
      </c>
      <c r="GD123">
        <v>19</v>
      </c>
      <c r="GE123">
        <v>265.44600000000003</v>
      </c>
      <c r="GF123">
        <v>608.024</v>
      </c>
      <c r="GG123">
        <v>24.424600000000002</v>
      </c>
      <c r="GH123">
        <v>25.411000000000001</v>
      </c>
      <c r="GI123">
        <v>30</v>
      </c>
      <c r="GJ123">
        <v>25.5412</v>
      </c>
      <c r="GK123">
        <v>25.5063</v>
      </c>
      <c r="GL123">
        <v>35.503900000000002</v>
      </c>
      <c r="GM123">
        <v>-30</v>
      </c>
      <c r="GN123">
        <v>-30</v>
      </c>
      <c r="GO123">
        <v>24.386700000000001</v>
      </c>
      <c r="GP123">
        <v>800</v>
      </c>
      <c r="GQ123">
        <v>0</v>
      </c>
      <c r="GR123">
        <v>99.630099999999999</v>
      </c>
      <c r="GS123">
        <v>99.244900000000001</v>
      </c>
    </row>
    <row r="124" spans="1:201" x14ac:dyDescent="0.25">
      <c r="A124">
        <v>108</v>
      </c>
      <c r="B124">
        <v>1690201965.5</v>
      </c>
      <c r="C124">
        <v>1118.5</v>
      </c>
      <c r="D124" t="s">
        <v>549</v>
      </c>
      <c r="E124" t="s">
        <v>550</v>
      </c>
      <c r="F124" t="s">
        <v>330</v>
      </c>
      <c r="H124">
        <v>1690201965.5</v>
      </c>
      <c r="I124">
        <f t="shared" si="30"/>
        <v>1.6349176461557258E-3</v>
      </c>
      <c r="J124">
        <f t="shared" si="31"/>
        <v>1.6349176461557258</v>
      </c>
      <c r="K124">
        <f t="shared" si="32"/>
        <v>36.539182162039928</v>
      </c>
      <c r="L124">
        <f t="shared" si="33"/>
        <v>387.59699999999998</v>
      </c>
      <c r="M124">
        <f t="shared" si="34"/>
        <v>50.44379013203659</v>
      </c>
      <c r="N124">
        <f t="shared" si="35"/>
        <v>4.9986844050249735</v>
      </c>
      <c r="O124">
        <f t="shared" si="36"/>
        <v>38.408594482356001</v>
      </c>
      <c r="P124">
        <f t="shared" si="37"/>
        <v>0.18238526889396459</v>
      </c>
      <c r="Q124">
        <f t="shared" si="38"/>
        <v>2.0785951709474415</v>
      </c>
      <c r="R124">
        <f t="shared" si="39"/>
        <v>0.17393814186914236</v>
      </c>
      <c r="S124">
        <f t="shared" si="40"/>
        <v>0.10943767222400505</v>
      </c>
      <c r="T124">
        <f t="shared" si="41"/>
        <v>276.11639915399996</v>
      </c>
      <c r="U124">
        <f t="shared" si="42"/>
        <v>27.397776103599501</v>
      </c>
      <c r="V124">
        <f t="shared" si="43"/>
        <v>27.397776103599501</v>
      </c>
      <c r="W124">
        <f t="shared" si="44"/>
        <v>3.663634903171002</v>
      </c>
      <c r="X124">
        <f t="shared" si="45"/>
        <v>83.105595220852535</v>
      </c>
      <c r="Y124">
        <f t="shared" si="46"/>
        <v>2.7624079261368002</v>
      </c>
      <c r="Z124">
        <f t="shared" si="47"/>
        <v>3.3239734566556205</v>
      </c>
      <c r="AA124">
        <f t="shared" si="48"/>
        <v>0.90122697703420185</v>
      </c>
      <c r="AB124">
        <f t="shared" si="49"/>
        <v>-72.099868195467508</v>
      </c>
      <c r="AC124">
        <f t="shared" si="50"/>
        <v>-185.04401944244651</v>
      </c>
      <c r="AD124">
        <f t="shared" si="51"/>
        <v>-19.130393490040952</v>
      </c>
      <c r="AE124">
        <f t="shared" si="52"/>
        <v>-0.15788197395499992</v>
      </c>
      <c r="AF124">
        <v>13</v>
      </c>
      <c r="AG124">
        <v>4</v>
      </c>
      <c r="AH124">
        <f t="shared" si="53"/>
        <v>1</v>
      </c>
      <c r="AI124">
        <f t="shared" si="54"/>
        <v>0</v>
      </c>
      <c r="AJ124">
        <f t="shared" si="55"/>
        <v>52492.399606108767</v>
      </c>
      <c r="AK124">
        <f t="shared" si="56"/>
        <v>1800</v>
      </c>
      <c r="AL124">
        <f t="shared" si="57"/>
        <v>1499.1136883999998</v>
      </c>
      <c r="AM124">
        <f t="shared" si="58"/>
        <v>0.83284093799999992</v>
      </c>
      <c r="AN124">
        <f t="shared" si="59"/>
        <v>0.15339799953</v>
      </c>
      <c r="AO124">
        <v>33.299999999999997</v>
      </c>
      <c r="AP124">
        <v>0.5</v>
      </c>
      <c r="AQ124" t="s">
        <v>331</v>
      </c>
      <c r="AR124">
        <v>2</v>
      </c>
      <c r="AS124">
        <v>1690201965.5</v>
      </c>
      <c r="AT124">
        <v>387.59699999999998</v>
      </c>
      <c r="AU124">
        <v>799.91899999999998</v>
      </c>
      <c r="AV124">
        <v>27.8766</v>
      </c>
      <c r="AW124">
        <v>10.2476</v>
      </c>
      <c r="AX124">
        <v>388.83699999999999</v>
      </c>
      <c r="AY124">
        <v>27.6983</v>
      </c>
      <c r="AZ124">
        <v>300.21600000000001</v>
      </c>
      <c r="BA124">
        <v>98.994100000000003</v>
      </c>
      <c r="BB124">
        <v>0.100048</v>
      </c>
      <c r="BC124">
        <v>25.746500000000001</v>
      </c>
      <c r="BD124">
        <v>26.993400000000001</v>
      </c>
      <c r="BE124">
        <v>27.515999999999998</v>
      </c>
      <c r="BF124">
        <v>0</v>
      </c>
      <c r="BG124">
        <v>0</v>
      </c>
      <c r="BH124">
        <v>9985.6200000000008</v>
      </c>
      <c r="BI124">
        <v>1073.6199999999999</v>
      </c>
      <c r="BJ124">
        <v>1.3455900000000001</v>
      </c>
      <c r="BK124">
        <v>-412.322</v>
      </c>
      <c r="BL124">
        <v>398.71100000000001</v>
      </c>
      <c r="BM124">
        <v>808.20100000000002</v>
      </c>
      <c r="BN124">
        <v>17.629000000000001</v>
      </c>
      <c r="BO124">
        <v>799.91899999999998</v>
      </c>
      <c r="BP124">
        <v>10.2476</v>
      </c>
      <c r="BQ124">
        <v>2.75962</v>
      </c>
      <c r="BR124">
        <v>1.0144500000000001</v>
      </c>
      <c r="BS124">
        <v>22.644500000000001</v>
      </c>
      <c r="BT124">
        <v>7.1255600000000001</v>
      </c>
      <c r="BU124">
        <v>1800</v>
      </c>
      <c r="BV124">
        <v>0.90999600000000003</v>
      </c>
      <c r="BW124">
        <v>3.3993900000000001E-2</v>
      </c>
      <c r="BX124">
        <v>2.2008900000000001E-2</v>
      </c>
      <c r="BY124">
        <v>3.4001099999999999E-2</v>
      </c>
      <c r="BZ124">
        <v>25</v>
      </c>
      <c r="CA124">
        <v>33528.199999999997</v>
      </c>
      <c r="CB124">
        <v>1690200769.5</v>
      </c>
      <c r="CC124" t="s">
        <v>332</v>
      </c>
      <c r="CD124">
        <v>1690200769.5</v>
      </c>
      <c r="CE124">
        <v>1690200753</v>
      </c>
      <c r="CF124">
        <v>2</v>
      </c>
      <c r="CG124">
        <v>-0.245</v>
      </c>
      <c r="CH124">
        <v>3.0000000000000001E-3</v>
      </c>
      <c r="CI124">
        <v>-1.5169999999999999</v>
      </c>
      <c r="CJ124">
        <v>-1.6E-2</v>
      </c>
      <c r="CK124">
        <v>778</v>
      </c>
      <c r="CL124">
        <v>12</v>
      </c>
      <c r="CM124">
        <v>0.01</v>
      </c>
      <c r="CN124">
        <v>0.03</v>
      </c>
      <c r="CO124">
        <v>-410.73751219512201</v>
      </c>
      <c r="CP124">
        <v>-9.0459303135891602</v>
      </c>
      <c r="CQ124">
        <v>0.89448156730115047</v>
      </c>
      <c r="CR124">
        <v>-1</v>
      </c>
      <c r="CS124">
        <v>17.579175609756099</v>
      </c>
      <c r="CT124">
        <v>0.31270452961672868</v>
      </c>
      <c r="CU124">
        <v>3.0967699777449169E-2</v>
      </c>
      <c r="CV124">
        <v>-1</v>
      </c>
      <c r="CW124">
        <v>0</v>
      </c>
      <c r="CX124">
        <v>0</v>
      </c>
      <c r="CY124" t="s">
        <v>333</v>
      </c>
      <c r="CZ124">
        <v>2.3655499999999998</v>
      </c>
      <c r="DA124">
        <v>2.7138300000000002</v>
      </c>
      <c r="DB124">
        <v>8.7679599999999996E-2</v>
      </c>
      <c r="DC124">
        <v>0.146314</v>
      </c>
      <c r="DD124">
        <v>0.12665399999999999</v>
      </c>
      <c r="DE124">
        <v>6.0351599999999998E-2</v>
      </c>
      <c r="DF124">
        <v>33284.6</v>
      </c>
      <c r="DG124">
        <v>27440.799999999999</v>
      </c>
      <c r="DH124">
        <v>31142.9</v>
      </c>
      <c r="DI124">
        <v>28006</v>
      </c>
      <c r="DJ124">
        <v>36902.5</v>
      </c>
      <c r="DK124">
        <v>37388.5</v>
      </c>
      <c r="DL124">
        <v>44309</v>
      </c>
      <c r="DM124">
        <v>42409.3</v>
      </c>
      <c r="DN124">
        <v>1.4428000000000001</v>
      </c>
      <c r="DO124">
        <v>2.07755</v>
      </c>
      <c r="DP124">
        <v>0.14521600000000001</v>
      </c>
      <c r="DQ124">
        <v>0.18304200000000001</v>
      </c>
      <c r="DR124">
        <v>24.613900000000001</v>
      </c>
      <c r="DS124">
        <v>24.517700000000001</v>
      </c>
      <c r="DT124">
        <v>35</v>
      </c>
      <c r="DU124">
        <v>25.4</v>
      </c>
      <c r="DV124">
        <v>11.512499999999999</v>
      </c>
      <c r="DW124">
        <v>61.929900000000004</v>
      </c>
      <c r="DX124">
        <v>35.661099999999998</v>
      </c>
      <c r="DY124">
        <v>1</v>
      </c>
      <c r="DZ124">
        <v>-0.158641</v>
      </c>
      <c r="EA124">
        <v>-0.13611400000000001</v>
      </c>
      <c r="EB124">
        <v>20.192399999999999</v>
      </c>
      <c r="EC124">
        <v>5.2415500000000002</v>
      </c>
      <c r="ED124">
        <v>12.039899999999999</v>
      </c>
      <c r="EE124">
        <v>5.0172999999999996</v>
      </c>
      <c r="EF124">
        <v>3.2879999999999998</v>
      </c>
      <c r="EG124">
        <v>9999</v>
      </c>
      <c r="EH124">
        <v>9999</v>
      </c>
      <c r="EI124">
        <v>9999</v>
      </c>
      <c r="EJ124">
        <v>999.9</v>
      </c>
      <c r="EK124">
        <v>1.8687800000000001</v>
      </c>
      <c r="EL124">
        <v>1.86449</v>
      </c>
      <c r="EM124">
        <v>1.8690599999999999</v>
      </c>
      <c r="EN124">
        <v>1.8670899999999999</v>
      </c>
      <c r="EO124">
        <v>1.86328</v>
      </c>
      <c r="EP124">
        <v>1.86436</v>
      </c>
      <c r="EQ124">
        <v>1.8701000000000001</v>
      </c>
      <c r="ER124">
        <v>1.8693299999999999</v>
      </c>
      <c r="ES124">
        <v>0</v>
      </c>
      <c r="ET124">
        <v>0</v>
      </c>
      <c r="EU124">
        <v>0</v>
      </c>
      <c r="EV124">
        <v>0</v>
      </c>
      <c r="EW124" t="s">
        <v>334</v>
      </c>
      <c r="EX124" t="s">
        <v>335</v>
      </c>
      <c r="EY124" t="s">
        <v>336</v>
      </c>
      <c r="EZ124" t="s">
        <v>336</v>
      </c>
      <c r="FA124" t="s">
        <v>336</v>
      </c>
      <c r="FB124" t="s">
        <v>336</v>
      </c>
      <c r="FC124">
        <v>0</v>
      </c>
      <c r="FD124">
        <v>100</v>
      </c>
      <c r="FE124">
        <v>100</v>
      </c>
      <c r="FF124">
        <v>-1.24</v>
      </c>
      <c r="FG124">
        <v>0.17829999999999999</v>
      </c>
      <c r="FH124">
        <v>-0.98020551812546231</v>
      </c>
      <c r="FI124">
        <v>-6.1462078757559423E-4</v>
      </c>
      <c r="FJ124">
        <v>-1.8861989874597051E-7</v>
      </c>
      <c r="FK124">
        <v>1.1980462299894961E-10</v>
      </c>
      <c r="FL124">
        <v>0.1782306200647516</v>
      </c>
      <c r="FM124">
        <v>0</v>
      </c>
      <c r="FN124">
        <v>0</v>
      </c>
      <c r="FO124">
        <v>0</v>
      </c>
      <c r="FP124">
        <v>3</v>
      </c>
      <c r="FQ124">
        <v>2158</v>
      </c>
      <c r="FR124">
        <v>1</v>
      </c>
      <c r="FS124">
        <v>19</v>
      </c>
      <c r="FT124">
        <v>19.899999999999999</v>
      </c>
      <c r="FU124">
        <v>20.2</v>
      </c>
      <c r="FV124">
        <v>1.7761199999999999</v>
      </c>
      <c r="FW124">
        <v>2.5488300000000002</v>
      </c>
      <c r="FX124">
        <v>1.5490699999999999</v>
      </c>
      <c r="FY124">
        <v>2.34253</v>
      </c>
      <c r="FZ124">
        <v>1.50146</v>
      </c>
      <c r="GA124">
        <v>2.36694</v>
      </c>
      <c r="GB124">
        <v>30.760400000000001</v>
      </c>
      <c r="GC124">
        <v>23.982399999999998</v>
      </c>
      <c r="GD124">
        <v>19</v>
      </c>
      <c r="GE124">
        <v>265.54700000000003</v>
      </c>
      <c r="GF124">
        <v>607.98099999999999</v>
      </c>
      <c r="GG124">
        <v>24.391999999999999</v>
      </c>
      <c r="GH124">
        <v>25.411000000000001</v>
      </c>
      <c r="GI124">
        <v>30.0001</v>
      </c>
      <c r="GJ124">
        <v>25.5412</v>
      </c>
      <c r="GK124">
        <v>25.5063</v>
      </c>
      <c r="GL124">
        <v>35.51</v>
      </c>
      <c r="GM124">
        <v>-30</v>
      </c>
      <c r="GN124">
        <v>-30</v>
      </c>
      <c r="GO124">
        <v>24.400700000000001</v>
      </c>
      <c r="GP124">
        <v>800</v>
      </c>
      <c r="GQ124">
        <v>0</v>
      </c>
      <c r="GR124">
        <v>99.630399999999995</v>
      </c>
      <c r="GS124">
        <v>99.245599999999996</v>
      </c>
    </row>
    <row r="125" spans="1:201" x14ac:dyDescent="0.25">
      <c r="A125">
        <v>109</v>
      </c>
      <c r="B125">
        <v>1690201975.5</v>
      </c>
      <c r="C125">
        <v>1128.5</v>
      </c>
      <c r="D125" t="s">
        <v>551</v>
      </c>
      <c r="E125" t="s">
        <v>552</v>
      </c>
      <c r="F125" t="s">
        <v>330</v>
      </c>
      <c r="H125">
        <v>1690201975.5</v>
      </c>
      <c r="I125">
        <f t="shared" si="30"/>
        <v>1.6373100113525941E-3</v>
      </c>
      <c r="J125">
        <f t="shared" si="31"/>
        <v>1.637310011352594</v>
      </c>
      <c r="K125">
        <f t="shared" si="32"/>
        <v>36.700595146771605</v>
      </c>
      <c r="L125">
        <f t="shared" si="33"/>
        <v>385.88799999999998</v>
      </c>
      <c r="M125">
        <f t="shared" si="34"/>
        <v>47.821399304293685</v>
      </c>
      <c r="N125">
        <f t="shared" si="35"/>
        <v>4.7386567450057617</v>
      </c>
      <c r="O125">
        <f t="shared" si="36"/>
        <v>38.237918601695995</v>
      </c>
      <c r="P125">
        <f t="shared" si="37"/>
        <v>0.18267550422228832</v>
      </c>
      <c r="Q125">
        <f t="shared" si="38"/>
        <v>2.081277808200408</v>
      </c>
      <c r="R125">
        <f t="shared" si="39"/>
        <v>0.17421252046855601</v>
      </c>
      <c r="S125">
        <f t="shared" si="40"/>
        <v>0.1096105129618371</v>
      </c>
      <c r="T125">
        <f t="shared" si="41"/>
        <v>276.11481261429662</v>
      </c>
      <c r="U125">
        <f t="shared" si="42"/>
        <v>27.404165509397082</v>
      </c>
      <c r="V125">
        <f t="shared" si="43"/>
        <v>27.404165509397082</v>
      </c>
      <c r="W125">
        <f t="shared" si="44"/>
        <v>3.6650058906525236</v>
      </c>
      <c r="X125">
        <f t="shared" si="45"/>
        <v>83.105970350000788</v>
      </c>
      <c r="Y125">
        <f t="shared" si="46"/>
        <v>2.7639274602093002</v>
      </c>
      <c r="Z125">
        <f t="shared" si="47"/>
        <v>3.3257868821806902</v>
      </c>
      <c r="AA125">
        <f t="shared" si="48"/>
        <v>0.90107843044322333</v>
      </c>
      <c r="AB125">
        <f t="shared" si="49"/>
        <v>-72.205371500649406</v>
      </c>
      <c r="AC125">
        <f t="shared" si="50"/>
        <v>-184.96747235172231</v>
      </c>
      <c r="AD125">
        <f t="shared" si="51"/>
        <v>-19.099322426966289</v>
      </c>
      <c r="AE125">
        <f t="shared" si="52"/>
        <v>-0.15735366504137005</v>
      </c>
      <c r="AF125">
        <v>13</v>
      </c>
      <c r="AG125">
        <v>4</v>
      </c>
      <c r="AH125">
        <f t="shared" si="53"/>
        <v>1</v>
      </c>
      <c r="AI125">
        <f t="shared" si="54"/>
        <v>0</v>
      </c>
      <c r="AJ125">
        <f t="shared" si="55"/>
        <v>52611.895455837541</v>
      </c>
      <c r="AK125">
        <f t="shared" si="56"/>
        <v>1799.99</v>
      </c>
      <c r="AL125">
        <f t="shared" si="57"/>
        <v>1499.1042169969701</v>
      </c>
      <c r="AM125">
        <f t="shared" si="58"/>
        <v>0.832840303</v>
      </c>
      <c r="AN125">
        <f t="shared" si="59"/>
        <v>0.15339797032999997</v>
      </c>
      <c r="AO125">
        <v>33.299999999999997</v>
      </c>
      <c r="AP125">
        <v>0.5</v>
      </c>
      <c r="AQ125" t="s">
        <v>331</v>
      </c>
      <c r="AR125">
        <v>2</v>
      </c>
      <c r="AS125">
        <v>1690201975.5</v>
      </c>
      <c r="AT125">
        <v>385.88799999999998</v>
      </c>
      <c r="AU125">
        <v>800.05</v>
      </c>
      <c r="AV125">
        <v>27.892900000000001</v>
      </c>
      <c r="AW125">
        <v>10.2354</v>
      </c>
      <c r="AX125">
        <v>387.12700000000001</v>
      </c>
      <c r="AY125">
        <v>27.714700000000001</v>
      </c>
      <c r="AZ125">
        <v>300.16500000000002</v>
      </c>
      <c r="BA125">
        <v>98.990700000000004</v>
      </c>
      <c r="BB125">
        <v>0.10001699999999999</v>
      </c>
      <c r="BC125">
        <v>25.755700000000001</v>
      </c>
      <c r="BD125">
        <v>27.015699999999999</v>
      </c>
      <c r="BE125">
        <v>27.523599999999998</v>
      </c>
      <c r="BF125">
        <v>0</v>
      </c>
      <c r="BG125">
        <v>0</v>
      </c>
      <c r="BH125">
        <v>10010</v>
      </c>
      <c r="BI125">
        <v>1073.71</v>
      </c>
      <c r="BJ125">
        <v>1.3455900000000001</v>
      </c>
      <c r="BK125">
        <v>-414.16199999999998</v>
      </c>
      <c r="BL125">
        <v>396.96</v>
      </c>
      <c r="BM125">
        <v>808.32299999999998</v>
      </c>
      <c r="BN125">
        <v>17.657499999999999</v>
      </c>
      <c r="BO125">
        <v>800.05</v>
      </c>
      <c r="BP125">
        <v>10.2354</v>
      </c>
      <c r="BQ125">
        <v>2.7611400000000001</v>
      </c>
      <c r="BR125">
        <v>1.0132099999999999</v>
      </c>
      <c r="BS125">
        <v>22.653600000000001</v>
      </c>
      <c r="BT125">
        <v>7.1076899999999998</v>
      </c>
      <c r="BU125">
        <v>1799.99</v>
      </c>
      <c r="BV125">
        <v>0.90998800000000002</v>
      </c>
      <c r="BW125">
        <v>3.3991599999999997E-2</v>
      </c>
      <c r="BX125">
        <v>2.20074E-2</v>
      </c>
      <c r="BY125">
        <v>3.4013099999999998E-2</v>
      </c>
      <c r="BZ125">
        <v>25</v>
      </c>
      <c r="CA125">
        <v>33528.199999999997</v>
      </c>
      <c r="CB125">
        <v>1690200769.5</v>
      </c>
      <c r="CC125" t="s">
        <v>332</v>
      </c>
      <c r="CD125">
        <v>1690200769.5</v>
      </c>
      <c r="CE125">
        <v>1690200753</v>
      </c>
      <c r="CF125">
        <v>2</v>
      </c>
      <c r="CG125">
        <v>-0.245</v>
      </c>
      <c r="CH125">
        <v>3.0000000000000001E-3</v>
      </c>
      <c r="CI125">
        <v>-1.5169999999999999</v>
      </c>
      <c r="CJ125">
        <v>-1.6E-2</v>
      </c>
      <c r="CK125">
        <v>778</v>
      </c>
      <c r="CL125">
        <v>12</v>
      </c>
      <c r="CM125">
        <v>0.01</v>
      </c>
      <c r="CN125">
        <v>0.03</v>
      </c>
      <c r="CO125">
        <v>-412.44560000000001</v>
      </c>
      <c r="CP125">
        <v>-9.7638574108812097</v>
      </c>
      <c r="CQ125">
        <v>0.94312029455420021</v>
      </c>
      <c r="CR125">
        <v>-1</v>
      </c>
      <c r="CS125">
        <v>17.6259625</v>
      </c>
      <c r="CT125">
        <v>0.20355759849903279</v>
      </c>
      <c r="CU125">
        <v>1.9658696389893471E-2</v>
      </c>
      <c r="CV125">
        <v>-1</v>
      </c>
      <c r="CW125">
        <v>0</v>
      </c>
      <c r="CX125">
        <v>0</v>
      </c>
      <c r="CY125" t="s">
        <v>333</v>
      </c>
      <c r="CZ125">
        <v>2.3653599999999999</v>
      </c>
      <c r="DA125">
        <v>2.7138200000000001</v>
      </c>
      <c r="DB125">
        <v>8.7379600000000002E-2</v>
      </c>
      <c r="DC125">
        <v>0.14632500000000001</v>
      </c>
      <c r="DD125">
        <v>0.12670100000000001</v>
      </c>
      <c r="DE125">
        <v>6.0294300000000002E-2</v>
      </c>
      <c r="DF125">
        <v>33296</v>
      </c>
      <c r="DG125">
        <v>27441.599999999999</v>
      </c>
      <c r="DH125">
        <v>31143.3</v>
      </c>
      <c r="DI125">
        <v>28007.200000000001</v>
      </c>
      <c r="DJ125">
        <v>36901.1</v>
      </c>
      <c r="DK125">
        <v>37392.1</v>
      </c>
      <c r="DL125">
        <v>44309.7</v>
      </c>
      <c r="DM125">
        <v>42410.9</v>
      </c>
      <c r="DN125">
        <v>1.4427000000000001</v>
      </c>
      <c r="DO125">
        <v>2.0774300000000001</v>
      </c>
      <c r="DP125">
        <v>0.14632200000000001</v>
      </c>
      <c r="DQ125">
        <v>0.183195</v>
      </c>
      <c r="DR125">
        <v>24.618099999999998</v>
      </c>
      <c r="DS125">
        <v>24.5229</v>
      </c>
      <c r="DT125">
        <v>34.9</v>
      </c>
      <c r="DU125">
        <v>25.4</v>
      </c>
      <c r="DV125">
        <v>11.4793</v>
      </c>
      <c r="DW125">
        <v>61.919899999999998</v>
      </c>
      <c r="DX125">
        <v>36.658700000000003</v>
      </c>
      <c r="DY125">
        <v>1</v>
      </c>
      <c r="DZ125">
        <v>-0.15951000000000001</v>
      </c>
      <c r="EA125">
        <v>-0.122478</v>
      </c>
      <c r="EB125">
        <v>20.192299999999999</v>
      </c>
      <c r="EC125">
        <v>5.2416999999999998</v>
      </c>
      <c r="ED125">
        <v>12.039899999999999</v>
      </c>
      <c r="EE125">
        <v>5.0174000000000003</v>
      </c>
      <c r="EF125">
        <v>3.2879999999999998</v>
      </c>
      <c r="EG125">
        <v>9999</v>
      </c>
      <c r="EH125">
        <v>9999</v>
      </c>
      <c r="EI125">
        <v>9999</v>
      </c>
      <c r="EJ125">
        <v>999.9</v>
      </c>
      <c r="EK125">
        <v>1.8687800000000001</v>
      </c>
      <c r="EL125">
        <v>1.86449</v>
      </c>
      <c r="EM125">
        <v>1.8690500000000001</v>
      </c>
      <c r="EN125">
        <v>1.8670800000000001</v>
      </c>
      <c r="EO125">
        <v>1.86327</v>
      </c>
      <c r="EP125">
        <v>1.8643700000000001</v>
      </c>
      <c r="EQ125">
        <v>1.8701099999999999</v>
      </c>
      <c r="ER125">
        <v>1.8693500000000001</v>
      </c>
      <c r="ES125">
        <v>0</v>
      </c>
      <c r="ET125">
        <v>0</v>
      </c>
      <c r="EU125">
        <v>0</v>
      </c>
      <c r="EV125">
        <v>0</v>
      </c>
      <c r="EW125" t="s">
        <v>334</v>
      </c>
      <c r="EX125" t="s">
        <v>335</v>
      </c>
      <c r="EY125" t="s">
        <v>336</v>
      </c>
      <c r="EZ125" t="s">
        <v>336</v>
      </c>
      <c r="FA125" t="s">
        <v>336</v>
      </c>
      <c r="FB125" t="s">
        <v>336</v>
      </c>
      <c r="FC125">
        <v>0</v>
      </c>
      <c r="FD125">
        <v>100</v>
      </c>
      <c r="FE125">
        <v>100</v>
      </c>
      <c r="FF125">
        <v>-1.2390000000000001</v>
      </c>
      <c r="FG125">
        <v>0.1782</v>
      </c>
      <c r="FH125">
        <v>-0.98020551812546231</v>
      </c>
      <c r="FI125">
        <v>-6.1462078757559423E-4</v>
      </c>
      <c r="FJ125">
        <v>-1.8861989874597051E-7</v>
      </c>
      <c r="FK125">
        <v>1.1980462299894961E-10</v>
      </c>
      <c r="FL125">
        <v>0.1782306200647516</v>
      </c>
      <c r="FM125">
        <v>0</v>
      </c>
      <c r="FN125">
        <v>0</v>
      </c>
      <c r="FO125">
        <v>0</v>
      </c>
      <c r="FP125">
        <v>3</v>
      </c>
      <c r="FQ125">
        <v>2158</v>
      </c>
      <c r="FR125">
        <v>1</v>
      </c>
      <c r="FS125">
        <v>19</v>
      </c>
      <c r="FT125">
        <v>20.100000000000001</v>
      </c>
      <c r="FU125">
        <v>20.399999999999999</v>
      </c>
      <c r="FV125">
        <v>1.7761199999999999</v>
      </c>
      <c r="FW125">
        <v>2.5585900000000001</v>
      </c>
      <c r="FX125">
        <v>1.5490699999999999</v>
      </c>
      <c r="FY125">
        <v>2.34253</v>
      </c>
      <c r="FZ125">
        <v>1.50146</v>
      </c>
      <c r="GA125">
        <v>2.2985799999999998</v>
      </c>
      <c r="GB125">
        <v>30.760400000000001</v>
      </c>
      <c r="GC125">
        <v>23.973700000000001</v>
      </c>
      <c r="GD125">
        <v>19</v>
      </c>
      <c r="GE125">
        <v>265.50700000000001</v>
      </c>
      <c r="GF125">
        <v>607.88499999999999</v>
      </c>
      <c r="GG125">
        <v>24.396100000000001</v>
      </c>
      <c r="GH125">
        <v>25.411000000000001</v>
      </c>
      <c r="GI125">
        <v>29.999600000000001</v>
      </c>
      <c r="GJ125">
        <v>25.5412</v>
      </c>
      <c r="GK125">
        <v>25.507100000000001</v>
      </c>
      <c r="GL125">
        <v>35.507399999999997</v>
      </c>
      <c r="GM125">
        <v>-30</v>
      </c>
      <c r="GN125">
        <v>-30</v>
      </c>
      <c r="GO125">
        <v>24.369299999999999</v>
      </c>
      <c r="GP125">
        <v>800</v>
      </c>
      <c r="GQ125">
        <v>0</v>
      </c>
      <c r="GR125">
        <v>99.631900000000002</v>
      </c>
      <c r="GS125">
        <v>99.249399999999994</v>
      </c>
    </row>
    <row r="126" spans="1:201" x14ac:dyDescent="0.25">
      <c r="A126">
        <v>110</v>
      </c>
      <c r="B126">
        <v>1690201985.5</v>
      </c>
      <c r="C126">
        <v>1138.5</v>
      </c>
      <c r="D126" t="s">
        <v>553</v>
      </c>
      <c r="E126" t="s">
        <v>554</v>
      </c>
      <c r="F126" t="s">
        <v>330</v>
      </c>
      <c r="H126">
        <v>1690201985.5</v>
      </c>
      <c r="I126">
        <f t="shared" si="30"/>
        <v>1.6392735629117547E-3</v>
      </c>
      <c r="J126">
        <f t="shared" si="31"/>
        <v>1.6392735629117547</v>
      </c>
      <c r="K126">
        <f t="shared" si="32"/>
        <v>36.839124919008164</v>
      </c>
      <c r="L126">
        <f t="shared" si="33"/>
        <v>384.245</v>
      </c>
      <c r="M126">
        <f t="shared" si="34"/>
        <v>45.537664467157391</v>
      </c>
      <c r="N126">
        <f t="shared" si="35"/>
        <v>4.5124722869259841</v>
      </c>
      <c r="O126">
        <f t="shared" si="36"/>
        <v>38.076061523541505</v>
      </c>
      <c r="P126">
        <f t="shared" si="37"/>
        <v>0.18302234678266535</v>
      </c>
      <c r="Q126">
        <f t="shared" si="38"/>
        <v>2.0782363568242577</v>
      </c>
      <c r="R126">
        <f t="shared" si="39"/>
        <v>0.17451618807060776</v>
      </c>
      <c r="S126">
        <f t="shared" si="40"/>
        <v>0.1098039123963151</v>
      </c>
      <c r="T126">
        <f t="shared" si="41"/>
        <v>276.11479558639132</v>
      </c>
      <c r="U126">
        <f t="shared" si="42"/>
        <v>27.406850640117991</v>
      </c>
      <c r="V126">
        <f t="shared" si="43"/>
        <v>27.406850640117991</v>
      </c>
      <c r="W126">
        <f t="shared" si="44"/>
        <v>3.665582178087313</v>
      </c>
      <c r="X126">
        <f t="shared" si="45"/>
        <v>83.131625100492982</v>
      </c>
      <c r="Y126">
        <f t="shared" si="46"/>
        <v>2.76497736985276</v>
      </c>
      <c r="Z126">
        <f t="shared" si="47"/>
        <v>3.326023479644888</v>
      </c>
      <c r="AA126">
        <f t="shared" si="48"/>
        <v>0.90060480823455302</v>
      </c>
      <c r="AB126">
        <f t="shared" si="49"/>
        <v>-72.291964124408381</v>
      </c>
      <c r="AC126">
        <f t="shared" si="50"/>
        <v>-184.86356910012898</v>
      </c>
      <c r="AD126">
        <f t="shared" si="51"/>
        <v>-19.116901465781055</v>
      </c>
      <c r="AE126">
        <f t="shared" si="52"/>
        <v>-0.15763910392706748</v>
      </c>
      <c r="AF126">
        <v>13</v>
      </c>
      <c r="AG126">
        <v>4</v>
      </c>
      <c r="AH126">
        <f t="shared" si="53"/>
        <v>1</v>
      </c>
      <c r="AI126">
        <f t="shared" si="54"/>
        <v>0</v>
      </c>
      <c r="AJ126">
        <f t="shared" si="55"/>
        <v>52474.358521305847</v>
      </c>
      <c r="AK126">
        <f t="shared" si="56"/>
        <v>1799.99</v>
      </c>
      <c r="AL126">
        <f t="shared" si="57"/>
        <v>1499.1044941954301</v>
      </c>
      <c r="AM126">
        <f t="shared" si="58"/>
        <v>0.83284045700000009</v>
      </c>
      <c r="AN126">
        <f t="shared" si="59"/>
        <v>0.15339796087000002</v>
      </c>
      <c r="AO126">
        <v>33.299999999999997</v>
      </c>
      <c r="AP126">
        <v>0.5</v>
      </c>
      <c r="AQ126" t="s">
        <v>331</v>
      </c>
      <c r="AR126">
        <v>2</v>
      </c>
      <c r="AS126">
        <v>1690201985.5</v>
      </c>
      <c r="AT126">
        <v>384.245</v>
      </c>
      <c r="AU126">
        <v>799.99300000000005</v>
      </c>
      <c r="AV126">
        <v>27.902799999999999</v>
      </c>
      <c r="AW126">
        <v>10.221299999999999</v>
      </c>
      <c r="AX126">
        <v>385.483</v>
      </c>
      <c r="AY126">
        <v>27.724599999999999</v>
      </c>
      <c r="AZ126">
        <v>300.11399999999998</v>
      </c>
      <c r="BA126">
        <v>98.993200000000002</v>
      </c>
      <c r="BB126">
        <v>9.9986699999999998E-2</v>
      </c>
      <c r="BC126">
        <v>25.756900000000002</v>
      </c>
      <c r="BD126">
        <v>27.004100000000001</v>
      </c>
      <c r="BE126">
        <v>27.491700000000002</v>
      </c>
      <c r="BF126">
        <v>0</v>
      </c>
      <c r="BG126">
        <v>0</v>
      </c>
      <c r="BH126">
        <v>9982.5</v>
      </c>
      <c r="BI126">
        <v>1073.8399999999999</v>
      </c>
      <c r="BJ126">
        <v>1.32176</v>
      </c>
      <c r="BK126">
        <v>-415.74799999999999</v>
      </c>
      <c r="BL126">
        <v>395.274</v>
      </c>
      <c r="BM126">
        <v>808.25400000000002</v>
      </c>
      <c r="BN126">
        <v>17.6815</v>
      </c>
      <c r="BO126">
        <v>799.99300000000005</v>
      </c>
      <c r="BP126">
        <v>10.221299999999999</v>
      </c>
      <c r="BQ126">
        <v>2.7621899999999999</v>
      </c>
      <c r="BR126">
        <v>1.0118400000000001</v>
      </c>
      <c r="BS126">
        <v>22.659800000000001</v>
      </c>
      <c r="BT126">
        <v>7.0879799999999999</v>
      </c>
      <c r="BU126">
        <v>1799.99</v>
      </c>
      <c r="BV126">
        <v>0.90998900000000005</v>
      </c>
      <c r="BW126">
        <v>3.39929E-2</v>
      </c>
      <c r="BX126">
        <v>2.2006600000000001E-2</v>
      </c>
      <c r="BY126">
        <v>3.4011899999999998E-2</v>
      </c>
      <c r="BZ126">
        <v>25</v>
      </c>
      <c r="CA126">
        <v>33528.199999999997</v>
      </c>
      <c r="CB126">
        <v>1690200769.5</v>
      </c>
      <c r="CC126" t="s">
        <v>332</v>
      </c>
      <c r="CD126">
        <v>1690200769.5</v>
      </c>
      <c r="CE126">
        <v>1690200753</v>
      </c>
      <c r="CF126">
        <v>2</v>
      </c>
      <c r="CG126">
        <v>-0.245</v>
      </c>
      <c r="CH126">
        <v>3.0000000000000001E-3</v>
      </c>
      <c r="CI126">
        <v>-1.5169999999999999</v>
      </c>
      <c r="CJ126">
        <v>-1.6E-2</v>
      </c>
      <c r="CK126">
        <v>778</v>
      </c>
      <c r="CL126">
        <v>12</v>
      </c>
      <c r="CM126">
        <v>0.01</v>
      </c>
      <c r="CN126">
        <v>0.03</v>
      </c>
      <c r="CO126">
        <v>-413.94156097560978</v>
      </c>
      <c r="CP126">
        <v>-9.9164947735202595</v>
      </c>
      <c r="CQ126">
        <v>0.98094707966905381</v>
      </c>
      <c r="CR126">
        <v>-1</v>
      </c>
      <c r="CS126">
        <v>17.653721951219509</v>
      </c>
      <c r="CT126">
        <v>0.15657700348435721</v>
      </c>
      <c r="CU126">
        <v>1.546185727327349E-2</v>
      </c>
      <c r="CV126">
        <v>-1</v>
      </c>
      <c r="CW126">
        <v>0</v>
      </c>
      <c r="CX126">
        <v>0</v>
      </c>
      <c r="CY126" t="s">
        <v>333</v>
      </c>
      <c r="CZ126">
        <v>2.3652099999999998</v>
      </c>
      <c r="DA126">
        <v>2.7137600000000002</v>
      </c>
      <c r="DB126">
        <v>8.7095699999999998E-2</v>
      </c>
      <c r="DC126">
        <v>0.14632100000000001</v>
      </c>
      <c r="DD126">
        <v>0.12673599999999999</v>
      </c>
      <c r="DE126">
        <v>6.0232099999999997E-2</v>
      </c>
      <c r="DF126">
        <v>33306.1</v>
      </c>
      <c r="DG126">
        <v>27441.9</v>
      </c>
      <c r="DH126">
        <v>31143.1</v>
      </c>
      <c r="DI126">
        <v>28007.3</v>
      </c>
      <c r="DJ126">
        <v>36899.5</v>
      </c>
      <c r="DK126">
        <v>37394.800000000003</v>
      </c>
      <c r="DL126">
        <v>44309.599999999999</v>
      </c>
      <c r="DM126">
        <v>42411.1</v>
      </c>
      <c r="DN126">
        <v>1.4423699999999999</v>
      </c>
      <c r="DO126">
        <v>2.0773700000000002</v>
      </c>
      <c r="DP126">
        <v>0.145402</v>
      </c>
      <c r="DQ126">
        <v>0.18102299999999999</v>
      </c>
      <c r="DR126">
        <v>24.621600000000001</v>
      </c>
      <c r="DS126">
        <v>24.526499999999999</v>
      </c>
      <c r="DT126">
        <v>34.799999999999997</v>
      </c>
      <c r="DU126">
        <v>25.4</v>
      </c>
      <c r="DV126">
        <v>11.447699999999999</v>
      </c>
      <c r="DW126">
        <v>61.879899999999999</v>
      </c>
      <c r="DX126">
        <v>36.478400000000001</v>
      </c>
      <c r="DY126">
        <v>1</v>
      </c>
      <c r="DZ126">
        <v>-0.159388</v>
      </c>
      <c r="EA126">
        <v>-7.9670500000000005E-2</v>
      </c>
      <c r="EB126">
        <v>20.1922</v>
      </c>
      <c r="EC126">
        <v>5.2415500000000002</v>
      </c>
      <c r="ED126">
        <v>12.039899999999999</v>
      </c>
      <c r="EE126">
        <v>5.0175000000000001</v>
      </c>
      <c r="EF126">
        <v>3.2879999999999998</v>
      </c>
      <c r="EG126">
        <v>9999</v>
      </c>
      <c r="EH126">
        <v>9999</v>
      </c>
      <c r="EI126">
        <v>9999</v>
      </c>
      <c r="EJ126">
        <v>999.9</v>
      </c>
      <c r="EK126">
        <v>1.86877</v>
      </c>
      <c r="EL126">
        <v>1.8645</v>
      </c>
      <c r="EM126">
        <v>1.8690500000000001</v>
      </c>
      <c r="EN126">
        <v>1.8670800000000001</v>
      </c>
      <c r="EO126">
        <v>1.86327</v>
      </c>
      <c r="EP126">
        <v>1.86435</v>
      </c>
      <c r="EQ126">
        <v>1.8701000000000001</v>
      </c>
      <c r="ER126">
        <v>1.8693500000000001</v>
      </c>
      <c r="ES126">
        <v>0</v>
      </c>
      <c r="ET126">
        <v>0</v>
      </c>
      <c r="EU126">
        <v>0</v>
      </c>
      <c r="EV126">
        <v>0</v>
      </c>
      <c r="EW126" t="s">
        <v>334</v>
      </c>
      <c r="EX126" t="s">
        <v>335</v>
      </c>
      <c r="EY126" t="s">
        <v>336</v>
      </c>
      <c r="EZ126" t="s">
        <v>336</v>
      </c>
      <c r="FA126" t="s">
        <v>336</v>
      </c>
      <c r="FB126" t="s">
        <v>336</v>
      </c>
      <c r="FC126">
        <v>0</v>
      </c>
      <c r="FD126">
        <v>100</v>
      </c>
      <c r="FE126">
        <v>100</v>
      </c>
      <c r="FF126">
        <v>-1.238</v>
      </c>
      <c r="FG126">
        <v>0.1782</v>
      </c>
      <c r="FH126">
        <v>-0.98020551812546231</v>
      </c>
      <c r="FI126">
        <v>-6.1462078757559423E-4</v>
      </c>
      <c r="FJ126">
        <v>-1.8861989874597051E-7</v>
      </c>
      <c r="FK126">
        <v>1.1980462299894961E-10</v>
      </c>
      <c r="FL126">
        <v>0.1782306200647516</v>
      </c>
      <c r="FM126">
        <v>0</v>
      </c>
      <c r="FN126">
        <v>0</v>
      </c>
      <c r="FO126">
        <v>0</v>
      </c>
      <c r="FP126">
        <v>3</v>
      </c>
      <c r="FQ126">
        <v>2158</v>
      </c>
      <c r="FR126">
        <v>1</v>
      </c>
      <c r="FS126">
        <v>19</v>
      </c>
      <c r="FT126">
        <v>20.3</v>
      </c>
      <c r="FU126">
        <v>20.5</v>
      </c>
      <c r="FV126">
        <v>1.7761199999999999</v>
      </c>
      <c r="FW126">
        <v>2.5463900000000002</v>
      </c>
      <c r="FX126">
        <v>1.5490699999999999</v>
      </c>
      <c r="FY126">
        <v>2.34375</v>
      </c>
      <c r="FZ126">
        <v>1.50146</v>
      </c>
      <c r="GA126">
        <v>2.34375</v>
      </c>
      <c r="GB126">
        <v>30.782</v>
      </c>
      <c r="GC126">
        <v>23.982399999999998</v>
      </c>
      <c r="GD126">
        <v>19</v>
      </c>
      <c r="GE126">
        <v>265.37599999999998</v>
      </c>
      <c r="GF126">
        <v>607.85699999999997</v>
      </c>
      <c r="GG126">
        <v>24.357700000000001</v>
      </c>
      <c r="GH126">
        <v>25.411000000000001</v>
      </c>
      <c r="GI126">
        <v>29.9998</v>
      </c>
      <c r="GJ126">
        <v>25.5412</v>
      </c>
      <c r="GK126">
        <v>25.508299999999998</v>
      </c>
      <c r="GL126">
        <v>35.508699999999997</v>
      </c>
      <c r="GM126">
        <v>-30</v>
      </c>
      <c r="GN126">
        <v>-30</v>
      </c>
      <c r="GO126">
        <v>24.377400000000002</v>
      </c>
      <c r="GP126">
        <v>800</v>
      </c>
      <c r="GQ126">
        <v>0</v>
      </c>
      <c r="GR126">
        <v>99.631500000000003</v>
      </c>
      <c r="GS126">
        <v>99.25</v>
      </c>
    </row>
    <row r="127" spans="1:201" x14ac:dyDescent="0.25">
      <c r="A127">
        <v>111</v>
      </c>
      <c r="B127">
        <v>1690201995.5</v>
      </c>
      <c r="C127">
        <v>1148.5</v>
      </c>
      <c r="D127" t="s">
        <v>555</v>
      </c>
      <c r="E127" t="s">
        <v>556</v>
      </c>
      <c r="F127" t="s">
        <v>330</v>
      </c>
      <c r="H127">
        <v>1690201995.5</v>
      </c>
      <c r="I127">
        <f t="shared" si="30"/>
        <v>1.6423768959274324E-3</v>
      </c>
      <c r="J127">
        <f t="shared" si="31"/>
        <v>1.6423768959274323</v>
      </c>
      <c r="K127">
        <f t="shared" si="32"/>
        <v>36.991647336825224</v>
      </c>
      <c r="L127">
        <f t="shared" si="33"/>
        <v>382.76600000000002</v>
      </c>
      <c r="M127">
        <f t="shared" si="34"/>
        <v>43.677234342983205</v>
      </c>
      <c r="N127">
        <f t="shared" si="35"/>
        <v>4.3281592414361825</v>
      </c>
      <c r="O127">
        <f t="shared" si="36"/>
        <v>37.929878691454</v>
      </c>
      <c r="P127">
        <f t="shared" si="37"/>
        <v>0.18357849788863159</v>
      </c>
      <c r="Q127">
        <f t="shared" si="38"/>
        <v>2.0781772011519468</v>
      </c>
      <c r="R127">
        <f t="shared" si="39"/>
        <v>0.17502163246220848</v>
      </c>
      <c r="S127">
        <f t="shared" si="40"/>
        <v>0.11012407775358349</v>
      </c>
      <c r="T127">
        <f t="shared" si="41"/>
        <v>276.11628323399998</v>
      </c>
      <c r="U127">
        <f t="shared" si="42"/>
        <v>27.408193694638541</v>
      </c>
      <c r="V127">
        <f t="shared" si="43"/>
        <v>27.408193694638541</v>
      </c>
      <c r="W127">
        <f t="shared" si="44"/>
        <v>3.665870456458511</v>
      </c>
      <c r="X127">
        <f t="shared" si="45"/>
        <v>83.155476000194611</v>
      </c>
      <c r="Y127">
        <f t="shared" si="46"/>
        <v>2.7661641805505002</v>
      </c>
      <c r="Z127">
        <f t="shared" si="47"/>
        <v>3.3264967186815531</v>
      </c>
      <c r="AA127">
        <f t="shared" si="48"/>
        <v>0.89970627590801078</v>
      </c>
      <c r="AB127">
        <f t="shared" si="49"/>
        <v>-72.428821110399767</v>
      </c>
      <c r="AC127">
        <f t="shared" si="50"/>
        <v>-184.73988829040269</v>
      </c>
      <c r="AD127">
        <f t="shared" si="51"/>
        <v>-19.105013190911052</v>
      </c>
      <c r="AE127">
        <f t="shared" si="52"/>
        <v>-0.15743935771354245</v>
      </c>
      <c r="AF127">
        <v>13</v>
      </c>
      <c r="AG127">
        <v>4</v>
      </c>
      <c r="AH127">
        <f t="shared" si="53"/>
        <v>1</v>
      </c>
      <c r="AI127">
        <f t="shared" si="54"/>
        <v>0</v>
      </c>
      <c r="AJ127">
        <f t="shared" si="55"/>
        <v>52471.286740462921</v>
      </c>
      <c r="AK127">
        <f t="shared" si="56"/>
        <v>1800</v>
      </c>
      <c r="AL127">
        <f t="shared" si="57"/>
        <v>1499.1100254</v>
      </c>
      <c r="AM127">
        <f t="shared" si="58"/>
        <v>0.83283890299999996</v>
      </c>
      <c r="AN127">
        <f t="shared" si="59"/>
        <v>0.15339793513</v>
      </c>
      <c r="AO127">
        <v>33.299999999999997</v>
      </c>
      <c r="AP127">
        <v>0.5</v>
      </c>
      <c r="AQ127" t="s">
        <v>331</v>
      </c>
      <c r="AR127">
        <v>2</v>
      </c>
      <c r="AS127">
        <v>1690201995.5</v>
      </c>
      <c r="AT127">
        <v>382.76600000000002</v>
      </c>
      <c r="AU127">
        <v>799.99800000000005</v>
      </c>
      <c r="AV127">
        <v>27.9145</v>
      </c>
      <c r="AW127">
        <v>10.208</v>
      </c>
      <c r="AX127">
        <v>384.00400000000002</v>
      </c>
      <c r="AY127">
        <v>27.7362</v>
      </c>
      <c r="AZ127">
        <v>300.25400000000002</v>
      </c>
      <c r="BA127">
        <v>98.994100000000003</v>
      </c>
      <c r="BB127">
        <v>0.10006900000000001</v>
      </c>
      <c r="BC127">
        <v>25.7593</v>
      </c>
      <c r="BD127">
        <v>27.0229</v>
      </c>
      <c r="BE127">
        <v>27.516500000000001</v>
      </c>
      <c r="BF127">
        <v>0</v>
      </c>
      <c r="BG127">
        <v>0</v>
      </c>
      <c r="BH127">
        <v>9981.8799999999992</v>
      </c>
      <c r="BI127">
        <v>1073.8900000000001</v>
      </c>
      <c r="BJ127">
        <v>1.25728</v>
      </c>
      <c r="BK127">
        <v>-417.23099999999999</v>
      </c>
      <c r="BL127">
        <v>393.75799999999998</v>
      </c>
      <c r="BM127">
        <v>808.24800000000005</v>
      </c>
      <c r="BN127">
        <v>17.706499999999998</v>
      </c>
      <c r="BO127">
        <v>799.99800000000005</v>
      </c>
      <c r="BP127">
        <v>10.208</v>
      </c>
      <c r="BQ127">
        <v>2.7633700000000001</v>
      </c>
      <c r="BR127">
        <v>1.0105299999999999</v>
      </c>
      <c r="BS127">
        <v>22.666899999999998</v>
      </c>
      <c r="BT127">
        <v>7.0691199999999998</v>
      </c>
      <c r="BU127">
        <v>1800</v>
      </c>
      <c r="BV127">
        <v>0.90998100000000004</v>
      </c>
      <c r="BW127">
        <v>3.4003699999999998E-2</v>
      </c>
      <c r="BX127">
        <v>2.2005400000000001E-2</v>
      </c>
      <c r="BY127">
        <v>3.4010100000000001E-2</v>
      </c>
      <c r="BZ127">
        <v>25</v>
      </c>
      <c r="CA127">
        <v>33528.199999999997</v>
      </c>
      <c r="CB127">
        <v>1690200769.5</v>
      </c>
      <c r="CC127" t="s">
        <v>332</v>
      </c>
      <c r="CD127">
        <v>1690200769.5</v>
      </c>
      <c r="CE127">
        <v>1690200753</v>
      </c>
      <c r="CF127">
        <v>2</v>
      </c>
      <c r="CG127">
        <v>-0.245</v>
      </c>
      <c r="CH127">
        <v>3.0000000000000001E-3</v>
      </c>
      <c r="CI127">
        <v>-1.5169999999999999</v>
      </c>
      <c r="CJ127">
        <v>-1.6E-2</v>
      </c>
      <c r="CK127">
        <v>778</v>
      </c>
      <c r="CL127">
        <v>12</v>
      </c>
      <c r="CM127">
        <v>0.01</v>
      </c>
      <c r="CN127">
        <v>0.03</v>
      </c>
      <c r="CO127">
        <v>-415.48619512195131</v>
      </c>
      <c r="CP127">
        <v>-8.8597630662022286</v>
      </c>
      <c r="CQ127">
        <v>0.87721983838389084</v>
      </c>
      <c r="CR127">
        <v>-1</v>
      </c>
      <c r="CS127">
        <v>17.67860487804878</v>
      </c>
      <c r="CT127">
        <v>0.1419930313588765</v>
      </c>
      <c r="CU127">
        <v>1.401081378913843E-2</v>
      </c>
      <c r="CV127">
        <v>-1</v>
      </c>
      <c r="CW127">
        <v>0</v>
      </c>
      <c r="CX127">
        <v>0</v>
      </c>
      <c r="CY127" t="s">
        <v>333</v>
      </c>
      <c r="CZ127">
        <v>2.36565</v>
      </c>
      <c r="DA127">
        <v>2.7138499999999999</v>
      </c>
      <c r="DB127">
        <v>8.6838499999999999E-2</v>
      </c>
      <c r="DC127">
        <v>0.14632200000000001</v>
      </c>
      <c r="DD127">
        <v>0.126774</v>
      </c>
      <c r="DE127">
        <v>6.0172499999999997E-2</v>
      </c>
      <c r="DF127">
        <v>33315.5</v>
      </c>
      <c r="DG127">
        <v>27441.5</v>
      </c>
      <c r="DH127">
        <v>31143.1</v>
      </c>
      <c r="DI127">
        <v>28006.9</v>
      </c>
      <c r="DJ127">
        <v>36897.699999999997</v>
      </c>
      <c r="DK127">
        <v>37396.9</v>
      </c>
      <c r="DL127">
        <v>44309.4</v>
      </c>
      <c r="DM127">
        <v>42410.8</v>
      </c>
      <c r="DN127">
        <v>1.4427000000000001</v>
      </c>
      <c r="DO127">
        <v>2.0773000000000001</v>
      </c>
      <c r="DP127">
        <v>0.14632899999999999</v>
      </c>
      <c r="DQ127">
        <v>0.182368</v>
      </c>
      <c r="DR127">
        <v>24.6252</v>
      </c>
      <c r="DS127">
        <v>24.529199999999999</v>
      </c>
      <c r="DT127">
        <v>34.799999999999997</v>
      </c>
      <c r="DU127">
        <v>25.4</v>
      </c>
      <c r="DV127">
        <v>11.446199999999999</v>
      </c>
      <c r="DW127">
        <v>61.989899999999999</v>
      </c>
      <c r="DX127">
        <v>35.745199999999997</v>
      </c>
      <c r="DY127">
        <v>1</v>
      </c>
      <c r="DZ127">
        <v>-0.15934999999999999</v>
      </c>
      <c r="EA127">
        <v>-0.11455899999999999</v>
      </c>
      <c r="EB127">
        <v>20.1921</v>
      </c>
      <c r="EC127">
        <v>5.2413999999999996</v>
      </c>
      <c r="ED127">
        <v>12.039899999999999</v>
      </c>
      <c r="EE127">
        <v>5.0173500000000004</v>
      </c>
      <c r="EF127">
        <v>3.2879999999999998</v>
      </c>
      <c r="EG127">
        <v>9999</v>
      </c>
      <c r="EH127">
        <v>9999</v>
      </c>
      <c r="EI127">
        <v>9999</v>
      </c>
      <c r="EJ127">
        <v>999.9</v>
      </c>
      <c r="EK127">
        <v>1.86876</v>
      </c>
      <c r="EL127">
        <v>1.8644799999999999</v>
      </c>
      <c r="EM127">
        <v>1.8690500000000001</v>
      </c>
      <c r="EN127">
        <v>1.8670899999999999</v>
      </c>
      <c r="EO127">
        <v>1.86327</v>
      </c>
      <c r="EP127">
        <v>1.8643400000000001</v>
      </c>
      <c r="EQ127">
        <v>1.87008</v>
      </c>
      <c r="ER127">
        <v>1.8693500000000001</v>
      </c>
      <c r="ES127">
        <v>0</v>
      </c>
      <c r="ET127">
        <v>0</v>
      </c>
      <c r="EU127">
        <v>0</v>
      </c>
      <c r="EV127">
        <v>0</v>
      </c>
      <c r="EW127" t="s">
        <v>334</v>
      </c>
      <c r="EX127" t="s">
        <v>335</v>
      </c>
      <c r="EY127" t="s">
        <v>336</v>
      </c>
      <c r="EZ127" t="s">
        <v>336</v>
      </c>
      <c r="FA127" t="s">
        <v>336</v>
      </c>
      <c r="FB127" t="s">
        <v>336</v>
      </c>
      <c r="FC127">
        <v>0</v>
      </c>
      <c r="FD127">
        <v>100</v>
      </c>
      <c r="FE127">
        <v>100</v>
      </c>
      <c r="FF127">
        <v>-1.238</v>
      </c>
      <c r="FG127">
        <v>0.17829999999999999</v>
      </c>
      <c r="FH127">
        <v>-0.98020551812546231</v>
      </c>
      <c r="FI127">
        <v>-6.1462078757559423E-4</v>
      </c>
      <c r="FJ127">
        <v>-1.8861989874597051E-7</v>
      </c>
      <c r="FK127">
        <v>1.1980462299894961E-10</v>
      </c>
      <c r="FL127">
        <v>0.1782306200647516</v>
      </c>
      <c r="FM127">
        <v>0</v>
      </c>
      <c r="FN127">
        <v>0</v>
      </c>
      <c r="FO127">
        <v>0</v>
      </c>
      <c r="FP127">
        <v>3</v>
      </c>
      <c r="FQ127">
        <v>2158</v>
      </c>
      <c r="FR127">
        <v>1</v>
      </c>
      <c r="FS127">
        <v>19</v>
      </c>
      <c r="FT127">
        <v>20.399999999999999</v>
      </c>
      <c r="FU127">
        <v>20.7</v>
      </c>
      <c r="FV127">
        <v>1.7761199999999999</v>
      </c>
      <c r="FW127">
        <v>2.5427200000000001</v>
      </c>
      <c r="FX127">
        <v>1.5490699999999999</v>
      </c>
      <c r="FY127">
        <v>2.34253</v>
      </c>
      <c r="FZ127">
        <v>1.50146</v>
      </c>
      <c r="GA127">
        <v>2.3938000000000001</v>
      </c>
      <c r="GB127">
        <v>30.782</v>
      </c>
      <c r="GC127">
        <v>23.991199999999999</v>
      </c>
      <c r="GD127">
        <v>19</v>
      </c>
      <c r="GE127">
        <v>265.50700000000001</v>
      </c>
      <c r="GF127">
        <v>607.79300000000001</v>
      </c>
      <c r="GG127">
        <v>24.3719</v>
      </c>
      <c r="GH127">
        <v>25.411000000000001</v>
      </c>
      <c r="GI127">
        <v>29.999700000000001</v>
      </c>
      <c r="GJ127">
        <v>25.5412</v>
      </c>
      <c r="GK127">
        <v>25.508299999999998</v>
      </c>
      <c r="GL127">
        <v>35.510599999999997</v>
      </c>
      <c r="GM127">
        <v>-30</v>
      </c>
      <c r="GN127">
        <v>-30</v>
      </c>
      <c r="GO127">
        <v>24.343599999999999</v>
      </c>
      <c r="GP127">
        <v>800</v>
      </c>
      <c r="GQ127">
        <v>0</v>
      </c>
      <c r="GR127">
        <v>99.631200000000007</v>
      </c>
      <c r="GS127">
        <v>99.248999999999995</v>
      </c>
    </row>
    <row r="128" spans="1:201" x14ac:dyDescent="0.25">
      <c r="A128">
        <v>112</v>
      </c>
      <c r="B128">
        <v>1690202005.5</v>
      </c>
      <c r="C128">
        <v>1158.5</v>
      </c>
      <c r="D128" t="s">
        <v>557</v>
      </c>
      <c r="E128" t="s">
        <v>558</v>
      </c>
      <c r="F128" t="s">
        <v>330</v>
      </c>
      <c r="H128">
        <v>1690202005.5</v>
      </c>
      <c r="I128">
        <f t="shared" si="30"/>
        <v>1.6434849380787416E-3</v>
      </c>
      <c r="J128">
        <f t="shared" si="31"/>
        <v>1.6434849380787415</v>
      </c>
      <c r="K128">
        <f t="shared" si="32"/>
        <v>37.09656487349568</v>
      </c>
      <c r="L128">
        <f t="shared" si="33"/>
        <v>381.28300000000002</v>
      </c>
      <c r="M128">
        <f t="shared" si="34"/>
        <v>41.833878048665227</v>
      </c>
      <c r="N128">
        <f t="shared" si="35"/>
        <v>4.145621874036248</v>
      </c>
      <c r="O128">
        <f t="shared" si="36"/>
        <v>37.7840931495615</v>
      </c>
      <c r="P128">
        <f t="shared" si="37"/>
        <v>0.1839021918348421</v>
      </c>
      <c r="Q128">
        <f t="shared" si="38"/>
        <v>2.0774439898892454</v>
      </c>
      <c r="R128">
        <f t="shared" si="39"/>
        <v>0.17531300410334205</v>
      </c>
      <c r="S128">
        <f t="shared" si="40"/>
        <v>0.11030889626788851</v>
      </c>
      <c r="T128">
        <f t="shared" si="41"/>
        <v>276.1145036100134</v>
      </c>
      <c r="U128">
        <f t="shared" si="42"/>
        <v>27.409309852566107</v>
      </c>
      <c r="V128">
        <f t="shared" si="43"/>
        <v>27.409309852566107</v>
      </c>
      <c r="W128">
        <f t="shared" si="44"/>
        <v>3.6661100479293962</v>
      </c>
      <c r="X128">
        <f t="shared" si="45"/>
        <v>83.183806172629801</v>
      </c>
      <c r="Y128">
        <f t="shared" si="46"/>
        <v>2.7672706215143998</v>
      </c>
      <c r="Z128">
        <f t="shared" si="47"/>
        <v>3.326693918972083</v>
      </c>
      <c r="AA128">
        <f t="shared" si="48"/>
        <v>0.89883942641499637</v>
      </c>
      <c r="AB128">
        <f t="shared" si="49"/>
        <v>-72.477685769272512</v>
      </c>
      <c r="AC128">
        <f t="shared" si="50"/>
        <v>-184.68771895054846</v>
      </c>
      <c r="AD128">
        <f t="shared" si="51"/>
        <v>-19.106561523568995</v>
      </c>
      <c r="AE128">
        <f t="shared" si="52"/>
        <v>-0.15746263337655364</v>
      </c>
      <c r="AF128">
        <v>13</v>
      </c>
      <c r="AG128">
        <v>4</v>
      </c>
      <c r="AH128">
        <f t="shared" si="53"/>
        <v>1</v>
      </c>
      <c r="AI128">
        <f t="shared" si="54"/>
        <v>0</v>
      </c>
      <c r="AJ128">
        <f t="shared" si="55"/>
        <v>52438.099375313715</v>
      </c>
      <c r="AK128">
        <f t="shared" si="56"/>
        <v>1799.99</v>
      </c>
      <c r="AL128">
        <f t="shared" si="57"/>
        <v>1499.10032541859</v>
      </c>
      <c r="AM128">
        <f t="shared" si="58"/>
        <v>0.83283814099999998</v>
      </c>
      <c r="AN128">
        <f t="shared" si="59"/>
        <v>0.15339779866</v>
      </c>
      <c r="AO128">
        <v>33.299999999999997</v>
      </c>
      <c r="AP128">
        <v>0.5</v>
      </c>
      <c r="AQ128" t="s">
        <v>331</v>
      </c>
      <c r="AR128">
        <v>2</v>
      </c>
      <c r="AS128">
        <v>1690202005.5</v>
      </c>
      <c r="AT128">
        <v>381.28300000000002</v>
      </c>
      <c r="AU128">
        <v>799.91700000000003</v>
      </c>
      <c r="AV128">
        <v>27.924800000000001</v>
      </c>
      <c r="AW128">
        <v>10.195499999999999</v>
      </c>
      <c r="AX128">
        <v>382.52</v>
      </c>
      <c r="AY128">
        <v>27.746600000000001</v>
      </c>
      <c r="AZ128">
        <v>300.06700000000001</v>
      </c>
      <c r="BA128">
        <v>98.997299999999996</v>
      </c>
      <c r="BB128">
        <v>9.9940500000000002E-2</v>
      </c>
      <c r="BC128">
        <v>25.760300000000001</v>
      </c>
      <c r="BD128">
        <v>27.004799999999999</v>
      </c>
      <c r="BE128">
        <v>27.526700000000002</v>
      </c>
      <c r="BF128">
        <v>0</v>
      </c>
      <c r="BG128">
        <v>0</v>
      </c>
      <c r="BH128">
        <v>9975</v>
      </c>
      <c r="BI128">
        <v>1073.8800000000001</v>
      </c>
      <c r="BJ128">
        <v>1.23766</v>
      </c>
      <c r="BK128">
        <v>-418.63400000000001</v>
      </c>
      <c r="BL128">
        <v>392.23700000000002</v>
      </c>
      <c r="BM128">
        <v>808.15700000000004</v>
      </c>
      <c r="BN128">
        <v>17.729399999999998</v>
      </c>
      <c r="BO128">
        <v>799.91700000000003</v>
      </c>
      <c r="BP128">
        <v>10.195499999999999</v>
      </c>
      <c r="BQ128">
        <v>2.7644799999999998</v>
      </c>
      <c r="BR128">
        <v>1.00932</v>
      </c>
      <c r="BS128">
        <v>22.673500000000001</v>
      </c>
      <c r="BT128">
        <v>7.05166</v>
      </c>
      <c r="BU128">
        <v>1799.99</v>
      </c>
      <c r="BV128">
        <v>0.90998000000000001</v>
      </c>
      <c r="BW128">
        <v>3.4007000000000003E-2</v>
      </c>
      <c r="BX128">
        <v>2.2004300000000001E-2</v>
      </c>
      <c r="BY128">
        <v>3.4008400000000001E-2</v>
      </c>
      <c r="BZ128">
        <v>25</v>
      </c>
      <c r="CA128">
        <v>33528.1</v>
      </c>
      <c r="CB128">
        <v>1690200769.5</v>
      </c>
      <c r="CC128" t="s">
        <v>332</v>
      </c>
      <c r="CD128">
        <v>1690200769.5</v>
      </c>
      <c r="CE128">
        <v>1690200753</v>
      </c>
      <c r="CF128">
        <v>2</v>
      </c>
      <c r="CG128">
        <v>-0.245</v>
      </c>
      <c r="CH128">
        <v>3.0000000000000001E-3</v>
      </c>
      <c r="CI128">
        <v>-1.5169999999999999</v>
      </c>
      <c r="CJ128">
        <v>-1.6E-2</v>
      </c>
      <c r="CK128">
        <v>778</v>
      </c>
      <c r="CL128">
        <v>12</v>
      </c>
      <c r="CM128">
        <v>0.01</v>
      </c>
      <c r="CN128">
        <v>0.03</v>
      </c>
      <c r="CO128">
        <v>-416.98209756097549</v>
      </c>
      <c r="CP128">
        <v>-8.8232613240418409</v>
      </c>
      <c r="CQ128">
        <v>0.87382500354665693</v>
      </c>
      <c r="CR128">
        <v>-1</v>
      </c>
      <c r="CS128">
        <v>17.703256097560971</v>
      </c>
      <c r="CT128">
        <v>0.15213867595818889</v>
      </c>
      <c r="CU128">
        <v>1.5020864331281761E-2</v>
      </c>
      <c r="CV128">
        <v>-1</v>
      </c>
      <c r="CW128">
        <v>0</v>
      </c>
      <c r="CX128">
        <v>0</v>
      </c>
      <c r="CY128" t="s">
        <v>333</v>
      </c>
      <c r="CZ128">
        <v>2.3650500000000001</v>
      </c>
      <c r="DA128">
        <v>2.7137099999999998</v>
      </c>
      <c r="DB128">
        <v>8.6581900000000003E-2</v>
      </c>
      <c r="DC128">
        <v>0.146317</v>
      </c>
      <c r="DD128">
        <v>0.12681000000000001</v>
      </c>
      <c r="DE128">
        <v>6.01176E-2</v>
      </c>
      <c r="DF128">
        <v>33324.800000000003</v>
      </c>
      <c r="DG128">
        <v>27442.1</v>
      </c>
      <c r="DH128">
        <v>31143.1</v>
      </c>
      <c r="DI128">
        <v>28007.4</v>
      </c>
      <c r="DJ128">
        <v>36896.1</v>
      </c>
      <c r="DK128">
        <v>37399.599999999999</v>
      </c>
      <c r="DL128">
        <v>44309.5</v>
      </c>
      <c r="DM128">
        <v>42411.4</v>
      </c>
      <c r="DN128">
        <v>1.44228</v>
      </c>
      <c r="DO128">
        <v>2.0773700000000002</v>
      </c>
      <c r="DP128">
        <v>0.14496600000000001</v>
      </c>
      <c r="DQ128">
        <v>0.182785</v>
      </c>
      <c r="DR128">
        <v>24.6294</v>
      </c>
      <c r="DS128">
        <v>24.532699999999998</v>
      </c>
      <c r="DT128">
        <v>34.700000000000003</v>
      </c>
      <c r="DU128">
        <v>25.4</v>
      </c>
      <c r="DV128">
        <v>11.414400000000001</v>
      </c>
      <c r="DW128">
        <v>62.039900000000003</v>
      </c>
      <c r="DX128">
        <v>36.366199999999999</v>
      </c>
      <c r="DY128">
        <v>1</v>
      </c>
      <c r="DZ128">
        <v>-0.15897900000000001</v>
      </c>
      <c r="EA128">
        <v>-4.7875800000000003E-2</v>
      </c>
      <c r="EB128">
        <v>20.192299999999999</v>
      </c>
      <c r="EC128">
        <v>5.2413999999999996</v>
      </c>
      <c r="ED128">
        <v>12.039899999999999</v>
      </c>
      <c r="EE128">
        <v>5.0174500000000002</v>
      </c>
      <c r="EF128">
        <v>3.2879999999999998</v>
      </c>
      <c r="EG128">
        <v>9999</v>
      </c>
      <c r="EH128">
        <v>9999</v>
      </c>
      <c r="EI128">
        <v>9999</v>
      </c>
      <c r="EJ128">
        <v>999.9</v>
      </c>
      <c r="EK128">
        <v>1.86876</v>
      </c>
      <c r="EL128">
        <v>1.8644700000000001</v>
      </c>
      <c r="EM128">
        <v>1.8690500000000001</v>
      </c>
      <c r="EN128">
        <v>1.8671</v>
      </c>
      <c r="EO128">
        <v>1.86327</v>
      </c>
      <c r="EP128">
        <v>1.86435</v>
      </c>
      <c r="EQ128">
        <v>1.87009</v>
      </c>
      <c r="ER128">
        <v>1.8693500000000001</v>
      </c>
      <c r="ES128">
        <v>0</v>
      </c>
      <c r="ET128">
        <v>0</v>
      </c>
      <c r="EU128">
        <v>0</v>
      </c>
      <c r="EV128">
        <v>0</v>
      </c>
      <c r="EW128" t="s">
        <v>334</v>
      </c>
      <c r="EX128" t="s">
        <v>335</v>
      </c>
      <c r="EY128" t="s">
        <v>336</v>
      </c>
      <c r="EZ128" t="s">
        <v>336</v>
      </c>
      <c r="FA128" t="s">
        <v>336</v>
      </c>
      <c r="FB128" t="s">
        <v>336</v>
      </c>
      <c r="FC128">
        <v>0</v>
      </c>
      <c r="FD128">
        <v>100</v>
      </c>
      <c r="FE128">
        <v>100</v>
      </c>
      <c r="FF128">
        <v>-1.2370000000000001</v>
      </c>
      <c r="FG128">
        <v>0.1782</v>
      </c>
      <c r="FH128">
        <v>-0.98020551812546231</v>
      </c>
      <c r="FI128">
        <v>-6.1462078757559423E-4</v>
      </c>
      <c r="FJ128">
        <v>-1.8861989874597051E-7</v>
      </c>
      <c r="FK128">
        <v>1.1980462299894961E-10</v>
      </c>
      <c r="FL128">
        <v>0.1782306200647516</v>
      </c>
      <c r="FM128">
        <v>0</v>
      </c>
      <c r="FN128">
        <v>0</v>
      </c>
      <c r="FO128">
        <v>0</v>
      </c>
      <c r="FP128">
        <v>3</v>
      </c>
      <c r="FQ128">
        <v>2158</v>
      </c>
      <c r="FR128">
        <v>1</v>
      </c>
      <c r="FS128">
        <v>19</v>
      </c>
      <c r="FT128">
        <v>20.6</v>
      </c>
      <c r="FU128">
        <v>20.9</v>
      </c>
      <c r="FV128">
        <v>1.7761199999999999</v>
      </c>
      <c r="FW128">
        <v>2.5561500000000001</v>
      </c>
      <c r="FX128">
        <v>1.5490699999999999</v>
      </c>
      <c r="FY128">
        <v>2.34253</v>
      </c>
      <c r="FZ128">
        <v>1.50146</v>
      </c>
      <c r="GA128">
        <v>2.3144499999999999</v>
      </c>
      <c r="GB128">
        <v>30.803699999999999</v>
      </c>
      <c r="GC128">
        <v>23.973700000000001</v>
      </c>
      <c r="GD128">
        <v>19</v>
      </c>
      <c r="GE128">
        <v>265.33499999999998</v>
      </c>
      <c r="GF128">
        <v>607.85699999999997</v>
      </c>
      <c r="GG128">
        <v>24.331199999999999</v>
      </c>
      <c r="GH128">
        <v>25.4131</v>
      </c>
      <c r="GI128">
        <v>30.0001</v>
      </c>
      <c r="GJ128">
        <v>25.5412</v>
      </c>
      <c r="GK128">
        <v>25.508299999999998</v>
      </c>
      <c r="GL128">
        <v>35.5124</v>
      </c>
      <c r="GM128">
        <v>-30</v>
      </c>
      <c r="GN128">
        <v>-30</v>
      </c>
      <c r="GO128">
        <v>24.3245</v>
      </c>
      <c r="GP128">
        <v>800</v>
      </c>
      <c r="GQ128">
        <v>0</v>
      </c>
      <c r="GR128">
        <v>99.631299999999996</v>
      </c>
      <c r="GS128">
        <v>99.250500000000002</v>
      </c>
    </row>
    <row r="129" spans="1:201" x14ac:dyDescent="0.25">
      <c r="A129">
        <v>113</v>
      </c>
      <c r="B129">
        <v>1690202015.5</v>
      </c>
      <c r="C129">
        <v>1168.5</v>
      </c>
      <c r="D129" t="s">
        <v>559</v>
      </c>
      <c r="E129" t="s">
        <v>560</v>
      </c>
      <c r="F129" t="s">
        <v>330</v>
      </c>
      <c r="H129">
        <v>1690202015.5</v>
      </c>
      <c r="I129">
        <f t="shared" si="30"/>
        <v>1.7697759621400412E-3</v>
      </c>
      <c r="J129">
        <f t="shared" si="31"/>
        <v>1.7697759621400411</v>
      </c>
      <c r="K129">
        <f t="shared" si="32"/>
        <v>38.353165270677735</v>
      </c>
      <c r="L129">
        <f t="shared" si="33"/>
        <v>379.97500000000002</v>
      </c>
      <c r="M129">
        <f t="shared" si="34"/>
        <v>59.241628283106188</v>
      </c>
      <c r="N129">
        <f t="shared" si="35"/>
        <v>5.870527768486598</v>
      </c>
      <c r="O129">
        <f t="shared" si="36"/>
        <v>37.653485454025002</v>
      </c>
      <c r="P129">
        <f t="shared" si="37"/>
        <v>0.20217520393609251</v>
      </c>
      <c r="Q129">
        <f t="shared" si="38"/>
        <v>2.078880114695159</v>
      </c>
      <c r="R129">
        <f t="shared" si="39"/>
        <v>0.19185257189896249</v>
      </c>
      <c r="S129">
        <f t="shared" si="40"/>
        <v>0.12079136816585564</v>
      </c>
      <c r="T129">
        <f t="shared" si="41"/>
        <v>276.11422597955584</v>
      </c>
      <c r="U129">
        <f t="shared" si="42"/>
        <v>27.354715206442251</v>
      </c>
      <c r="V129">
        <f t="shared" si="43"/>
        <v>27.354715206442251</v>
      </c>
      <c r="W129">
        <f t="shared" si="44"/>
        <v>3.6544069082388377</v>
      </c>
      <c r="X129">
        <f t="shared" si="45"/>
        <v>83.305505196407623</v>
      </c>
      <c r="Y129">
        <f t="shared" si="46"/>
        <v>2.7699230777196999</v>
      </c>
      <c r="Z129">
        <f t="shared" si="47"/>
        <v>3.3250180419518625</v>
      </c>
      <c r="AA129">
        <f t="shared" si="48"/>
        <v>0.88448383051913781</v>
      </c>
      <c r="AB129">
        <f t="shared" si="49"/>
        <v>-78.047119930375814</v>
      </c>
      <c r="AC129">
        <f t="shared" si="50"/>
        <v>-179.64926197138226</v>
      </c>
      <c r="AD129">
        <f t="shared" si="51"/>
        <v>-18.56660292663927</v>
      </c>
      <c r="AE129">
        <f t="shared" si="52"/>
        <v>-0.14875884884150992</v>
      </c>
      <c r="AF129">
        <v>13</v>
      </c>
      <c r="AG129">
        <v>4</v>
      </c>
      <c r="AH129">
        <f t="shared" si="53"/>
        <v>1</v>
      </c>
      <c r="AI129">
        <f t="shared" si="54"/>
        <v>0</v>
      </c>
      <c r="AJ129">
        <f t="shared" si="55"/>
        <v>52504.342273016453</v>
      </c>
      <c r="AK129">
        <f t="shared" si="56"/>
        <v>1799.99</v>
      </c>
      <c r="AL129">
        <f t="shared" si="57"/>
        <v>1499.1014612122799</v>
      </c>
      <c r="AM129">
        <f t="shared" si="58"/>
        <v>0.83283877199999989</v>
      </c>
      <c r="AN129">
        <f t="shared" si="59"/>
        <v>0.15339764442000001</v>
      </c>
      <c r="AO129">
        <v>33.299999999999997</v>
      </c>
      <c r="AP129">
        <v>0.5</v>
      </c>
      <c r="AQ129" t="s">
        <v>331</v>
      </c>
      <c r="AR129">
        <v>2</v>
      </c>
      <c r="AS129">
        <v>1690202015.5</v>
      </c>
      <c r="AT129">
        <v>379.97500000000002</v>
      </c>
      <c r="AU129">
        <v>813.46299999999997</v>
      </c>
      <c r="AV129">
        <v>27.952300000000001</v>
      </c>
      <c r="AW129">
        <v>8.8435199999999998</v>
      </c>
      <c r="AX129">
        <v>381.21100000000001</v>
      </c>
      <c r="AY129">
        <v>27.774100000000001</v>
      </c>
      <c r="AZ129">
        <v>299.79000000000002</v>
      </c>
      <c r="BA129">
        <v>98.994600000000005</v>
      </c>
      <c r="BB129">
        <v>0.100039</v>
      </c>
      <c r="BC129">
        <v>25.751799999999999</v>
      </c>
      <c r="BD129">
        <v>26.991499999999998</v>
      </c>
      <c r="BE129">
        <v>27.527100000000001</v>
      </c>
      <c r="BF129">
        <v>0</v>
      </c>
      <c r="BG129">
        <v>0</v>
      </c>
      <c r="BH129">
        <v>9988.1200000000008</v>
      </c>
      <c r="BI129">
        <v>1073.71</v>
      </c>
      <c r="BJ129">
        <v>1.2334499999999999</v>
      </c>
      <c r="BK129">
        <v>-433.48700000000002</v>
      </c>
      <c r="BL129">
        <v>390.90199999999999</v>
      </c>
      <c r="BM129">
        <v>820.721</v>
      </c>
      <c r="BN129">
        <v>19.108799999999999</v>
      </c>
      <c r="BO129">
        <v>813.46299999999997</v>
      </c>
      <c r="BP129">
        <v>8.8435199999999998</v>
      </c>
      <c r="BQ129">
        <v>2.7671299999999999</v>
      </c>
      <c r="BR129">
        <v>0.87546100000000004</v>
      </c>
      <c r="BS129">
        <v>22.689299999999999</v>
      </c>
      <c r="BT129">
        <v>4.9935499999999999</v>
      </c>
      <c r="BU129">
        <v>1799.99</v>
      </c>
      <c r="BV129">
        <v>0.90998699999999999</v>
      </c>
      <c r="BW129">
        <v>3.4004399999999997E-2</v>
      </c>
      <c r="BX129">
        <v>2.2002600000000001E-2</v>
      </c>
      <c r="BY129">
        <v>3.4005800000000003E-2</v>
      </c>
      <c r="BZ129">
        <v>25</v>
      </c>
      <c r="CA129">
        <v>33528.1</v>
      </c>
      <c r="CB129">
        <v>1690200769.5</v>
      </c>
      <c r="CC129" t="s">
        <v>332</v>
      </c>
      <c r="CD129">
        <v>1690200769.5</v>
      </c>
      <c r="CE129">
        <v>1690200753</v>
      </c>
      <c r="CF129">
        <v>2</v>
      </c>
      <c r="CG129">
        <v>-0.245</v>
      </c>
      <c r="CH129">
        <v>3.0000000000000001E-3</v>
      </c>
      <c r="CI129">
        <v>-1.5169999999999999</v>
      </c>
      <c r="CJ129">
        <v>-1.6E-2</v>
      </c>
      <c r="CK129">
        <v>778</v>
      </c>
      <c r="CL129">
        <v>12</v>
      </c>
      <c r="CM129">
        <v>0.01</v>
      </c>
      <c r="CN129">
        <v>0.03</v>
      </c>
      <c r="CO129">
        <v>-419.4611000000001</v>
      </c>
      <c r="CP129">
        <v>-22.691234521575069</v>
      </c>
      <c r="CQ129">
        <v>2.9071398641964228</v>
      </c>
      <c r="CR129">
        <v>-1</v>
      </c>
      <c r="CS129">
        <v>17.778680000000001</v>
      </c>
      <c r="CT129">
        <v>0.94664240150088241</v>
      </c>
      <c r="CU129">
        <v>0.16918075865771509</v>
      </c>
      <c r="CV129">
        <v>-1</v>
      </c>
      <c r="CW129">
        <v>0</v>
      </c>
      <c r="CX129">
        <v>0</v>
      </c>
      <c r="CY129" t="s">
        <v>333</v>
      </c>
      <c r="CZ129">
        <v>2.3641200000000002</v>
      </c>
      <c r="DA129">
        <v>2.7138100000000001</v>
      </c>
      <c r="DB129">
        <v>8.6350399999999994E-2</v>
      </c>
      <c r="DC129">
        <v>0.14793200000000001</v>
      </c>
      <c r="DD129">
        <v>0.12689300000000001</v>
      </c>
      <c r="DE129">
        <v>5.3683300000000003E-2</v>
      </c>
      <c r="DF129">
        <v>33333.599999999999</v>
      </c>
      <c r="DG129">
        <v>27390.1</v>
      </c>
      <c r="DH129">
        <v>31143.4</v>
      </c>
      <c r="DI129">
        <v>28007.3</v>
      </c>
      <c r="DJ129">
        <v>36892.800000000003</v>
      </c>
      <c r="DK129">
        <v>37656.699999999997</v>
      </c>
      <c r="DL129">
        <v>44309.7</v>
      </c>
      <c r="DM129">
        <v>42411.6</v>
      </c>
      <c r="DN129">
        <v>1.4420200000000001</v>
      </c>
      <c r="DO129">
        <v>2.0570499999999998</v>
      </c>
      <c r="DP129">
        <v>0.14393400000000001</v>
      </c>
      <c r="DQ129">
        <v>0.18252399999999999</v>
      </c>
      <c r="DR129">
        <v>24.632999999999999</v>
      </c>
      <c r="DS129">
        <v>24.537299999999998</v>
      </c>
      <c r="DT129">
        <v>34.700000000000003</v>
      </c>
      <c r="DU129">
        <v>25.4</v>
      </c>
      <c r="DV129">
        <v>11.414400000000001</v>
      </c>
      <c r="DW129">
        <v>61.579900000000002</v>
      </c>
      <c r="DX129">
        <v>37.928699999999999</v>
      </c>
      <c r="DY129">
        <v>1</v>
      </c>
      <c r="DZ129">
        <v>-0.15842000000000001</v>
      </c>
      <c r="EA129">
        <v>-0.170847</v>
      </c>
      <c r="EB129">
        <v>20.192299999999999</v>
      </c>
      <c r="EC129">
        <v>5.2408000000000001</v>
      </c>
      <c r="ED129">
        <v>12.039899999999999</v>
      </c>
      <c r="EE129">
        <v>5.0170500000000002</v>
      </c>
      <c r="EF129">
        <v>3.2879299999999998</v>
      </c>
      <c r="EG129">
        <v>9999</v>
      </c>
      <c r="EH129">
        <v>9999</v>
      </c>
      <c r="EI129">
        <v>9999</v>
      </c>
      <c r="EJ129">
        <v>999.9</v>
      </c>
      <c r="EK129">
        <v>1.8688800000000001</v>
      </c>
      <c r="EL129">
        <v>1.8645499999999999</v>
      </c>
      <c r="EM129">
        <v>1.8691199999999999</v>
      </c>
      <c r="EN129">
        <v>1.8671899999999999</v>
      </c>
      <c r="EO129">
        <v>1.8633500000000001</v>
      </c>
      <c r="EP129">
        <v>1.86446</v>
      </c>
      <c r="EQ129">
        <v>1.8701399999999999</v>
      </c>
      <c r="ER129">
        <v>1.86937</v>
      </c>
      <c r="ES129">
        <v>0</v>
      </c>
      <c r="ET129">
        <v>0</v>
      </c>
      <c r="EU129">
        <v>0</v>
      </c>
      <c r="EV129">
        <v>0</v>
      </c>
      <c r="EW129" t="s">
        <v>334</v>
      </c>
      <c r="EX129" t="s">
        <v>335</v>
      </c>
      <c r="EY129" t="s">
        <v>336</v>
      </c>
      <c r="EZ129" t="s">
        <v>336</v>
      </c>
      <c r="FA129" t="s">
        <v>336</v>
      </c>
      <c r="FB129" t="s">
        <v>336</v>
      </c>
      <c r="FC129">
        <v>0</v>
      </c>
      <c r="FD129">
        <v>100</v>
      </c>
      <c r="FE129">
        <v>100</v>
      </c>
      <c r="FF129">
        <v>-1.236</v>
      </c>
      <c r="FG129">
        <v>0.1782</v>
      </c>
      <c r="FH129">
        <v>-0.98020551812546231</v>
      </c>
      <c r="FI129">
        <v>-6.1462078757559423E-4</v>
      </c>
      <c r="FJ129">
        <v>-1.8861989874597051E-7</v>
      </c>
      <c r="FK129">
        <v>1.1980462299894961E-10</v>
      </c>
      <c r="FL129">
        <v>0.1782306200647516</v>
      </c>
      <c r="FM129">
        <v>0</v>
      </c>
      <c r="FN129">
        <v>0</v>
      </c>
      <c r="FO129">
        <v>0</v>
      </c>
      <c r="FP129">
        <v>3</v>
      </c>
      <c r="FQ129">
        <v>2158</v>
      </c>
      <c r="FR129">
        <v>1</v>
      </c>
      <c r="FS129">
        <v>19</v>
      </c>
      <c r="FT129">
        <v>20.8</v>
      </c>
      <c r="FU129">
        <v>21</v>
      </c>
      <c r="FV129">
        <v>1.7541500000000001</v>
      </c>
      <c r="FW129">
        <v>2.5463900000000002</v>
      </c>
      <c r="FX129">
        <v>1.5490699999999999</v>
      </c>
      <c r="FY129">
        <v>2.34375</v>
      </c>
      <c r="FZ129">
        <v>1.50146</v>
      </c>
      <c r="GA129">
        <v>2.3022499999999999</v>
      </c>
      <c r="GB129">
        <v>30.803699999999999</v>
      </c>
      <c r="GC129">
        <v>23.947399999999998</v>
      </c>
      <c r="GD129">
        <v>19</v>
      </c>
      <c r="GE129">
        <v>265.24299999999999</v>
      </c>
      <c r="GF129">
        <v>590.75</v>
      </c>
      <c r="GG129">
        <v>24.3368</v>
      </c>
      <c r="GH129">
        <v>25.4131</v>
      </c>
      <c r="GI129">
        <v>30.000399999999999</v>
      </c>
      <c r="GJ129">
        <v>25.543299999999999</v>
      </c>
      <c r="GK129">
        <v>25.5063</v>
      </c>
      <c r="GL129">
        <v>34.957999999999998</v>
      </c>
      <c r="GM129">
        <v>100</v>
      </c>
      <c r="GN129">
        <v>0</v>
      </c>
      <c r="GO129">
        <v>24.353000000000002</v>
      </c>
      <c r="GP129">
        <v>800</v>
      </c>
      <c r="GQ129">
        <v>0</v>
      </c>
      <c r="GR129">
        <v>99.632000000000005</v>
      </c>
      <c r="GS129">
        <v>99.250600000000006</v>
      </c>
    </row>
    <row r="130" spans="1:201" x14ac:dyDescent="0.25">
      <c r="A130">
        <v>114</v>
      </c>
      <c r="B130">
        <v>1690202025.5</v>
      </c>
      <c r="C130">
        <v>1178.5</v>
      </c>
      <c r="D130" t="s">
        <v>561</v>
      </c>
      <c r="E130" t="s">
        <v>562</v>
      </c>
      <c r="F130" t="s">
        <v>330</v>
      </c>
      <c r="H130">
        <v>1690202025.5</v>
      </c>
      <c r="I130">
        <f t="shared" si="30"/>
        <v>2.4917114413689047E-3</v>
      </c>
      <c r="J130">
        <f t="shared" si="31"/>
        <v>2.4917114413689045</v>
      </c>
      <c r="K130">
        <f t="shared" si="32"/>
        <v>36.90302822185938</v>
      </c>
      <c r="L130">
        <f t="shared" si="33"/>
        <v>381.44400000000002</v>
      </c>
      <c r="M130">
        <f t="shared" si="34"/>
        <v>175.78038383002723</v>
      </c>
      <c r="N130">
        <f t="shared" si="35"/>
        <v>17.418665832384463</v>
      </c>
      <c r="O130">
        <f t="shared" si="36"/>
        <v>37.798561051003198</v>
      </c>
      <c r="P130">
        <f t="shared" si="37"/>
        <v>0.31336975695955832</v>
      </c>
      <c r="Q130">
        <f t="shared" si="38"/>
        <v>2.0774000357759248</v>
      </c>
      <c r="R130">
        <f t="shared" si="39"/>
        <v>0.2892793283511183</v>
      </c>
      <c r="S130">
        <f t="shared" si="40"/>
        <v>0.18280943468914918</v>
      </c>
      <c r="T130">
        <f t="shared" si="41"/>
        <v>276.11414444000889</v>
      </c>
      <c r="U130">
        <f t="shared" si="42"/>
        <v>27.094335367917292</v>
      </c>
      <c r="V130">
        <f t="shared" si="43"/>
        <v>27.094335367917292</v>
      </c>
      <c r="W130">
        <f t="shared" si="44"/>
        <v>3.5990382249983157</v>
      </c>
      <c r="X130">
        <f t="shared" si="45"/>
        <v>83.414007354748577</v>
      </c>
      <c r="Y130">
        <f t="shared" si="46"/>
        <v>2.7729389209066797</v>
      </c>
      <c r="Z130">
        <f t="shared" si="47"/>
        <v>3.3243084810848886</v>
      </c>
      <c r="AA130">
        <f t="shared" si="48"/>
        <v>0.82609930409163601</v>
      </c>
      <c r="AB130">
        <f t="shared" si="49"/>
        <v>-109.8844745643687</v>
      </c>
      <c r="AC130">
        <f t="shared" si="50"/>
        <v>-150.76284109320403</v>
      </c>
      <c r="AD130">
        <f t="shared" si="51"/>
        <v>-15.571681594314152</v>
      </c>
      <c r="AE130">
        <f t="shared" si="52"/>
        <v>-0.1048528118780041</v>
      </c>
      <c r="AF130">
        <v>11</v>
      </c>
      <c r="AG130">
        <v>4</v>
      </c>
      <c r="AH130">
        <f t="shared" si="53"/>
        <v>1</v>
      </c>
      <c r="AI130">
        <f t="shared" si="54"/>
        <v>0</v>
      </c>
      <c r="AJ130">
        <f t="shared" si="55"/>
        <v>52438.157357519653</v>
      </c>
      <c r="AK130">
        <f t="shared" si="56"/>
        <v>1799.99</v>
      </c>
      <c r="AL130">
        <f t="shared" si="57"/>
        <v>1499.1034322013297</v>
      </c>
      <c r="AM130">
        <f t="shared" si="58"/>
        <v>0.8328398669999999</v>
      </c>
      <c r="AN130">
        <f t="shared" si="59"/>
        <v>0.15339759912000003</v>
      </c>
      <c r="AO130">
        <v>33.299999999999997</v>
      </c>
      <c r="AP130">
        <v>0.5</v>
      </c>
      <c r="AQ130" t="s">
        <v>331</v>
      </c>
      <c r="AR130">
        <v>2</v>
      </c>
      <c r="AS130">
        <v>1690202025.5</v>
      </c>
      <c r="AT130">
        <v>381.44400000000002</v>
      </c>
      <c r="AU130">
        <v>801.423</v>
      </c>
      <c r="AV130">
        <v>27.9831</v>
      </c>
      <c r="AW130">
        <v>1.11151</v>
      </c>
      <c r="AX130">
        <v>382.68099999999998</v>
      </c>
      <c r="AY130">
        <v>27.8049</v>
      </c>
      <c r="AZ130">
        <v>300.13900000000001</v>
      </c>
      <c r="BA130">
        <v>98.993399999999994</v>
      </c>
      <c r="BB130">
        <v>9.9942799999999998E-2</v>
      </c>
      <c r="BC130">
        <v>25.748200000000001</v>
      </c>
      <c r="BD130">
        <v>26.948799999999999</v>
      </c>
      <c r="BE130">
        <v>27.457999999999998</v>
      </c>
      <c r="BF130">
        <v>0</v>
      </c>
      <c r="BG130">
        <v>0</v>
      </c>
      <c r="BH130">
        <v>9975</v>
      </c>
      <c r="BI130">
        <v>1073.48</v>
      </c>
      <c r="BJ130">
        <v>1.361</v>
      </c>
      <c r="BK130">
        <v>-419.97800000000001</v>
      </c>
      <c r="BL130">
        <v>392.42599999999999</v>
      </c>
      <c r="BM130">
        <v>802.31399999999996</v>
      </c>
      <c r="BN130">
        <v>26.871600000000001</v>
      </c>
      <c r="BO130">
        <v>801.423</v>
      </c>
      <c r="BP130">
        <v>1.11151</v>
      </c>
      <c r="BQ130">
        <v>2.77014</v>
      </c>
      <c r="BR130">
        <v>0.110032</v>
      </c>
      <c r="BS130">
        <v>22.7072</v>
      </c>
      <c r="BT130">
        <v>-21.546800000000001</v>
      </c>
      <c r="BU130">
        <v>1799.99</v>
      </c>
      <c r="BV130">
        <v>0.90999399999999997</v>
      </c>
      <c r="BW130">
        <v>3.4001999999999998E-2</v>
      </c>
      <c r="BX130">
        <v>2.2001099999999999E-2</v>
      </c>
      <c r="BY130">
        <v>3.4003400000000003E-2</v>
      </c>
      <c r="BZ130">
        <v>25</v>
      </c>
      <c r="CA130">
        <v>33528.1</v>
      </c>
      <c r="CB130">
        <v>1690200769.5</v>
      </c>
      <c r="CC130" t="s">
        <v>332</v>
      </c>
      <c r="CD130">
        <v>1690200769.5</v>
      </c>
      <c r="CE130">
        <v>1690200753</v>
      </c>
      <c r="CF130">
        <v>2</v>
      </c>
      <c r="CG130">
        <v>-0.245</v>
      </c>
      <c r="CH130">
        <v>3.0000000000000001E-3</v>
      </c>
      <c r="CI130">
        <v>-1.5169999999999999</v>
      </c>
      <c r="CJ130">
        <v>-1.6E-2</v>
      </c>
      <c r="CK130">
        <v>778</v>
      </c>
      <c r="CL130">
        <v>12</v>
      </c>
      <c r="CM130">
        <v>0.01</v>
      </c>
      <c r="CN130">
        <v>0.03</v>
      </c>
      <c r="CO130">
        <v>-426.93724999999989</v>
      </c>
      <c r="CP130">
        <v>-41.696848030017676</v>
      </c>
      <c r="CQ130">
        <v>8.6623862957905526</v>
      </c>
      <c r="CR130">
        <v>-1</v>
      </c>
      <c r="CS130">
        <v>21.116955000000001</v>
      </c>
      <c r="CT130">
        <v>36.079924953095663</v>
      </c>
      <c r="CU130">
        <v>3.7409581382949209</v>
      </c>
      <c r="CV130">
        <v>-1</v>
      </c>
      <c r="CW130">
        <v>0</v>
      </c>
      <c r="CX130">
        <v>0</v>
      </c>
      <c r="CY130" t="s">
        <v>333</v>
      </c>
      <c r="CZ130">
        <v>2.3653900000000001</v>
      </c>
      <c r="DA130">
        <v>2.7137099999999998</v>
      </c>
      <c r="DB130">
        <v>8.6606799999999998E-2</v>
      </c>
      <c r="DC130">
        <v>0.14632400000000001</v>
      </c>
      <c r="DD130">
        <v>0.12698799999999999</v>
      </c>
      <c r="DE130">
        <v>8.8768500000000004E-3</v>
      </c>
      <c r="DF130">
        <v>33324.400000000001</v>
      </c>
      <c r="DG130">
        <v>27442.2</v>
      </c>
      <c r="DH130">
        <v>31143.5</v>
      </c>
      <c r="DI130">
        <v>28008.400000000001</v>
      </c>
      <c r="DJ130">
        <v>36889.1</v>
      </c>
      <c r="DK130">
        <v>39445.599999999999</v>
      </c>
      <c r="DL130">
        <v>44310.1</v>
      </c>
      <c r="DM130">
        <v>42412.4</v>
      </c>
      <c r="DN130">
        <v>1.4473800000000001</v>
      </c>
      <c r="DO130">
        <v>2.0691199999999998</v>
      </c>
      <c r="DP130">
        <v>0.141095</v>
      </c>
      <c r="DQ130">
        <v>0.17807999999999999</v>
      </c>
      <c r="DR130">
        <v>24.636800000000001</v>
      </c>
      <c r="DS130">
        <v>24.540900000000001</v>
      </c>
      <c r="DT130">
        <v>34.700000000000003</v>
      </c>
      <c r="DU130">
        <v>25.4</v>
      </c>
      <c r="DV130">
        <v>11.4145</v>
      </c>
      <c r="DW130">
        <v>62.109900000000003</v>
      </c>
      <c r="DX130">
        <v>36.923099999999998</v>
      </c>
      <c r="DY130">
        <v>1</v>
      </c>
      <c r="DZ130">
        <v>-0.15854699999999999</v>
      </c>
      <c r="EA130">
        <v>-0.183222</v>
      </c>
      <c r="EB130">
        <v>20.192</v>
      </c>
      <c r="EC130">
        <v>5.2411000000000003</v>
      </c>
      <c r="ED130">
        <v>12.039899999999999</v>
      </c>
      <c r="EE130">
        <v>5.0173500000000004</v>
      </c>
      <c r="EF130">
        <v>3.2879999999999998</v>
      </c>
      <c r="EG130">
        <v>9999</v>
      </c>
      <c r="EH130">
        <v>9999</v>
      </c>
      <c r="EI130">
        <v>9999</v>
      </c>
      <c r="EJ130">
        <v>999.9</v>
      </c>
      <c r="EK130">
        <v>1.8688</v>
      </c>
      <c r="EL130">
        <v>1.86449</v>
      </c>
      <c r="EM130">
        <v>1.8690599999999999</v>
      </c>
      <c r="EN130">
        <v>1.8671</v>
      </c>
      <c r="EO130">
        <v>1.86327</v>
      </c>
      <c r="EP130">
        <v>1.86436</v>
      </c>
      <c r="EQ130">
        <v>1.8701000000000001</v>
      </c>
      <c r="ER130">
        <v>1.86934</v>
      </c>
      <c r="ES130">
        <v>0</v>
      </c>
      <c r="ET130">
        <v>0</v>
      </c>
      <c r="EU130">
        <v>0</v>
      </c>
      <c r="EV130">
        <v>0</v>
      </c>
      <c r="EW130" t="s">
        <v>334</v>
      </c>
      <c r="EX130" t="s">
        <v>335</v>
      </c>
      <c r="EY130" t="s">
        <v>336</v>
      </c>
      <c r="EZ130" t="s">
        <v>336</v>
      </c>
      <c r="FA130" t="s">
        <v>336</v>
      </c>
      <c r="FB130" t="s">
        <v>336</v>
      </c>
      <c r="FC130">
        <v>0</v>
      </c>
      <c r="FD130">
        <v>100</v>
      </c>
      <c r="FE130">
        <v>100</v>
      </c>
      <c r="FF130">
        <v>-1.2370000000000001</v>
      </c>
      <c r="FG130">
        <v>0.1782</v>
      </c>
      <c r="FH130">
        <v>-0.98020551812546231</v>
      </c>
      <c r="FI130">
        <v>-6.1462078757559423E-4</v>
      </c>
      <c r="FJ130">
        <v>-1.8861989874597051E-7</v>
      </c>
      <c r="FK130">
        <v>1.1980462299894961E-10</v>
      </c>
      <c r="FL130">
        <v>0.1782306200647516</v>
      </c>
      <c r="FM130">
        <v>0</v>
      </c>
      <c r="FN130">
        <v>0</v>
      </c>
      <c r="FO130">
        <v>0</v>
      </c>
      <c r="FP130">
        <v>3</v>
      </c>
      <c r="FQ130">
        <v>2158</v>
      </c>
      <c r="FR130">
        <v>1</v>
      </c>
      <c r="FS130">
        <v>19</v>
      </c>
      <c r="FT130">
        <v>20.9</v>
      </c>
      <c r="FU130">
        <v>21.2</v>
      </c>
      <c r="FV130">
        <v>1.71265</v>
      </c>
      <c r="FW130">
        <v>2.5488300000000002</v>
      </c>
      <c r="FX130">
        <v>1.5490699999999999</v>
      </c>
      <c r="FY130">
        <v>2.34497</v>
      </c>
      <c r="FZ130">
        <v>1.50146</v>
      </c>
      <c r="GA130">
        <v>2.3095699999999999</v>
      </c>
      <c r="GB130">
        <v>30.803699999999999</v>
      </c>
      <c r="GC130">
        <v>23.973700000000001</v>
      </c>
      <c r="GD130">
        <v>19</v>
      </c>
      <c r="GE130">
        <v>267.41000000000003</v>
      </c>
      <c r="GF130">
        <v>600.40099999999995</v>
      </c>
      <c r="GG130">
        <v>24.362500000000001</v>
      </c>
      <c r="GH130">
        <v>25.4131</v>
      </c>
      <c r="GI130">
        <v>30</v>
      </c>
      <c r="GJ130">
        <v>25.543299999999999</v>
      </c>
      <c r="GK130">
        <v>25.468599999999999</v>
      </c>
      <c r="GL130">
        <v>34.251300000000001</v>
      </c>
      <c r="GM130">
        <v>100</v>
      </c>
      <c r="GN130">
        <v>0</v>
      </c>
      <c r="GO130">
        <v>24.388000000000002</v>
      </c>
      <c r="GP130">
        <v>800</v>
      </c>
      <c r="GQ130">
        <v>0</v>
      </c>
      <c r="GR130">
        <v>99.6327</v>
      </c>
      <c r="GS130">
        <v>99.253299999999996</v>
      </c>
    </row>
    <row r="131" spans="1:201" x14ac:dyDescent="0.25">
      <c r="A131">
        <v>115</v>
      </c>
      <c r="B131">
        <v>1690202035.5</v>
      </c>
      <c r="C131">
        <v>1188.5</v>
      </c>
      <c r="D131" t="s">
        <v>563</v>
      </c>
      <c r="E131" t="s">
        <v>564</v>
      </c>
      <c r="F131" t="s">
        <v>330</v>
      </c>
      <c r="H131">
        <v>1690202035.5</v>
      </c>
      <c r="I131">
        <f t="shared" si="30"/>
        <v>2.5217480462169767E-3</v>
      </c>
      <c r="J131">
        <f t="shared" si="31"/>
        <v>2.5217480462169766</v>
      </c>
      <c r="K131">
        <f t="shared" si="32"/>
        <v>37.009770054439528</v>
      </c>
      <c r="L131">
        <f t="shared" si="33"/>
        <v>377.63900000000001</v>
      </c>
      <c r="M131">
        <f t="shared" si="34"/>
        <v>173.34495662780625</v>
      </c>
      <c r="N131">
        <f t="shared" si="35"/>
        <v>17.177680707871893</v>
      </c>
      <c r="O131">
        <f t="shared" si="36"/>
        <v>37.422272277401007</v>
      </c>
      <c r="P131">
        <f t="shared" si="37"/>
        <v>0.3165548455042087</v>
      </c>
      <c r="Q131">
        <f t="shared" si="38"/>
        <v>2.0802143648312277</v>
      </c>
      <c r="R131">
        <f t="shared" si="39"/>
        <v>0.29202324674089131</v>
      </c>
      <c r="S131">
        <f t="shared" si="40"/>
        <v>0.1845599156496649</v>
      </c>
      <c r="T131">
        <f t="shared" si="41"/>
        <v>276.1138480716553</v>
      </c>
      <c r="U131">
        <f t="shared" si="42"/>
        <v>27.084963667874931</v>
      </c>
      <c r="V131">
        <f t="shared" si="43"/>
        <v>27.084963667874931</v>
      </c>
      <c r="W131">
        <f t="shared" si="44"/>
        <v>3.5970591002568062</v>
      </c>
      <c r="X131">
        <f t="shared" si="45"/>
        <v>83.275097164824587</v>
      </c>
      <c r="Y131">
        <f t="shared" si="46"/>
        <v>2.7688135162831</v>
      </c>
      <c r="Z131">
        <f t="shared" si="47"/>
        <v>3.3248997726209164</v>
      </c>
      <c r="AA131">
        <f t="shared" si="48"/>
        <v>0.82824558397370618</v>
      </c>
      <c r="AB131">
        <f t="shared" si="49"/>
        <v>-111.20908883816867</v>
      </c>
      <c r="AC131">
        <f t="shared" si="50"/>
        <v>-149.57961716295856</v>
      </c>
      <c r="AD131">
        <f t="shared" si="51"/>
        <v>-15.428075657227568</v>
      </c>
      <c r="AE131">
        <f t="shared" si="52"/>
        <v>-0.10293358669949271</v>
      </c>
      <c r="AF131">
        <v>11</v>
      </c>
      <c r="AG131">
        <v>4</v>
      </c>
      <c r="AH131">
        <f t="shared" si="53"/>
        <v>1</v>
      </c>
      <c r="AI131">
        <f t="shared" si="54"/>
        <v>0</v>
      </c>
      <c r="AJ131">
        <f t="shared" si="55"/>
        <v>52564.723889465298</v>
      </c>
      <c r="AK131">
        <f t="shared" si="56"/>
        <v>1799.99</v>
      </c>
      <c r="AL131">
        <f t="shared" si="57"/>
        <v>1499.1041521973298</v>
      </c>
      <c r="AM131">
        <f t="shared" si="58"/>
        <v>0.83284026699999991</v>
      </c>
      <c r="AN131">
        <f t="shared" si="59"/>
        <v>0.15339743447000001</v>
      </c>
      <c r="AO131">
        <v>33.299999999999997</v>
      </c>
      <c r="AP131">
        <v>0.5</v>
      </c>
      <c r="AQ131" t="s">
        <v>331</v>
      </c>
      <c r="AR131">
        <v>2</v>
      </c>
      <c r="AS131">
        <v>1690202035.5</v>
      </c>
      <c r="AT131">
        <v>377.63900000000001</v>
      </c>
      <c r="AU131">
        <v>798.75699999999995</v>
      </c>
      <c r="AV131">
        <v>27.940899999999999</v>
      </c>
      <c r="AW131">
        <v>0.74846100000000004</v>
      </c>
      <c r="AX131">
        <v>378.87200000000001</v>
      </c>
      <c r="AY131">
        <v>27.762699999999999</v>
      </c>
      <c r="AZ131">
        <v>300.18599999999998</v>
      </c>
      <c r="BA131">
        <v>98.9953</v>
      </c>
      <c r="BB131">
        <v>0.100059</v>
      </c>
      <c r="BC131">
        <v>25.751200000000001</v>
      </c>
      <c r="BD131">
        <v>26.959299999999999</v>
      </c>
      <c r="BE131">
        <v>27.425599999999999</v>
      </c>
      <c r="BF131">
        <v>0</v>
      </c>
      <c r="BG131">
        <v>0</v>
      </c>
      <c r="BH131">
        <v>10000</v>
      </c>
      <c r="BI131">
        <v>1073.33</v>
      </c>
      <c r="BJ131">
        <v>1.28952</v>
      </c>
      <c r="BK131">
        <v>-421.11900000000003</v>
      </c>
      <c r="BL131">
        <v>388.49400000000003</v>
      </c>
      <c r="BM131">
        <v>799.35500000000002</v>
      </c>
      <c r="BN131">
        <v>27.192499999999999</v>
      </c>
      <c r="BO131">
        <v>798.75699999999995</v>
      </c>
      <c r="BP131">
        <v>0.74846100000000004</v>
      </c>
      <c r="BQ131">
        <v>2.7660200000000001</v>
      </c>
      <c r="BR131">
        <v>7.4094099999999996E-2</v>
      </c>
      <c r="BS131">
        <v>22.682700000000001</v>
      </c>
      <c r="BT131">
        <v>-25.970099999999999</v>
      </c>
      <c r="BU131">
        <v>1799.99</v>
      </c>
      <c r="BV131">
        <v>0.91</v>
      </c>
      <c r="BW131">
        <v>3.3999700000000001E-2</v>
      </c>
      <c r="BX131">
        <v>2.1999600000000001E-2</v>
      </c>
      <c r="BY131">
        <v>3.4001099999999999E-2</v>
      </c>
      <c r="BZ131">
        <v>25</v>
      </c>
      <c r="CA131">
        <v>33528.199999999997</v>
      </c>
      <c r="CB131">
        <v>1690200769.5</v>
      </c>
      <c r="CC131" t="s">
        <v>332</v>
      </c>
      <c r="CD131">
        <v>1690200769.5</v>
      </c>
      <c r="CE131">
        <v>1690200753</v>
      </c>
      <c r="CF131">
        <v>2</v>
      </c>
      <c r="CG131">
        <v>-0.245</v>
      </c>
      <c r="CH131">
        <v>3.0000000000000001E-3</v>
      </c>
      <c r="CI131">
        <v>-1.5169999999999999</v>
      </c>
      <c r="CJ131">
        <v>-1.6E-2</v>
      </c>
      <c r="CK131">
        <v>778</v>
      </c>
      <c r="CL131">
        <v>12</v>
      </c>
      <c r="CM131">
        <v>0.01</v>
      </c>
      <c r="CN131">
        <v>0.03</v>
      </c>
      <c r="CO131">
        <v>-426.47899999999998</v>
      </c>
      <c r="CP131">
        <v>74.190393996247607</v>
      </c>
      <c r="CQ131">
        <v>8.6563290371842943</v>
      </c>
      <c r="CR131">
        <v>-1</v>
      </c>
      <c r="CS131">
        <v>25.731517499999999</v>
      </c>
      <c r="CT131">
        <v>18.458977485928649</v>
      </c>
      <c r="CU131">
        <v>2.240494652179235</v>
      </c>
      <c r="CV131">
        <v>-1</v>
      </c>
      <c r="CW131">
        <v>0</v>
      </c>
      <c r="CX131">
        <v>0</v>
      </c>
      <c r="CY131" t="s">
        <v>333</v>
      </c>
      <c r="CZ131">
        <v>2.3655599999999999</v>
      </c>
      <c r="DA131">
        <v>2.7138499999999999</v>
      </c>
      <c r="DB131">
        <v>8.5941299999999998E-2</v>
      </c>
      <c r="DC131">
        <v>0.14599000000000001</v>
      </c>
      <c r="DD131">
        <v>0.126858</v>
      </c>
      <c r="DE131">
        <v>6.0977999999999996E-3</v>
      </c>
      <c r="DF131">
        <v>33348.9</v>
      </c>
      <c r="DG131">
        <v>27453.7</v>
      </c>
      <c r="DH131">
        <v>31143.7</v>
      </c>
      <c r="DI131">
        <v>28009.200000000001</v>
      </c>
      <c r="DJ131">
        <v>36894.800000000003</v>
      </c>
      <c r="DK131">
        <v>39557.199999999997</v>
      </c>
      <c r="DL131">
        <v>44310.400000000001</v>
      </c>
      <c r="DM131">
        <v>42413.1</v>
      </c>
      <c r="DN131">
        <v>1.4478</v>
      </c>
      <c r="DO131">
        <v>2.0678200000000002</v>
      </c>
      <c r="DP131">
        <v>0.14161299999999999</v>
      </c>
      <c r="DQ131">
        <v>0.17596800000000001</v>
      </c>
      <c r="DR131">
        <v>24.6389</v>
      </c>
      <c r="DS131">
        <v>24.542999999999999</v>
      </c>
      <c r="DT131">
        <v>34.799999999999997</v>
      </c>
      <c r="DU131">
        <v>25.4</v>
      </c>
      <c r="DV131">
        <v>11.4458</v>
      </c>
      <c r="DW131">
        <v>61.9499</v>
      </c>
      <c r="DX131">
        <v>36.286099999999998</v>
      </c>
      <c r="DY131">
        <v>1</v>
      </c>
      <c r="DZ131">
        <v>-0.15881899999999999</v>
      </c>
      <c r="EA131">
        <v>-0.30136400000000002</v>
      </c>
      <c r="EB131">
        <v>20.191700000000001</v>
      </c>
      <c r="EC131">
        <v>5.24125</v>
      </c>
      <c r="ED131">
        <v>12.039899999999999</v>
      </c>
      <c r="EE131">
        <v>5.0171999999999999</v>
      </c>
      <c r="EF131">
        <v>3.2879999999999998</v>
      </c>
      <c r="EG131">
        <v>9999</v>
      </c>
      <c r="EH131">
        <v>9999</v>
      </c>
      <c r="EI131">
        <v>9999</v>
      </c>
      <c r="EJ131">
        <v>999.9</v>
      </c>
      <c r="EK131">
        <v>1.86879</v>
      </c>
      <c r="EL131">
        <v>1.86449</v>
      </c>
      <c r="EM131">
        <v>1.8690599999999999</v>
      </c>
      <c r="EN131">
        <v>1.8671199999999999</v>
      </c>
      <c r="EO131">
        <v>1.86328</v>
      </c>
      <c r="EP131">
        <v>1.8643700000000001</v>
      </c>
      <c r="EQ131">
        <v>1.8701000000000001</v>
      </c>
      <c r="ER131">
        <v>1.8693500000000001</v>
      </c>
      <c r="ES131">
        <v>0</v>
      </c>
      <c r="ET131">
        <v>0</v>
      </c>
      <c r="EU131">
        <v>0</v>
      </c>
      <c r="EV131">
        <v>0</v>
      </c>
      <c r="EW131" t="s">
        <v>334</v>
      </c>
      <c r="EX131" t="s">
        <v>335</v>
      </c>
      <c r="EY131" t="s">
        <v>336</v>
      </c>
      <c r="EZ131" t="s">
        <v>336</v>
      </c>
      <c r="FA131" t="s">
        <v>336</v>
      </c>
      <c r="FB131" t="s">
        <v>336</v>
      </c>
      <c r="FC131">
        <v>0</v>
      </c>
      <c r="FD131">
        <v>100</v>
      </c>
      <c r="FE131">
        <v>100</v>
      </c>
      <c r="FF131">
        <v>-1.2330000000000001</v>
      </c>
      <c r="FG131">
        <v>0.1782</v>
      </c>
      <c r="FH131">
        <v>-0.98020551812546231</v>
      </c>
      <c r="FI131">
        <v>-6.1462078757559423E-4</v>
      </c>
      <c r="FJ131">
        <v>-1.8861989874597051E-7</v>
      </c>
      <c r="FK131">
        <v>1.1980462299894961E-10</v>
      </c>
      <c r="FL131">
        <v>0.1782306200647516</v>
      </c>
      <c r="FM131">
        <v>0</v>
      </c>
      <c r="FN131">
        <v>0</v>
      </c>
      <c r="FO131">
        <v>0</v>
      </c>
      <c r="FP131">
        <v>3</v>
      </c>
      <c r="FQ131">
        <v>2158</v>
      </c>
      <c r="FR131">
        <v>1</v>
      </c>
      <c r="FS131">
        <v>19</v>
      </c>
      <c r="FT131">
        <v>21.1</v>
      </c>
      <c r="FU131">
        <v>21.4</v>
      </c>
      <c r="FV131">
        <v>1.71631</v>
      </c>
      <c r="FW131">
        <v>2.5451700000000002</v>
      </c>
      <c r="FX131">
        <v>1.5490699999999999</v>
      </c>
      <c r="FY131">
        <v>2.34497</v>
      </c>
      <c r="FZ131">
        <v>1.50146</v>
      </c>
      <c r="GA131">
        <v>2.33765</v>
      </c>
      <c r="GB131">
        <v>30.825299999999999</v>
      </c>
      <c r="GC131">
        <v>23.973700000000001</v>
      </c>
      <c r="GD131">
        <v>19</v>
      </c>
      <c r="GE131">
        <v>267.57400000000001</v>
      </c>
      <c r="GF131">
        <v>599.47299999999996</v>
      </c>
      <c r="GG131">
        <v>24.417899999999999</v>
      </c>
      <c r="GH131">
        <v>25.415299999999998</v>
      </c>
      <c r="GI131">
        <v>29.9998</v>
      </c>
      <c r="GJ131">
        <v>25.5412</v>
      </c>
      <c r="GK131">
        <v>25.482500000000002</v>
      </c>
      <c r="GL131">
        <v>34.323999999999998</v>
      </c>
      <c r="GM131">
        <v>100</v>
      </c>
      <c r="GN131">
        <v>0</v>
      </c>
      <c r="GO131">
        <v>24.455200000000001</v>
      </c>
      <c r="GP131">
        <v>800</v>
      </c>
      <c r="GQ131">
        <v>0</v>
      </c>
      <c r="GR131">
        <v>99.633399999999995</v>
      </c>
      <c r="GS131">
        <v>99.255399999999995</v>
      </c>
    </row>
    <row r="132" spans="1:201" x14ac:dyDescent="0.25">
      <c r="A132">
        <v>116</v>
      </c>
      <c r="B132">
        <v>1690202045.5</v>
      </c>
      <c r="C132">
        <v>1198.5</v>
      </c>
      <c r="D132" t="s">
        <v>565</v>
      </c>
      <c r="E132" t="s">
        <v>566</v>
      </c>
      <c r="F132" t="s">
        <v>330</v>
      </c>
      <c r="H132">
        <v>1690202045.5</v>
      </c>
      <c r="I132">
        <f t="shared" si="30"/>
        <v>2.5278727765569425E-3</v>
      </c>
      <c r="J132">
        <f t="shared" si="31"/>
        <v>2.5278727765569426</v>
      </c>
      <c r="K132">
        <f t="shared" si="32"/>
        <v>37.316107408060567</v>
      </c>
      <c r="L132">
        <f t="shared" si="33"/>
        <v>374.17</v>
      </c>
      <c r="M132">
        <f t="shared" si="34"/>
        <v>167.45211594541303</v>
      </c>
      <c r="N132">
        <f t="shared" si="35"/>
        <v>16.593613175125139</v>
      </c>
      <c r="O132">
        <f t="shared" si="36"/>
        <v>37.07825491892001</v>
      </c>
      <c r="P132">
        <f t="shared" si="37"/>
        <v>0.31519633368219518</v>
      </c>
      <c r="Q132">
        <f t="shared" si="38"/>
        <v>2.0816004270449051</v>
      </c>
      <c r="R132">
        <f t="shared" si="39"/>
        <v>0.29088103537637516</v>
      </c>
      <c r="S132">
        <f t="shared" si="40"/>
        <v>0.18382871652781477</v>
      </c>
      <c r="T132">
        <f t="shared" si="41"/>
        <v>276.11353296540591</v>
      </c>
      <c r="U132">
        <f t="shared" si="42"/>
        <v>27.079974705839042</v>
      </c>
      <c r="V132">
        <f t="shared" si="43"/>
        <v>27.079974705839042</v>
      </c>
      <c r="W132">
        <f t="shared" si="44"/>
        <v>3.5960059139134151</v>
      </c>
      <c r="X132">
        <f t="shared" si="45"/>
        <v>83.093928594822415</v>
      </c>
      <c r="Y132">
        <f t="shared" si="46"/>
        <v>2.7624622828520002</v>
      </c>
      <c r="Z132">
        <f t="shared" si="47"/>
        <v>3.324505568056785</v>
      </c>
      <c r="AA132">
        <f t="shared" si="48"/>
        <v>0.83354363106141482</v>
      </c>
      <c r="AB132">
        <f t="shared" si="49"/>
        <v>-111.47918944616116</v>
      </c>
      <c r="AC132">
        <f t="shared" si="50"/>
        <v>-149.34385215741025</v>
      </c>
      <c r="AD132">
        <f t="shared" si="51"/>
        <v>-15.392962064562688</v>
      </c>
      <c r="AE132">
        <f t="shared" si="52"/>
        <v>-0.10247070272822612</v>
      </c>
      <c r="AF132">
        <v>11</v>
      </c>
      <c r="AG132">
        <v>4</v>
      </c>
      <c r="AH132">
        <f t="shared" si="53"/>
        <v>1</v>
      </c>
      <c r="AI132">
        <f t="shared" si="54"/>
        <v>0</v>
      </c>
      <c r="AJ132">
        <f t="shared" si="55"/>
        <v>52627.712904767628</v>
      </c>
      <c r="AK132">
        <f t="shared" si="56"/>
        <v>1799.99</v>
      </c>
      <c r="AL132">
        <f t="shared" si="57"/>
        <v>1499.1044563956398</v>
      </c>
      <c r="AM132">
        <f t="shared" si="58"/>
        <v>0.83284043599999991</v>
      </c>
      <c r="AN132">
        <f t="shared" si="59"/>
        <v>0.15339725941000001</v>
      </c>
      <c r="AO132">
        <v>33.299999999999997</v>
      </c>
      <c r="AP132">
        <v>0.5</v>
      </c>
      <c r="AQ132" t="s">
        <v>331</v>
      </c>
      <c r="AR132">
        <v>2</v>
      </c>
      <c r="AS132">
        <v>1690202045.5</v>
      </c>
      <c r="AT132">
        <v>374.17</v>
      </c>
      <c r="AU132">
        <v>798.55100000000004</v>
      </c>
      <c r="AV132">
        <v>27.876999999999999</v>
      </c>
      <c r="AW132">
        <v>0.620811</v>
      </c>
      <c r="AX132">
        <v>375.40100000000001</v>
      </c>
      <c r="AY132">
        <v>27.698699999999999</v>
      </c>
      <c r="AZ132">
        <v>300.23099999999999</v>
      </c>
      <c r="BA132">
        <v>98.994600000000005</v>
      </c>
      <c r="BB132">
        <v>0.100076</v>
      </c>
      <c r="BC132">
        <v>25.749199999999998</v>
      </c>
      <c r="BD132">
        <v>26.915500000000002</v>
      </c>
      <c r="BE132">
        <v>27.414100000000001</v>
      </c>
      <c r="BF132">
        <v>0</v>
      </c>
      <c r="BG132">
        <v>0</v>
      </c>
      <c r="BH132">
        <v>10012.5</v>
      </c>
      <c r="BI132">
        <v>1073.2</v>
      </c>
      <c r="BJ132">
        <v>1.28952</v>
      </c>
      <c r="BK132">
        <v>-424.38099999999997</v>
      </c>
      <c r="BL132">
        <v>384.9</v>
      </c>
      <c r="BM132">
        <v>799.04700000000003</v>
      </c>
      <c r="BN132">
        <v>27.2562</v>
      </c>
      <c r="BO132">
        <v>798.55100000000004</v>
      </c>
      <c r="BP132">
        <v>0.620811</v>
      </c>
      <c r="BQ132">
        <v>2.7596699999999998</v>
      </c>
      <c r="BR132">
        <v>6.1456999999999998E-2</v>
      </c>
      <c r="BS132">
        <v>22.6448</v>
      </c>
      <c r="BT132">
        <v>-28.000299999999999</v>
      </c>
      <c r="BU132">
        <v>1799.99</v>
      </c>
      <c r="BV132">
        <v>0.91000499999999995</v>
      </c>
      <c r="BW132">
        <v>3.3997699999999999E-2</v>
      </c>
      <c r="BX132">
        <v>2.1998299999999998E-2</v>
      </c>
      <c r="BY132">
        <v>3.3999099999999997E-2</v>
      </c>
      <c r="BZ132">
        <v>25</v>
      </c>
      <c r="CA132">
        <v>33528.199999999997</v>
      </c>
      <c r="CB132">
        <v>1690200769.5</v>
      </c>
      <c r="CC132" t="s">
        <v>332</v>
      </c>
      <c r="CD132">
        <v>1690200769.5</v>
      </c>
      <c r="CE132">
        <v>1690200753</v>
      </c>
      <c r="CF132">
        <v>2</v>
      </c>
      <c r="CG132">
        <v>-0.245</v>
      </c>
      <c r="CH132">
        <v>3.0000000000000001E-3</v>
      </c>
      <c r="CI132">
        <v>-1.5169999999999999</v>
      </c>
      <c r="CJ132">
        <v>-1.6E-2</v>
      </c>
      <c r="CK132">
        <v>778</v>
      </c>
      <c r="CL132">
        <v>12</v>
      </c>
      <c r="CM132">
        <v>0.01</v>
      </c>
      <c r="CN132">
        <v>0.03</v>
      </c>
      <c r="CO132">
        <v>-421.23975000000002</v>
      </c>
      <c r="CP132">
        <v>-13.24617636022503</v>
      </c>
      <c r="CQ132">
        <v>1.3520700009614901</v>
      </c>
      <c r="CR132">
        <v>-1</v>
      </c>
      <c r="CS132">
        <v>27.127575</v>
      </c>
      <c r="CT132">
        <v>1.2086228893057971</v>
      </c>
      <c r="CU132">
        <v>0.1260260166592595</v>
      </c>
      <c r="CV132">
        <v>-1</v>
      </c>
      <c r="CW132">
        <v>0</v>
      </c>
      <c r="CX132">
        <v>0</v>
      </c>
      <c r="CY132" t="s">
        <v>333</v>
      </c>
      <c r="CZ132">
        <v>2.36571</v>
      </c>
      <c r="DA132">
        <v>2.7138800000000001</v>
      </c>
      <c r="DB132">
        <v>8.5330000000000003E-2</v>
      </c>
      <c r="DC132">
        <v>0.14595900000000001</v>
      </c>
      <c r="DD132">
        <v>0.12665699999999999</v>
      </c>
      <c r="DE132">
        <v>5.09437E-3</v>
      </c>
      <c r="DF132">
        <v>33371.300000000003</v>
      </c>
      <c r="DG132">
        <v>27454.7</v>
      </c>
      <c r="DH132">
        <v>31143.8</v>
      </c>
      <c r="DI132">
        <v>28009.200000000001</v>
      </c>
      <c r="DJ132">
        <v>36903.699999999997</v>
      </c>
      <c r="DK132">
        <v>39597.300000000003</v>
      </c>
      <c r="DL132">
        <v>44310.7</v>
      </c>
      <c r="DM132">
        <v>42413.2</v>
      </c>
      <c r="DN132">
        <v>1.4478500000000001</v>
      </c>
      <c r="DO132">
        <v>2.0662799999999999</v>
      </c>
      <c r="DP132">
        <v>0.13880400000000001</v>
      </c>
      <c r="DQ132">
        <v>0.175096</v>
      </c>
      <c r="DR132">
        <v>24.640899999999998</v>
      </c>
      <c r="DS132">
        <v>24.5457</v>
      </c>
      <c r="DT132">
        <v>34.799999999999997</v>
      </c>
      <c r="DU132">
        <v>25.5</v>
      </c>
      <c r="DV132">
        <v>11.5139</v>
      </c>
      <c r="DW132">
        <v>61.5199</v>
      </c>
      <c r="DX132">
        <v>36.238</v>
      </c>
      <c r="DY132">
        <v>1</v>
      </c>
      <c r="DZ132">
        <v>-0.15889500000000001</v>
      </c>
      <c r="EA132">
        <v>-0.35476000000000002</v>
      </c>
      <c r="EB132">
        <v>20.191600000000001</v>
      </c>
      <c r="EC132">
        <v>5.24125</v>
      </c>
      <c r="ED132">
        <v>12.039899999999999</v>
      </c>
      <c r="EE132">
        <v>5.0175999999999998</v>
      </c>
      <c r="EF132">
        <v>3.2879999999999998</v>
      </c>
      <c r="EG132">
        <v>9999</v>
      </c>
      <c r="EH132">
        <v>9999</v>
      </c>
      <c r="EI132">
        <v>9999</v>
      </c>
      <c r="EJ132">
        <v>999.9</v>
      </c>
      <c r="EK132">
        <v>1.8687800000000001</v>
      </c>
      <c r="EL132">
        <v>1.8644799999999999</v>
      </c>
      <c r="EM132">
        <v>1.8690500000000001</v>
      </c>
      <c r="EN132">
        <v>1.86711</v>
      </c>
      <c r="EO132">
        <v>1.86328</v>
      </c>
      <c r="EP132">
        <v>1.86435</v>
      </c>
      <c r="EQ132">
        <v>1.87012</v>
      </c>
      <c r="ER132">
        <v>1.86934</v>
      </c>
      <c r="ES132">
        <v>0</v>
      </c>
      <c r="ET132">
        <v>0</v>
      </c>
      <c r="EU132">
        <v>0</v>
      </c>
      <c r="EV132">
        <v>0</v>
      </c>
      <c r="EW132" t="s">
        <v>334</v>
      </c>
      <c r="EX132" t="s">
        <v>335</v>
      </c>
      <c r="EY132" t="s">
        <v>336</v>
      </c>
      <c r="EZ132" t="s">
        <v>336</v>
      </c>
      <c r="FA132" t="s">
        <v>336</v>
      </c>
      <c r="FB132" t="s">
        <v>336</v>
      </c>
      <c r="FC132">
        <v>0</v>
      </c>
      <c r="FD132">
        <v>100</v>
      </c>
      <c r="FE132">
        <v>100</v>
      </c>
      <c r="FF132">
        <v>-1.2310000000000001</v>
      </c>
      <c r="FG132">
        <v>0.17829999999999999</v>
      </c>
      <c r="FH132">
        <v>-0.98020551812546231</v>
      </c>
      <c r="FI132">
        <v>-6.1462078757559423E-4</v>
      </c>
      <c r="FJ132">
        <v>-1.8861989874597051E-7</v>
      </c>
      <c r="FK132">
        <v>1.1980462299894961E-10</v>
      </c>
      <c r="FL132">
        <v>0.1782306200647516</v>
      </c>
      <c r="FM132">
        <v>0</v>
      </c>
      <c r="FN132">
        <v>0</v>
      </c>
      <c r="FO132">
        <v>0</v>
      </c>
      <c r="FP132">
        <v>3</v>
      </c>
      <c r="FQ132">
        <v>2158</v>
      </c>
      <c r="FR132">
        <v>1</v>
      </c>
      <c r="FS132">
        <v>19</v>
      </c>
      <c r="FT132">
        <v>21.3</v>
      </c>
      <c r="FU132">
        <v>21.5</v>
      </c>
      <c r="FV132">
        <v>1.72241</v>
      </c>
      <c r="FW132">
        <v>2.5415000000000001</v>
      </c>
      <c r="FX132">
        <v>1.5490699999999999</v>
      </c>
      <c r="FY132">
        <v>2.34497</v>
      </c>
      <c r="FZ132">
        <v>1.50146</v>
      </c>
      <c r="GA132">
        <v>2.34863</v>
      </c>
      <c r="GB132">
        <v>30.825299999999999</v>
      </c>
      <c r="GC132">
        <v>23.982399999999998</v>
      </c>
      <c r="GD132">
        <v>19</v>
      </c>
      <c r="GE132">
        <v>267.58499999999998</v>
      </c>
      <c r="GF132">
        <v>598.255</v>
      </c>
      <c r="GG132">
        <v>24.489599999999999</v>
      </c>
      <c r="GH132">
        <v>25.415299999999998</v>
      </c>
      <c r="GI132">
        <v>29.9999</v>
      </c>
      <c r="GJ132">
        <v>25.539000000000001</v>
      </c>
      <c r="GK132">
        <v>25.489599999999999</v>
      </c>
      <c r="GL132">
        <v>34.437199999999997</v>
      </c>
      <c r="GM132">
        <v>100</v>
      </c>
      <c r="GN132">
        <v>0</v>
      </c>
      <c r="GO132">
        <v>24.542400000000001</v>
      </c>
      <c r="GP132">
        <v>800</v>
      </c>
      <c r="GQ132">
        <v>0</v>
      </c>
      <c r="GR132">
        <v>99.633899999999997</v>
      </c>
      <c r="GS132">
        <v>99.255499999999998</v>
      </c>
    </row>
    <row r="133" spans="1:201" x14ac:dyDescent="0.25">
      <c r="A133">
        <v>117</v>
      </c>
      <c r="B133">
        <v>1690202055.5</v>
      </c>
      <c r="C133">
        <v>1208.5</v>
      </c>
      <c r="D133" t="s">
        <v>567</v>
      </c>
      <c r="E133" t="s">
        <v>568</v>
      </c>
      <c r="F133" t="s">
        <v>330</v>
      </c>
      <c r="H133">
        <v>1690202055.5</v>
      </c>
      <c r="I133">
        <f t="shared" si="30"/>
        <v>2.526828286810715E-3</v>
      </c>
      <c r="J133">
        <f t="shared" si="31"/>
        <v>2.5268282868107148</v>
      </c>
      <c r="K133">
        <f t="shared" si="32"/>
        <v>37.566733315649046</v>
      </c>
      <c r="L133">
        <f t="shared" si="33"/>
        <v>371.38</v>
      </c>
      <c r="M133">
        <f t="shared" si="34"/>
        <v>160.78973849827298</v>
      </c>
      <c r="N133">
        <f t="shared" si="35"/>
        <v>15.933108293276959</v>
      </c>
      <c r="O133">
        <f t="shared" si="36"/>
        <v>36.801090748840004</v>
      </c>
      <c r="P133">
        <f t="shared" si="37"/>
        <v>0.31104577154270413</v>
      </c>
      <c r="Q133">
        <f t="shared" si="38"/>
        <v>2.083951582841574</v>
      </c>
      <c r="R133">
        <f t="shared" si="39"/>
        <v>0.28736540232678037</v>
      </c>
      <c r="S133">
        <f t="shared" si="40"/>
        <v>0.1815804957801741</v>
      </c>
      <c r="T133">
        <f t="shared" si="41"/>
        <v>276.11323659705243</v>
      </c>
      <c r="U133">
        <f t="shared" si="42"/>
        <v>27.09376381809399</v>
      </c>
      <c r="V133">
        <f t="shared" si="43"/>
        <v>27.09376381809399</v>
      </c>
      <c r="W133">
        <f t="shared" si="44"/>
        <v>3.5989174973394715</v>
      </c>
      <c r="X133">
        <f t="shared" si="45"/>
        <v>82.812524864255892</v>
      </c>
      <c r="Y133">
        <f t="shared" si="46"/>
        <v>2.7555235365350006</v>
      </c>
      <c r="Z133">
        <f t="shared" si="47"/>
        <v>3.3274236488402957</v>
      </c>
      <c r="AA133">
        <f t="shared" si="48"/>
        <v>0.84339396080447093</v>
      </c>
      <c r="AB133">
        <f t="shared" si="49"/>
        <v>-111.43312744835254</v>
      </c>
      <c r="AC133">
        <f t="shared" si="50"/>
        <v>-149.39896194982106</v>
      </c>
      <c r="AD133">
        <f t="shared" si="51"/>
        <v>-15.383472174345597</v>
      </c>
      <c r="AE133">
        <f t="shared" si="52"/>
        <v>-0.10232497546672903</v>
      </c>
      <c r="AF133">
        <v>11</v>
      </c>
      <c r="AG133">
        <v>4</v>
      </c>
      <c r="AH133">
        <f t="shared" si="53"/>
        <v>1</v>
      </c>
      <c r="AI133">
        <f t="shared" si="54"/>
        <v>0</v>
      </c>
      <c r="AJ133">
        <f t="shared" si="55"/>
        <v>52731.455788614243</v>
      </c>
      <c r="AK133">
        <f t="shared" si="56"/>
        <v>1799.99</v>
      </c>
      <c r="AL133">
        <f t="shared" si="57"/>
        <v>1499.1051763916398</v>
      </c>
      <c r="AM133">
        <f t="shared" si="58"/>
        <v>0.83284083599999992</v>
      </c>
      <c r="AN133">
        <f t="shared" si="59"/>
        <v>0.15339709476000002</v>
      </c>
      <c r="AO133">
        <v>33.299999999999997</v>
      </c>
      <c r="AP133">
        <v>0.5</v>
      </c>
      <c r="AQ133" t="s">
        <v>331</v>
      </c>
      <c r="AR133">
        <v>2</v>
      </c>
      <c r="AS133">
        <v>1690202055.5</v>
      </c>
      <c r="AT133">
        <v>371.38</v>
      </c>
      <c r="AU133">
        <v>798.60199999999998</v>
      </c>
      <c r="AV133">
        <v>27.807500000000001</v>
      </c>
      <c r="AW133">
        <v>0.55145599999999995</v>
      </c>
      <c r="AX133">
        <v>372.60899999999998</v>
      </c>
      <c r="AY133">
        <v>27.629300000000001</v>
      </c>
      <c r="AZ133">
        <v>300.13</v>
      </c>
      <c r="BA133">
        <v>98.992800000000003</v>
      </c>
      <c r="BB133">
        <v>0.100018</v>
      </c>
      <c r="BC133">
        <v>25.763999999999999</v>
      </c>
      <c r="BD133">
        <v>26.888100000000001</v>
      </c>
      <c r="BE133">
        <v>27.394400000000001</v>
      </c>
      <c r="BF133">
        <v>0</v>
      </c>
      <c r="BG133">
        <v>0</v>
      </c>
      <c r="BH133">
        <v>10033.799999999999</v>
      </c>
      <c r="BI133">
        <v>1073.03</v>
      </c>
      <c r="BJ133">
        <v>1.3455900000000001</v>
      </c>
      <c r="BK133">
        <v>-427.22199999999998</v>
      </c>
      <c r="BL133">
        <v>382.00299999999999</v>
      </c>
      <c r="BM133">
        <v>799.04300000000001</v>
      </c>
      <c r="BN133">
        <v>27.256</v>
      </c>
      <c r="BO133">
        <v>798.60199999999998</v>
      </c>
      <c r="BP133">
        <v>0.55145599999999995</v>
      </c>
      <c r="BQ133">
        <v>2.7527400000000002</v>
      </c>
      <c r="BR133">
        <v>5.4590100000000003E-2</v>
      </c>
      <c r="BS133">
        <v>22.603400000000001</v>
      </c>
      <c r="BT133">
        <v>-29.266999999999999</v>
      </c>
      <c r="BU133">
        <v>1799.99</v>
      </c>
      <c r="BV133">
        <v>0.91001100000000001</v>
      </c>
      <c r="BW133">
        <v>3.3995400000000002E-2</v>
      </c>
      <c r="BX133">
        <v>2.19968E-2</v>
      </c>
      <c r="BY133">
        <v>3.3996800000000001E-2</v>
      </c>
      <c r="BZ133">
        <v>25</v>
      </c>
      <c r="CA133">
        <v>33528.400000000001</v>
      </c>
      <c r="CB133">
        <v>1690200769.5</v>
      </c>
      <c r="CC133" t="s">
        <v>332</v>
      </c>
      <c r="CD133">
        <v>1690200769.5</v>
      </c>
      <c r="CE133">
        <v>1690200753</v>
      </c>
      <c r="CF133">
        <v>2</v>
      </c>
      <c r="CG133">
        <v>-0.245</v>
      </c>
      <c r="CH133">
        <v>3.0000000000000001E-3</v>
      </c>
      <c r="CI133">
        <v>-1.5169999999999999</v>
      </c>
      <c r="CJ133">
        <v>-1.6E-2</v>
      </c>
      <c r="CK133">
        <v>778</v>
      </c>
      <c r="CL133">
        <v>12</v>
      </c>
      <c r="CM133">
        <v>0.01</v>
      </c>
      <c r="CN133">
        <v>0.03</v>
      </c>
      <c r="CO133">
        <v>-423.9796829268293</v>
      </c>
      <c r="CP133">
        <v>-18.415442508711269</v>
      </c>
      <c r="CQ133">
        <v>1.8181153125444209</v>
      </c>
      <c r="CR133">
        <v>-1</v>
      </c>
      <c r="CS133">
        <v>27.24123170731707</v>
      </c>
      <c r="CT133">
        <v>0.20253240418119481</v>
      </c>
      <c r="CU133">
        <v>2.289734715728407E-2</v>
      </c>
      <c r="CV133">
        <v>-1</v>
      </c>
      <c r="CW133">
        <v>0</v>
      </c>
      <c r="CX133">
        <v>0</v>
      </c>
      <c r="CY133" t="s">
        <v>333</v>
      </c>
      <c r="CZ133">
        <v>2.3653599999999999</v>
      </c>
      <c r="DA133">
        <v>2.7138399999999998</v>
      </c>
      <c r="DB133">
        <v>8.4834900000000005E-2</v>
      </c>
      <c r="DC133">
        <v>0.14596000000000001</v>
      </c>
      <c r="DD133">
        <v>0.12643499999999999</v>
      </c>
      <c r="DE133">
        <v>4.54318E-3</v>
      </c>
      <c r="DF133">
        <v>33389.199999999997</v>
      </c>
      <c r="DG133">
        <v>27454.6</v>
      </c>
      <c r="DH133">
        <v>31143.7</v>
      </c>
      <c r="DI133">
        <v>28009.200000000001</v>
      </c>
      <c r="DJ133">
        <v>36912.9</v>
      </c>
      <c r="DK133">
        <v>39619.300000000003</v>
      </c>
      <c r="DL133">
        <v>44310.5</v>
      </c>
      <c r="DM133">
        <v>42413.1</v>
      </c>
      <c r="DN133">
        <v>1.44825</v>
      </c>
      <c r="DO133">
        <v>2.0655000000000001</v>
      </c>
      <c r="DP133">
        <v>0.13695299999999999</v>
      </c>
      <c r="DQ133">
        <v>0.173621</v>
      </c>
      <c r="DR133">
        <v>24.643899999999999</v>
      </c>
      <c r="DS133">
        <v>24.5502</v>
      </c>
      <c r="DT133">
        <v>34.799999999999997</v>
      </c>
      <c r="DU133">
        <v>25.5</v>
      </c>
      <c r="DV133">
        <v>11.5144</v>
      </c>
      <c r="DW133">
        <v>61.869900000000001</v>
      </c>
      <c r="DX133">
        <v>36.394199999999998</v>
      </c>
      <c r="DY133">
        <v>1</v>
      </c>
      <c r="DZ133">
        <v>-0.158778</v>
      </c>
      <c r="EA133">
        <v>-0.55307200000000001</v>
      </c>
      <c r="EB133">
        <v>20.190899999999999</v>
      </c>
      <c r="EC133">
        <v>5.24125</v>
      </c>
      <c r="ED133">
        <v>12.039899999999999</v>
      </c>
      <c r="EE133">
        <v>5.01755</v>
      </c>
      <c r="EF133">
        <v>3.2879999999999998</v>
      </c>
      <c r="EG133">
        <v>9999</v>
      </c>
      <c r="EH133">
        <v>9999</v>
      </c>
      <c r="EI133">
        <v>9999</v>
      </c>
      <c r="EJ133">
        <v>999.9</v>
      </c>
      <c r="EK133">
        <v>1.86877</v>
      </c>
      <c r="EL133">
        <v>1.8644799999999999</v>
      </c>
      <c r="EM133">
        <v>1.8690500000000001</v>
      </c>
      <c r="EN133">
        <v>1.8671</v>
      </c>
      <c r="EO133">
        <v>1.86327</v>
      </c>
      <c r="EP133">
        <v>1.86436</v>
      </c>
      <c r="EQ133">
        <v>1.87012</v>
      </c>
      <c r="ER133">
        <v>1.86934</v>
      </c>
      <c r="ES133">
        <v>0</v>
      </c>
      <c r="ET133">
        <v>0</v>
      </c>
      <c r="EU133">
        <v>0</v>
      </c>
      <c r="EV133">
        <v>0</v>
      </c>
      <c r="EW133" t="s">
        <v>334</v>
      </c>
      <c r="EX133" t="s">
        <v>335</v>
      </c>
      <c r="EY133" t="s">
        <v>336</v>
      </c>
      <c r="EZ133" t="s">
        <v>336</v>
      </c>
      <c r="FA133" t="s">
        <v>336</v>
      </c>
      <c r="FB133" t="s">
        <v>336</v>
      </c>
      <c r="FC133">
        <v>0</v>
      </c>
      <c r="FD133">
        <v>100</v>
      </c>
      <c r="FE133">
        <v>100</v>
      </c>
      <c r="FF133">
        <v>-1.2290000000000001</v>
      </c>
      <c r="FG133">
        <v>0.1782</v>
      </c>
      <c r="FH133">
        <v>-0.98020551812546231</v>
      </c>
      <c r="FI133">
        <v>-6.1462078757559423E-4</v>
      </c>
      <c r="FJ133">
        <v>-1.8861989874597051E-7</v>
      </c>
      <c r="FK133">
        <v>1.1980462299894961E-10</v>
      </c>
      <c r="FL133">
        <v>0.1782306200647516</v>
      </c>
      <c r="FM133">
        <v>0</v>
      </c>
      <c r="FN133">
        <v>0</v>
      </c>
      <c r="FO133">
        <v>0</v>
      </c>
      <c r="FP133">
        <v>3</v>
      </c>
      <c r="FQ133">
        <v>2158</v>
      </c>
      <c r="FR133">
        <v>1</v>
      </c>
      <c r="FS133">
        <v>19</v>
      </c>
      <c r="FT133">
        <v>21.4</v>
      </c>
      <c r="FU133">
        <v>21.7</v>
      </c>
      <c r="FV133">
        <v>1.7285200000000001</v>
      </c>
      <c r="FW133">
        <v>2.5415000000000001</v>
      </c>
      <c r="FX133">
        <v>1.5490699999999999</v>
      </c>
      <c r="FY133">
        <v>2.34497</v>
      </c>
      <c r="FZ133">
        <v>1.50146</v>
      </c>
      <c r="GA133">
        <v>2.3938000000000001</v>
      </c>
      <c r="GB133">
        <v>30.825299999999999</v>
      </c>
      <c r="GC133">
        <v>23.982399999999998</v>
      </c>
      <c r="GD133">
        <v>19</v>
      </c>
      <c r="GE133">
        <v>267.74799999999999</v>
      </c>
      <c r="GF133">
        <v>597.65</v>
      </c>
      <c r="GG133">
        <v>24.605799999999999</v>
      </c>
      <c r="GH133">
        <v>25.417400000000001</v>
      </c>
      <c r="GI133">
        <v>30</v>
      </c>
      <c r="GJ133">
        <v>25.539000000000001</v>
      </c>
      <c r="GK133">
        <v>25.493500000000001</v>
      </c>
      <c r="GL133">
        <v>34.554200000000002</v>
      </c>
      <c r="GM133">
        <v>100</v>
      </c>
      <c r="GN133">
        <v>0</v>
      </c>
      <c r="GO133">
        <v>24.6876</v>
      </c>
      <c r="GP133">
        <v>800</v>
      </c>
      <c r="GQ133">
        <v>0</v>
      </c>
      <c r="GR133">
        <v>99.633499999999998</v>
      </c>
      <c r="GS133">
        <v>99.255499999999998</v>
      </c>
    </row>
    <row r="134" spans="1:201" x14ac:dyDescent="0.25">
      <c r="A134">
        <v>118</v>
      </c>
      <c r="B134">
        <v>1690202065.5</v>
      </c>
      <c r="C134">
        <v>1218.5</v>
      </c>
      <c r="D134" t="s">
        <v>569</v>
      </c>
      <c r="E134" t="s">
        <v>570</v>
      </c>
      <c r="F134" t="s">
        <v>330</v>
      </c>
      <c r="H134">
        <v>1690202065.5</v>
      </c>
      <c r="I134">
        <f t="shared" si="30"/>
        <v>2.5242373903306531E-3</v>
      </c>
      <c r="J134">
        <f t="shared" si="31"/>
        <v>2.524237390330653</v>
      </c>
      <c r="K134">
        <f t="shared" si="32"/>
        <v>37.76620864675666</v>
      </c>
      <c r="L134">
        <f t="shared" si="33"/>
        <v>369.02699999999999</v>
      </c>
      <c r="M134">
        <f t="shared" si="34"/>
        <v>154.40466540953886</v>
      </c>
      <c r="N134">
        <f t="shared" si="35"/>
        <v>15.300862334747178</v>
      </c>
      <c r="O134">
        <f t="shared" si="36"/>
        <v>36.569046083084999</v>
      </c>
      <c r="P134">
        <f t="shared" si="37"/>
        <v>0.30644388835275937</v>
      </c>
      <c r="Q134">
        <f t="shared" si="38"/>
        <v>2.0796619517936925</v>
      </c>
      <c r="R134">
        <f t="shared" si="39"/>
        <v>0.28338762245949212</v>
      </c>
      <c r="S134">
        <f t="shared" si="40"/>
        <v>0.17904400122492858</v>
      </c>
      <c r="T134">
        <f t="shared" si="41"/>
        <v>276.11317491139511</v>
      </c>
      <c r="U134">
        <f t="shared" si="42"/>
        <v>27.116551373050505</v>
      </c>
      <c r="V134">
        <f t="shared" si="43"/>
        <v>27.116551373050505</v>
      </c>
      <c r="W134">
        <f t="shared" si="44"/>
        <v>3.6037336202910746</v>
      </c>
      <c r="X134">
        <f t="shared" si="45"/>
        <v>82.531884600300771</v>
      </c>
      <c r="Y134">
        <f t="shared" si="46"/>
        <v>2.7493451298764997</v>
      </c>
      <c r="Z134">
        <f t="shared" si="47"/>
        <v>3.3312520890459347</v>
      </c>
      <c r="AA134">
        <f t="shared" si="48"/>
        <v>0.85438849041457487</v>
      </c>
      <c r="AB134">
        <f t="shared" si="49"/>
        <v>-111.31886891358181</v>
      </c>
      <c r="AC134">
        <f t="shared" si="50"/>
        <v>-149.47124570337809</v>
      </c>
      <c r="AD134">
        <f t="shared" si="51"/>
        <v>-15.425921390984719</v>
      </c>
      <c r="AE134">
        <f t="shared" si="52"/>
        <v>-0.10286109654953179</v>
      </c>
      <c r="AF134">
        <v>11</v>
      </c>
      <c r="AG134">
        <v>4</v>
      </c>
      <c r="AH134">
        <f t="shared" si="53"/>
        <v>1</v>
      </c>
      <c r="AI134">
        <f t="shared" si="54"/>
        <v>0</v>
      </c>
      <c r="AJ134">
        <f t="shared" si="55"/>
        <v>52534.117051127178</v>
      </c>
      <c r="AK134">
        <f t="shared" si="56"/>
        <v>1799.99</v>
      </c>
      <c r="AL134">
        <f t="shared" si="57"/>
        <v>1499.10657678386</v>
      </c>
      <c r="AM134">
        <f t="shared" si="58"/>
        <v>0.83284161400000001</v>
      </c>
      <c r="AN134">
        <f t="shared" si="59"/>
        <v>0.15339706049000001</v>
      </c>
      <c r="AO134">
        <v>33.299999999999997</v>
      </c>
      <c r="AP134">
        <v>0.5</v>
      </c>
      <c r="AQ134" t="s">
        <v>331</v>
      </c>
      <c r="AR134">
        <v>2</v>
      </c>
      <c r="AS134">
        <v>1690202065.5</v>
      </c>
      <c r="AT134">
        <v>369.02699999999999</v>
      </c>
      <c r="AU134">
        <v>798.51300000000003</v>
      </c>
      <c r="AV134">
        <v>27.744299999999999</v>
      </c>
      <c r="AW134">
        <v>0.50635600000000003</v>
      </c>
      <c r="AX134">
        <v>370.25400000000002</v>
      </c>
      <c r="AY134">
        <v>27.565999999999999</v>
      </c>
      <c r="AZ134">
        <v>300.041</v>
      </c>
      <c r="BA134">
        <v>98.995800000000003</v>
      </c>
      <c r="BB134">
        <v>0.10005500000000001</v>
      </c>
      <c r="BC134">
        <v>25.7834</v>
      </c>
      <c r="BD134">
        <v>26.8965</v>
      </c>
      <c r="BE134">
        <v>27.3721</v>
      </c>
      <c r="BF134">
        <v>0</v>
      </c>
      <c r="BG134">
        <v>0</v>
      </c>
      <c r="BH134">
        <v>9995</v>
      </c>
      <c r="BI134">
        <v>1073.1199999999999</v>
      </c>
      <c r="BJ134">
        <v>1.4016500000000001</v>
      </c>
      <c r="BK134">
        <v>-429.48599999999999</v>
      </c>
      <c r="BL134">
        <v>379.55700000000002</v>
      </c>
      <c r="BM134">
        <v>798.91700000000003</v>
      </c>
      <c r="BN134">
        <v>27.2379</v>
      </c>
      <c r="BO134">
        <v>798.51300000000003</v>
      </c>
      <c r="BP134">
        <v>0.50635600000000003</v>
      </c>
      <c r="BQ134">
        <v>2.7465700000000002</v>
      </c>
      <c r="BR134">
        <v>5.0127100000000001E-2</v>
      </c>
      <c r="BS134">
        <v>22.566400000000002</v>
      </c>
      <c r="BT134">
        <v>-30.169499999999999</v>
      </c>
      <c r="BU134">
        <v>1799.99</v>
      </c>
      <c r="BV134">
        <v>0.91001600000000005</v>
      </c>
      <c r="BW134">
        <v>3.3993700000000002E-2</v>
      </c>
      <c r="BX134">
        <v>2.19957E-2</v>
      </c>
      <c r="BY134">
        <v>3.39951E-2</v>
      </c>
      <c r="BZ134">
        <v>25</v>
      </c>
      <c r="CA134">
        <v>33528.400000000001</v>
      </c>
      <c r="CB134">
        <v>1690200769.5</v>
      </c>
      <c r="CC134" t="s">
        <v>332</v>
      </c>
      <c r="CD134">
        <v>1690200769.5</v>
      </c>
      <c r="CE134">
        <v>1690200753</v>
      </c>
      <c r="CF134">
        <v>2</v>
      </c>
      <c r="CG134">
        <v>-0.245</v>
      </c>
      <c r="CH134">
        <v>3.0000000000000001E-3</v>
      </c>
      <c r="CI134">
        <v>-1.5169999999999999</v>
      </c>
      <c r="CJ134">
        <v>-1.6E-2</v>
      </c>
      <c r="CK134">
        <v>778</v>
      </c>
      <c r="CL134">
        <v>12</v>
      </c>
      <c r="CM134">
        <v>0.01</v>
      </c>
      <c r="CN134">
        <v>0.03</v>
      </c>
      <c r="CO134">
        <v>-426.76724999999999</v>
      </c>
      <c r="CP134">
        <v>-15.837883677297381</v>
      </c>
      <c r="CQ134">
        <v>1.5261339022182761</v>
      </c>
      <c r="CR134">
        <v>-1</v>
      </c>
      <c r="CS134">
        <v>27.253767499999999</v>
      </c>
      <c r="CT134">
        <v>-4.8401876172692468E-2</v>
      </c>
      <c r="CU134">
        <v>5.7352588215356329E-3</v>
      </c>
      <c r="CV134">
        <v>-1</v>
      </c>
      <c r="CW134">
        <v>0</v>
      </c>
      <c r="CX134">
        <v>0</v>
      </c>
      <c r="CY134" t="s">
        <v>333</v>
      </c>
      <c r="CZ134">
        <v>2.3650699999999998</v>
      </c>
      <c r="DA134">
        <v>2.7138399999999998</v>
      </c>
      <c r="DB134">
        <v>8.4419999999999995E-2</v>
      </c>
      <c r="DC134">
        <v>0.145952</v>
      </c>
      <c r="DD134">
        <v>0.12623999999999999</v>
      </c>
      <c r="DE134">
        <v>4.1826399999999996E-3</v>
      </c>
      <c r="DF134">
        <v>33404.300000000003</v>
      </c>
      <c r="DG134">
        <v>27455.1</v>
      </c>
      <c r="DH134">
        <v>31143.7</v>
      </c>
      <c r="DI134">
        <v>28009.5</v>
      </c>
      <c r="DJ134">
        <v>36921.1</v>
      </c>
      <c r="DK134">
        <v>39634.199999999997</v>
      </c>
      <c r="DL134">
        <v>44310.400000000001</v>
      </c>
      <c r="DM134">
        <v>42413.7</v>
      </c>
      <c r="DN134">
        <v>1.4482299999999999</v>
      </c>
      <c r="DO134">
        <v>2.0645699999999998</v>
      </c>
      <c r="DP134">
        <v>0.13721</v>
      </c>
      <c r="DQ134">
        <v>0.17194100000000001</v>
      </c>
      <c r="DR134">
        <v>24.648</v>
      </c>
      <c r="DS134">
        <v>24.555399999999999</v>
      </c>
      <c r="DT134">
        <v>34.799999999999997</v>
      </c>
      <c r="DU134">
        <v>25.5</v>
      </c>
      <c r="DV134">
        <v>11.5161</v>
      </c>
      <c r="DW134">
        <v>61.799900000000001</v>
      </c>
      <c r="DX134">
        <v>37.159500000000001</v>
      </c>
      <c r="DY134">
        <v>1</v>
      </c>
      <c r="DZ134">
        <v>-0.15861500000000001</v>
      </c>
      <c r="EA134">
        <v>-0.68803099999999995</v>
      </c>
      <c r="EB134">
        <v>20.190100000000001</v>
      </c>
      <c r="EC134">
        <v>5.2413999999999996</v>
      </c>
      <c r="ED134">
        <v>12.039899999999999</v>
      </c>
      <c r="EE134">
        <v>5.0179999999999998</v>
      </c>
      <c r="EF134">
        <v>3.2879999999999998</v>
      </c>
      <c r="EG134">
        <v>9999</v>
      </c>
      <c r="EH134">
        <v>9999</v>
      </c>
      <c r="EI134">
        <v>9999</v>
      </c>
      <c r="EJ134">
        <v>999.9</v>
      </c>
      <c r="EK134">
        <v>1.86877</v>
      </c>
      <c r="EL134">
        <v>1.86449</v>
      </c>
      <c r="EM134">
        <v>1.8690500000000001</v>
      </c>
      <c r="EN134">
        <v>1.8671</v>
      </c>
      <c r="EO134">
        <v>1.86327</v>
      </c>
      <c r="EP134">
        <v>1.86436</v>
      </c>
      <c r="EQ134">
        <v>1.8701099999999999</v>
      </c>
      <c r="ER134">
        <v>1.86934</v>
      </c>
      <c r="ES134">
        <v>0</v>
      </c>
      <c r="ET134">
        <v>0</v>
      </c>
      <c r="EU134">
        <v>0</v>
      </c>
      <c r="EV134">
        <v>0</v>
      </c>
      <c r="EW134" t="s">
        <v>334</v>
      </c>
      <c r="EX134" t="s">
        <v>335</v>
      </c>
      <c r="EY134" t="s">
        <v>336</v>
      </c>
      <c r="EZ134" t="s">
        <v>336</v>
      </c>
      <c r="FA134" t="s">
        <v>336</v>
      </c>
      <c r="FB134" t="s">
        <v>336</v>
      </c>
      <c r="FC134">
        <v>0</v>
      </c>
      <c r="FD134">
        <v>100</v>
      </c>
      <c r="FE134">
        <v>100</v>
      </c>
      <c r="FF134">
        <v>-1.2270000000000001</v>
      </c>
      <c r="FG134">
        <v>0.17829999999999999</v>
      </c>
      <c r="FH134">
        <v>-0.98020551812546231</v>
      </c>
      <c r="FI134">
        <v>-6.1462078757559423E-4</v>
      </c>
      <c r="FJ134">
        <v>-1.8861989874597051E-7</v>
      </c>
      <c r="FK134">
        <v>1.1980462299894961E-10</v>
      </c>
      <c r="FL134">
        <v>0.1782306200647516</v>
      </c>
      <c r="FM134">
        <v>0</v>
      </c>
      <c r="FN134">
        <v>0</v>
      </c>
      <c r="FO134">
        <v>0</v>
      </c>
      <c r="FP134">
        <v>3</v>
      </c>
      <c r="FQ134">
        <v>2158</v>
      </c>
      <c r="FR134">
        <v>1</v>
      </c>
      <c r="FS134">
        <v>19</v>
      </c>
      <c r="FT134">
        <v>21.6</v>
      </c>
      <c r="FU134">
        <v>21.9</v>
      </c>
      <c r="FV134">
        <v>1.7346200000000001</v>
      </c>
      <c r="FW134">
        <v>2.5415000000000001</v>
      </c>
      <c r="FX134">
        <v>1.5490699999999999</v>
      </c>
      <c r="FY134">
        <v>2.34497</v>
      </c>
      <c r="FZ134">
        <v>1.50146</v>
      </c>
      <c r="GA134">
        <v>2.32178</v>
      </c>
      <c r="GB134">
        <v>30.846900000000002</v>
      </c>
      <c r="GC134">
        <v>23.982399999999998</v>
      </c>
      <c r="GD134">
        <v>19</v>
      </c>
      <c r="GE134">
        <v>267.73599999999999</v>
      </c>
      <c r="GF134">
        <v>596.9</v>
      </c>
      <c r="GG134">
        <v>24.765599999999999</v>
      </c>
      <c r="GH134">
        <v>25.417400000000001</v>
      </c>
      <c r="GI134">
        <v>29.9999</v>
      </c>
      <c r="GJ134">
        <v>25.538499999999999</v>
      </c>
      <c r="GK134">
        <v>25.4956</v>
      </c>
      <c r="GL134">
        <v>34.675600000000003</v>
      </c>
      <c r="GM134">
        <v>100</v>
      </c>
      <c r="GN134">
        <v>0</v>
      </c>
      <c r="GO134">
        <v>24.837499999999999</v>
      </c>
      <c r="GP134">
        <v>800</v>
      </c>
      <c r="GQ134">
        <v>0</v>
      </c>
      <c r="GR134">
        <v>99.633300000000006</v>
      </c>
      <c r="GS134">
        <v>99.256600000000006</v>
      </c>
    </row>
    <row r="135" spans="1:201" x14ac:dyDescent="0.25">
      <c r="A135">
        <v>119</v>
      </c>
      <c r="B135">
        <v>1690202075.5</v>
      </c>
      <c r="C135">
        <v>1228.5</v>
      </c>
      <c r="D135" t="s">
        <v>571</v>
      </c>
      <c r="E135" t="s">
        <v>572</v>
      </c>
      <c r="F135" t="s">
        <v>330</v>
      </c>
      <c r="H135">
        <v>1690202075.5</v>
      </c>
      <c r="I135">
        <f t="shared" si="30"/>
        <v>2.521328971537859E-3</v>
      </c>
      <c r="J135">
        <f t="shared" si="31"/>
        <v>2.5213289715378591</v>
      </c>
      <c r="K135">
        <f t="shared" si="32"/>
        <v>37.959154868665891</v>
      </c>
      <c r="L135">
        <f t="shared" si="33"/>
        <v>366.91899999999998</v>
      </c>
      <c r="M135">
        <f t="shared" si="34"/>
        <v>147.57921145377799</v>
      </c>
      <c r="N135">
        <f t="shared" si="35"/>
        <v>14.624243541452859</v>
      </c>
      <c r="O135">
        <f t="shared" si="36"/>
        <v>36.359543889194399</v>
      </c>
      <c r="P135">
        <f t="shared" si="37"/>
        <v>0.30092883267789933</v>
      </c>
      <c r="Q135">
        <f t="shared" si="38"/>
        <v>2.0779681692961516</v>
      </c>
      <c r="R135">
        <f t="shared" si="39"/>
        <v>0.27864597183925699</v>
      </c>
      <c r="S135">
        <f t="shared" si="40"/>
        <v>0.17601806196553976</v>
      </c>
      <c r="T135">
        <f t="shared" si="41"/>
        <v>276.11293911270508</v>
      </c>
      <c r="U135">
        <f t="shared" si="42"/>
        <v>27.151032847016502</v>
      </c>
      <c r="V135">
        <f t="shared" si="43"/>
        <v>27.151032847016502</v>
      </c>
      <c r="W135">
        <f t="shared" si="44"/>
        <v>3.6110319360168202</v>
      </c>
      <c r="X135">
        <f t="shared" si="45"/>
        <v>82.186735496087891</v>
      </c>
      <c r="Y135">
        <f t="shared" si="46"/>
        <v>2.7431255779631996</v>
      </c>
      <c r="Z135">
        <f t="shared" si="47"/>
        <v>3.3376743356520993</v>
      </c>
      <c r="AA135">
        <f t="shared" si="48"/>
        <v>0.8679063580536206</v>
      </c>
      <c r="AB135">
        <f t="shared" si="49"/>
        <v>-111.19060764481958</v>
      </c>
      <c r="AC135">
        <f t="shared" si="50"/>
        <v>-149.57148813253662</v>
      </c>
      <c r="AD135">
        <f t="shared" si="51"/>
        <v>-15.454033293316872</v>
      </c>
      <c r="AE135">
        <f t="shared" si="52"/>
        <v>-0.10318995796797026</v>
      </c>
      <c r="AF135">
        <v>11</v>
      </c>
      <c r="AG135">
        <v>4</v>
      </c>
      <c r="AH135">
        <f t="shared" si="53"/>
        <v>1</v>
      </c>
      <c r="AI135">
        <f t="shared" si="54"/>
        <v>0</v>
      </c>
      <c r="AJ135">
        <f t="shared" si="55"/>
        <v>52451.91954959416</v>
      </c>
      <c r="AK135">
        <f t="shared" si="56"/>
        <v>1799.99</v>
      </c>
      <c r="AL135">
        <f t="shared" si="57"/>
        <v>1499.10688278216</v>
      </c>
      <c r="AM135">
        <f t="shared" si="58"/>
        <v>0.83284178399999997</v>
      </c>
      <c r="AN135">
        <f t="shared" si="59"/>
        <v>0.15339692949</v>
      </c>
      <c r="AO135">
        <v>33.299999999999997</v>
      </c>
      <c r="AP135">
        <v>0.5</v>
      </c>
      <c r="AQ135" t="s">
        <v>331</v>
      </c>
      <c r="AR135">
        <v>2</v>
      </c>
      <c r="AS135">
        <v>1690202075.5</v>
      </c>
      <c r="AT135">
        <v>366.91899999999998</v>
      </c>
      <c r="AU135">
        <v>798.54600000000005</v>
      </c>
      <c r="AV135">
        <v>27.681999999999999</v>
      </c>
      <c r="AW135">
        <v>0.469252</v>
      </c>
      <c r="AX135">
        <v>368.14499999999998</v>
      </c>
      <c r="AY135">
        <v>27.503699999999998</v>
      </c>
      <c r="AZ135">
        <v>299.99200000000002</v>
      </c>
      <c r="BA135">
        <v>98.994200000000006</v>
      </c>
      <c r="BB135">
        <v>9.9997600000000006E-2</v>
      </c>
      <c r="BC135">
        <v>25.815899999999999</v>
      </c>
      <c r="BD135">
        <v>26.926400000000001</v>
      </c>
      <c r="BE135">
        <v>27.381599999999999</v>
      </c>
      <c r="BF135">
        <v>0</v>
      </c>
      <c r="BG135">
        <v>0</v>
      </c>
      <c r="BH135">
        <v>9980</v>
      </c>
      <c r="BI135">
        <v>1073.23</v>
      </c>
      <c r="BJ135">
        <v>1.2741</v>
      </c>
      <c r="BK135">
        <v>-431.62700000000001</v>
      </c>
      <c r="BL135">
        <v>377.36599999999999</v>
      </c>
      <c r="BM135">
        <v>798.92100000000005</v>
      </c>
      <c r="BN135">
        <v>27.212700000000002</v>
      </c>
      <c r="BO135">
        <v>798.54600000000005</v>
      </c>
      <c r="BP135">
        <v>0.469252</v>
      </c>
      <c r="BQ135">
        <v>2.7403499999999998</v>
      </c>
      <c r="BR135">
        <v>4.64532E-2</v>
      </c>
      <c r="BS135">
        <v>22.5291</v>
      </c>
      <c r="BT135">
        <v>-30.968399999999999</v>
      </c>
      <c r="BU135">
        <v>1799.99</v>
      </c>
      <c r="BV135">
        <v>0.91002000000000005</v>
      </c>
      <c r="BW135">
        <v>3.3992099999999997E-2</v>
      </c>
      <c r="BX135">
        <v>2.1994699999999999E-2</v>
      </c>
      <c r="BY135">
        <v>3.3993500000000003E-2</v>
      </c>
      <c r="BZ135">
        <v>25</v>
      </c>
      <c r="CA135">
        <v>33528.400000000001</v>
      </c>
      <c r="CB135">
        <v>1690200769.5</v>
      </c>
      <c r="CC135" t="s">
        <v>332</v>
      </c>
      <c r="CD135">
        <v>1690200769.5</v>
      </c>
      <c r="CE135">
        <v>1690200753</v>
      </c>
      <c r="CF135">
        <v>2</v>
      </c>
      <c r="CG135">
        <v>-0.245</v>
      </c>
      <c r="CH135">
        <v>3.0000000000000001E-3</v>
      </c>
      <c r="CI135">
        <v>-1.5169999999999999</v>
      </c>
      <c r="CJ135">
        <v>-1.6E-2</v>
      </c>
      <c r="CK135">
        <v>778</v>
      </c>
      <c r="CL135">
        <v>12</v>
      </c>
      <c r="CM135">
        <v>0.01</v>
      </c>
      <c r="CN135">
        <v>0.03</v>
      </c>
      <c r="CO135">
        <v>-429.45022499999988</v>
      </c>
      <c r="CP135">
        <v>-13.38615759849727</v>
      </c>
      <c r="CQ135">
        <v>1.2883873541660551</v>
      </c>
      <c r="CR135">
        <v>-1</v>
      </c>
      <c r="CS135">
        <v>27.238622500000002</v>
      </c>
      <c r="CT135">
        <v>-0.117162101313285</v>
      </c>
      <c r="CU135">
        <v>1.138256314500375E-2</v>
      </c>
      <c r="CV135">
        <v>-1</v>
      </c>
      <c r="CW135">
        <v>0</v>
      </c>
      <c r="CX135">
        <v>0</v>
      </c>
      <c r="CY135" t="s">
        <v>333</v>
      </c>
      <c r="CZ135">
        <v>2.3649200000000001</v>
      </c>
      <c r="DA135">
        <v>2.7137699999999998</v>
      </c>
      <c r="DB135">
        <v>8.4043800000000002E-2</v>
      </c>
      <c r="DC135">
        <v>0.145952</v>
      </c>
      <c r="DD135">
        <v>0.12604099999999999</v>
      </c>
      <c r="DE135">
        <v>3.8844800000000001E-3</v>
      </c>
      <c r="DF135">
        <v>33418</v>
      </c>
      <c r="DG135">
        <v>27455.4</v>
      </c>
      <c r="DH135">
        <v>31143.599999999999</v>
      </c>
      <c r="DI135">
        <v>28009.8</v>
      </c>
      <c r="DJ135">
        <v>36929.800000000003</v>
      </c>
      <c r="DK135">
        <v>39646.5</v>
      </c>
      <c r="DL135">
        <v>44310.6</v>
      </c>
      <c r="DM135">
        <v>42414.1</v>
      </c>
      <c r="DN135">
        <v>1.44825</v>
      </c>
      <c r="DO135">
        <v>2.0642</v>
      </c>
      <c r="DP135">
        <v>0.13884199999999999</v>
      </c>
      <c r="DQ135">
        <v>0.172239</v>
      </c>
      <c r="DR135">
        <v>24.651299999999999</v>
      </c>
      <c r="DS135">
        <v>24.560099999999998</v>
      </c>
      <c r="DT135">
        <v>34.700000000000003</v>
      </c>
      <c r="DU135">
        <v>25.5</v>
      </c>
      <c r="DV135">
        <v>11.4825</v>
      </c>
      <c r="DW135">
        <v>61.639899999999997</v>
      </c>
      <c r="DX135">
        <v>37.243600000000001</v>
      </c>
      <c r="DY135">
        <v>1</v>
      </c>
      <c r="DZ135">
        <v>-0.158577</v>
      </c>
      <c r="EA135">
        <v>-0.74585199999999996</v>
      </c>
      <c r="EB135">
        <v>20.189699999999998</v>
      </c>
      <c r="EC135">
        <v>5.2413999999999996</v>
      </c>
      <c r="ED135">
        <v>12.039899999999999</v>
      </c>
      <c r="EE135">
        <v>5.0171999999999999</v>
      </c>
      <c r="EF135">
        <v>3.2879999999999998</v>
      </c>
      <c r="EG135">
        <v>9999</v>
      </c>
      <c r="EH135">
        <v>9999</v>
      </c>
      <c r="EI135">
        <v>9999</v>
      </c>
      <c r="EJ135">
        <v>999.9</v>
      </c>
      <c r="EK135">
        <v>1.8687800000000001</v>
      </c>
      <c r="EL135">
        <v>1.86449</v>
      </c>
      <c r="EM135">
        <v>1.8690599999999999</v>
      </c>
      <c r="EN135">
        <v>1.86711</v>
      </c>
      <c r="EO135">
        <v>1.8632599999999999</v>
      </c>
      <c r="EP135">
        <v>1.86435</v>
      </c>
      <c r="EQ135">
        <v>1.8701000000000001</v>
      </c>
      <c r="ER135">
        <v>1.8693500000000001</v>
      </c>
      <c r="ES135">
        <v>0</v>
      </c>
      <c r="ET135">
        <v>0</v>
      </c>
      <c r="EU135">
        <v>0</v>
      </c>
      <c r="EV135">
        <v>0</v>
      </c>
      <c r="EW135" t="s">
        <v>334</v>
      </c>
      <c r="EX135" t="s">
        <v>335</v>
      </c>
      <c r="EY135" t="s">
        <v>336</v>
      </c>
      <c r="EZ135" t="s">
        <v>336</v>
      </c>
      <c r="FA135" t="s">
        <v>336</v>
      </c>
      <c r="FB135" t="s">
        <v>336</v>
      </c>
      <c r="FC135">
        <v>0</v>
      </c>
      <c r="FD135">
        <v>100</v>
      </c>
      <c r="FE135">
        <v>100</v>
      </c>
      <c r="FF135">
        <v>-1.226</v>
      </c>
      <c r="FG135">
        <v>0.17829999999999999</v>
      </c>
      <c r="FH135">
        <v>-0.98020551812546231</v>
      </c>
      <c r="FI135">
        <v>-6.1462078757559423E-4</v>
      </c>
      <c r="FJ135">
        <v>-1.8861989874597051E-7</v>
      </c>
      <c r="FK135">
        <v>1.1980462299894961E-10</v>
      </c>
      <c r="FL135">
        <v>0.1782306200647516</v>
      </c>
      <c r="FM135">
        <v>0</v>
      </c>
      <c r="FN135">
        <v>0</v>
      </c>
      <c r="FO135">
        <v>0</v>
      </c>
      <c r="FP135">
        <v>3</v>
      </c>
      <c r="FQ135">
        <v>2158</v>
      </c>
      <c r="FR135">
        <v>1</v>
      </c>
      <c r="FS135">
        <v>19</v>
      </c>
      <c r="FT135">
        <v>21.8</v>
      </c>
      <c r="FU135">
        <v>22</v>
      </c>
      <c r="FV135">
        <v>1.7395</v>
      </c>
      <c r="FW135">
        <v>2.5488300000000002</v>
      </c>
      <c r="FX135">
        <v>1.5490699999999999</v>
      </c>
      <c r="FY135">
        <v>2.34375</v>
      </c>
      <c r="FZ135">
        <v>1.50146</v>
      </c>
      <c r="GA135">
        <v>2.2875999999999999</v>
      </c>
      <c r="GB135">
        <v>30.868600000000001</v>
      </c>
      <c r="GC135">
        <v>23.973700000000001</v>
      </c>
      <c r="GD135">
        <v>19</v>
      </c>
      <c r="GE135">
        <v>267.745</v>
      </c>
      <c r="GF135">
        <v>596.61</v>
      </c>
      <c r="GG135">
        <v>24.918399999999998</v>
      </c>
      <c r="GH135">
        <v>25.418399999999998</v>
      </c>
      <c r="GI135">
        <v>29.9999</v>
      </c>
      <c r="GJ135">
        <v>25.538599999999999</v>
      </c>
      <c r="GK135">
        <v>25.497699999999998</v>
      </c>
      <c r="GL135">
        <v>34.789499999999997</v>
      </c>
      <c r="GM135">
        <v>100</v>
      </c>
      <c r="GN135">
        <v>0</v>
      </c>
      <c r="GO135">
        <v>24.967400000000001</v>
      </c>
      <c r="GP135">
        <v>800</v>
      </c>
      <c r="GQ135">
        <v>0</v>
      </c>
      <c r="GR135">
        <v>99.633499999999998</v>
      </c>
      <c r="GS135">
        <v>99.257599999999996</v>
      </c>
    </row>
    <row r="136" spans="1:201" x14ac:dyDescent="0.25">
      <c r="A136">
        <v>120</v>
      </c>
      <c r="B136">
        <v>1690202085.5</v>
      </c>
      <c r="C136">
        <v>1238.5</v>
      </c>
      <c r="D136" t="s">
        <v>573</v>
      </c>
      <c r="E136" t="s">
        <v>574</v>
      </c>
      <c r="F136" t="s">
        <v>330</v>
      </c>
      <c r="H136">
        <v>1690202085.5</v>
      </c>
      <c r="I136">
        <f t="shared" si="30"/>
        <v>2.5180070288411353E-3</v>
      </c>
      <c r="J136">
        <f t="shared" si="31"/>
        <v>2.5180070288411351</v>
      </c>
      <c r="K136">
        <f t="shared" si="32"/>
        <v>38.134112264489495</v>
      </c>
      <c r="L136">
        <f t="shared" si="33"/>
        <v>365.43599999999998</v>
      </c>
      <c r="M136">
        <f t="shared" si="34"/>
        <v>142.94527155448023</v>
      </c>
      <c r="N136">
        <f t="shared" si="35"/>
        <v>14.164965277888102</v>
      </c>
      <c r="O136">
        <f t="shared" si="36"/>
        <v>36.212378310936003</v>
      </c>
      <c r="P136">
        <f t="shared" si="37"/>
        <v>0.29770816196592625</v>
      </c>
      <c r="Q136">
        <f t="shared" si="38"/>
        <v>2.0817340299057809</v>
      </c>
      <c r="R136">
        <f t="shared" si="39"/>
        <v>0.27591756394760386</v>
      </c>
      <c r="S136">
        <f t="shared" si="40"/>
        <v>0.17427317687773505</v>
      </c>
      <c r="T136">
        <f t="shared" si="41"/>
        <v>276.11437831200004</v>
      </c>
      <c r="U136">
        <f t="shared" si="42"/>
        <v>27.151535825154287</v>
      </c>
      <c r="V136">
        <f t="shared" si="43"/>
        <v>27.151535825154287</v>
      </c>
      <c r="W136">
        <f t="shared" si="44"/>
        <v>3.6111384912835591</v>
      </c>
      <c r="X136">
        <f t="shared" si="45"/>
        <v>81.959274664039938</v>
      </c>
      <c r="Y136">
        <f t="shared" si="46"/>
        <v>2.7357768266080003</v>
      </c>
      <c r="Z136">
        <f t="shared" si="47"/>
        <v>3.3379710079454092</v>
      </c>
      <c r="AA136">
        <f t="shared" si="48"/>
        <v>0.87536166467555887</v>
      </c>
      <c r="AB136">
        <f t="shared" si="49"/>
        <v>-111.04410997189406</v>
      </c>
      <c r="AC136">
        <f t="shared" si="50"/>
        <v>-149.73065737456483</v>
      </c>
      <c r="AD136">
        <f t="shared" si="51"/>
        <v>-15.442647668970091</v>
      </c>
      <c r="AE136">
        <f t="shared" si="52"/>
        <v>-0.10303670342892701</v>
      </c>
      <c r="AF136">
        <v>11</v>
      </c>
      <c r="AG136">
        <v>4</v>
      </c>
      <c r="AH136">
        <f t="shared" si="53"/>
        <v>1</v>
      </c>
      <c r="AI136">
        <f t="shared" si="54"/>
        <v>0</v>
      </c>
      <c r="AJ136">
        <f t="shared" si="55"/>
        <v>52621.72005657792</v>
      </c>
      <c r="AK136">
        <f t="shared" si="56"/>
        <v>1800</v>
      </c>
      <c r="AL136">
        <f t="shared" si="57"/>
        <v>1499.1108912</v>
      </c>
      <c r="AM136">
        <f t="shared" si="58"/>
        <v>0.83283938400000002</v>
      </c>
      <c r="AN136">
        <f t="shared" si="59"/>
        <v>0.15339687684000003</v>
      </c>
      <c r="AO136">
        <v>33.299999999999997</v>
      </c>
      <c r="AP136">
        <v>0.5</v>
      </c>
      <c r="AQ136" t="s">
        <v>331</v>
      </c>
      <c r="AR136">
        <v>2</v>
      </c>
      <c r="AS136">
        <v>1690202085.5</v>
      </c>
      <c r="AT136">
        <v>365.43599999999998</v>
      </c>
      <c r="AU136">
        <v>798.73199999999997</v>
      </c>
      <c r="AV136">
        <v>27.608000000000001</v>
      </c>
      <c r="AW136">
        <v>0.44271100000000002</v>
      </c>
      <c r="AX136">
        <v>366.661</v>
      </c>
      <c r="AY136">
        <v>27.4298</v>
      </c>
      <c r="AZ136">
        <v>300.14299999999997</v>
      </c>
      <c r="BA136">
        <v>98.993600000000001</v>
      </c>
      <c r="BB136">
        <v>0.100026</v>
      </c>
      <c r="BC136">
        <v>25.817399999999999</v>
      </c>
      <c r="BD136">
        <v>26.948599999999999</v>
      </c>
      <c r="BE136">
        <v>27.395399999999999</v>
      </c>
      <c r="BF136">
        <v>0</v>
      </c>
      <c r="BG136">
        <v>0</v>
      </c>
      <c r="BH136">
        <v>10013.799999999999</v>
      </c>
      <c r="BI136">
        <v>1073.29</v>
      </c>
      <c r="BJ136">
        <v>1.2334499999999999</v>
      </c>
      <c r="BK136">
        <v>-433.29599999999999</v>
      </c>
      <c r="BL136">
        <v>375.81099999999998</v>
      </c>
      <c r="BM136">
        <v>799.08500000000004</v>
      </c>
      <c r="BN136">
        <v>27.165299999999998</v>
      </c>
      <c r="BO136">
        <v>798.73199999999997</v>
      </c>
      <c r="BP136">
        <v>0.44271100000000002</v>
      </c>
      <c r="BQ136">
        <v>2.7330199999999998</v>
      </c>
      <c r="BR136">
        <v>4.3825500000000003E-2</v>
      </c>
      <c r="BS136">
        <v>22.484999999999999</v>
      </c>
      <c r="BT136">
        <v>-31.575600000000001</v>
      </c>
      <c r="BU136">
        <v>1800</v>
      </c>
      <c r="BV136">
        <v>0.91000800000000004</v>
      </c>
      <c r="BW136">
        <v>3.40074E-2</v>
      </c>
      <c r="BX136">
        <v>2.1993200000000001E-2</v>
      </c>
      <c r="BY136">
        <v>3.3991199999999999E-2</v>
      </c>
      <c r="BZ136">
        <v>25</v>
      </c>
      <c r="CA136">
        <v>33528.400000000001</v>
      </c>
      <c r="CB136">
        <v>1690200769.5</v>
      </c>
      <c r="CC136" t="s">
        <v>332</v>
      </c>
      <c r="CD136">
        <v>1690200769.5</v>
      </c>
      <c r="CE136">
        <v>1690200753</v>
      </c>
      <c r="CF136">
        <v>2</v>
      </c>
      <c r="CG136">
        <v>-0.245</v>
      </c>
      <c r="CH136">
        <v>3.0000000000000001E-3</v>
      </c>
      <c r="CI136">
        <v>-1.5169999999999999</v>
      </c>
      <c r="CJ136">
        <v>-1.6E-2</v>
      </c>
      <c r="CK136">
        <v>778</v>
      </c>
      <c r="CL136">
        <v>12</v>
      </c>
      <c r="CM136">
        <v>0.01</v>
      </c>
      <c r="CN136">
        <v>0.03</v>
      </c>
      <c r="CO136">
        <v>-431.38412195121958</v>
      </c>
      <c r="CP136">
        <v>-11.798174216027251</v>
      </c>
      <c r="CQ136">
        <v>1.16717948951207</v>
      </c>
      <c r="CR136">
        <v>-1</v>
      </c>
      <c r="CS136">
        <v>27.212299999999999</v>
      </c>
      <c r="CT136">
        <v>-0.21778118466900009</v>
      </c>
      <c r="CU136">
        <v>2.190359141951792E-2</v>
      </c>
      <c r="CV136">
        <v>-1</v>
      </c>
      <c r="CW136">
        <v>0</v>
      </c>
      <c r="CX136">
        <v>0</v>
      </c>
      <c r="CY136" t="s">
        <v>333</v>
      </c>
      <c r="CZ136">
        <v>2.3653900000000001</v>
      </c>
      <c r="DA136">
        <v>2.7138300000000002</v>
      </c>
      <c r="DB136">
        <v>8.3778900000000003E-2</v>
      </c>
      <c r="DC136">
        <v>0.14597299999999999</v>
      </c>
      <c r="DD136">
        <v>0.125807</v>
      </c>
      <c r="DE136">
        <v>3.6704400000000001E-3</v>
      </c>
      <c r="DF136">
        <v>33428.1</v>
      </c>
      <c r="DG136">
        <v>27454.7</v>
      </c>
      <c r="DH136">
        <v>31144</v>
      </c>
      <c r="DI136">
        <v>28009.8</v>
      </c>
      <c r="DJ136">
        <v>36940.199999999997</v>
      </c>
      <c r="DK136">
        <v>39655.1</v>
      </c>
      <c r="DL136">
        <v>44311.1</v>
      </c>
      <c r="DM136">
        <v>42414.2</v>
      </c>
      <c r="DN136">
        <v>1.4484300000000001</v>
      </c>
      <c r="DO136">
        <v>2.0636700000000001</v>
      </c>
      <c r="DP136">
        <v>0.140015</v>
      </c>
      <c r="DQ136">
        <v>0.172768</v>
      </c>
      <c r="DR136">
        <v>24.654299999999999</v>
      </c>
      <c r="DS136">
        <v>24.565200000000001</v>
      </c>
      <c r="DT136">
        <v>34.700000000000003</v>
      </c>
      <c r="DU136">
        <v>25.5</v>
      </c>
      <c r="DV136">
        <v>11.484999999999999</v>
      </c>
      <c r="DW136">
        <v>61.719900000000003</v>
      </c>
      <c r="DX136">
        <v>36.4343</v>
      </c>
      <c r="DY136">
        <v>1</v>
      </c>
      <c r="DZ136">
        <v>-0.158384</v>
      </c>
      <c r="EA136">
        <v>-0.701492</v>
      </c>
      <c r="EB136">
        <v>20.189900000000002</v>
      </c>
      <c r="EC136">
        <v>5.242</v>
      </c>
      <c r="ED136">
        <v>12.039899999999999</v>
      </c>
      <c r="EE136">
        <v>5.0171000000000001</v>
      </c>
      <c r="EF136">
        <v>3.2879999999999998</v>
      </c>
      <c r="EG136">
        <v>9999</v>
      </c>
      <c r="EH136">
        <v>9999</v>
      </c>
      <c r="EI136">
        <v>9999</v>
      </c>
      <c r="EJ136">
        <v>999.9</v>
      </c>
      <c r="EK136">
        <v>1.8687800000000001</v>
      </c>
      <c r="EL136">
        <v>1.8645099999999999</v>
      </c>
      <c r="EM136">
        <v>1.8690599999999999</v>
      </c>
      <c r="EN136">
        <v>1.86713</v>
      </c>
      <c r="EO136">
        <v>1.86327</v>
      </c>
      <c r="EP136">
        <v>1.86436</v>
      </c>
      <c r="EQ136">
        <v>1.87012</v>
      </c>
      <c r="ER136">
        <v>1.86934</v>
      </c>
      <c r="ES136">
        <v>0</v>
      </c>
      <c r="ET136">
        <v>0</v>
      </c>
      <c r="EU136">
        <v>0</v>
      </c>
      <c r="EV136">
        <v>0</v>
      </c>
      <c r="EW136" t="s">
        <v>334</v>
      </c>
      <c r="EX136" t="s">
        <v>335</v>
      </c>
      <c r="EY136" t="s">
        <v>336</v>
      </c>
      <c r="EZ136" t="s">
        <v>336</v>
      </c>
      <c r="FA136" t="s">
        <v>336</v>
      </c>
      <c r="FB136" t="s">
        <v>336</v>
      </c>
      <c r="FC136">
        <v>0</v>
      </c>
      <c r="FD136">
        <v>100</v>
      </c>
      <c r="FE136">
        <v>100</v>
      </c>
      <c r="FF136">
        <v>-1.2250000000000001</v>
      </c>
      <c r="FG136">
        <v>0.1782</v>
      </c>
      <c r="FH136">
        <v>-0.98020551812546231</v>
      </c>
      <c r="FI136">
        <v>-6.1462078757559423E-4</v>
      </c>
      <c r="FJ136">
        <v>-1.8861989874597051E-7</v>
      </c>
      <c r="FK136">
        <v>1.1980462299894961E-10</v>
      </c>
      <c r="FL136">
        <v>0.1782306200647516</v>
      </c>
      <c r="FM136">
        <v>0</v>
      </c>
      <c r="FN136">
        <v>0</v>
      </c>
      <c r="FO136">
        <v>0</v>
      </c>
      <c r="FP136">
        <v>3</v>
      </c>
      <c r="FQ136">
        <v>2158</v>
      </c>
      <c r="FR136">
        <v>1</v>
      </c>
      <c r="FS136">
        <v>19</v>
      </c>
      <c r="FT136">
        <v>21.9</v>
      </c>
      <c r="FU136">
        <v>22.2</v>
      </c>
      <c r="FV136">
        <v>1.74438</v>
      </c>
      <c r="FW136">
        <v>2.5512700000000001</v>
      </c>
      <c r="FX136">
        <v>1.5490699999999999</v>
      </c>
      <c r="FY136">
        <v>2.34375</v>
      </c>
      <c r="FZ136">
        <v>1.50146</v>
      </c>
      <c r="GA136">
        <v>2.3071299999999999</v>
      </c>
      <c r="GB136">
        <v>30.846900000000002</v>
      </c>
      <c r="GC136">
        <v>23.973700000000001</v>
      </c>
      <c r="GD136">
        <v>19</v>
      </c>
      <c r="GE136">
        <v>267.81</v>
      </c>
      <c r="GF136">
        <v>596.19500000000005</v>
      </c>
      <c r="GG136">
        <v>25.0288</v>
      </c>
      <c r="GH136">
        <v>25.419599999999999</v>
      </c>
      <c r="GI136">
        <v>30.0001</v>
      </c>
      <c r="GJ136">
        <v>25.536899999999999</v>
      </c>
      <c r="GK136">
        <v>25.4998</v>
      </c>
      <c r="GL136">
        <v>34.891500000000001</v>
      </c>
      <c r="GM136">
        <v>100</v>
      </c>
      <c r="GN136">
        <v>0</v>
      </c>
      <c r="GO136">
        <v>25.057700000000001</v>
      </c>
      <c r="GP136">
        <v>800</v>
      </c>
      <c r="GQ136">
        <v>0</v>
      </c>
      <c r="GR136">
        <v>99.634699999999995</v>
      </c>
      <c r="GS136">
        <v>99.257800000000003</v>
      </c>
    </row>
    <row r="137" spans="1:201" x14ac:dyDescent="0.25">
      <c r="A137">
        <v>121</v>
      </c>
      <c r="B137">
        <v>1690202095.5</v>
      </c>
      <c r="C137">
        <v>1248.5</v>
      </c>
      <c r="D137" t="s">
        <v>575</v>
      </c>
      <c r="E137" t="s">
        <v>576</v>
      </c>
      <c r="F137" t="s">
        <v>330</v>
      </c>
      <c r="H137">
        <v>1690202095.5</v>
      </c>
      <c r="I137">
        <f t="shared" si="30"/>
        <v>2.5164151040177425E-3</v>
      </c>
      <c r="J137">
        <f t="shared" si="31"/>
        <v>2.5164151040177423</v>
      </c>
      <c r="K137">
        <f t="shared" si="32"/>
        <v>38.33667907017972</v>
      </c>
      <c r="L137">
        <f t="shared" si="33"/>
        <v>363.904</v>
      </c>
      <c r="M137">
        <f t="shared" si="34"/>
        <v>137.24594349179677</v>
      </c>
      <c r="N137">
        <f t="shared" si="35"/>
        <v>13.600426983381043</v>
      </c>
      <c r="O137">
        <f t="shared" si="36"/>
        <v>36.061173503871998</v>
      </c>
      <c r="P137">
        <f t="shared" si="37"/>
        <v>0.29343454654217355</v>
      </c>
      <c r="Q137">
        <f t="shared" si="38"/>
        <v>2.0804932889727632</v>
      </c>
      <c r="R137">
        <f t="shared" si="39"/>
        <v>0.2722295450253695</v>
      </c>
      <c r="S137">
        <f t="shared" si="40"/>
        <v>0.17192077931877797</v>
      </c>
      <c r="T137">
        <f t="shared" si="41"/>
        <v>276.11272926987084</v>
      </c>
      <c r="U137">
        <f t="shared" si="42"/>
        <v>27.178379947123094</v>
      </c>
      <c r="V137">
        <f t="shared" si="43"/>
        <v>27.178379947123094</v>
      </c>
      <c r="W137">
        <f t="shared" si="44"/>
        <v>3.6168293671420106</v>
      </c>
      <c r="X137">
        <f t="shared" si="45"/>
        <v>81.666878700008823</v>
      </c>
      <c r="Y137">
        <f t="shared" si="46"/>
        <v>2.7301545983844</v>
      </c>
      <c r="Z137">
        <f t="shared" si="47"/>
        <v>3.3430377673832963</v>
      </c>
      <c r="AA137">
        <f t="shared" si="48"/>
        <v>0.88667476875761064</v>
      </c>
      <c r="AB137">
        <f t="shared" si="49"/>
        <v>-110.97390608718244</v>
      </c>
      <c r="AC137">
        <f t="shared" si="50"/>
        <v>-149.78096107019044</v>
      </c>
      <c r="AD137">
        <f t="shared" si="51"/>
        <v>-15.461109023466303</v>
      </c>
      <c r="AE137">
        <f t="shared" si="52"/>
        <v>-0.10324691096835181</v>
      </c>
      <c r="AF137">
        <v>11</v>
      </c>
      <c r="AG137">
        <v>4</v>
      </c>
      <c r="AH137">
        <f t="shared" si="53"/>
        <v>1</v>
      </c>
      <c r="AI137">
        <f t="shared" si="54"/>
        <v>0</v>
      </c>
      <c r="AJ137">
        <f t="shared" si="55"/>
        <v>52561.17654370478</v>
      </c>
      <c r="AK137">
        <f t="shared" si="56"/>
        <v>1799.99</v>
      </c>
      <c r="AL137">
        <f t="shared" si="57"/>
        <v>1499.1024224069399</v>
      </c>
      <c r="AM137">
        <f t="shared" si="58"/>
        <v>0.832839306</v>
      </c>
      <c r="AN137">
        <f t="shared" si="59"/>
        <v>0.15339681290999996</v>
      </c>
      <c r="AO137">
        <v>33.299999999999997</v>
      </c>
      <c r="AP137">
        <v>0.5</v>
      </c>
      <c r="AQ137" t="s">
        <v>331</v>
      </c>
      <c r="AR137">
        <v>2</v>
      </c>
      <c r="AS137">
        <v>1690202095.5</v>
      </c>
      <c r="AT137">
        <v>363.904</v>
      </c>
      <c r="AU137">
        <v>799.04300000000001</v>
      </c>
      <c r="AV137">
        <v>27.550799999999999</v>
      </c>
      <c r="AW137">
        <v>0.423232</v>
      </c>
      <c r="AX137">
        <v>365.12799999999999</v>
      </c>
      <c r="AY137">
        <v>27.372599999999998</v>
      </c>
      <c r="AZ137">
        <v>300.38799999999998</v>
      </c>
      <c r="BA137">
        <v>98.9953</v>
      </c>
      <c r="BB137">
        <v>9.9992999999999999E-2</v>
      </c>
      <c r="BC137">
        <v>25.843</v>
      </c>
      <c r="BD137">
        <v>26.954000000000001</v>
      </c>
      <c r="BE137">
        <v>27.4392</v>
      </c>
      <c r="BF137">
        <v>0</v>
      </c>
      <c r="BG137">
        <v>0</v>
      </c>
      <c r="BH137">
        <v>10002.5</v>
      </c>
      <c r="BI137">
        <v>1073.4000000000001</v>
      </c>
      <c r="BJ137">
        <v>1.24186</v>
      </c>
      <c r="BK137">
        <v>-435.13900000000001</v>
      </c>
      <c r="BL137">
        <v>374.214</v>
      </c>
      <c r="BM137">
        <v>799.38099999999997</v>
      </c>
      <c r="BN137">
        <v>27.127600000000001</v>
      </c>
      <c r="BO137">
        <v>799.04300000000001</v>
      </c>
      <c r="BP137">
        <v>0.423232</v>
      </c>
      <c r="BQ137">
        <v>2.7273999999999998</v>
      </c>
      <c r="BR137">
        <v>4.1897999999999998E-2</v>
      </c>
      <c r="BS137">
        <v>22.4511</v>
      </c>
      <c r="BT137">
        <v>-32.042099999999998</v>
      </c>
      <c r="BU137">
        <v>1799.99</v>
      </c>
      <c r="BV137">
        <v>0.91000899999999996</v>
      </c>
      <c r="BW137">
        <v>3.40086E-2</v>
      </c>
      <c r="BX137">
        <v>2.1992299999999999E-2</v>
      </c>
      <c r="BY137">
        <v>3.3989900000000003E-2</v>
      </c>
      <c r="BZ137">
        <v>25</v>
      </c>
      <c r="CA137">
        <v>33528.300000000003</v>
      </c>
      <c r="CB137">
        <v>1690200769.5</v>
      </c>
      <c r="CC137" t="s">
        <v>332</v>
      </c>
      <c r="CD137">
        <v>1690200769.5</v>
      </c>
      <c r="CE137">
        <v>1690200753</v>
      </c>
      <c r="CF137">
        <v>2</v>
      </c>
      <c r="CG137">
        <v>-0.245</v>
      </c>
      <c r="CH137">
        <v>3.0000000000000001E-3</v>
      </c>
      <c r="CI137">
        <v>-1.5169999999999999</v>
      </c>
      <c r="CJ137">
        <v>-1.6E-2</v>
      </c>
      <c r="CK137">
        <v>778</v>
      </c>
      <c r="CL137">
        <v>12</v>
      </c>
      <c r="CM137">
        <v>0.01</v>
      </c>
      <c r="CN137">
        <v>0.03</v>
      </c>
      <c r="CO137">
        <v>-433.29658536585367</v>
      </c>
      <c r="CP137">
        <v>-11.21586062717725</v>
      </c>
      <c r="CQ137">
        <v>1.1093146197718191</v>
      </c>
      <c r="CR137">
        <v>-1</v>
      </c>
      <c r="CS137">
        <v>27.172863414634151</v>
      </c>
      <c r="CT137">
        <v>-0.25219651567940948</v>
      </c>
      <c r="CU137">
        <v>2.4967527751037239E-2</v>
      </c>
      <c r="CV137">
        <v>-1</v>
      </c>
      <c r="CW137">
        <v>0</v>
      </c>
      <c r="CX137">
        <v>0</v>
      </c>
      <c r="CY137" t="s">
        <v>333</v>
      </c>
      <c r="CZ137">
        <v>2.3661599999999998</v>
      </c>
      <c r="DA137">
        <v>2.7137899999999999</v>
      </c>
      <c r="DB137">
        <v>8.3506499999999997E-2</v>
      </c>
      <c r="DC137">
        <v>0.146013</v>
      </c>
      <c r="DD137">
        <v>0.12562799999999999</v>
      </c>
      <c r="DE137">
        <v>3.5130299999999999E-3</v>
      </c>
      <c r="DF137">
        <v>33437.800000000003</v>
      </c>
      <c r="DG137">
        <v>27453.1</v>
      </c>
      <c r="DH137">
        <v>31143.8</v>
      </c>
      <c r="DI137">
        <v>28009.5</v>
      </c>
      <c r="DJ137">
        <v>36947.599999999999</v>
      </c>
      <c r="DK137">
        <v>39661</v>
      </c>
      <c r="DL137">
        <v>44310.8</v>
      </c>
      <c r="DM137">
        <v>42413.8</v>
      </c>
      <c r="DN137">
        <v>1.44895</v>
      </c>
      <c r="DO137">
        <v>2.0641799999999999</v>
      </c>
      <c r="DP137">
        <v>0.14005999999999999</v>
      </c>
      <c r="DQ137">
        <v>0.17507</v>
      </c>
      <c r="DR137">
        <v>24.658999999999999</v>
      </c>
      <c r="DS137">
        <v>24.571400000000001</v>
      </c>
      <c r="DT137">
        <v>34.700000000000003</v>
      </c>
      <c r="DU137">
        <v>25.5</v>
      </c>
      <c r="DV137">
        <v>11.481199999999999</v>
      </c>
      <c r="DW137">
        <v>61.679900000000004</v>
      </c>
      <c r="DX137">
        <v>35.801299999999998</v>
      </c>
      <c r="DY137">
        <v>1</v>
      </c>
      <c r="DZ137">
        <v>-0.158275</v>
      </c>
      <c r="EA137">
        <v>-0.69577299999999997</v>
      </c>
      <c r="EB137">
        <v>20.189800000000002</v>
      </c>
      <c r="EC137">
        <v>5.2413999999999996</v>
      </c>
      <c r="ED137">
        <v>12.039899999999999</v>
      </c>
      <c r="EE137">
        <v>5.0165499999999996</v>
      </c>
      <c r="EF137">
        <v>3.2879999999999998</v>
      </c>
      <c r="EG137">
        <v>9999</v>
      </c>
      <c r="EH137">
        <v>9999</v>
      </c>
      <c r="EI137">
        <v>9999</v>
      </c>
      <c r="EJ137">
        <v>999.9</v>
      </c>
      <c r="EK137">
        <v>1.8688400000000001</v>
      </c>
      <c r="EL137">
        <v>1.8645400000000001</v>
      </c>
      <c r="EM137">
        <v>1.8691</v>
      </c>
      <c r="EN137">
        <v>1.86714</v>
      </c>
      <c r="EO137">
        <v>1.86331</v>
      </c>
      <c r="EP137">
        <v>1.86439</v>
      </c>
      <c r="EQ137">
        <v>1.87015</v>
      </c>
      <c r="ER137">
        <v>1.86937</v>
      </c>
      <c r="ES137">
        <v>0</v>
      </c>
      <c r="ET137">
        <v>0</v>
      </c>
      <c r="EU137">
        <v>0</v>
      </c>
      <c r="EV137">
        <v>0</v>
      </c>
      <c r="EW137" t="s">
        <v>334</v>
      </c>
      <c r="EX137" t="s">
        <v>335</v>
      </c>
      <c r="EY137" t="s">
        <v>336</v>
      </c>
      <c r="EZ137" t="s">
        <v>336</v>
      </c>
      <c r="FA137" t="s">
        <v>336</v>
      </c>
      <c r="FB137" t="s">
        <v>336</v>
      </c>
      <c r="FC137">
        <v>0</v>
      </c>
      <c r="FD137">
        <v>100</v>
      </c>
      <c r="FE137">
        <v>100</v>
      </c>
      <c r="FF137">
        <v>-1.224</v>
      </c>
      <c r="FG137">
        <v>0.1782</v>
      </c>
      <c r="FH137">
        <v>-0.98020551812546231</v>
      </c>
      <c r="FI137">
        <v>-6.1462078757559423E-4</v>
      </c>
      <c r="FJ137">
        <v>-1.8861989874597051E-7</v>
      </c>
      <c r="FK137">
        <v>1.1980462299894961E-10</v>
      </c>
      <c r="FL137">
        <v>0.1782306200647516</v>
      </c>
      <c r="FM137">
        <v>0</v>
      </c>
      <c r="FN137">
        <v>0</v>
      </c>
      <c r="FO137">
        <v>0</v>
      </c>
      <c r="FP137">
        <v>3</v>
      </c>
      <c r="FQ137">
        <v>2158</v>
      </c>
      <c r="FR137">
        <v>1</v>
      </c>
      <c r="FS137">
        <v>19</v>
      </c>
      <c r="FT137">
        <v>22.1</v>
      </c>
      <c r="FU137">
        <v>22.4</v>
      </c>
      <c r="FV137">
        <v>1.7492700000000001</v>
      </c>
      <c r="FW137">
        <v>2.5476100000000002</v>
      </c>
      <c r="FX137">
        <v>1.5502899999999999</v>
      </c>
      <c r="FY137">
        <v>2.34253</v>
      </c>
      <c r="FZ137">
        <v>1.50146</v>
      </c>
      <c r="GA137">
        <v>2.3584000000000001</v>
      </c>
      <c r="GB137">
        <v>30.868600000000001</v>
      </c>
      <c r="GC137">
        <v>23.903600000000001</v>
      </c>
      <c r="GD137">
        <v>19</v>
      </c>
      <c r="GE137">
        <v>268.03399999999999</v>
      </c>
      <c r="GF137">
        <v>596.63199999999995</v>
      </c>
      <c r="GG137">
        <v>25.1038</v>
      </c>
      <c r="GH137">
        <v>25.419599999999999</v>
      </c>
      <c r="GI137">
        <v>30.0002</v>
      </c>
      <c r="GJ137">
        <v>25.539000000000001</v>
      </c>
      <c r="GK137">
        <v>25.501300000000001</v>
      </c>
      <c r="GL137">
        <v>34.970399999999998</v>
      </c>
      <c r="GM137">
        <v>0</v>
      </c>
      <c r="GN137">
        <v>22.658999999999999</v>
      </c>
      <c r="GO137">
        <v>25.130600000000001</v>
      </c>
      <c r="GP137">
        <v>800</v>
      </c>
      <c r="GQ137">
        <v>27.549099999999999</v>
      </c>
      <c r="GR137">
        <v>99.634</v>
      </c>
      <c r="GS137">
        <v>99.256699999999995</v>
      </c>
    </row>
    <row r="138" spans="1:201" x14ac:dyDescent="0.25">
      <c r="A138">
        <v>122</v>
      </c>
      <c r="B138">
        <v>1690202105.5</v>
      </c>
      <c r="C138">
        <v>1258.5</v>
      </c>
      <c r="D138" t="s">
        <v>577</v>
      </c>
      <c r="E138" t="s">
        <v>578</v>
      </c>
      <c r="F138" t="s">
        <v>330</v>
      </c>
      <c r="H138">
        <v>1690202105.5</v>
      </c>
      <c r="I138">
        <f t="shared" si="30"/>
        <v>1.6083769017125697E-3</v>
      </c>
      <c r="J138">
        <f t="shared" si="31"/>
        <v>1.6083769017125698</v>
      </c>
      <c r="K138">
        <f t="shared" si="32"/>
        <v>38.753893413358824</v>
      </c>
      <c r="L138">
        <f t="shared" si="33"/>
        <v>361.53699999999998</v>
      </c>
      <c r="M138">
        <f t="shared" si="34"/>
        <v>-27.385933087232946</v>
      </c>
      <c r="N138">
        <f t="shared" si="35"/>
        <v>-2.7138274152404502</v>
      </c>
      <c r="O138">
        <f t="shared" si="36"/>
        <v>35.826751606326994</v>
      </c>
      <c r="P138">
        <f t="shared" si="37"/>
        <v>0.16663089069780687</v>
      </c>
      <c r="Q138">
        <f t="shared" si="38"/>
        <v>2.0816796941386562</v>
      </c>
      <c r="R138">
        <f t="shared" si="39"/>
        <v>0.15955961856267334</v>
      </c>
      <c r="S138">
        <f t="shared" si="40"/>
        <v>0.10033508060955318</v>
      </c>
      <c r="T138">
        <f t="shared" si="41"/>
        <v>276.11262899242797</v>
      </c>
      <c r="U138">
        <f t="shared" si="42"/>
        <v>27.530991504413684</v>
      </c>
      <c r="V138">
        <f t="shared" si="43"/>
        <v>27.530991504413684</v>
      </c>
      <c r="W138">
        <f t="shared" si="44"/>
        <v>3.6923120025885603</v>
      </c>
      <c r="X138">
        <f t="shared" si="45"/>
        <v>81.392256904966786</v>
      </c>
      <c r="Y138">
        <f t="shared" si="46"/>
        <v>2.7257651647943999</v>
      </c>
      <c r="Z138">
        <f t="shared" si="47"/>
        <v>3.3489244167009526</v>
      </c>
      <c r="AA138">
        <f t="shared" si="48"/>
        <v>0.9665468377941604</v>
      </c>
      <c r="AB138">
        <f t="shared" si="49"/>
        <v>-70.92942136552432</v>
      </c>
      <c r="AC138">
        <f t="shared" si="50"/>
        <v>-186.10593579768351</v>
      </c>
      <c r="AD138">
        <f t="shared" si="51"/>
        <v>-19.236634963939661</v>
      </c>
      <c r="AE138">
        <f t="shared" si="52"/>
        <v>-0.1593631347195128</v>
      </c>
      <c r="AF138">
        <v>12</v>
      </c>
      <c r="AG138">
        <v>4</v>
      </c>
      <c r="AH138">
        <f t="shared" si="53"/>
        <v>1</v>
      </c>
      <c r="AI138">
        <f t="shared" si="54"/>
        <v>0</v>
      </c>
      <c r="AJ138">
        <f t="shared" si="55"/>
        <v>52609.57328366545</v>
      </c>
      <c r="AK138">
        <f t="shared" si="56"/>
        <v>1799.99</v>
      </c>
      <c r="AL138">
        <f t="shared" si="57"/>
        <v>1499.1039775982999</v>
      </c>
      <c r="AM138">
        <f t="shared" si="58"/>
        <v>0.83284016999999999</v>
      </c>
      <c r="AN138">
        <f t="shared" si="59"/>
        <v>0.15339675719999998</v>
      </c>
      <c r="AO138">
        <v>33.299999999999997</v>
      </c>
      <c r="AP138">
        <v>0.5</v>
      </c>
      <c r="AQ138" t="s">
        <v>331</v>
      </c>
      <c r="AR138">
        <v>2</v>
      </c>
      <c r="AS138">
        <v>1690202105.5</v>
      </c>
      <c r="AT138">
        <v>361.53699999999998</v>
      </c>
      <c r="AU138">
        <v>797.66399999999999</v>
      </c>
      <c r="AV138">
        <v>27.506399999999999</v>
      </c>
      <c r="AW138">
        <v>10.164199999999999</v>
      </c>
      <c r="AX138">
        <v>362.76</v>
      </c>
      <c r="AY138">
        <v>27.328199999999999</v>
      </c>
      <c r="AZ138">
        <v>300.34100000000001</v>
      </c>
      <c r="BA138">
        <v>98.995699999999999</v>
      </c>
      <c r="BB138">
        <v>9.9971000000000004E-2</v>
      </c>
      <c r="BC138">
        <v>25.872699999999998</v>
      </c>
      <c r="BD138">
        <v>26.9969</v>
      </c>
      <c r="BE138">
        <v>27.4619</v>
      </c>
      <c r="BF138">
        <v>0</v>
      </c>
      <c r="BG138">
        <v>0</v>
      </c>
      <c r="BH138">
        <v>10013.1</v>
      </c>
      <c r="BI138">
        <v>1073.48</v>
      </c>
      <c r="BJ138">
        <v>1.28532</v>
      </c>
      <c r="BK138">
        <v>-436.12599999999998</v>
      </c>
      <c r="BL138">
        <v>371.76299999999998</v>
      </c>
      <c r="BM138">
        <v>805.85400000000004</v>
      </c>
      <c r="BN138">
        <v>17.342199999999998</v>
      </c>
      <c r="BO138">
        <v>797.66399999999999</v>
      </c>
      <c r="BP138">
        <v>10.164199999999999</v>
      </c>
      <c r="BQ138">
        <v>2.7230099999999999</v>
      </c>
      <c r="BR138">
        <v>1.00621</v>
      </c>
      <c r="BS138">
        <v>22.424700000000001</v>
      </c>
      <c r="BT138">
        <v>7.0065999999999997</v>
      </c>
      <c r="BU138">
        <v>1799.99</v>
      </c>
      <c r="BV138">
        <v>0.91001500000000002</v>
      </c>
      <c r="BW138">
        <v>3.4006500000000002E-2</v>
      </c>
      <c r="BX138">
        <v>2.1991E-2</v>
      </c>
      <c r="BY138">
        <v>3.3987799999999999E-2</v>
      </c>
      <c r="BZ138">
        <v>25</v>
      </c>
      <c r="CA138">
        <v>33528.400000000001</v>
      </c>
      <c r="CB138">
        <v>1690200769.5</v>
      </c>
      <c r="CC138" t="s">
        <v>332</v>
      </c>
      <c r="CD138">
        <v>1690200769.5</v>
      </c>
      <c r="CE138">
        <v>1690200753</v>
      </c>
      <c r="CF138">
        <v>2</v>
      </c>
      <c r="CG138">
        <v>-0.245</v>
      </c>
      <c r="CH138">
        <v>3.0000000000000001E-3</v>
      </c>
      <c r="CI138">
        <v>-1.5169999999999999</v>
      </c>
      <c r="CJ138">
        <v>-1.6E-2</v>
      </c>
      <c r="CK138">
        <v>778</v>
      </c>
      <c r="CL138">
        <v>12</v>
      </c>
      <c r="CM138">
        <v>0.01</v>
      </c>
      <c r="CN138">
        <v>0.03</v>
      </c>
      <c r="CO138">
        <v>-432.77470000000011</v>
      </c>
      <c r="CP138">
        <v>16.8716172607887</v>
      </c>
      <c r="CQ138">
        <v>2.85452106490738</v>
      </c>
      <c r="CR138">
        <v>-1</v>
      </c>
      <c r="CS138">
        <v>25.3269275</v>
      </c>
      <c r="CT138">
        <v>-25.220673545966239</v>
      </c>
      <c r="CU138">
        <v>3.077445183751248</v>
      </c>
      <c r="CV138">
        <v>-1</v>
      </c>
      <c r="CW138">
        <v>0</v>
      </c>
      <c r="CX138">
        <v>0</v>
      </c>
      <c r="CY138" t="s">
        <v>333</v>
      </c>
      <c r="CZ138">
        <v>2.3658399999999999</v>
      </c>
      <c r="DA138">
        <v>2.7137799999999999</v>
      </c>
      <c r="DB138">
        <v>8.3083599999999994E-2</v>
      </c>
      <c r="DC138">
        <v>0.14602299999999999</v>
      </c>
      <c r="DD138">
        <v>0.12548799999999999</v>
      </c>
      <c r="DE138">
        <v>5.9950099999999999E-2</v>
      </c>
      <c r="DF138">
        <v>33452.800000000003</v>
      </c>
      <c r="DG138">
        <v>27452.9</v>
      </c>
      <c r="DH138">
        <v>31143.4</v>
      </c>
      <c r="DI138">
        <v>28008.799999999999</v>
      </c>
      <c r="DJ138">
        <v>36953.300000000003</v>
      </c>
      <c r="DK138">
        <v>37408.5</v>
      </c>
      <c r="DL138">
        <v>44310.5</v>
      </c>
      <c r="DM138">
        <v>42414</v>
      </c>
      <c r="DN138">
        <v>1.44607</v>
      </c>
      <c r="DO138">
        <v>2.07037</v>
      </c>
      <c r="DP138">
        <v>0.142433</v>
      </c>
      <c r="DQ138">
        <v>0.17596400000000001</v>
      </c>
      <c r="DR138">
        <v>24.6631</v>
      </c>
      <c r="DS138">
        <v>24.579499999999999</v>
      </c>
      <c r="DT138">
        <v>35.6</v>
      </c>
      <c r="DU138">
        <v>25.5</v>
      </c>
      <c r="DV138">
        <v>11.78</v>
      </c>
      <c r="DW138">
        <v>61.5199</v>
      </c>
      <c r="DX138">
        <v>35.633000000000003</v>
      </c>
      <c r="DY138">
        <v>1</v>
      </c>
      <c r="DZ138">
        <v>-0.15826999999999999</v>
      </c>
      <c r="EA138">
        <v>-0.66524000000000005</v>
      </c>
      <c r="EB138">
        <v>20.189900000000002</v>
      </c>
      <c r="EC138">
        <v>5.2415500000000002</v>
      </c>
      <c r="ED138">
        <v>12.039899999999999</v>
      </c>
      <c r="EE138">
        <v>5.0166500000000003</v>
      </c>
      <c r="EF138">
        <v>3.2879299999999998</v>
      </c>
      <c r="EG138">
        <v>9999</v>
      </c>
      <c r="EH138">
        <v>9999</v>
      </c>
      <c r="EI138">
        <v>9999</v>
      </c>
      <c r="EJ138">
        <v>999.9</v>
      </c>
      <c r="EK138">
        <v>1.8688</v>
      </c>
      <c r="EL138">
        <v>1.86449</v>
      </c>
      <c r="EM138">
        <v>1.8690599999999999</v>
      </c>
      <c r="EN138">
        <v>1.86711</v>
      </c>
      <c r="EO138">
        <v>1.8633</v>
      </c>
      <c r="EP138">
        <v>1.8643700000000001</v>
      </c>
      <c r="EQ138">
        <v>1.87012</v>
      </c>
      <c r="ER138">
        <v>1.8693500000000001</v>
      </c>
      <c r="ES138">
        <v>0</v>
      </c>
      <c r="ET138">
        <v>0</v>
      </c>
      <c r="EU138">
        <v>0</v>
      </c>
      <c r="EV138">
        <v>0</v>
      </c>
      <c r="EW138" t="s">
        <v>334</v>
      </c>
      <c r="EX138" t="s">
        <v>335</v>
      </c>
      <c r="EY138" t="s">
        <v>336</v>
      </c>
      <c r="EZ138" t="s">
        <v>336</v>
      </c>
      <c r="FA138" t="s">
        <v>336</v>
      </c>
      <c r="FB138" t="s">
        <v>336</v>
      </c>
      <c r="FC138">
        <v>0</v>
      </c>
      <c r="FD138">
        <v>100</v>
      </c>
      <c r="FE138">
        <v>100</v>
      </c>
      <c r="FF138">
        <v>-1.2230000000000001</v>
      </c>
      <c r="FG138">
        <v>0.1782</v>
      </c>
      <c r="FH138">
        <v>-0.98020551812546231</v>
      </c>
      <c r="FI138">
        <v>-6.1462078757559423E-4</v>
      </c>
      <c r="FJ138">
        <v>-1.8861989874597051E-7</v>
      </c>
      <c r="FK138">
        <v>1.1980462299894961E-10</v>
      </c>
      <c r="FL138">
        <v>0.1782306200647516</v>
      </c>
      <c r="FM138">
        <v>0</v>
      </c>
      <c r="FN138">
        <v>0</v>
      </c>
      <c r="FO138">
        <v>0</v>
      </c>
      <c r="FP138">
        <v>3</v>
      </c>
      <c r="FQ138">
        <v>2158</v>
      </c>
      <c r="FR138">
        <v>1</v>
      </c>
      <c r="FS138">
        <v>19</v>
      </c>
      <c r="FT138">
        <v>22.3</v>
      </c>
      <c r="FU138">
        <v>22.5</v>
      </c>
      <c r="FV138">
        <v>1.7724599999999999</v>
      </c>
      <c r="FW138">
        <v>2.5451700000000002</v>
      </c>
      <c r="FX138">
        <v>1.5490699999999999</v>
      </c>
      <c r="FY138">
        <v>2.33887</v>
      </c>
      <c r="FZ138">
        <v>1.50146</v>
      </c>
      <c r="GA138">
        <v>2.3571800000000001</v>
      </c>
      <c r="GB138">
        <v>30.8902</v>
      </c>
      <c r="GC138">
        <v>23.982399999999998</v>
      </c>
      <c r="GD138">
        <v>19</v>
      </c>
      <c r="GE138">
        <v>266.86500000000001</v>
      </c>
      <c r="GF138">
        <v>602.51300000000003</v>
      </c>
      <c r="GG138">
        <v>25.163599999999999</v>
      </c>
      <c r="GH138">
        <v>25.419599999999999</v>
      </c>
      <c r="GI138">
        <v>30.0002</v>
      </c>
      <c r="GJ138">
        <v>25.539000000000001</v>
      </c>
      <c r="GK138">
        <v>25.558</v>
      </c>
      <c r="GL138">
        <v>35.446300000000001</v>
      </c>
      <c r="GM138">
        <v>0</v>
      </c>
      <c r="GN138">
        <v>26.666399999999999</v>
      </c>
      <c r="GO138">
        <v>25.164899999999999</v>
      </c>
      <c r="GP138">
        <v>800</v>
      </c>
      <c r="GQ138">
        <v>25.1967</v>
      </c>
      <c r="GR138">
        <v>99.633099999999999</v>
      </c>
      <c r="GS138">
        <v>99.256</v>
      </c>
    </row>
    <row r="139" spans="1:201" x14ac:dyDescent="0.25">
      <c r="A139">
        <v>123</v>
      </c>
      <c r="B139">
        <v>1690202115.5</v>
      </c>
      <c r="C139">
        <v>1268.5</v>
      </c>
      <c r="D139" t="s">
        <v>579</v>
      </c>
      <c r="E139" t="s">
        <v>580</v>
      </c>
      <c r="F139" t="s">
        <v>330</v>
      </c>
      <c r="H139">
        <v>1690202115.5</v>
      </c>
      <c r="I139">
        <f t="shared" si="30"/>
        <v>1.4348944699257178E-3</v>
      </c>
      <c r="J139">
        <f t="shared" si="31"/>
        <v>1.4348944699257178</v>
      </c>
      <c r="K139">
        <f t="shared" si="32"/>
        <v>38.939364494660843</v>
      </c>
      <c r="L139">
        <f t="shared" si="33"/>
        <v>361.673</v>
      </c>
      <c r="M139">
        <f t="shared" si="34"/>
        <v>-81.175808795543219</v>
      </c>
      <c r="N139">
        <f t="shared" si="35"/>
        <v>-8.0440090279433409</v>
      </c>
      <c r="O139">
        <f t="shared" si="36"/>
        <v>35.839505886427098</v>
      </c>
      <c r="P139">
        <f t="shared" si="37"/>
        <v>0.14613409000062116</v>
      </c>
      <c r="Q139">
        <f t="shared" si="38"/>
        <v>2.0771931198011426</v>
      </c>
      <c r="R139">
        <f t="shared" si="39"/>
        <v>0.14065341943630519</v>
      </c>
      <c r="S139">
        <f t="shared" si="40"/>
        <v>8.8383677795949481E-2</v>
      </c>
      <c r="T139">
        <f t="shared" si="41"/>
        <v>276.11465014719931</v>
      </c>
      <c r="U139">
        <f t="shared" si="42"/>
        <v>27.635944916681431</v>
      </c>
      <c r="V139">
        <f t="shared" si="43"/>
        <v>27.635944916681431</v>
      </c>
      <c r="W139">
        <f t="shared" si="44"/>
        <v>3.7150429482101042</v>
      </c>
      <c r="X139">
        <f t="shared" si="45"/>
        <v>81.536418449276297</v>
      </c>
      <c r="Y139">
        <f t="shared" si="46"/>
        <v>2.73703660554489</v>
      </c>
      <c r="Z139">
        <f t="shared" si="47"/>
        <v>3.3568271179921854</v>
      </c>
      <c r="AA139">
        <f t="shared" si="48"/>
        <v>0.97800634266521413</v>
      </c>
      <c r="AB139">
        <f t="shared" si="49"/>
        <v>-63.278846123724158</v>
      </c>
      <c r="AC139">
        <f t="shared" si="50"/>
        <v>-193.00107420024443</v>
      </c>
      <c r="AD139">
        <f t="shared" si="51"/>
        <v>-20.006932311166889</v>
      </c>
      <c r="AE139">
        <f t="shared" si="52"/>
        <v>-0.17220248793617543</v>
      </c>
      <c r="AF139">
        <v>14</v>
      </c>
      <c r="AG139">
        <v>5</v>
      </c>
      <c r="AH139">
        <f t="shared" si="53"/>
        <v>1</v>
      </c>
      <c r="AI139">
        <f t="shared" si="54"/>
        <v>0</v>
      </c>
      <c r="AJ139">
        <f t="shared" si="55"/>
        <v>52400.012903195144</v>
      </c>
      <c r="AK139">
        <f t="shared" si="56"/>
        <v>1799.99</v>
      </c>
      <c r="AL139">
        <f t="shared" si="57"/>
        <v>1499.1032432023799</v>
      </c>
      <c r="AM139">
        <f t="shared" si="58"/>
        <v>0.83283976199999998</v>
      </c>
      <c r="AN139">
        <f t="shared" si="59"/>
        <v>0.15339788007000002</v>
      </c>
      <c r="AO139">
        <v>33.299999999999997</v>
      </c>
      <c r="AP139">
        <v>0.5</v>
      </c>
      <c r="AQ139" t="s">
        <v>331</v>
      </c>
      <c r="AR139">
        <v>2</v>
      </c>
      <c r="AS139">
        <v>1690202115.5</v>
      </c>
      <c r="AT139">
        <v>361.673</v>
      </c>
      <c r="AU139">
        <v>799.28700000000003</v>
      </c>
      <c r="AV139">
        <v>27.620699999999999</v>
      </c>
      <c r="AW139">
        <v>12.1465</v>
      </c>
      <c r="AX139">
        <v>362.89499999999998</v>
      </c>
      <c r="AY139">
        <v>27.442499999999999</v>
      </c>
      <c r="AZ139">
        <v>300.25599999999997</v>
      </c>
      <c r="BA139">
        <v>98.993700000000004</v>
      </c>
      <c r="BB139">
        <v>9.9972699999999998E-2</v>
      </c>
      <c r="BC139">
        <v>25.912500000000001</v>
      </c>
      <c r="BD139">
        <v>27.0685</v>
      </c>
      <c r="BE139">
        <v>27.554200000000002</v>
      </c>
      <c r="BF139">
        <v>0</v>
      </c>
      <c r="BG139">
        <v>0</v>
      </c>
      <c r="BH139">
        <v>9973.1200000000008</v>
      </c>
      <c r="BI139">
        <v>1073.6400000000001</v>
      </c>
      <c r="BJ139">
        <v>1.34138</v>
      </c>
      <c r="BK139">
        <v>-437.61500000000001</v>
      </c>
      <c r="BL139">
        <v>371.94600000000003</v>
      </c>
      <c r="BM139">
        <v>809.11500000000001</v>
      </c>
      <c r="BN139">
        <v>15.4742</v>
      </c>
      <c r="BO139">
        <v>799.28700000000003</v>
      </c>
      <c r="BP139">
        <v>12.1465</v>
      </c>
      <c r="BQ139">
        <v>2.73427</v>
      </c>
      <c r="BR139">
        <v>1.2024300000000001</v>
      </c>
      <c r="BS139">
        <v>22.492599999999999</v>
      </c>
      <c r="BT139">
        <v>9.6316799999999994</v>
      </c>
      <c r="BU139">
        <v>1799.99</v>
      </c>
      <c r="BV139">
        <v>0.90999300000000005</v>
      </c>
      <c r="BW139">
        <v>3.4003199999999997E-2</v>
      </c>
      <c r="BX139">
        <v>2.2007100000000002E-2</v>
      </c>
      <c r="BY139">
        <v>3.39963E-2</v>
      </c>
      <c r="BZ139">
        <v>25</v>
      </c>
      <c r="CA139">
        <v>33528.1</v>
      </c>
      <c r="CB139">
        <v>1690200769.5</v>
      </c>
      <c r="CC139" t="s">
        <v>332</v>
      </c>
      <c r="CD139">
        <v>1690200769.5</v>
      </c>
      <c r="CE139">
        <v>1690200753</v>
      </c>
      <c r="CF139">
        <v>2</v>
      </c>
      <c r="CG139">
        <v>-0.245</v>
      </c>
      <c r="CH139">
        <v>3.0000000000000001E-3</v>
      </c>
      <c r="CI139">
        <v>-1.5169999999999999</v>
      </c>
      <c r="CJ139">
        <v>-1.6E-2</v>
      </c>
      <c r="CK139">
        <v>778</v>
      </c>
      <c r="CL139">
        <v>12</v>
      </c>
      <c r="CM139">
        <v>0.01</v>
      </c>
      <c r="CN139">
        <v>0.03</v>
      </c>
      <c r="CO139">
        <v>-434.17792500000007</v>
      </c>
      <c r="CP139">
        <v>-21.012641651030851</v>
      </c>
      <c r="CQ139">
        <v>3.840358162902906</v>
      </c>
      <c r="CR139">
        <v>-1</v>
      </c>
      <c r="CS139">
        <v>20.47193</v>
      </c>
      <c r="CT139">
        <v>-44.74231294559106</v>
      </c>
      <c r="CU139">
        <v>4.5470548962047959</v>
      </c>
      <c r="CV139">
        <v>-1</v>
      </c>
      <c r="CW139">
        <v>0</v>
      </c>
      <c r="CX139">
        <v>0</v>
      </c>
      <c r="CY139" t="s">
        <v>333</v>
      </c>
      <c r="CZ139">
        <v>2.3655599999999999</v>
      </c>
      <c r="DA139">
        <v>2.71374</v>
      </c>
      <c r="DB139">
        <v>8.3104999999999998E-2</v>
      </c>
      <c r="DC139">
        <v>0.146261</v>
      </c>
      <c r="DD139">
        <v>0.12584400000000001</v>
      </c>
      <c r="DE139">
        <v>6.8654499999999993E-2</v>
      </c>
      <c r="DF139">
        <v>33451.800000000003</v>
      </c>
      <c r="DG139">
        <v>27445.1</v>
      </c>
      <c r="DH139">
        <v>31143.200000000001</v>
      </c>
      <c r="DI139">
        <v>28008.6</v>
      </c>
      <c r="DJ139">
        <v>36937.699999999997</v>
      </c>
      <c r="DK139">
        <v>37061.1</v>
      </c>
      <c r="DL139">
        <v>44310.1</v>
      </c>
      <c r="DM139">
        <v>42413.8</v>
      </c>
      <c r="DN139">
        <v>1.4421999999999999</v>
      </c>
      <c r="DO139">
        <v>2.0725799999999999</v>
      </c>
      <c r="DP139">
        <v>0.14616899999999999</v>
      </c>
      <c r="DQ139">
        <v>0.18076999999999999</v>
      </c>
      <c r="DR139">
        <v>24.6737</v>
      </c>
      <c r="DS139">
        <v>24.593299999999999</v>
      </c>
      <c r="DT139">
        <v>37</v>
      </c>
      <c r="DU139">
        <v>25.5</v>
      </c>
      <c r="DV139">
        <v>12.243499999999999</v>
      </c>
      <c r="DW139">
        <v>61.629899999999999</v>
      </c>
      <c r="DX139">
        <v>35.516800000000003</v>
      </c>
      <c r="DY139">
        <v>1</v>
      </c>
      <c r="DZ139">
        <v>-0.15634700000000001</v>
      </c>
      <c r="EA139">
        <v>0.82145100000000004</v>
      </c>
      <c r="EB139">
        <v>20.187799999999999</v>
      </c>
      <c r="EC139">
        <v>5.2418500000000003</v>
      </c>
      <c r="ED139">
        <v>12.039899999999999</v>
      </c>
      <c r="EE139">
        <v>5.0168999999999997</v>
      </c>
      <c r="EF139">
        <v>3.2879999999999998</v>
      </c>
      <c r="EG139">
        <v>9999</v>
      </c>
      <c r="EH139">
        <v>9999</v>
      </c>
      <c r="EI139">
        <v>9999</v>
      </c>
      <c r="EJ139">
        <v>999.9</v>
      </c>
      <c r="EK139">
        <v>1.8688</v>
      </c>
      <c r="EL139">
        <v>1.86449</v>
      </c>
      <c r="EM139">
        <v>1.8690500000000001</v>
      </c>
      <c r="EN139">
        <v>1.86714</v>
      </c>
      <c r="EO139">
        <v>1.86328</v>
      </c>
      <c r="EP139">
        <v>1.86439</v>
      </c>
      <c r="EQ139">
        <v>1.87012</v>
      </c>
      <c r="ER139">
        <v>1.86934</v>
      </c>
      <c r="ES139">
        <v>0</v>
      </c>
      <c r="ET139">
        <v>0</v>
      </c>
      <c r="EU139">
        <v>0</v>
      </c>
      <c r="EV139">
        <v>0</v>
      </c>
      <c r="EW139" t="s">
        <v>334</v>
      </c>
      <c r="EX139" t="s">
        <v>335</v>
      </c>
      <c r="EY139" t="s">
        <v>336</v>
      </c>
      <c r="EZ139" t="s">
        <v>336</v>
      </c>
      <c r="FA139" t="s">
        <v>336</v>
      </c>
      <c r="FB139" t="s">
        <v>336</v>
      </c>
      <c r="FC139">
        <v>0</v>
      </c>
      <c r="FD139">
        <v>100</v>
      </c>
      <c r="FE139">
        <v>100</v>
      </c>
      <c r="FF139">
        <v>-1.222</v>
      </c>
      <c r="FG139">
        <v>0.1782</v>
      </c>
      <c r="FH139">
        <v>-0.98020551812546231</v>
      </c>
      <c r="FI139">
        <v>-6.1462078757559423E-4</v>
      </c>
      <c r="FJ139">
        <v>-1.8861989874597051E-7</v>
      </c>
      <c r="FK139">
        <v>1.1980462299894961E-10</v>
      </c>
      <c r="FL139">
        <v>0.1782306200647516</v>
      </c>
      <c r="FM139">
        <v>0</v>
      </c>
      <c r="FN139">
        <v>0</v>
      </c>
      <c r="FO139">
        <v>0</v>
      </c>
      <c r="FP139">
        <v>3</v>
      </c>
      <c r="FQ139">
        <v>2158</v>
      </c>
      <c r="FR139">
        <v>1</v>
      </c>
      <c r="FS139">
        <v>19</v>
      </c>
      <c r="FT139">
        <v>22.4</v>
      </c>
      <c r="FU139">
        <v>22.7</v>
      </c>
      <c r="FV139">
        <v>1.7761199999999999</v>
      </c>
      <c r="FW139">
        <v>2.5451700000000002</v>
      </c>
      <c r="FX139">
        <v>1.5490699999999999</v>
      </c>
      <c r="FY139">
        <v>2.33887</v>
      </c>
      <c r="FZ139">
        <v>1.50146</v>
      </c>
      <c r="GA139">
        <v>2.36816</v>
      </c>
      <c r="GB139">
        <v>30.8902</v>
      </c>
      <c r="GC139">
        <v>23.982399999999998</v>
      </c>
      <c r="GD139">
        <v>19</v>
      </c>
      <c r="GE139">
        <v>265.322</v>
      </c>
      <c r="GF139">
        <v>604.22500000000002</v>
      </c>
      <c r="GG139">
        <v>24.883199999999999</v>
      </c>
      <c r="GH139">
        <v>25.421700000000001</v>
      </c>
      <c r="GI139">
        <v>30.001300000000001</v>
      </c>
      <c r="GJ139">
        <v>25.545400000000001</v>
      </c>
      <c r="GK139">
        <v>25.545000000000002</v>
      </c>
      <c r="GL139">
        <v>35.523600000000002</v>
      </c>
      <c r="GM139">
        <v>0</v>
      </c>
      <c r="GN139">
        <v>33.1355</v>
      </c>
      <c r="GO139">
        <v>24.7182</v>
      </c>
      <c r="GP139">
        <v>800</v>
      </c>
      <c r="GQ139">
        <v>25.0001</v>
      </c>
      <c r="GR139">
        <v>99.632300000000001</v>
      </c>
      <c r="GS139">
        <v>99.255499999999998</v>
      </c>
    </row>
    <row r="140" spans="1:201" x14ac:dyDescent="0.25">
      <c r="A140">
        <v>124</v>
      </c>
      <c r="B140">
        <v>1690202125.5</v>
      </c>
      <c r="C140">
        <v>1278.5</v>
      </c>
      <c r="D140" t="s">
        <v>581</v>
      </c>
      <c r="E140" t="s">
        <v>582</v>
      </c>
      <c r="F140" t="s">
        <v>330</v>
      </c>
      <c r="H140">
        <v>1690202125.5</v>
      </c>
      <c r="I140">
        <f t="shared" si="30"/>
        <v>1.3332900378880852E-3</v>
      </c>
      <c r="J140">
        <f t="shared" si="31"/>
        <v>1.3332900378880852</v>
      </c>
      <c r="K140">
        <f t="shared" si="32"/>
        <v>38.967717659589702</v>
      </c>
      <c r="L140">
        <f t="shared" si="33"/>
        <v>362.05900000000003</v>
      </c>
      <c r="M140">
        <f t="shared" si="34"/>
        <v>-111.37275704962626</v>
      </c>
      <c r="N140">
        <f t="shared" si="35"/>
        <v>-11.036878287629213</v>
      </c>
      <c r="O140">
        <f t="shared" si="36"/>
        <v>35.879520466214011</v>
      </c>
      <c r="P140">
        <f t="shared" si="37"/>
        <v>0.13636861458676811</v>
      </c>
      <c r="Q140">
        <f t="shared" si="38"/>
        <v>2.0827583490131101</v>
      </c>
      <c r="R140">
        <f t="shared" si="39"/>
        <v>0.13159536830374152</v>
      </c>
      <c r="S140">
        <f t="shared" si="40"/>
        <v>8.2662043287197895E-2</v>
      </c>
      <c r="T140">
        <f t="shared" si="41"/>
        <v>276.116723514</v>
      </c>
      <c r="U140">
        <f t="shared" si="42"/>
        <v>27.647912711033236</v>
      </c>
      <c r="V140">
        <f t="shared" si="43"/>
        <v>27.647912711033236</v>
      </c>
      <c r="W140">
        <f t="shared" si="44"/>
        <v>3.7176426883274161</v>
      </c>
      <c r="X140">
        <f t="shared" si="45"/>
        <v>81.911234406192662</v>
      </c>
      <c r="Y140">
        <f t="shared" si="46"/>
        <v>2.7463477348618004</v>
      </c>
      <c r="Z140">
        <f t="shared" si="47"/>
        <v>3.3528340218178552</v>
      </c>
      <c r="AA140">
        <f t="shared" si="48"/>
        <v>0.97129495346561567</v>
      </c>
      <c r="AB140">
        <f t="shared" si="49"/>
        <v>-58.798090670864561</v>
      </c>
      <c r="AC140">
        <f t="shared" si="50"/>
        <v>-197.1189176374663</v>
      </c>
      <c r="AD140">
        <f t="shared" si="51"/>
        <v>-20.378374370622339</v>
      </c>
      <c r="AE140">
        <f t="shared" si="52"/>
        <v>-0.17865916495318857</v>
      </c>
      <c r="AF140">
        <v>14</v>
      </c>
      <c r="AG140">
        <v>5</v>
      </c>
      <c r="AH140">
        <f t="shared" si="53"/>
        <v>1</v>
      </c>
      <c r="AI140">
        <f t="shared" si="54"/>
        <v>0</v>
      </c>
      <c r="AJ140">
        <f t="shared" si="55"/>
        <v>52654.939524509537</v>
      </c>
      <c r="AK140">
        <f t="shared" si="56"/>
        <v>1800</v>
      </c>
      <c r="AL140">
        <f t="shared" si="57"/>
        <v>1499.1113034000002</v>
      </c>
      <c r="AM140">
        <f t="shared" si="58"/>
        <v>0.83283961300000009</v>
      </c>
      <c r="AN140">
        <f t="shared" si="59"/>
        <v>0.15339817973</v>
      </c>
      <c r="AO140">
        <v>33.299999999999997</v>
      </c>
      <c r="AP140">
        <v>0.5</v>
      </c>
      <c r="AQ140" t="s">
        <v>331</v>
      </c>
      <c r="AR140">
        <v>2</v>
      </c>
      <c r="AS140">
        <v>1690202125.5</v>
      </c>
      <c r="AT140">
        <v>362.05900000000003</v>
      </c>
      <c r="AU140">
        <v>799.48800000000006</v>
      </c>
      <c r="AV140">
        <v>27.7133</v>
      </c>
      <c r="AW140">
        <v>13.339399999999999</v>
      </c>
      <c r="AX140">
        <v>363.28199999999998</v>
      </c>
      <c r="AY140">
        <v>27.5351</v>
      </c>
      <c r="AZ140">
        <v>300.32299999999998</v>
      </c>
      <c r="BA140">
        <v>98.998500000000007</v>
      </c>
      <c r="BB140">
        <v>0.100046</v>
      </c>
      <c r="BC140">
        <v>25.892399999999999</v>
      </c>
      <c r="BD140">
        <v>27.090599999999998</v>
      </c>
      <c r="BE140">
        <v>27.589200000000002</v>
      </c>
      <c r="BF140">
        <v>0</v>
      </c>
      <c r="BG140">
        <v>0</v>
      </c>
      <c r="BH140">
        <v>10022.5</v>
      </c>
      <c r="BI140">
        <v>1073.79</v>
      </c>
      <c r="BJ140">
        <v>1.3680099999999999</v>
      </c>
      <c r="BK140">
        <v>-437.42899999999997</v>
      </c>
      <c r="BL140">
        <v>372.37900000000002</v>
      </c>
      <c r="BM140">
        <v>810.29700000000003</v>
      </c>
      <c r="BN140">
        <v>14.373900000000001</v>
      </c>
      <c r="BO140">
        <v>799.48800000000006</v>
      </c>
      <c r="BP140">
        <v>13.339399999999999</v>
      </c>
      <c r="BQ140">
        <v>2.7435800000000001</v>
      </c>
      <c r="BR140">
        <v>1.3205800000000001</v>
      </c>
      <c r="BS140">
        <v>22.548500000000001</v>
      </c>
      <c r="BT140">
        <v>11.0352</v>
      </c>
      <c r="BU140">
        <v>1800</v>
      </c>
      <c r="BV140">
        <v>0.90998100000000004</v>
      </c>
      <c r="BW140">
        <v>3.4001200000000002E-2</v>
      </c>
      <c r="BX140">
        <v>2.2008400000000001E-2</v>
      </c>
      <c r="BY140">
        <v>3.4009900000000003E-2</v>
      </c>
      <c r="BZ140">
        <v>25</v>
      </c>
      <c r="CA140">
        <v>33528.199999999997</v>
      </c>
      <c r="CB140">
        <v>1690200769.5</v>
      </c>
      <c r="CC140" t="s">
        <v>332</v>
      </c>
      <c r="CD140">
        <v>1690200769.5</v>
      </c>
      <c r="CE140">
        <v>1690200753</v>
      </c>
      <c r="CF140">
        <v>2</v>
      </c>
      <c r="CG140">
        <v>-0.245</v>
      </c>
      <c r="CH140">
        <v>3.0000000000000001E-3</v>
      </c>
      <c r="CI140">
        <v>-1.5169999999999999</v>
      </c>
      <c r="CJ140">
        <v>-1.6E-2</v>
      </c>
      <c r="CK140">
        <v>778</v>
      </c>
      <c r="CL140">
        <v>12</v>
      </c>
      <c r="CM140">
        <v>0.01</v>
      </c>
      <c r="CN140">
        <v>0.03</v>
      </c>
      <c r="CO140">
        <v>-437.43369999999987</v>
      </c>
      <c r="CP140">
        <v>-0.3626566604122719</v>
      </c>
      <c r="CQ140">
        <v>0.24934626526178619</v>
      </c>
      <c r="CR140">
        <v>-1</v>
      </c>
      <c r="CS140">
        <v>15.600745</v>
      </c>
      <c r="CT140">
        <v>-8.294314446529123</v>
      </c>
      <c r="CU140">
        <v>0.80617698737622123</v>
      </c>
      <c r="CV140">
        <v>-1</v>
      </c>
      <c r="CW140">
        <v>0</v>
      </c>
      <c r="CX140">
        <v>0</v>
      </c>
      <c r="CY140" t="s">
        <v>333</v>
      </c>
      <c r="CZ140">
        <v>2.3657900000000001</v>
      </c>
      <c r="DA140">
        <v>2.7138599999999999</v>
      </c>
      <c r="DB140">
        <v>8.3178199999999994E-2</v>
      </c>
      <c r="DC140">
        <v>0.14632000000000001</v>
      </c>
      <c r="DD140">
        <v>0.126142</v>
      </c>
      <c r="DE140">
        <v>7.3637800000000003E-2</v>
      </c>
      <c r="DF140">
        <v>33450</v>
      </c>
      <c r="DG140">
        <v>27443.4</v>
      </c>
      <c r="DH140">
        <v>31144.1</v>
      </c>
      <c r="DI140">
        <v>28008.7</v>
      </c>
      <c r="DJ140">
        <v>36926</v>
      </c>
      <c r="DK140">
        <v>36862.5</v>
      </c>
      <c r="DL140">
        <v>44311.4</v>
      </c>
      <c r="DM140">
        <v>42414</v>
      </c>
      <c r="DN140">
        <v>1.4413</v>
      </c>
      <c r="DO140">
        <v>2.0754000000000001</v>
      </c>
      <c r="DP140">
        <v>0.14674999999999999</v>
      </c>
      <c r="DQ140">
        <v>0.18202099999999999</v>
      </c>
      <c r="DR140">
        <v>24.686299999999999</v>
      </c>
      <c r="DS140">
        <v>24.608000000000001</v>
      </c>
      <c r="DT140">
        <v>38.700000000000003</v>
      </c>
      <c r="DU140">
        <v>25.5</v>
      </c>
      <c r="DV140">
        <v>12.8064</v>
      </c>
      <c r="DW140">
        <v>61.559899999999999</v>
      </c>
      <c r="DX140">
        <v>35.456699999999998</v>
      </c>
      <c r="DY140">
        <v>1</v>
      </c>
      <c r="DZ140">
        <v>-0.15708800000000001</v>
      </c>
      <c r="EA140">
        <v>0.20177600000000001</v>
      </c>
      <c r="EB140">
        <v>20.191600000000001</v>
      </c>
      <c r="EC140">
        <v>5.2413999999999996</v>
      </c>
      <c r="ED140">
        <v>12.039899999999999</v>
      </c>
      <c r="EE140">
        <v>5.0167999999999999</v>
      </c>
      <c r="EF140">
        <v>3.2879999999999998</v>
      </c>
      <c r="EG140">
        <v>9999</v>
      </c>
      <c r="EH140">
        <v>9999</v>
      </c>
      <c r="EI140">
        <v>9999</v>
      </c>
      <c r="EJ140">
        <v>999.9</v>
      </c>
      <c r="EK140">
        <v>1.8688100000000001</v>
      </c>
      <c r="EL140">
        <v>1.8645</v>
      </c>
      <c r="EM140">
        <v>1.8690500000000001</v>
      </c>
      <c r="EN140">
        <v>1.86711</v>
      </c>
      <c r="EO140">
        <v>1.8632899999999999</v>
      </c>
      <c r="EP140">
        <v>1.8643799999999999</v>
      </c>
      <c r="EQ140">
        <v>1.8701099999999999</v>
      </c>
      <c r="ER140">
        <v>1.8693500000000001</v>
      </c>
      <c r="ES140">
        <v>0</v>
      </c>
      <c r="ET140">
        <v>0</v>
      </c>
      <c r="EU140">
        <v>0</v>
      </c>
      <c r="EV140">
        <v>0</v>
      </c>
      <c r="EW140" t="s">
        <v>334</v>
      </c>
      <c r="EX140" t="s">
        <v>335</v>
      </c>
      <c r="EY140" t="s">
        <v>336</v>
      </c>
      <c r="EZ140" t="s">
        <v>336</v>
      </c>
      <c r="FA140" t="s">
        <v>336</v>
      </c>
      <c r="FB140" t="s">
        <v>336</v>
      </c>
      <c r="FC140">
        <v>0</v>
      </c>
      <c r="FD140">
        <v>100</v>
      </c>
      <c r="FE140">
        <v>100</v>
      </c>
      <c r="FF140">
        <v>-1.2230000000000001</v>
      </c>
      <c r="FG140">
        <v>0.1782</v>
      </c>
      <c r="FH140">
        <v>-0.98020551812546231</v>
      </c>
      <c r="FI140">
        <v>-6.1462078757559423E-4</v>
      </c>
      <c r="FJ140">
        <v>-1.8861989874597051E-7</v>
      </c>
      <c r="FK140">
        <v>1.1980462299894961E-10</v>
      </c>
      <c r="FL140">
        <v>0.1782306200647516</v>
      </c>
      <c r="FM140">
        <v>0</v>
      </c>
      <c r="FN140">
        <v>0</v>
      </c>
      <c r="FO140">
        <v>0</v>
      </c>
      <c r="FP140">
        <v>3</v>
      </c>
      <c r="FQ140">
        <v>2158</v>
      </c>
      <c r="FR140">
        <v>1</v>
      </c>
      <c r="FS140">
        <v>19</v>
      </c>
      <c r="FT140">
        <v>22.6</v>
      </c>
      <c r="FU140">
        <v>22.9</v>
      </c>
      <c r="FV140">
        <v>1.7785599999999999</v>
      </c>
      <c r="FW140">
        <v>2.5415000000000001</v>
      </c>
      <c r="FX140">
        <v>1.5490699999999999</v>
      </c>
      <c r="FY140">
        <v>2.34009</v>
      </c>
      <c r="FZ140">
        <v>1.50146</v>
      </c>
      <c r="GA140">
        <v>2.36938</v>
      </c>
      <c r="GB140">
        <v>30.8902</v>
      </c>
      <c r="GC140">
        <v>23.973700000000001</v>
      </c>
      <c r="GD140">
        <v>19</v>
      </c>
      <c r="GE140">
        <v>264.97199999999998</v>
      </c>
      <c r="GF140">
        <v>606.52</v>
      </c>
      <c r="GG140">
        <v>24.605</v>
      </c>
      <c r="GH140">
        <v>25.421700000000001</v>
      </c>
      <c r="GI140">
        <v>30</v>
      </c>
      <c r="GJ140">
        <v>25.5486</v>
      </c>
      <c r="GK140">
        <v>25.5367</v>
      </c>
      <c r="GL140">
        <v>35.564500000000002</v>
      </c>
      <c r="GM140">
        <v>0</v>
      </c>
      <c r="GN140">
        <v>38.8827</v>
      </c>
      <c r="GO140">
        <v>24.5505</v>
      </c>
      <c r="GP140">
        <v>800</v>
      </c>
      <c r="GQ140">
        <v>24.512899999999998</v>
      </c>
      <c r="GR140">
        <v>99.635099999999994</v>
      </c>
      <c r="GS140">
        <v>99.256</v>
      </c>
    </row>
    <row r="141" spans="1:201" x14ac:dyDescent="0.25">
      <c r="A141">
        <v>125</v>
      </c>
      <c r="B141">
        <v>1690202135.5</v>
      </c>
      <c r="C141">
        <v>1288.5</v>
      </c>
      <c r="D141" t="s">
        <v>583</v>
      </c>
      <c r="E141" t="s">
        <v>584</v>
      </c>
      <c r="F141" t="s">
        <v>330</v>
      </c>
      <c r="H141">
        <v>1690202135.5</v>
      </c>
      <c r="I141">
        <f t="shared" si="30"/>
        <v>1.2385383924644546E-3</v>
      </c>
      <c r="J141">
        <f t="shared" si="31"/>
        <v>1.2385383924644546</v>
      </c>
      <c r="K141">
        <f t="shared" si="32"/>
        <v>38.991371617790286</v>
      </c>
      <c r="L141">
        <f t="shared" si="33"/>
        <v>362.31900000000002</v>
      </c>
      <c r="M141">
        <f t="shared" si="34"/>
        <v>-145.22941677276754</v>
      </c>
      <c r="N141">
        <f t="shared" si="35"/>
        <v>-14.391441378189182</v>
      </c>
      <c r="O141">
        <f t="shared" si="36"/>
        <v>35.903832464346003</v>
      </c>
      <c r="P141">
        <f t="shared" si="37"/>
        <v>0.12691481127103296</v>
      </c>
      <c r="Q141">
        <f t="shared" si="38"/>
        <v>2.0785996793273038</v>
      </c>
      <c r="R141">
        <f t="shared" si="39"/>
        <v>0.12276161346111232</v>
      </c>
      <c r="S141">
        <f t="shared" si="40"/>
        <v>7.7087834808521646E-2</v>
      </c>
      <c r="T141">
        <f t="shared" si="41"/>
        <v>276.11487269796294</v>
      </c>
      <c r="U141">
        <f t="shared" si="42"/>
        <v>27.671321524790045</v>
      </c>
      <c r="V141">
        <f t="shared" si="43"/>
        <v>27.671321524790045</v>
      </c>
      <c r="W141">
        <f t="shared" si="44"/>
        <v>3.7227323280418778</v>
      </c>
      <c r="X141">
        <f t="shared" si="45"/>
        <v>82.254920351212931</v>
      </c>
      <c r="Y141">
        <f t="shared" si="46"/>
        <v>2.7556505298322</v>
      </c>
      <c r="Z141">
        <f t="shared" si="47"/>
        <v>3.3501345792641875</v>
      </c>
      <c r="AA141">
        <f t="shared" si="48"/>
        <v>0.96708179820967777</v>
      </c>
      <c r="AB141">
        <f t="shared" si="49"/>
        <v>-54.619543107682446</v>
      </c>
      <c r="AC141">
        <f t="shared" si="50"/>
        <v>-200.87258974659539</v>
      </c>
      <c r="AD141">
        <f t="shared" si="51"/>
        <v>-20.809009653841603</v>
      </c>
      <c r="AE141">
        <f t="shared" si="52"/>
        <v>-0.1862698101564888</v>
      </c>
      <c r="AF141">
        <v>15</v>
      </c>
      <c r="AG141">
        <v>5</v>
      </c>
      <c r="AH141">
        <f t="shared" si="53"/>
        <v>1</v>
      </c>
      <c r="AI141">
        <f t="shared" si="54"/>
        <v>0</v>
      </c>
      <c r="AJ141">
        <f t="shared" si="55"/>
        <v>52469.37562650234</v>
      </c>
      <c r="AK141">
        <f t="shared" si="56"/>
        <v>1799.99</v>
      </c>
      <c r="AL141">
        <f t="shared" si="57"/>
        <v>1499.1020804088398</v>
      </c>
      <c r="AM141">
        <f t="shared" si="58"/>
        <v>0.83283911599999993</v>
      </c>
      <c r="AN141">
        <f t="shared" si="59"/>
        <v>0.15339800371000001</v>
      </c>
      <c r="AO141">
        <v>33.299999999999997</v>
      </c>
      <c r="AP141">
        <v>0.5</v>
      </c>
      <c r="AQ141" t="s">
        <v>331</v>
      </c>
      <c r="AR141">
        <v>2</v>
      </c>
      <c r="AS141">
        <v>1690202135.5</v>
      </c>
      <c r="AT141">
        <v>362.31900000000002</v>
      </c>
      <c r="AU141">
        <v>799.69899999999996</v>
      </c>
      <c r="AV141">
        <v>27.808299999999999</v>
      </c>
      <c r="AW141">
        <v>14.4552</v>
      </c>
      <c r="AX141">
        <v>363.54199999999997</v>
      </c>
      <c r="AY141">
        <v>27.630099999999999</v>
      </c>
      <c r="AZ141">
        <v>300.27800000000002</v>
      </c>
      <c r="BA141">
        <v>98.994500000000002</v>
      </c>
      <c r="BB141">
        <v>0.100034</v>
      </c>
      <c r="BC141">
        <v>25.878799999999998</v>
      </c>
      <c r="BD141">
        <v>27.116700000000002</v>
      </c>
      <c r="BE141">
        <v>27.613099999999999</v>
      </c>
      <c r="BF141">
        <v>0</v>
      </c>
      <c r="BG141">
        <v>0</v>
      </c>
      <c r="BH141">
        <v>9985.6200000000008</v>
      </c>
      <c r="BI141">
        <v>1073.8399999999999</v>
      </c>
      <c r="BJ141">
        <v>1.22925</v>
      </c>
      <c r="BK141">
        <v>-437.37900000000002</v>
      </c>
      <c r="BL141">
        <v>372.68299999999999</v>
      </c>
      <c r="BM141">
        <v>811.428</v>
      </c>
      <c r="BN141">
        <v>13.3531</v>
      </c>
      <c r="BO141">
        <v>799.69899999999996</v>
      </c>
      <c r="BP141">
        <v>14.4552</v>
      </c>
      <c r="BQ141">
        <v>2.7528700000000002</v>
      </c>
      <c r="BR141">
        <v>1.43099</v>
      </c>
      <c r="BS141">
        <v>22.604199999999999</v>
      </c>
      <c r="BT141">
        <v>12.25</v>
      </c>
      <c r="BU141">
        <v>1799.99</v>
      </c>
      <c r="BV141">
        <v>0.90998100000000004</v>
      </c>
      <c r="BW141">
        <v>3.3999500000000002E-2</v>
      </c>
      <c r="BX141">
        <v>2.20073E-2</v>
      </c>
      <c r="BY141">
        <v>3.4012100000000003E-2</v>
      </c>
      <c r="BZ141">
        <v>25</v>
      </c>
      <c r="CA141">
        <v>33528.1</v>
      </c>
      <c r="CB141">
        <v>1690200769.5</v>
      </c>
      <c r="CC141" t="s">
        <v>332</v>
      </c>
      <c r="CD141">
        <v>1690200769.5</v>
      </c>
      <c r="CE141">
        <v>1690200753</v>
      </c>
      <c r="CF141">
        <v>2</v>
      </c>
      <c r="CG141">
        <v>-0.245</v>
      </c>
      <c r="CH141">
        <v>3.0000000000000001E-3</v>
      </c>
      <c r="CI141">
        <v>-1.5169999999999999</v>
      </c>
      <c r="CJ141">
        <v>-1.6E-2</v>
      </c>
      <c r="CK141">
        <v>778</v>
      </c>
      <c r="CL141">
        <v>12</v>
      </c>
      <c r="CM141">
        <v>0.01</v>
      </c>
      <c r="CN141">
        <v>0.03</v>
      </c>
      <c r="CO141">
        <v>-437.37312500000007</v>
      </c>
      <c r="CP141">
        <v>0.79793245778644151</v>
      </c>
      <c r="CQ141">
        <v>9.8965697971570218E-2</v>
      </c>
      <c r="CR141">
        <v>-1</v>
      </c>
      <c r="CS141">
        <v>14.3950975</v>
      </c>
      <c r="CT141">
        <v>-6.300181238273951</v>
      </c>
      <c r="CU141">
        <v>0.60633144545186679</v>
      </c>
      <c r="CV141">
        <v>-1</v>
      </c>
      <c r="CW141">
        <v>0</v>
      </c>
      <c r="CX141">
        <v>0</v>
      </c>
      <c r="CY141" t="s">
        <v>333</v>
      </c>
      <c r="CZ141">
        <v>2.3656100000000002</v>
      </c>
      <c r="DA141">
        <v>2.7138100000000001</v>
      </c>
      <c r="DB141">
        <v>8.3221600000000007E-2</v>
      </c>
      <c r="DC141">
        <v>0.14636199999999999</v>
      </c>
      <c r="DD141">
        <v>0.12643699999999999</v>
      </c>
      <c r="DE141">
        <v>7.8142299999999998E-2</v>
      </c>
      <c r="DF141">
        <v>33448.6</v>
      </c>
      <c r="DG141">
        <v>27443</v>
      </c>
      <c r="DH141">
        <v>31144.2</v>
      </c>
      <c r="DI141">
        <v>28009.599999999999</v>
      </c>
      <c r="DJ141">
        <v>36913.4</v>
      </c>
      <c r="DK141">
        <v>36684</v>
      </c>
      <c r="DL141">
        <v>44311.4</v>
      </c>
      <c r="DM141">
        <v>42415.4</v>
      </c>
      <c r="DN141">
        <v>1.44025</v>
      </c>
      <c r="DO141">
        <v>2.0777800000000002</v>
      </c>
      <c r="DP141">
        <v>0.14773800000000001</v>
      </c>
      <c r="DQ141">
        <v>0.18293799999999999</v>
      </c>
      <c r="DR141">
        <v>24.696300000000001</v>
      </c>
      <c r="DS141">
        <v>24.616900000000001</v>
      </c>
      <c r="DT141">
        <v>40.5</v>
      </c>
      <c r="DU141">
        <v>25.6</v>
      </c>
      <c r="DV141">
        <v>13.4817</v>
      </c>
      <c r="DW141">
        <v>61.97</v>
      </c>
      <c r="DX141">
        <v>35.472799999999999</v>
      </c>
      <c r="DY141">
        <v>1</v>
      </c>
      <c r="DZ141">
        <v>-0.157248</v>
      </c>
      <c r="EA141">
        <v>0.26674300000000001</v>
      </c>
      <c r="EB141">
        <v>20.191500000000001</v>
      </c>
      <c r="EC141">
        <v>5.2416999999999998</v>
      </c>
      <c r="ED141">
        <v>12.039899999999999</v>
      </c>
      <c r="EE141">
        <v>5.01715</v>
      </c>
      <c r="EF141">
        <v>3.2879999999999998</v>
      </c>
      <c r="EG141">
        <v>9999</v>
      </c>
      <c r="EH141">
        <v>9999</v>
      </c>
      <c r="EI141">
        <v>9999</v>
      </c>
      <c r="EJ141">
        <v>999.9</v>
      </c>
      <c r="EK141">
        <v>1.8688100000000001</v>
      </c>
      <c r="EL141">
        <v>1.8644799999999999</v>
      </c>
      <c r="EM141">
        <v>1.8690500000000001</v>
      </c>
      <c r="EN141">
        <v>1.86711</v>
      </c>
      <c r="EO141">
        <v>1.8632899999999999</v>
      </c>
      <c r="EP141">
        <v>1.8643700000000001</v>
      </c>
      <c r="EQ141">
        <v>1.87012</v>
      </c>
      <c r="ER141">
        <v>1.8693500000000001</v>
      </c>
      <c r="ES141">
        <v>0</v>
      </c>
      <c r="ET141">
        <v>0</v>
      </c>
      <c r="EU141">
        <v>0</v>
      </c>
      <c r="EV141">
        <v>0</v>
      </c>
      <c r="EW141" t="s">
        <v>334</v>
      </c>
      <c r="EX141" t="s">
        <v>335</v>
      </c>
      <c r="EY141" t="s">
        <v>336</v>
      </c>
      <c r="EZ141" t="s">
        <v>336</v>
      </c>
      <c r="FA141" t="s">
        <v>336</v>
      </c>
      <c r="FB141" t="s">
        <v>336</v>
      </c>
      <c r="FC141">
        <v>0</v>
      </c>
      <c r="FD141">
        <v>100</v>
      </c>
      <c r="FE141">
        <v>100</v>
      </c>
      <c r="FF141">
        <v>-1.2230000000000001</v>
      </c>
      <c r="FG141">
        <v>0.1782</v>
      </c>
      <c r="FH141">
        <v>-0.98020551812546231</v>
      </c>
      <c r="FI141">
        <v>-6.1462078757559423E-4</v>
      </c>
      <c r="FJ141">
        <v>-1.8861989874597051E-7</v>
      </c>
      <c r="FK141">
        <v>1.1980462299894961E-10</v>
      </c>
      <c r="FL141">
        <v>0.1782306200647516</v>
      </c>
      <c r="FM141">
        <v>0</v>
      </c>
      <c r="FN141">
        <v>0</v>
      </c>
      <c r="FO141">
        <v>0</v>
      </c>
      <c r="FP141">
        <v>3</v>
      </c>
      <c r="FQ141">
        <v>2158</v>
      </c>
      <c r="FR141">
        <v>1</v>
      </c>
      <c r="FS141">
        <v>19</v>
      </c>
      <c r="FT141">
        <v>22.8</v>
      </c>
      <c r="FU141">
        <v>23</v>
      </c>
      <c r="FV141">
        <v>1.77979</v>
      </c>
      <c r="FW141">
        <v>2.5439500000000002</v>
      </c>
      <c r="FX141">
        <v>1.5490699999999999</v>
      </c>
      <c r="FY141">
        <v>2.33887</v>
      </c>
      <c r="FZ141">
        <v>1.50146</v>
      </c>
      <c r="GA141">
        <v>2.36572</v>
      </c>
      <c r="GB141">
        <v>30.911899999999999</v>
      </c>
      <c r="GC141">
        <v>23.982399999999998</v>
      </c>
      <c r="GD141">
        <v>19</v>
      </c>
      <c r="GE141">
        <v>264.55900000000003</v>
      </c>
      <c r="GF141">
        <v>608.53</v>
      </c>
      <c r="GG141">
        <v>24.446000000000002</v>
      </c>
      <c r="GH141">
        <v>25.421700000000001</v>
      </c>
      <c r="GI141">
        <v>30.0001</v>
      </c>
      <c r="GJ141">
        <v>25.551300000000001</v>
      </c>
      <c r="GK141">
        <v>25.536000000000001</v>
      </c>
      <c r="GL141">
        <v>35.592100000000002</v>
      </c>
      <c r="GM141">
        <v>0</v>
      </c>
      <c r="GN141">
        <v>43.968499999999999</v>
      </c>
      <c r="GO141">
        <v>24.359100000000002</v>
      </c>
      <c r="GP141">
        <v>800</v>
      </c>
      <c r="GQ141">
        <v>24.008099999999999</v>
      </c>
      <c r="GR141">
        <v>99.635300000000001</v>
      </c>
      <c r="GS141">
        <v>99.259200000000007</v>
      </c>
    </row>
    <row r="142" spans="1:201" x14ac:dyDescent="0.25">
      <c r="A142">
        <v>126</v>
      </c>
      <c r="B142">
        <v>1690202145.5</v>
      </c>
      <c r="C142">
        <v>1298.5</v>
      </c>
      <c r="D142" t="s">
        <v>585</v>
      </c>
      <c r="E142" t="s">
        <v>586</v>
      </c>
      <c r="F142" t="s">
        <v>330</v>
      </c>
      <c r="H142">
        <v>1690202145.5</v>
      </c>
      <c r="I142">
        <f t="shared" si="30"/>
        <v>1.1559642869724321E-3</v>
      </c>
      <c r="J142">
        <f t="shared" si="31"/>
        <v>1.155964286972432</v>
      </c>
      <c r="K142">
        <f t="shared" si="32"/>
        <v>39.027658742749566</v>
      </c>
      <c r="L142">
        <f t="shared" si="33"/>
        <v>362.214</v>
      </c>
      <c r="M142">
        <f t="shared" si="34"/>
        <v>-177.6279638106314</v>
      </c>
      <c r="N142">
        <f t="shared" si="35"/>
        <v>-17.602466005996352</v>
      </c>
      <c r="O142">
        <f t="shared" si="36"/>
        <v>35.894458761533997</v>
      </c>
      <c r="P142">
        <f t="shared" si="37"/>
        <v>0.11913929837215494</v>
      </c>
      <c r="Q142">
        <f t="shared" si="38"/>
        <v>2.0812195524152965</v>
      </c>
      <c r="R142">
        <f t="shared" si="39"/>
        <v>0.1154759574069093</v>
      </c>
      <c r="S142">
        <f t="shared" si="40"/>
        <v>7.2492226983176269E-2</v>
      </c>
      <c r="T142">
        <f t="shared" si="41"/>
        <v>276.11448678010692</v>
      </c>
      <c r="U142">
        <f t="shared" si="42"/>
        <v>27.677244823086895</v>
      </c>
      <c r="V142">
        <f t="shared" si="43"/>
        <v>27.677244823086895</v>
      </c>
      <c r="W142">
        <f t="shared" si="44"/>
        <v>3.7240211592175063</v>
      </c>
      <c r="X142">
        <f t="shared" si="45"/>
        <v>82.623925105740454</v>
      </c>
      <c r="Y142">
        <f t="shared" si="46"/>
        <v>2.7644899085426999</v>
      </c>
      <c r="Z142">
        <f t="shared" si="47"/>
        <v>3.3458709508229743</v>
      </c>
      <c r="AA142">
        <f t="shared" si="48"/>
        <v>0.95953125067480638</v>
      </c>
      <c r="AB142">
        <f t="shared" si="49"/>
        <v>-50.97802505548426</v>
      </c>
      <c r="AC142">
        <f t="shared" si="50"/>
        <v>-204.20273848876303</v>
      </c>
      <c r="AD142">
        <f t="shared" si="51"/>
        <v>-21.125720188816565</v>
      </c>
      <c r="AE142">
        <f t="shared" si="52"/>
        <v>-0.19199695295694141</v>
      </c>
      <c r="AF142">
        <v>15</v>
      </c>
      <c r="AG142">
        <v>5</v>
      </c>
      <c r="AH142">
        <f t="shared" si="53"/>
        <v>1</v>
      </c>
      <c r="AI142">
        <f t="shared" si="54"/>
        <v>0</v>
      </c>
      <c r="AJ142">
        <f t="shared" si="55"/>
        <v>52591.522887133513</v>
      </c>
      <c r="AK142">
        <f t="shared" si="56"/>
        <v>1799.99</v>
      </c>
      <c r="AL142">
        <f t="shared" si="57"/>
        <v>1499.1030884032402</v>
      </c>
      <c r="AM142">
        <f t="shared" si="58"/>
        <v>0.83283967600000008</v>
      </c>
      <c r="AN142">
        <f t="shared" si="59"/>
        <v>0.15339778931</v>
      </c>
      <c r="AO142">
        <v>33.299999999999997</v>
      </c>
      <c r="AP142">
        <v>0.5</v>
      </c>
      <c r="AQ142" t="s">
        <v>331</v>
      </c>
      <c r="AR142">
        <v>2</v>
      </c>
      <c r="AS142">
        <v>1690202145.5</v>
      </c>
      <c r="AT142">
        <v>362.214</v>
      </c>
      <c r="AU142">
        <v>799.65599999999995</v>
      </c>
      <c r="AV142">
        <v>27.896699999999999</v>
      </c>
      <c r="AW142">
        <v>15.4352</v>
      </c>
      <c r="AX142">
        <v>363.43700000000001</v>
      </c>
      <c r="AY142">
        <v>27.718499999999999</v>
      </c>
      <c r="AZ142">
        <v>300.28300000000002</v>
      </c>
      <c r="BA142">
        <v>98.997399999999999</v>
      </c>
      <c r="BB142">
        <v>9.9981E-2</v>
      </c>
      <c r="BC142">
        <v>25.857299999999999</v>
      </c>
      <c r="BD142">
        <v>27.063600000000001</v>
      </c>
      <c r="BE142">
        <v>27.6036</v>
      </c>
      <c r="BF142">
        <v>0</v>
      </c>
      <c r="BG142">
        <v>0</v>
      </c>
      <c r="BH142">
        <v>10008.799999999999</v>
      </c>
      <c r="BI142">
        <v>1073.73</v>
      </c>
      <c r="BJ142">
        <v>1.2951299999999999</v>
      </c>
      <c r="BK142">
        <v>-437.44200000000001</v>
      </c>
      <c r="BL142">
        <v>372.60899999999998</v>
      </c>
      <c r="BM142">
        <v>812.19200000000001</v>
      </c>
      <c r="BN142">
        <v>12.461600000000001</v>
      </c>
      <c r="BO142">
        <v>799.65599999999995</v>
      </c>
      <c r="BP142">
        <v>15.4352</v>
      </c>
      <c r="BQ142">
        <v>2.7617099999999999</v>
      </c>
      <c r="BR142">
        <v>1.5280400000000001</v>
      </c>
      <c r="BS142">
        <v>22.657</v>
      </c>
      <c r="BT142">
        <v>13.2517</v>
      </c>
      <c r="BU142">
        <v>1799.99</v>
      </c>
      <c r="BV142">
        <v>0.90998900000000005</v>
      </c>
      <c r="BW142">
        <v>3.3996400000000003E-2</v>
      </c>
      <c r="BX142">
        <v>2.2005299999999998E-2</v>
      </c>
      <c r="BY142">
        <v>3.40091E-2</v>
      </c>
      <c r="BZ142">
        <v>25</v>
      </c>
      <c r="CA142">
        <v>33528.199999999997</v>
      </c>
      <c r="CB142">
        <v>1690200769.5</v>
      </c>
      <c r="CC142" t="s">
        <v>332</v>
      </c>
      <c r="CD142">
        <v>1690200769.5</v>
      </c>
      <c r="CE142">
        <v>1690200753</v>
      </c>
      <c r="CF142">
        <v>2</v>
      </c>
      <c r="CG142">
        <v>-0.245</v>
      </c>
      <c r="CH142">
        <v>3.0000000000000001E-3</v>
      </c>
      <c r="CI142">
        <v>-1.5169999999999999</v>
      </c>
      <c r="CJ142">
        <v>-1.6E-2</v>
      </c>
      <c r="CK142">
        <v>778</v>
      </c>
      <c r="CL142">
        <v>12</v>
      </c>
      <c r="CM142">
        <v>0.01</v>
      </c>
      <c r="CN142">
        <v>0.03</v>
      </c>
      <c r="CO142">
        <v>-437.33695000000012</v>
      </c>
      <c r="CP142">
        <v>-2.4900562851054062E-2</v>
      </c>
      <c r="CQ142">
        <v>6.9837293046051893E-2</v>
      </c>
      <c r="CR142">
        <v>-1</v>
      </c>
      <c r="CS142">
        <v>13.494977499999999</v>
      </c>
      <c r="CT142">
        <v>-5.7644769230769386</v>
      </c>
      <c r="CU142">
        <v>0.55499962724649632</v>
      </c>
      <c r="CV142">
        <v>-1</v>
      </c>
      <c r="CW142">
        <v>0</v>
      </c>
      <c r="CX142">
        <v>0</v>
      </c>
      <c r="CY142" t="s">
        <v>333</v>
      </c>
      <c r="CZ142">
        <v>2.36565</v>
      </c>
      <c r="DA142">
        <v>2.7137799999999999</v>
      </c>
      <c r="DB142">
        <v>8.3205600000000005E-2</v>
      </c>
      <c r="DC142">
        <v>0.14638200000000001</v>
      </c>
      <c r="DD142">
        <v>0.126718</v>
      </c>
      <c r="DE142">
        <v>8.1995100000000001E-2</v>
      </c>
      <c r="DF142">
        <v>33449.599999999999</v>
      </c>
      <c r="DG142">
        <v>27442.799999999999</v>
      </c>
      <c r="DH142">
        <v>31144.6</v>
      </c>
      <c r="DI142">
        <v>28010</v>
      </c>
      <c r="DJ142">
        <v>36902</v>
      </c>
      <c r="DK142">
        <v>36530.9</v>
      </c>
      <c r="DL142">
        <v>44312.1</v>
      </c>
      <c r="DM142">
        <v>42416.1</v>
      </c>
      <c r="DN142">
        <v>1.4392499999999999</v>
      </c>
      <c r="DO142">
        <v>2.08005</v>
      </c>
      <c r="DP142">
        <v>0.143982</v>
      </c>
      <c r="DQ142">
        <v>0.18198</v>
      </c>
      <c r="DR142">
        <v>24.704599999999999</v>
      </c>
      <c r="DS142">
        <v>24.623100000000001</v>
      </c>
      <c r="DT142">
        <v>42.1</v>
      </c>
      <c r="DU142">
        <v>25.6</v>
      </c>
      <c r="DV142">
        <v>14.012</v>
      </c>
      <c r="DW142">
        <v>61.69</v>
      </c>
      <c r="DX142">
        <v>35.492800000000003</v>
      </c>
      <c r="DY142">
        <v>1</v>
      </c>
      <c r="DZ142">
        <v>-0.15684699999999999</v>
      </c>
      <c r="EA142">
        <v>0.47700399999999998</v>
      </c>
      <c r="EB142">
        <v>20.1906</v>
      </c>
      <c r="EC142">
        <v>5.242</v>
      </c>
      <c r="ED142">
        <v>12.039899999999999</v>
      </c>
      <c r="EE142">
        <v>5.0170500000000002</v>
      </c>
      <c r="EF142">
        <v>3.2879700000000001</v>
      </c>
      <c r="EG142">
        <v>9999</v>
      </c>
      <c r="EH142">
        <v>9999</v>
      </c>
      <c r="EI142">
        <v>9999</v>
      </c>
      <c r="EJ142">
        <v>999.9</v>
      </c>
      <c r="EK142">
        <v>1.8688199999999999</v>
      </c>
      <c r="EL142">
        <v>1.8644799999999999</v>
      </c>
      <c r="EM142">
        <v>1.8690500000000001</v>
      </c>
      <c r="EN142">
        <v>1.8671</v>
      </c>
      <c r="EO142">
        <v>1.86328</v>
      </c>
      <c r="EP142">
        <v>1.86439</v>
      </c>
      <c r="EQ142">
        <v>1.8701000000000001</v>
      </c>
      <c r="ER142">
        <v>1.8693299999999999</v>
      </c>
      <c r="ES142">
        <v>0</v>
      </c>
      <c r="ET142">
        <v>0</v>
      </c>
      <c r="EU142">
        <v>0</v>
      </c>
      <c r="EV142">
        <v>0</v>
      </c>
      <c r="EW142" t="s">
        <v>334</v>
      </c>
      <c r="EX142" t="s">
        <v>335</v>
      </c>
      <c r="EY142" t="s">
        <v>336</v>
      </c>
      <c r="EZ142" t="s">
        <v>336</v>
      </c>
      <c r="FA142" t="s">
        <v>336</v>
      </c>
      <c r="FB142" t="s">
        <v>336</v>
      </c>
      <c r="FC142">
        <v>0</v>
      </c>
      <c r="FD142">
        <v>100</v>
      </c>
      <c r="FE142">
        <v>100</v>
      </c>
      <c r="FF142">
        <v>-1.2230000000000001</v>
      </c>
      <c r="FG142">
        <v>0.1782</v>
      </c>
      <c r="FH142">
        <v>-0.98020551812546231</v>
      </c>
      <c r="FI142">
        <v>-6.1462078757559423E-4</v>
      </c>
      <c r="FJ142">
        <v>-1.8861989874597051E-7</v>
      </c>
      <c r="FK142">
        <v>1.1980462299894961E-10</v>
      </c>
      <c r="FL142">
        <v>0.1782306200647516</v>
      </c>
      <c r="FM142">
        <v>0</v>
      </c>
      <c r="FN142">
        <v>0</v>
      </c>
      <c r="FO142">
        <v>0</v>
      </c>
      <c r="FP142">
        <v>3</v>
      </c>
      <c r="FQ142">
        <v>2158</v>
      </c>
      <c r="FR142">
        <v>1</v>
      </c>
      <c r="FS142">
        <v>19</v>
      </c>
      <c r="FT142">
        <v>22.9</v>
      </c>
      <c r="FU142">
        <v>23.2</v>
      </c>
      <c r="FV142">
        <v>1.78101</v>
      </c>
      <c r="FW142">
        <v>2.5500500000000001</v>
      </c>
      <c r="FX142">
        <v>1.5490699999999999</v>
      </c>
      <c r="FY142">
        <v>2.33887</v>
      </c>
      <c r="FZ142">
        <v>1.50146</v>
      </c>
      <c r="GA142">
        <v>2.3559600000000001</v>
      </c>
      <c r="GB142">
        <v>30.911899999999999</v>
      </c>
      <c r="GC142">
        <v>23.973700000000001</v>
      </c>
      <c r="GD142">
        <v>19</v>
      </c>
      <c r="GE142">
        <v>264.16300000000001</v>
      </c>
      <c r="GF142">
        <v>610.44299999999998</v>
      </c>
      <c r="GG142">
        <v>24.2455</v>
      </c>
      <c r="GH142">
        <v>25.4238</v>
      </c>
      <c r="GI142">
        <v>30.000399999999999</v>
      </c>
      <c r="GJ142">
        <v>25.552900000000001</v>
      </c>
      <c r="GK142">
        <v>25.533899999999999</v>
      </c>
      <c r="GL142">
        <v>35.618299999999998</v>
      </c>
      <c r="GM142">
        <v>0</v>
      </c>
      <c r="GN142">
        <v>48.746400000000001</v>
      </c>
      <c r="GO142">
        <v>24.1648</v>
      </c>
      <c r="GP142">
        <v>800</v>
      </c>
      <c r="GQ142">
        <v>23.617799999999999</v>
      </c>
      <c r="GR142">
        <v>99.636799999999994</v>
      </c>
      <c r="GS142">
        <v>99.260599999999997</v>
      </c>
    </row>
    <row r="143" spans="1:201" x14ac:dyDescent="0.25">
      <c r="A143">
        <v>127</v>
      </c>
      <c r="B143">
        <v>1690202155.5</v>
      </c>
      <c r="C143">
        <v>1308.5</v>
      </c>
      <c r="D143" t="s">
        <v>587</v>
      </c>
      <c r="E143" t="s">
        <v>588</v>
      </c>
      <c r="F143" t="s">
        <v>330</v>
      </c>
      <c r="H143">
        <v>1690202155.5</v>
      </c>
      <c r="I143">
        <f t="shared" si="30"/>
        <v>1.0812551043457876E-3</v>
      </c>
      <c r="J143">
        <f t="shared" si="31"/>
        <v>1.0812551043457876</v>
      </c>
      <c r="K143">
        <f t="shared" si="32"/>
        <v>39.087950733876461</v>
      </c>
      <c r="L143">
        <f t="shared" si="33"/>
        <v>361.90699999999998</v>
      </c>
      <c r="M143">
        <f t="shared" si="34"/>
        <v>-212.02763289776308</v>
      </c>
      <c r="N143">
        <f t="shared" si="35"/>
        <v>-21.011176604883321</v>
      </c>
      <c r="O143">
        <f t="shared" si="36"/>
        <v>35.863683368148997</v>
      </c>
      <c r="P143">
        <f t="shared" si="37"/>
        <v>0.11198193443965583</v>
      </c>
      <c r="Q143">
        <f t="shared" si="38"/>
        <v>2.0823894637425897</v>
      </c>
      <c r="R143">
        <f t="shared" si="39"/>
        <v>0.10874084313708461</v>
      </c>
      <c r="S143">
        <f t="shared" si="40"/>
        <v>6.8246412403224793E-2</v>
      </c>
      <c r="T143">
        <f t="shared" si="41"/>
        <v>276.11426010736614</v>
      </c>
      <c r="U143">
        <f t="shared" si="42"/>
        <v>27.681472290917455</v>
      </c>
      <c r="V143">
        <f t="shared" si="43"/>
        <v>27.681472290917455</v>
      </c>
      <c r="W143">
        <f t="shared" si="44"/>
        <v>3.7249412382564699</v>
      </c>
      <c r="X143">
        <f t="shared" si="45"/>
        <v>82.95053423287635</v>
      </c>
      <c r="Y143">
        <f t="shared" si="46"/>
        <v>2.7718850580412</v>
      </c>
      <c r="Z143">
        <f t="shared" si="47"/>
        <v>3.3416120627498018</v>
      </c>
      <c r="AA143">
        <f t="shared" si="48"/>
        <v>0.95305618021526994</v>
      </c>
      <c r="AB143">
        <f t="shared" si="49"/>
        <v>-47.683350101649232</v>
      </c>
      <c r="AC143">
        <f t="shared" si="50"/>
        <v>-207.20584078409325</v>
      </c>
      <c r="AD143">
        <f t="shared" si="51"/>
        <v>-21.422515802031693</v>
      </c>
      <c r="AE143">
        <f t="shared" si="52"/>
        <v>-0.19744658040804097</v>
      </c>
      <c r="AF143">
        <v>15</v>
      </c>
      <c r="AG143">
        <v>5</v>
      </c>
      <c r="AH143">
        <f t="shared" si="53"/>
        <v>1</v>
      </c>
      <c r="AI143">
        <f t="shared" si="54"/>
        <v>0</v>
      </c>
      <c r="AJ143">
        <f t="shared" si="55"/>
        <v>52648.180067797453</v>
      </c>
      <c r="AK143">
        <f t="shared" si="56"/>
        <v>1799.99</v>
      </c>
      <c r="AL143">
        <f t="shared" si="57"/>
        <v>1499.1040909976698</v>
      </c>
      <c r="AM143">
        <f t="shared" si="58"/>
        <v>0.83284023299999987</v>
      </c>
      <c r="AN143">
        <f t="shared" si="59"/>
        <v>0.15339766337999997</v>
      </c>
      <c r="AO143">
        <v>33.299999999999997</v>
      </c>
      <c r="AP143">
        <v>0.5</v>
      </c>
      <c r="AQ143" t="s">
        <v>331</v>
      </c>
      <c r="AR143">
        <v>2</v>
      </c>
      <c r="AS143">
        <v>1690202155.5</v>
      </c>
      <c r="AT143">
        <v>361.90699999999998</v>
      </c>
      <c r="AU143">
        <v>799.74300000000005</v>
      </c>
      <c r="AV143">
        <v>27.971599999999999</v>
      </c>
      <c r="AW143">
        <v>16.3156</v>
      </c>
      <c r="AX143">
        <v>363.12900000000002</v>
      </c>
      <c r="AY143">
        <v>27.793399999999998</v>
      </c>
      <c r="AZ143">
        <v>300.26299999999998</v>
      </c>
      <c r="BA143">
        <v>98.996399999999994</v>
      </c>
      <c r="BB143">
        <v>0.100007</v>
      </c>
      <c r="BC143">
        <v>25.835799999999999</v>
      </c>
      <c r="BD143">
        <v>27.0578</v>
      </c>
      <c r="BE143">
        <v>27.553000000000001</v>
      </c>
      <c r="BF143">
        <v>0</v>
      </c>
      <c r="BG143">
        <v>0</v>
      </c>
      <c r="BH143">
        <v>10019.4</v>
      </c>
      <c r="BI143">
        <v>1073.67</v>
      </c>
      <c r="BJ143">
        <v>1.2334499999999999</v>
      </c>
      <c r="BK143">
        <v>-437.83699999999999</v>
      </c>
      <c r="BL143">
        <v>372.32100000000003</v>
      </c>
      <c r="BM143">
        <v>813.00800000000004</v>
      </c>
      <c r="BN143">
        <v>11.6561</v>
      </c>
      <c r="BO143">
        <v>799.74300000000005</v>
      </c>
      <c r="BP143">
        <v>16.3156</v>
      </c>
      <c r="BQ143">
        <v>2.7690899999999998</v>
      </c>
      <c r="BR143">
        <v>1.6151800000000001</v>
      </c>
      <c r="BS143">
        <v>22.701000000000001</v>
      </c>
      <c r="BT143">
        <v>14.1044</v>
      </c>
      <c r="BU143">
        <v>1799.99</v>
      </c>
      <c r="BV143">
        <v>0.909995</v>
      </c>
      <c r="BW143">
        <v>3.3994200000000002E-2</v>
      </c>
      <c r="BX143">
        <v>2.20039E-2</v>
      </c>
      <c r="BY143">
        <v>3.4006799999999997E-2</v>
      </c>
      <c r="BZ143">
        <v>25</v>
      </c>
      <c r="CA143">
        <v>33528.199999999997</v>
      </c>
      <c r="CB143">
        <v>1690200769.5</v>
      </c>
      <c r="CC143" t="s">
        <v>332</v>
      </c>
      <c r="CD143">
        <v>1690200769.5</v>
      </c>
      <c r="CE143">
        <v>1690200753</v>
      </c>
      <c r="CF143">
        <v>2</v>
      </c>
      <c r="CG143">
        <v>-0.245</v>
      </c>
      <c r="CH143">
        <v>3.0000000000000001E-3</v>
      </c>
      <c r="CI143">
        <v>-1.5169999999999999</v>
      </c>
      <c r="CJ143">
        <v>-1.6E-2</v>
      </c>
      <c r="CK143">
        <v>778</v>
      </c>
      <c r="CL143">
        <v>12</v>
      </c>
      <c r="CM143">
        <v>0.01</v>
      </c>
      <c r="CN143">
        <v>0.03</v>
      </c>
      <c r="CO143">
        <v>-437.48197499999998</v>
      </c>
      <c r="CP143">
        <v>-1.4698198874301831</v>
      </c>
      <c r="CQ143">
        <v>0.15282416162046711</v>
      </c>
      <c r="CR143">
        <v>-1</v>
      </c>
      <c r="CS143">
        <v>12.499739999999999</v>
      </c>
      <c r="CT143">
        <v>-5.1022086303939922</v>
      </c>
      <c r="CU143">
        <v>0.4909420356824214</v>
      </c>
      <c r="CV143">
        <v>-1</v>
      </c>
      <c r="CW143">
        <v>0</v>
      </c>
      <c r="CX143">
        <v>0</v>
      </c>
      <c r="CY143" t="s">
        <v>333</v>
      </c>
      <c r="CZ143">
        <v>2.3655900000000001</v>
      </c>
      <c r="DA143">
        <v>2.7138200000000001</v>
      </c>
      <c r="DB143">
        <v>8.3149899999999999E-2</v>
      </c>
      <c r="DC143">
        <v>0.14640800000000001</v>
      </c>
      <c r="DD143">
        <v>0.12695300000000001</v>
      </c>
      <c r="DE143">
        <v>8.5373199999999996E-2</v>
      </c>
      <c r="DF143">
        <v>33451.599999999999</v>
      </c>
      <c r="DG143">
        <v>27442.3</v>
      </c>
      <c r="DH143">
        <v>31144.6</v>
      </c>
      <c r="DI143">
        <v>28010.3</v>
      </c>
      <c r="DJ143">
        <v>36891.800000000003</v>
      </c>
      <c r="DK143">
        <v>36396.400000000001</v>
      </c>
      <c r="DL143">
        <v>44312</v>
      </c>
      <c r="DM143">
        <v>42416.4</v>
      </c>
      <c r="DN143">
        <v>1.4387700000000001</v>
      </c>
      <c r="DO143">
        <v>2.0819700000000001</v>
      </c>
      <c r="DP143">
        <v>0.14333099999999999</v>
      </c>
      <c r="DQ143">
        <v>0.17868700000000001</v>
      </c>
      <c r="DR143">
        <v>24.709499999999998</v>
      </c>
      <c r="DS143">
        <v>24.6264</v>
      </c>
      <c r="DT143">
        <v>43.9</v>
      </c>
      <c r="DU143">
        <v>25.6</v>
      </c>
      <c r="DV143">
        <v>14.611599999999999</v>
      </c>
      <c r="DW143">
        <v>61.5</v>
      </c>
      <c r="DX143">
        <v>35.584899999999998</v>
      </c>
      <c r="DY143">
        <v>1</v>
      </c>
      <c r="DZ143">
        <v>-0.15707099999999999</v>
      </c>
      <c r="EA143">
        <v>0.41541899999999998</v>
      </c>
      <c r="EB143">
        <v>20.190899999999999</v>
      </c>
      <c r="EC143">
        <v>5.2416999999999998</v>
      </c>
      <c r="ED143">
        <v>12.039899999999999</v>
      </c>
      <c r="EE143">
        <v>5.0173500000000004</v>
      </c>
      <c r="EF143">
        <v>3.2879999999999998</v>
      </c>
      <c r="EG143">
        <v>9999</v>
      </c>
      <c r="EH143">
        <v>9999</v>
      </c>
      <c r="EI143">
        <v>9999</v>
      </c>
      <c r="EJ143">
        <v>999.9</v>
      </c>
      <c r="EK143">
        <v>1.86877</v>
      </c>
      <c r="EL143">
        <v>1.8644799999999999</v>
      </c>
      <c r="EM143">
        <v>1.8690500000000001</v>
      </c>
      <c r="EN143">
        <v>1.8671199999999999</v>
      </c>
      <c r="EO143">
        <v>1.86327</v>
      </c>
      <c r="EP143">
        <v>1.8643700000000001</v>
      </c>
      <c r="EQ143">
        <v>1.8701099999999999</v>
      </c>
      <c r="ER143">
        <v>1.8693299999999999</v>
      </c>
      <c r="ES143">
        <v>0</v>
      </c>
      <c r="ET143">
        <v>0</v>
      </c>
      <c r="EU143">
        <v>0</v>
      </c>
      <c r="EV143">
        <v>0</v>
      </c>
      <c r="EW143" t="s">
        <v>334</v>
      </c>
      <c r="EX143" t="s">
        <v>335</v>
      </c>
      <c r="EY143" t="s">
        <v>336</v>
      </c>
      <c r="EZ143" t="s">
        <v>336</v>
      </c>
      <c r="FA143" t="s">
        <v>336</v>
      </c>
      <c r="FB143" t="s">
        <v>336</v>
      </c>
      <c r="FC143">
        <v>0</v>
      </c>
      <c r="FD143">
        <v>100</v>
      </c>
      <c r="FE143">
        <v>100</v>
      </c>
      <c r="FF143">
        <v>-1.222</v>
      </c>
      <c r="FG143">
        <v>0.1782</v>
      </c>
      <c r="FH143">
        <v>-0.98020551812546231</v>
      </c>
      <c r="FI143">
        <v>-6.1462078757559423E-4</v>
      </c>
      <c r="FJ143">
        <v>-1.8861989874597051E-7</v>
      </c>
      <c r="FK143">
        <v>1.1980462299894961E-10</v>
      </c>
      <c r="FL143">
        <v>0.1782306200647516</v>
      </c>
      <c r="FM143">
        <v>0</v>
      </c>
      <c r="FN143">
        <v>0</v>
      </c>
      <c r="FO143">
        <v>0</v>
      </c>
      <c r="FP143">
        <v>3</v>
      </c>
      <c r="FQ143">
        <v>2158</v>
      </c>
      <c r="FR143">
        <v>1</v>
      </c>
      <c r="FS143">
        <v>19</v>
      </c>
      <c r="FT143">
        <v>23.1</v>
      </c>
      <c r="FU143">
        <v>23.4</v>
      </c>
      <c r="FV143">
        <v>1.78223</v>
      </c>
      <c r="FW143">
        <v>2.5378400000000001</v>
      </c>
      <c r="FX143">
        <v>1.5490699999999999</v>
      </c>
      <c r="FY143">
        <v>2.33887</v>
      </c>
      <c r="FZ143">
        <v>1.50146</v>
      </c>
      <c r="GA143">
        <v>2.36328</v>
      </c>
      <c r="GB143">
        <v>30.933499999999999</v>
      </c>
      <c r="GC143">
        <v>23.982399999999998</v>
      </c>
      <c r="GD143">
        <v>19</v>
      </c>
      <c r="GE143">
        <v>263.976</v>
      </c>
      <c r="GF143">
        <v>612.11099999999999</v>
      </c>
      <c r="GG143">
        <v>24.087800000000001</v>
      </c>
      <c r="GH143">
        <v>25.424299999999999</v>
      </c>
      <c r="GI143">
        <v>30.0002</v>
      </c>
      <c r="GJ143">
        <v>25.553999999999998</v>
      </c>
      <c r="GK143">
        <v>25.535900000000002</v>
      </c>
      <c r="GL143">
        <v>35.642000000000003</v>
      </c>
      <c r="GM143">
        <v>0</v>
      </c>
      <c r="GN143">
        <v>53.066099999999999</v>
      </c>
      <c r="GO143">
        <v>24.0381</v>
      </c>
      <c r="GP143">
        <v>800</v>
      </c>
      <c r="GQ143">
        <v>23.121600000000001</v>
      </c>
      <c r="GR143">
        <v>99.636600000000001</v>
      </c>
      <c r="GS143">
        <v>99.261600000000001</v>
      </c>
    </row>
    <row r="144" spans="1:201" x14ac:dyDescent="0.25">
      <c r="A144">
        <v>128</v>
      </c>
      <c r="B144">
        <v>1690202165.5</v>
      </c>
      <c r="C144">
        <v>1318.5</v>
      </c>
      <c r="D144" t="s">
        <v>589</v>
      </c>
      <c r="E144" t="s">
        <v>590</v>
      </c>
      <c r="F144" t="s">
        <v>330</v>
      </c>
      <c r="H144">
        <v>1690202165.5</v>
      </c>
      <c r="I144">
        <f t="shared" si="30"/>
        <v>1.0105888573948537E-3</v>
      </c>
      <c r="J144">
        <f t="shared" si="31"/>
        <v>1.0105888573948536</v>
      </c>
      <c r="K144">
        <f t="shared" si="32"/>
        <v>39.14577186782298</v>
      </c>
      <c r="L144">
        <f t="shared" si="33"/>
        <v>361.36799999999999</v>
      </c>
      <c r="M144">
        <f t="shared" si="34"/>
        <v>-250.72240255391483</v>
      </c>
      <c r="N144">
        <f t="shared" si="35"/>
        <v>-24.845866006794385</v>
      </c>
      <c r="O144">
        <f t="shared" si="36"/>
        <v>35.810525169216</v>
      </c>
      <c r="P144">
        <f t="shared" si="37"/>
        <v>0.10492382946508819</v>
      </c>
      <c r="Q144">
        <f t="shared" si="38"/>
        <v>2.0828873041846956</v>
      </c>
      <c r="R144">
        <f t="shared" si="39"/>
        <v>0.10207348897678263</v>
      </c>
      <c r="S144">
        <f t="shared" si="40"/>
        <v>6.4045572856894092E-2</v>
      </c>
      <c r="T144">
        <f t="shared" si="41"/>
        <v>276.11394500111675</v>
      </c>
      <c r="U144">
        <f t="shared" si="42"/>
        <v>27.684382011204036</v>
      </c>
      <c r="V144">
        <f t="shared" si="43"/>
        <v>27.684382011204036</v>
      </c>
      <c r="W144">
        <f t="shared" si="44"/>
        <v>3.7255746339306008</v>
      </c>
      <c r="X144">
        <f t="shared" si="45"/>
        <v>83.20076863119499</v>
      </c>
      <c r="Y144">
        <f t="shared" si="46"/>
        <v>2.7766416199728003</v>
      </c>
      <c r="Z144">
        <f t="shared" si="47"/>
        <v>3.3372788084216527</v>
      </c>
      <c r="AA144">
        <f t="shared" si="48"/>
        <v>0.9489330139578005</v>
      </c>
      <c r="AB144">
        <f t="shared" si="49"/>
        <v>-44.566968611113047</v>
      </c>
      <c r="AC144">
        <f t="shared" si="50"/>
        <v>-210.04132634292992</v>
      </c>
      <c r="AD144">
        <f t="shared" si="51"/>
        <v>-21.708422050619454</v>
      </c>
      <c r="AE144">
        <f t="shared" si="52"/>
        <v>-0.20277200354567526</v>
      </c>
      <c r="AF144">
        <v>15</v>
      </c>
      <c r="AG144">
        <v>5</v>
      </c>
      <c r="AH144">
        <f t="shared" si="53"/>
        <v>1</v>
      </c>
      <c r="AI144">
        <f t="shared" si="54"/>
        <v>0</v>
      </c>
      <c r="AJ144">
        <f t="shared" si="55"/>
        <v>52674.575866594176</v>
      </c>
      <c r="AK144">
        <f t="shared" si="56"/>
        <v>1799.99</v>
      </c>
      <c r="AL144">
        <f t="shared" si="57"/>
        <v>1499.10439519598</v>
      </c>
      <c r="AM144">
        <f t="shared" si="58"/>
        <v>0.83284040199999998</v>
      </c>
      <c r="AN144">
        <f t="shared" si="59"/>
        <v>0.15339748831999997</v>
      </c>
      <c r="AO144">
        <v>33.299999999999997</v>
      </c>
      <c r="AP144">
        <v>0.5</v>
      </c>
      <c r="AQ144" t="s">
        <v>331</v>
      </c>
      <c r="AR144">
        <v>2</v>
      </c>
      <c r="AS144">
        <v>1690202165.5</v>
      </c>
      <c r="AT144">
        <v>361.36799999999999</v>
      </c>
      <c r="AU144">
        <v>799.649</v>
      </c>
      <c r="AV144">
        <v>28.019400000000001</v>
      </c>
      <c r="AW144">
        <v>17.1234</v>
      </c>
      <c r="AX144">
        <v>362.59100000000001</v>
      </c>
      <c r="AY144">
        <v>27.841200000000001</v>
      </c>
      <c r="AZ144">
        <v>300.19900000000001</v>
      </c>
      <c r="BA144">
        <v>98.997100000000003</v>
      </c>
      <c r="BB144">
        <v>0.100012</v>
      </c>
      <c r="BC144">
        <v>25.8139</v>
      </c>
      <c r="BD144">
        <v>27.038</v>
      </c>
      <c r="BE144">
        <v>27.528099999999998</v>
      </c>
      <c r="BF144">
        <v>0</v>
      </c>
      <c r="BG144">
        <v>0</v>
      </c>
      <c r="BH144">
        <v>10023.799999999999</v>
      </c>
      <c r="BI144">
        <v>1073.52</v>
      </c>
      <c r="BJ144">
        <v>1.2334499999999999</v>
      </c>
      <c r="BK144">
        <v>-438.28</v>
      </c>
      <c r="BL144">
        <v>371.786</v>
      </c>
      <c r="BM144">
        <v>813.58</v>
      </c>
      <c r="BN144">
        <v>10.896100000000001</v>
      </c>
      <c r="BO144">
        <v>799.649</v>
      </c>
      <c r="BP144">
        <v>17.1234</v>
      </c>
      <c r="BQ144">
        <v>2.7738399999999999</v>
      </c>
      <c r="BR144">
        <v>1.69516</v>
      </c>
      <c r="BS144">
        <v>22.729199999999999</v>
      </c>
      <c r="BT144">
        <v>14.8522</v>
      </c>
      <c r="BU144">
        <v>1799.99</v>
      </c>
      <c r="BV144">
        <v>0.91</v>
      </c>
      <c r="BW144">
        <v>3.39922E-2</v>
      </c>
      <c r="BX144">
        <v>2.2002600000000001E-2</v>
      </c>
      <c r="BY144">
        <v>3.4004800000000002E-2</v>
      </c>
      <c r="BZ144">
        <v>25</v>
      </c>
      <c r="CA144">
        <v>33528.1</v>
      </c>
      <c r="CB144">
        <v>1690200769.5</v>
      </c>
      <c r="CC144" t="s">
        <v>332</v>
      </c>
      <c r="CD144">
        <v>1690200769.5</v>
      </c>
      <c r="CE144">
        <v>1690200753</v>
      </c>
      <c r="CF144">
        <v>2</v>
      </c>
      <c r="CG144">
        <v>-0.245</v>
      </c>
      <c r="CH144">
        <v>3.0000000000000001E-3</v>
      </c>
      <c r="CI144">
        <v>-1.5169999999999999</v>
      </c>
      <c r="CJ144">
        <v>-1.6E-2</v>
      </c>
      <c r="CK144">
        <v>778</v>
      </c>
      <c r="CL144">
        <v>12</v>
      </c>
      <c r="CM144">
        <v>0.01</v>
      </c>
      <c r="CN144">
        <v>0.03</v>
      </c>
      <c r="CO144">
        <v>-437.8107</v>
      </c>
      <c r="CP144">
        <v>-2.5168030018749259</v>
      </c>
      <c r="CQ144">
        <v>0.24314380518532361</v>
      </c>
      <c r="CR144">
        <v>-1</v>
      </c>
      <c r="CS144">
        <v>11.6826925</v>
      </c>
      <c r="CT144">
        <v>-4.7026772983114693</v>
      </c>
      <c r="CU144">
        <v>0.45240708570241261</v>
      </c>
      <c r="CV144">
        <v>-1</v>
      </c>
      <c r="CW144">
        <v>0</v>
      </c>
      <c r="CX144">
        <v>0</v>
      </c>
      <c r="CY144" t="s">
        <v>333</v>
      </c>
      <c r="CZ144">
        <v>2.36537</v>
      </c>
      <c r="DA144">
        <v>2.7138300000000002</v>
      </c>
      <c r="DB144">
        <v>8.3054600000000006E-2</v>
      </c>
      <c r="DC144">
        <v>0.14641399999999999</v>
      </c>
      <c r="DD144">
        <v>0.12710399999999999</v>
      </c>
      <c r="DE144">
        <v>8.8412400000000002E-2</v>
      </c>
      <c r="DF144">
        <v>33455.4</v>
      </c>
      <c r="DG144">
        <v>27442</v>
      </c>
      <c r="DH144">
        <v>31144.9</v>
      </c>
      <c r="DI144">
        <v>28010.2</v>
      </c>
      <c r="DJ144">
        <v>36885.5</v>
      </c>
      <c r="DK144">
        <v>36275</v>
      </c>
      <c r="DL144">
        <v>44312.1</v>
      </c>
      <c r="DM144">
        <v>42416.2</v>
      </c>
      <c r="DN144">
        <v>1.4378</v>
      </c>
      <c r="DO144">
        <v>2.0838800000000002</v>
      </c>
      <c r="DP144">
        <v>0.14199300000000001</v>
      </c>
      <c r="DQ144">
        <v>0.17716399999999999</v>
      </c>
      <c r="DR144">
        <v>24.711500000000001</v>
      </c>
      <c r="DS144">
        <v>24.6264</v>
      </c>
      <c r="DT144">
        <v>45.6</v>
      </c>
      <c r="DU144">
        <v>25.6</v>
      </c>
      <c r="DV144">
        <v>15.1792</v>
      </c>
      <c r="DW144">
        <v>61.73</v>
      </c>
      <c r="DX144">
        <v>35.885399999999997</v>
      </c>
      <c r="DY144">
        <v>1</v>
      </c>
      <c r="DZ144">
        <v>-0.15764500000000001</v>
      </c>
      <c r="EA144">
        <v>0.40897099999999997</v>
      </c>
      <c r="EB144">
        <v>20.191299999999998</v>
      </c>
      <c r="EC144">
        <v>5.24125</v>
      </c>
      <c r="ED144">
        <v>12.039899999999999</v>
      </c>
      <c r="EE144">
        <v>5.01715</v>
      </c>
      <c r="EF144">
        <v>3.2879999999999998</v>
      </c>
      <c r="EG144">
        <v>9999</v>
      </c>
      <c r="EH144">
        <v>9999</v>
      </c>
      <c r="EI144">
        <v>9999</v>
      </c>
      <c r="EJ144">
        <v>999.9</v>
      </c>
      <c r="EK144">
        <v>1.86876</v>
      </c>
      <c r="EL144">
        <v>1.8644799999999999</v>
      </c>
      <c r="EM144">
        <v>1.8690500000000001</v>
      </c>
      <c r="EN144">
        <v>1.8670800000000001</v>
      </c>
      <c r="EO144">
        <v>1.86328</v>
      </c>
      <c r="EP144">
        <v>1.86439</v>
      </c>
      <c r="EQ144">
        <v>1.8701000000000001</v>
      </c>
      <c r="ER144">
        <v>1.8693500000000001</v>
      </c>
      <c r="ES144">
        <v>0</v>
      </c>
      <c r="ET144">
        <v>0</v>
      </c>
      <c r="EU144">
        <v>0</v>
      </c>
      <c r="EV144">
        <v>0</v>
      </c>
      <c r="EW144" t="s">
        <v>334</v>
      </c>
      <c r="EX144" t="s">
        <v>335</v>
      </c>
      <c r="EY144" t="s">
        <v>336</v>
      </c>
      <c r="EZ144" t="s">
        <v>336</v>
      </c>
      <c r="FA144" t="s">
        <v>336</v>
      </c>
      <c r="FB144" t="s">
        <v>336</v>
      </c>
      <c r="FC144">
        <v>0</v>
      </c>
      <c r="FD144">
        <v>100</v>
      </c>
      <c r="FE144">
        <v>100</v>
      </c>
      <c r="FF144">
        <v>-1.2230000000000001</v>
      </c>
      <c r="FG144">
        <v>0.1782</v>
      </c>
      <c r="FH144">
        <v>-0.98020551812546231</v>
      </c>
      <c r="FI144">
        <v>-6.1462078757559423E-4</v>
      </c>
      <c r="FJ144">
        <v>-1.8861989874597051E-7</v>
      </c>
      <c r="FK144">
        <v>1.1980462299894961E-10</v>
      </c>
      <c r="FL144">
        <v>0.1782306200647516</v>
      </c>
      <c r="FM144">
        <v>0</v>
      </c>
      <c r="FN144">
        <v>0</v>
      </c>
      <c r="FO144">
        <v>0</v>
      </c>
      <c r="FP144">
        <v>3</v>
      </c>
      <c r="FQ144">
        <v>2158</v>
      </c>
      <c r="FR144">
        <v>1</v>
      </c>
      <c r="FS144">
        <v>19</v>
      </c>
      <c r="FT144">
        <v>23.3</v>
      </c>
      <c r="FU144">
        <v>23.5</v>
      </c>
      <c r="FV144">
        <v>1.78467</v>
      </c>
      <c r="FW144">
        <v>2.5476100000000002</v>
      </c>
      <c r="FX144">
        <v>1.5490699999999999</v>
      </c>
      <c r="FY144">
        <v>2.34009</v>
      </c>
      <c r="FZ144">
        <v>1.50146</v>
      </c>
      <c r="GA144">
        <v>2.3034699999999999</v>
      </c>
      <c r="GB144">
        <v>30.933499999999999</v>
      </c>
      <c r="GC144">
        <v>23.973700000000001</v>
      </c>
      <c r="GD144">
        <v>19</v>
      </c>
      <c r="GE144">
        <v>263.584</v>
      </c>
      <c r="GF144">
        <v>613.74099999999999</v>
      </c>
      <c r="GG144">
        <v>23.978000000000002</v>
      </c>
      <c r="GH144">
        <v>25.425999999999998</v>
      </c>
      <c r="GI144">
        <v>30.0001</v>
      </c>
      <c r="GJ144">
        <v>25.553999999999998</v>
      </c>
      <c r="GK144">
        <v>25.536000000000001</v>
      </c>
      <c r="GL144">
        <v>35.667900000000003</v>
      </c>
      <c r="GM144">
        <v>0</v>
      </c>
      <c r="GN144">
        <v>56.912300000000002</v>
      </c>
      <c r="GO144">
        <v>23.9453</v>
      </c>
      <c r="GP144">
        <v>800</v>
      </c>
      <c r="GQ144">
        <v>22.6358</v>
      </c>
      <c r="GR144">
        <v>99.637200000000007</v>
      </c>
      <c r="GS144">
        <v>99.261099999999999</v>
      </c>
    </row>
    <row r="145" spans="1:201" x14ac:dyDescent="0.25">
      <c r="A145">
        <v>129</v>
      </c>
      <c r="B145">
        <v>1690202175.5999999</v>
      </c>
      <c r="C145">
        <v>1328.599999904633</v>
      </c>
      <c r="D145" t="s">
        <v>591</v>
      </c>
      <c r="E145" t="s">
        <v>592</v>
      </c>
      <c r="F145" t="s">
        <v>330</v>
      </c>
      <c r="H145">
        <v>1690202175.5999999</v>
      </c>
      <c r="I145">
        <f t="shared" ref="I145:I208" si="60">(J145)/1000</f>
        <v>9.4802565444801446E-4</v>
      </c>
      <c r="J145">
        <f t="shared" ref="J145:J208" si="61">1000*AZ145*AH145*(AV145-AW145)/(100*AO145*(1000-AH145*AV145))</f>
        <v>0.94802565444801445</v>
      </c>
      <c r="K145">
        <f t="shared" ref="K145:K208" si="62">AZ145*AH145*(AU145-AT145*(1000-AH145*AW145)/(1000-AH145*AV145))/(100*AO145)</f>
        <v>39.230018011965832</v>
      </c>
      <c r="L145">
        <f t="shared" ref="L145:L208" si="63">AT145 - IF(AH145&gt;1, K145*AO145*100/(AJ145*BH145), 0)</f>
        <v>360.87700000000001</v>
      </c>
      <c r="M145">
        <f t="shared" ref="M145:M208" si="64">((S145-I145/2)*L145-K145)/(S145+I145/2)</f>
        <v>-290.87081296558779</v>
      </c>
      <c r="N145">
        <f t="shared" ref="N145:N208" si="65">M145*(BA145+BB145)/1000</f>
        <v>-28.824320791612731</v>
      </c>
      <c r="O145">
        <f t="shared" ref="O145:O208" si="66">(AT145 - IF(AH145&gt;1, K145*AO145*100/(AJ145*BH145), 0))*(BA145+BB145)/1000</f>
        <v>35.761698838946309</v>
      </c>
      <c r="P145">
        <f t="shared" ref="P145:P208" si="67">2/((1/R145-1/Q145)+SIGN(R145)*SQRT((1/R145-1/Q145)*(1/R145-1/Q145) + 4*AP145/((AP145+1)*(AP145+1))*(2*1/R145*1/Q145-1/Q145*1/Q145)))</f>
        <v>9.8558917111321143E-2</v>
      </c>
      <c r="Q145">
        <f t="shared" ref="Q145:Q208" si="68">IF(LEFT(AQ145,1)&lt;&gt;"0",IF(LEFT(AQ145,1)="1",3,AR145),$D$5+$E$5*(BH145*BA145/($K$5*1000))+$F$5*(BH145*BA145/($K$5*1000))*MAX(MIN(AO145,$J$5),$I$5)*MAX(MIN(AO145,$J$5),$I$5)+$G$5*MAX(MIN(AO145,$J$5),$I$5)*(BH145*BA145/($K$5*1000))+$H$5*(BH145*BA145/($K$5*1000))*(BH145*BA145/($K$5*1000)))</f>
        <v>2.0786244751055394</v>
      </c>
      <c r="R145">
        <f t="shared" ref="R145:R208" si="69">I145*(1000-(1000*0.61365*EXP(17.502*V145/(240.97+V145))/(BA145+BB145)+AV145)/2)/(1000*0.61365*EXP(17.502*V145/(240.97+V145))/(BA145+BB145)-AV145)</f>
        <v>9.6034407699795765E-2</v>
      </c>
      <c r="S145">
        <f t="shared" ref="S145:S208" si="70">1/((AP145+1)/(P145/1.6)+1/(Q145/1.37)) + AP145/((AP145+1)/(P145/1.6) + AP145/(Q145/1.37))</f>
        <v>6.0242936088959732E-2</v>
      </c>
      <c r="T145">
        <f t="shared" ref="T145:T208" si="71">(AK145*AN145)</f>
        <v>276.11547461999999</v>
      </c>
      <c r="U145">
        <f t="shared" ref="U145:U208" si="72">(BC145+(T145+2*0.95*0.0000000567*(((BC145+$B$7)+273)^4-(BC145+273)^4)-44100*I145)/(1.84*29.3*Q145+8*0.95*0.0000000567*(BC145+273)^3))</f>
        <v>27.687742779862671</v>
      </c>
      <c r="V145">
        <f t="shared" ref="V145:V208" si="73">($C$7*BD145+$D$7*BE145+$E$7*U145)</f>
        <v>27.687742779862671</v>
      </c>
      <c r="W145">
        <f t="shared" ref="W145:W208" si="74">0.61365*EXP(17.502*V145/(240.97+V145))</f>
        <v>3.726306331980024</v>
      </c>
      <c r="X145">
        <f t="shared" ref="X145:X208" si="75">(Y145/Z145*100)</f>
        <v>83.417533258134966</v>
      </c>
      <c r="Y145">
        <f t="shared" ref="Y145:Y208" si="76">AV145*(BA145+BB145)/1000</f>
        <v>2.7801661981686903</v>
      </c>
      <c r="Z145">
        <f t="shared" ref="Z145:Z208" si="77">0.61365*EXP(17.502*BC145/(240.97+BC145))</f>
        <v>3.3328319474102472</v>
      </c>
      <c r="AA145">
        <f t="shared" ref="AA145:AA208" si="78">(W145-AV145*(BA145+BB145)/1000)</f>
        <v>0.94614013381133377</v>
      </c>
      <c r="AB145">
        <f t="shared" ref="AB145:AB208" si="79">(-I145*44100)</f>
        <v>-41.807931361157436</v>
      </c>
      <c r="AC145">
        <f t="shared" ref="AC145:AC208" si="80">2*29.3*Q145*0.92*(BC145-V145)</f>
        <v>-212.50948679490384</v>
      </c>
      <c r="AD145">
        <f t="shared" ref="AD145:AD208" si="81">2*0.95*0.0000000567*(((BC145+$B$7)+273)^4-(V145+273)^4)</f>
        <v>-22.006454858738298</v>
      </c>
      <c r="AE145">
        <f t="shared" ref="AE145:AE208" si="82">T145+AD145+AB145+AC145</f>
        <v>-0.20839839479958755</v>
      </c>
      <c r="AF145">
        <v>16</v>
      </c>
      <c r="AG145">
        <v>5</v>
      </c>
      <c r="AH145">
        <f t="shared" ref="AH145:AH208" si="83">IF(AF145*$H$13&gt;=AJ145,1,(AJ145/(AJ145-AF145*$H$13)))</f>
        <v>1</v>
      </c>
      <c r="AI145">
        <f t="shared" ref="AI145:AI208" si="84">(AH145-1)*100</f>
        <v>0</v>
      </c>
      <c r="AJ145">
        <f t="shared" ref="AJ145:AJ208" si="85">MAX(0,($B$13+$C$13*BH145)/(1+$D$13*BH145)*BA145/(BC145+273)*$E$13)</f>
        <v>52485.889928203032</v>
      </c>
      <c r="AK145">
        <f t="shared" ref="AK145:AK208" si="86">$B$11*BI145+$C$11*BJ145+$D$11*BU145</f>
        <v>1800</v>
      </c>
      <c r="AL145">
        <f t="shared" ref="AL145:AL208" si="87">AK145*AM145</f>
        <v>1499.1143849999999</v>
      </c>
      <c r="AM145">
        <f t="shared" ref="AM145:AM208" si="88">($B$11*$D$9+$C$11*$D$9+$D$11*(BV145*$E$9+BW145*$F$9+BX145*$G$9+BY145*$H$9))/($B$11+$C$11+$D$11)</f>
        <v>0.83284132499999997</v>
      </c>
      <c r="AN145">
        <f t="shared" ref="AN145:AN208" si="89">($B$11*$K$9+$C$11*$K$9+$D$11*(BV145*$L$9+BW145*$M$9+BX145*$N$9+BY145*$O$9))/($B$11+$C$11+$D$11)</f>
        <v>0.15339748589999999</v>
      </c>
      <c r="AO145">
        <v>33.299999999999997</v>
      </c>
      <c r="AP145">
        <v>0.5</v>
      </c>
      <c r="AQ145" t="s">
        <v>331</v>
      </c>
      <c r="AR145">
        <v>2</v>
      </c>
      <c r="AS145">
        <v>1690202175.5999999</v>
      </c>
      <c r="AT145">
        <v>360.87700000000001</v>
      </c>
      <c r="AU145">
        <v>799.74300000000005</v>
      </c>
      <c r="AV145">
        <v>28.055099999999999</v>
      </c>
      <c r="AW145">
        <v>17.836200000000002</v>
      </c>
      <c r="AX145">
        <v>362.09899999999999</v>
      </c>
      <c r="AY145">
        <v>27.876899999999999</v>
      </c>
      <c r="AZ145">
        <v>300.26299999999998</v>
      </c>
      <c r="BA145">
        <v>98.996700000000004</v>
      </c>
      <c r="BB145">
        <v>9.99419E-2</v>
      </c>
      <c r="BC145">
        <v>25.791399999999999</v>
      </c>
      <c r="BD145">
        <v>27.007400000000001</v>
      </c>
      <c r="BE145">
        <v>27.533000000000001</v>
      </c>
      <c r="BF145">
        <v>0</v>
      </c>
      <c r="BG145">
        <v>0</v>
      </c>
      <c r="BH145">
        <v>9985.6200000000008</v>
      </c>
      <c r="BI145">
        <v>1073.51</v>
      </c>
      <c r="BJ145">
        <v>1.28952</v>
      </c>
      <c r="BK145">
        <v>-438.86599999999999</v>
      </c>
      <c r="BL145">
        <v>371.29399999999998</v>
      </c>
      <c r="BM145">
        <v>814.26700000000005</v>
      </c>
      <c r="BN145">
        <v>10.218999999999999</v>
      </c>
      <c r="BO145">
        <v>799.74300000000005</v>
      </c>
      <c r="BP145">
        <v>17.836200000000002</v>
      </c>
      <c r="BQ145">
        <v>2.7773699999999999</v>
      </c>
      <c r="BR145">
        <v>1.76572</v>
      </c>
      <c r="BS145">
        <v>22.7502</v>
      </c>
      <c r="BT145">
        <v>15.486599999999999</v>
      </c>
      <c r="BU145">
        <v>1800</v>
      </c>
      <c r="BV145">
        <v>0.91000499999999995</v>
      </c>
      <c r="BW145">
        <v>3.3990600000000003E-2</v>
      </c>
      <c r="BX145">
        <v>2.20015E-2</v>
      </c>
      <c r="BY145">
        <v>3.4003199999999997E-2</v>
      </c>
      <c r="BZ145">
        <v>25</v>
      </c>
      <c r="CA145">
        <v>33528.400000000001</v>
      </c>
      <c r="CB145">
        <v>1690200769.5</v>
      </c>
      <c r="CC145" t="s">
        <v>332</v>
      </c>
      <c r="CD145">
        <v>1690200769.5</v>
      </c>
      <c r="CE145">
        <v>1690200753</v>
      </c>
      <c r="CF145">
        <v>2</v>
      </c>
      <c r="CG145">
        <v>-0.245</v>
      </c>
      <c r="CH145">
        <v>3.0000000000000001E-3</v>
      </c>
      <c r="CI145">
        <v>-1.5169999999999999</v>
      </c>
      <c r="CJ145">
        <v>-1.6E-2</v>
      </c>
      <c r="CK145">
        <v>778</v>
      </c>
      <c r="CL145">
        <v>12</v>
      </c>
      <c r="CM145">
        <v>0.01</v>
      </c>
      <c r="CN145">
        <v>0.03</v>
      </c>
      <c r="CO145">
        <v>-438.31068292682932</v>
      </c>
      <c r="CP145">
        <v>-3.3196533019917962</v>
      </c>
      <c r="CQ145">
        <v>0.32203964602351098</v>
      </c>
      <c r="CR145">
        <v>-1</v>
      </c>
      <c r="CS145">
        <v>10.927485365853659</v>
      </c>
      <c r="CT145">
        <v>-4.3014154479338833</v>
      </c>
      <c r="CU145">
        <v>0.41291189254531518</v>
      </c>
      <c r="CV145">
        <v>-1</v>
      </c>
      <c r="CW145">
        <v>0</v>
      </c>
      <c r="CX145">
        <v>0</v>
      </c>
      <c r="CY145" t="s">
        <v>333</v>
      </c>
      <c r="CZ145">
        <v>2.3655599999999999</v>
      </c>
      <c r="DA145">
        <v>2.7137199999999999</v>
      </c>
      <c r="DB145">
        <v>8.2965999999999998E-2</v>
      </c>
      <c r="DC145">
        <v>0.14643900000000001</v>
      </c>
      <c r="DD145">
        <v>0.12721499999999999</v>
      </c>
      <c r="DE145">
        <v>9.1046799999999997E-2</v>
      </c>
      <c r="DF145">
        <v>33457.599999999999</v>
      </c>
      <c r="DG145">
        <v>27440.9</v>
      </c>
      <c r="DH145">
        <v>31143.9</v>
      </c>
      <c r="DI145">
        <v>28009.9</v>
      </c>
      <c r="DJ145">
        <v>36880</v>
      </c>
      <c r="DK145">
        <v>36169.4</v>
      </c>
      <c r="DL145">
        <v>44311.199999999997</v>
      </c>
      <c r="DM145">
        <v>42415.6</v>
      </c>
      <c r="DN145">
        <v>1.4377200000000001</v>
      </c>
      <c r="DO145">
        <v>2.0855700000000001</v>
      </c>
      <c r="DP145">
        <v>0.14003399999999999</v>
      </c>
      <c r="DQ145">
        <v>0.17754700000000001</v>
      </c>
      <c r="DR145">
        <v>24.713000000000001</v>
      </c>
      <c r="DS145">
        <v>24.625</v>
      </c>
      <c r="DT145">
        <v>46.9</v>
      </c>
      <c r="DU145">
        <v>25.6</v>
      </c>
      <c r="DV145">
        <v>15.611800000000001</v>
      </c>
      <c r="DW145">
        <v>61.5154</v>
      </c>
      <c r="DX145">
        <v>35.348599999999998</v>
      </c>
      <c r="DY145">
        <v>1</v>
      </c>
      <c r="DZ145">
        <v>-0.15718199999999999</v>
      </c>
      <c r="EA145">
        <v>0.37260900000000002</v>
      </c>
      <c r="EB145">
        <v>20.191299999999998</v>
      </c>
      <c r="EC145">
        <v>5.2415500000000002</v>
      </c>
      <c r="ED145">
        <v>12.039899999999999</v>
      </c>
      <c r="EE145">
        <v>5.0171999999999999</v>
      </c>
      <c r="EF145">
        <v>3.2879999999999998</v>
      </c>
      <c r="EG145">
        <v>9999</v>
      </c>
      <c r="EH145">
        <v>9999</v>
      </c>
      <c r="EI145">
        <v>9999</v>
      </c>
      <c r="EJ145">
        <v>999.9</v>
      </c>
      <c r="EK145">
        <v>1.86879</v>
      </c>
      <c r="EL145">
        <v>1.8644799999999999</v>
      </c>
      <c r="EM145">
        <v>1.8690500000000001</v>
      </c>
      <c r="EN145">
        <v>1.8671</v>
      </c>
      <c r="EO145">
        <v>1.8633200000000001</v>
      </c>
      <c r="EP145">
        <v>1.8643799999999999</v>
      </c>
      <c r="EQ145">
        <v>1.8701000000000001</v>
      </c>
      <c r="ER145">
        <v>1.8693500000000001</v>
      </c>
      <c r="ES145">
        <v>0</v>
      </c>
      <c r="ET145">
        <v>0</v>
      </c>
      <c r="EU145">
        <v>0</v>
      </c>
      <c r="EV145">
        <v>0</v>
      </c>
      <c r="EW145" t="s">
        <v>334</v>
      </c>
      <c r="EX145" t="s">
        <v>335</v>
      </c>
      <c r="EY145" t="s">
        <v>336</v>
      </c>
      <c r="EZ145" t="s">
        <v>336</v>
      </c>
      <c r="FA145" t="s">
        <v>336</v>
      </c>
      <c r="FB145" t="s">
        <v>336</v>
      </c>
      <c r="FC145">
        <v>0</v>
      </c>
      <c r="FD145">
        <v>100</v>
      </c>
      <c r="FE145">
        <v>100</v>
      </c>
      <c r="FF145">
        <v>-1.222</v>
      </c>
      <c r="FG145">
        <v>0.1782</v>
      </c>
      <c r="FH145">
        <v>-0.98020551812546231</v>
      </c>
      <c r="FI145">
        <v>-6.1462078757559423E-4</v>
      </c>
      <c r="FJ145">
        <v>-1.8861989874597051E-7</v>
      </c>
      <c r="FK145">
        <v>1.1980462299894961E-10</v>
      </c>
      <c r="FL145">
        <v>0.1782306200647516</v>
      </c>
      <c r="FM145">
        <v>0</v>
      </c>
      <c r="FN145">
        <v>0</v>
      </c>
      <c r="FO145">
        <v>0</v>
      </c>
      <c r="FP145">
        <v>3</v>
      </c>
      <c r="FQ145">
        <v>2158</v>
      </c>
      <c r="FR145">
        <v>1</v>
      </c>
      <c r="FS145">
        <v>19</v>
      </c>
      <c r="FT145">
        <v>23.4</v>
      </c>
      <c r="FU145">
        <v>23.7</v>
      </c>
      <c r="FV145">
        <v>1.78467</v>
      </c>
      <c r="FW145">
        <v>2.5537100000000001</v>
      </c>
      <c r="FX145">
        <v>1.5490699999999999</v>
      </c>
      <c r="FY145">
        <v>2.33887</v>
      </c>
      <c r="FZ145">
        <v>1.50146</v>
      </c>
      <c r="GA145">
        <v>2.2851599999999999</v>
      </c>
      <c r="GB145">
        <v>30.933499999999999</v>
      </c>
      <c r="GC145">
        <v>23.973700000000001</v>
      </c>
      <c r="GD145">
        <v>19</v>
      </c>
      <c r="GE145">
        <v>263.56200000000001</v>
      </c>
      <c r="GF145">
        <v>615.19899999999996</v>
      </c>
      <c r="GG145">
        <v>23.9008</v>
      </c>
      <c r="GH145">
        <v>25.428100000000001</v>
      </c>
      <c r="GI145">
        <v>30.0001</v>
      </c>
      <c r="GJ145">
        <v>25.556100000000001</v>
      </c>
      <c r="GK145">
        <v>25.536000000000001</v>
      </c>
      <c r="GL145">
        <v>35.689900000000002</v>
      </c>
      <c r="GM145">
        <v>0</v>
      </c>
      <c r="GN145">
        <v>60.520099999999999</v>
      </c>
      <c r="GO145">
        <v>23.8963</v>
      </c>
      <c r="GP145">
        <v>800</v>
      </c>
      <c r="GQ145">
        <v>22.155799999999999</v>
      </c>
      <c r="GR145">
        <v>99.634699999999995</v>
      </c>
      <c r="GS145">
        <v>99.259799999999998</v>
      </c>
    </row>
    <row r="146" spans="1:201" x14ac:dyDescent="0.25">
      <c r="A146">
        <v>130</v>
      </c>
      <c r="B146">
        <v>1690202185.5999999</v>
      </c>
      <c r="C146">
        <v>1338.599999904633</v>
      </c>
      <c r="D146" t="s">
        <v>593</v>
      </c>
      <c r="E146" t="s">
        <v>594</v>
      </c>
      <c r="F146" t="s">
        <v>330</v>
      </c>
      <c r="H146">
        <v>1690202185.5999999</v>
      </c>
      <c r="I146">
        <f t="shared" si="60"/>
        <v>8.9338209276921155E-4</v>
      </c>
      <c r="J146">
        <f t="shared" si="61"/>
        <v>0.89338209276921154</v>
      </c>
      <c r="K146">
        <f t="shared" si="62"/>
        <v>39.295604137956992</v>
      </c>
      <c r="L146">
        <f t="shared" si="63"/>
        <v>360.351</v>
      </c>
      <c r="M146">
        <f t="shared" si="64"/>
        <v>-331.52030776392911</v>
      </c>
      <c r="N146">
        <f t="shared" si="65"/>
        <v>-32.852062051967614</v>
      </c>
      <c r="O146">
        <f t="shared" si="66"/>
        <v>35.709044469512392</v>
      </c>
      <c r="P146">
        <f t="shared" si="67"/>
        <v>9.2829458077414245E-2</v>
      </c>
      <c r="Q146">
        <f t="shared" si="68"/>
        <v>2.0808379349576542</v>
      </c>
      <c r="R146">
        <f t="shared" si="69"/>
        <v>9.0588654997825702E-2</v>
      </c>
      <c r="S146">
        <f t="shared" si="70"/>
        <v>5.6814731452127537E-2</v>
      </c>
      <c r="T146">
        <f t="shared" si="71"/>
        <v>276.11401260874118</v>
      </c>
      <c r="U146">
        <f t="shared" si="72"/>
        <v>27.695603223816818</v>
      </c>
      <c r="V146">
        <f t="shared" si="73"/>
        <v>27.695603223816818</v>
      </c>
      <c r="W146">
        <f t="shared" si="74"/>
        <v>3.7280181775951706</v>
      </c>
      <c r="X146">
        <f t="shared" si="75"/>
        <v>83.546574085705387</v>
      </c>
      <c r="Y146">
        <f t="shared" si="76"/>
        <v>2.7828500884402398</v>
      </c>
      <c r="Z146">
        <f t="shared" si="77"/>
        <v>3.3308967110793577</v>
      </c>
      <c r="AA146">
        <f t="shared" si="78"/>
        <v>0.94516808915493078</v>
      </c>
      <c r="AB146">
        <f t="shared" si="79"/>
        <v>-39.398150291122228</v>
      </c>
      <c r="AC146">
        <f t="shared" si="80"/>
        <v>-214.71696756507509</v>
      </c>
      <c r="AD146">
        <f t="shared" si="81"/>
        <v>-22.211187266916447</v>
      </c>
      <c r="AE146">
        <f t="shared" si="82"/>
        <v>-0.21229251437259222</v>
      </c>
      <c r="AF146">
        <v>16</v>
      </c>
      <c r="AG146">
        <v>5</v>
      </c>
      <c r="AH146">
        <f t="shared" si="83"/>
        <v>1</v>
      </c>
      <c r="AI146">
        <f t="shared" si="84"/>
        <v>0</v>
      </c>
      <c r="AJ146">
        <f t="shared" si="85"/>
        <v>52587.550414479265</v>
      </c>
      <c r="AK146">
        <f t="shared" si="86"/>
        <v>1799.99</v>
      </c>
      <c r="AL146">
        <f t="shared" si="87"/>
        <v>1499.1027590050701</v>
      </c>
      <c r="AM146">
        <f t="shared" si="88"/>
        <v>0.83283949300000004</v>
      </c>
      <c r="AN146">
        <f t="shared" si="89"/>
        <v>0.15339752588</v>
      </c>
      <c r="AO146">
        <v>33.299999999999997</v>
      </c>
      <c r="AP146">
        <v>0.5</v>
      </c>
      <c r="AQ146" t="s">
        <v>331</v>
      </c>
      <c r="AR146">
        <v>2</v>
      </c>
      <c r="AS146">
        <v>1690202185.5999999</v>
      </c>
      <c r="AT146">
        <v>360.351</v>
      </c>
      <c r="AU146">
        <v>799.779</v>
      </c>
      <c r="AV146">
        <v>28.082599999999999</v>
      </c>
      <c r="AW146">
        <v>18.451699999999999</v>
      </c>
      <c r="AX146">
        <v>361.572</v>
      </c>
      <c r="AY146">
        <v>27.904399999999999</v>
      </c>
      <c r="AZ146">
        <v>300.22300000000001</v>
      </c>
      <c r="BA146">
        <v>98.995199999999997</v>
      </c>
      <c r="BB146">
        <v>9.9972400000000003E-2</v>
      </c>
      <c r="BC146">
        <v>25.781600000000001</v>
      </c>
      <c r="BD146">
        <v>26.985499999999998</v>
      </c>
      <c r="BE146">
        <v>27.4664</v>
      </c>
      <c r="BF146">
        <v>0</v>
      </c>
      <c r="BG146">
        <v>0</v>
      </c>
      <c r="BH146">
        <v>10005.6</v>
      </c>
      <c r="BI146">
        <v>1073.47</v>
      </c>
      <c r="BJ146">
        <v>1.2362599999999999</v>
      </c>
      <c r="BK146">
        <v>-439.428</v>
      </c>
      <c r="BL146">
        <v>370.76299999999998</v>
      </c>
      <c r="BM146">
        <v>814.81399999999996</v>
      </c>
      <c r="BN146">
        <v>9.6309199999999997</v>
      </c>
      <c r="BO146">
        <v>799.779</v>
      </c>
      <c r="BP146">
        <v>18.451699999999999</v>
      </c>
      <c r="BQ146">
        <v>2.7800500000000001</v>
      </c>
      <c r="BR146">
        <v>1.82663</v>
      </c>
      <c r="BS146">
        <v>22.766100000000002</v>
      </c>
      <c r="BT146">
        <v>16.0166</v>
      </c>
      <c r="BU146">
        <v>1799.99</v>
      </c>
      <c r="BV146">
        <v>0.90999399999999997</v>
      </c>
      <c r="BW146">
        <v>3.4002999999999999E-2</v>
      </c>
      <c r="BX146">
        <v>2.20009E-2</v>
      </c>
      <c r="BY146">
        <v>3.4002200000000003E-2</v>
      </c>
      <c r="BZ146">
        <v>25</v>
      </c>
      <c r="CA146">
        <v>33528.1</v>
      </c>
      <c r="CB146">
        <v>1690200769.5</v>
      </c>
      <c r="CC146" t="s">
        <v>332</v>
      </c>
      <c r="CD146">
        <v>1690200769.5</v>
      </c>
      <c r="CE146">
        <v>1690200753</v>
      </c>
      <c r="CF146">
        <v>2</v>
      </c>
      <c r="CG146">
        <v>-0.245</v>
      </c>
      <c r="CH146">
        <v>3.0000000000000001E-3</v>
      </c>
      <c r="CI146">
        <v>-1.5169999999999999</v>
      </c>
      <c r="CJ146">
        <v>-1.6E-2</v>
      </c>
      <c r="CK146">
        <v>778</v>
      </c>
      <c r="CL146">
        <v>12</v>
      </c>
      <c r="CM146">
        <v>0.01</v>
      </c>
      <c r="CN146">
        <v>0.03</v>
      </c>
      <c r="CO146">
        <v>-438.85075609756097</v>
      </c>
      <c r="CP146">
        <v>-3.5560503127306982</v>
      </c>
      <c r="CQ146">
        <v>0.34775810070962082</v>
      </c>
      <c r="CR146">
        <v>-1</v>
      </c>
      <c r="CS146">
        <v>10.296981951219511</v>
      </c>
      <c r="CT146">
        <v>-3.8345722303307861</v>
      </c>
      <c r="CU146">
        <v>0.37211254022313561</v>
      </c>
      <c r="CV146">
        <v>-1</v>
      </c>
      <c r="CW146">
        <v>0</v>
      </c>
      <c r="CX146">
        <v>0</v>
      </c>
      <c r="CY146" t="s">
        <v>333</v>
      </c>
      <c r="CZ146">
        <v>2.3654199999999999</v>
      </c>
      <c r="DA146">
        <v>2.7137699999999998</v>
      </c>
      <c r="DB146">
        <v>8.2870600000000003E-2</v>
      </c>
      <c r="DC146">
        <v>0.146453</v>
      </c>
      <c r="DD146">
        <v>0.1273</v>
      </c>
      <c r="DE146">
        <v>9.3287200000000001E-2</v>
      </c>
      <c r="DF146">
        <v>33461.599999999999</v>
      </c>
      <c r="DG146">
        <v>27440.5</v>
      </c>
      <c r="DH146">
        <v>31144.400000000001</v>
      </c>
      <c r="DI146">
        <v>28009.9</v>
      </c>
      <c r="DJ146">
        <v>36876.800000000003</v>
      </c>
      <c r="DK146">
        <v>36080.300000000003</v>
      </c>
      <c r="DL146">
        <v>44311.8</v>
      </c>
      <c r="DM146">
        <v>42415.8</v>
      </c>
      <c r="DN146">
        <v>1.43737</v>
      </c>
      <c r="DO146">
        <v>2.0868000000000002</v>
      </c>
      <c r="DP146">
        <v>0.138655</v>
      </c>
      <c r="DQ146">
        <v>0.173599</v>
      </c>
      <c r="DR146">
        <v>24.7136</v>
      </c>
      <c r="DS146">
        <v>24.622900000000001</v>
      </c>
      <c r="DT146">
        <v>48.4</v>
      </c>
      <c r="DU146">
        <v>25.6</v>
      </c>
      <c r="DV146">
        <v>16.113199999999999</v>
      </c>
      <c r="DW146">
        <v>61.535400000000003</v>
      </c>
      <c r="DX146">
        <v>35.3125</v>
      </c>
      <c r="DY146">
        <v>1</v>
      </c>
      <c r="DZ146">
        <v>-0.157665</v>
      </c>
      <c r="EA146">
        <v>1.3382399999999999E-2</v>
      </c>
      <c r="EB146">
        <v>20.190000000000001</v>
      </c>
      <c r="EC146">
        <v>5.2418500000000003</v>
      </c>
      <c r="ED146">
        <v>12.039899999999999</v>
      </c>
      <c r="EE146">
        <v>5.01715</v>
      </c>
      <c r="EF146">
        <v>3.2879999999999998</v>
      </c>
      <c r="EG146">
        <v>9999</v>
      </c>
      <c r="EH146">
        <v>9999</v>
      </c>
      <c r="EI146">
        <v>9999</v>
      </c>
      <c r="EJ146">
        <v>999.9</v>
      </c>
      <c r="EK146">
        <v>1.8687800000000001</v>
      </c>
      <c r="EL146">
        <v>1.86449</v>
      </c>
      <c r="EM146">
        <v>1.8690500000000001</v>
      </c>
      <c r="EN146">
        <v>1.86711</v>
      </c>
      <c r="EO146">
        <v>1.86331</v>
      </c>
      <c r="EP146">
        <v>1.8644099999999999</v>
      </c>
      <c r="EQ146">
        <v>1.87009</v>
      </c>
      <c r="ER146">
        <v>1.8693500000000001</v>
      </c>
      <c r="ES146">
        <v>0</v>
      </c>
      <c r="ET146">
        <v>0</v>
      </c>
      <c r="EU146">
        <v>0</v>
      </c>
      <c r="EV146">
        <v>0</v>
      </c>
      <c r="EW146" t="s">
        <v>334</v>
      </c>
      <c r="EX146" t="s">
        <v>335</v>
      </c>
      <c r="EY146" t="s">
        <v>336</v>
      </c>
      <c r="EZ146" t="s">
        <v>336</v>
      </c>
      <c r="FA146" t="s">
        <v>336</v>
      </c>
      <c r="FB146" t="s">
        <v>336</v>
      </c>
      <c r="FC146">
        <v>0</v>
      </c>
      <c r="FD146">
        <v>100</v>
      </c>
      <c r="FE146">
        <v>100</v>
      </c>
      <c r="FF146">
        <v>-1.2210000000000001</v>
      </c>
      <c r="FG146">
        <v>0.1782</v>
      </c>
      <c r="FH146">
        <v>-0.98020551812546231</v>
      </c>
      <c r="FI146">
        <v>-6.1462078757559423E-4</v>
      </c>
      <c r="FJ146">
        <v>-1.8861989874597051E-7</v>
      </c>
      <c r="FK146">
        <v>1.1980462299894961E-10</v>
      </c>
      <c r="FL146">
        <v>0.1782306200647516</v>
      </c>
      <c r="FM146">
        <v>0</v>
      </c>
      <c r="FN146">
        <v>0</v>
      </c>
      <c r="FO146">
        <v>0</v>
      </c>
      <c r="FP146">
        <v>3</v>
      </c>
      <c r="FQ146">
        <v>2158</v>
      </c>
      <c r="FR146">
        <v>1</v>
      </c>
      <c r="FS146">
        <v>19</v>
      </c>
      <c r="FT146">
        <v>23.6</v>
      </c>
      <c r="FU146">
        <v>23.9</v>
      </c>
      <c r="FV146">
        <v>1.78589</v>
      </c>
      <c r="FW146">
        <v>2.5402800000000001</v>
      </c>
      <c r="FX146">
        <v>1.5490699999999999</v>
      </c>
      <c r="FY146">
        <v>2.33887</v>
      </c>
      <c r="FZ146">
        <v>1.50146</v>
      </c>
      <c r="GA146">
        <v>2.4206500000000002</v>
      </c>
      <c r="GB146">
        <v>30.955200000000001</v>
      </c>
      <c r="GC146">
        <v>23.982399999999998</v>
      </c>
      <c r="GD146">
        <v>19</v>
      </c>
      <c r="GE146">
        <v>263.42099999999999</v>
      </c>
      <c r="GF146">
        <v>616.25199999999995</v>
      </c>
      <c r="GG146">
        <v>23.8809</v>
      </c>
      <c r="GH146">
        <v>25.430299999999999</v>
      </c>
      <c r="GI146">
        <v>30.0001</v>
      </c>
      <c r="GJ146">
        <v>25.556100000000001</v>
      </c>
      <c r="GK146">
        <v>25.536000000000001</v>
      </c>
      <c r="GL146">
        <v>35.709600000000002</v>
      </c>
      <c r="GM146">
        <v>0</v>
      </c>
      <c r="GN146">
        <v>63.255000000000003</v>
      </c>
      <c r="GO146">
        <v>24.320699999999999</v>
      </c>
      <c r="GP146">
        <v>800</v>
      </c>
      <c r="GQ146">
        <v>21.672799999999999</v>
      </c>
      <c r="GR146">
        <v>99.636099999999999</v>
      </c>
      <c r="GS146">
        <v>99.260199999999998</v>
      </c>
    </row>
    <row r="147" spans="1:201" x14ac:dyDescent="0.25">
      <c r="A147">
        <v>131</v>
      </c>
      <c r="B147">
        <v>1690202195.5999999</v>
      </c>
      <c r="C147">
        <v>1348.599999904633</v>
      </c>
      <c r="D147" t="s">
        <v>595</v>
      </c>
      <c r="E147" t="s">
        <v>596</v>
      </c>
      <c r="F147" t="s">
        <v>330</v>
      </c>
      <c r="H147">
        <v>1690202195.5999999</v>
      </c>
      <c r="I147">
        <f t="shared" si="60"/>
        <v>8.4618648516955434E-4</v>
      </c>
      <c r="J147">
        <f t="shared" si="61"/>
        <v>0.8461864851695543</v>
      </c>
      <c r="K147">
        <f t="shared" si="62"/>
        <v>39.373971895265953</v>
      </c>
      <c r="L147">
        <f t="shared" si="63"/>
        <v>359.74200000000002</v>
      </c>
      <c r="M147">
        <f t="shared" si="64"/>
        <v>-370.29314109493527</v>
      </c>
      <c r="N147">
        <f t="shared" si="65"/>
        <v>-36.694755330364366</v>
      </c>
      <c r="O147">
        <f t="shared" si="66"/>
        <v>35.649174146251802</v>
      </c>
      <c r="P147">
        <f t="shared" si="67"/>
        <v>8.8014023673783748E-2</v>
      </c>
      <c r="Q147">
        <f t="shared" si="68"/>
        <v>2.0862833224255946</v>
      </c>
      <c r="R147">
        <f t="shared" si="69"/>
        <v>8.6002083715745303E-2</v>
      </c>
      <c r="S147">
        <f t="shared" si="70"/>
        <v>5.392823654998196E-2</v>
      </c>
      <c r="T147">
        <f t="shared" si="71"/>
        <v>276.1137340422888</v>
      </c>
      <c r="U147">
        <f t="shared" si="72"/>
        <v>27.71983594633247</v>
      </c>
      <c r="V147">
        <f t="shared" si="73"/>
        <v>27.71983594633247</v>
      </c>
      <c r="W147">
        <f t="shared" si="74"/>
        <v>3.7332998936052442</v>
      </c>
      <c r="X147">
        <f t="shared" si="75"/>
        <v>83.712755007836719</v>
      </c>
      <c r="Y147">
        <f t="shared" si="76"/>
        <v>2.7903692383084904</v>
      </c>
      <c r="Z147">
        <f t="shared" si="77"/>
        <v>3.3332665231806931</v>
      </c>
      <c r="AA147">
        <f t="shared" si="78"/>
        <v>0.94293065529675379</v>
      </c>
      <c r="AB147">
        <f t="shared" si="79"/>
        <v>-37.316823995977344</v>
      </c>
      <c r="AC147">
        <f t="shared" si="80"/>
        <v>-216.65474890823572</v>
      </c>
      <c r="AD147">
        <f t="shared" si="81"/>
        <v>-22.357199017242294</v>
      </c>
      <c r="AE147">
        <f t="shared" si="82"/>
        <v>-0.21503787916657302</v>
      </c>
      <c r="AF147">
        <v>15</v>
      </c>
      <c r="AG147">
        <v>5</v>
      </c>
      <c r="AH147">
        <f t="shared" si="83"/>
        <v>1</v>
      </c>
      <c r="AI147">
        <f t="shared" si="84"/>
        <v>0</v>
      </c>
      <c r="AJ147">
        <f t="shared" si="85"/>
        <v>52831.966499496099</v>
      </c>
      <c r="AK147">
        <f t="shared" si="86"/>
        <v>1799.99</v>
      </c>
      <c r="AL147">
        <f t="shared" si="87"/>
        <v>1499.1009212152799</v>
      </c>
      <c r="AM147">
        <f t="shared" si="88"/>
        <v>0.83283847199999994</v>
      </c>
      <c r="AN147">
        <f t="shared" si="89"/>
        <v>0.15339737111999999</v>
      </c>
      <c r="AO147">
        <v>33.299999999999997</v>
      </c>
      <c r="AP147">
        <v>0.5</v>
      </c>
      <c r="AQ147" t="s">
        <v>331</v>
      </c>
      <c r="AR147">
        <v>2</v>
      </c>
      <c r="AS147">
        <v>1690202195.5999999</v>
      </c>
      <c r="AT147">
        <v>359.74200000000002</v>
      </c>
      <c r="AU147">
        <v>799.88300000000004</v>
      </c>
      <c r="AV147">
        <v>28.158100000000001</v>
      </c>
      <c r="AW147">
        <v>19.035900000000002</v>
      </c>
      <c r="AX147">
        <v>360.96300000000002</v>
      </c>
      <c r="AY147">
        <v>27.979900000000001</v>
      </c>
      <c r="AZ147">
        <v>300.197</v>
      </c>
      <c r="BA147">
        <v>98.996600000000001</v>
      </c>
      <c r="BB147">
        <v>9.9902900000000003E-2</v>
      </c>
      <c r="BC147">
        <v>25.793600000000001</v>
      </c>
      <c r="BD147">
        <v>26.996700000000001</v>
      </c>
      <c r="BE147">
        <v>27.5029</v>
      </c>
      <c r="BF147">
        <v>0</v>
      </c>
      <c r="BG147">
        <v>0</v>
      </c>
      <c r="BH147">
        <v>10054.4</v>
      </c>
      <c r="BI147">
        <v>1073.3599999999999</v>
      </c>
      <c r="BJ147">
        <v>1.2334499999999999</v>
      </c>
      <c r="BK147">
        <v>-440.14100000000002</v>
      </c>
      <c r="BL147">
        <v>370.16500000000002</v>
      </c>
      <c r="BM147">
        <v>815.40599999999995</v>
      </c>
      <c r="BN147">
        <v>9.1221899999999998</v>
      </c>
      <c r="BO147">
        <v>799.88300000000004</v>
      </c>
      <c r="BP147">
        <v>19.035900000000002</v>
      </c>
      <c r="BQ147">
        <v>2.78756</v>
      </c>
      <c r="BR147">
        <v>1.88449</v>
      </c>
      <c r="BS147">
        <v>22.810600000000001</v>
      </c>
      <c r="BT147">
        <v>16.505800000000001</v>
      </c>
      <c r="BU147">
        <v>1799.99</v>
      </c>
      <c r="BV147">
        <v>0.90999200000000002</v>
      </c>
      <c r="BW147">
        <v>3.4007700000000002E-2</v>
      </c>
      <c r="BX147">
        <v>2.1999600000000001E-2</v>
      </c>
      <c r="BY147">
        <v>3.4000200000000001E-2</v>
      </c>
      <c r="BZ147">
        <v>25</v>
      </c>
      <c r="CA147">
        <v>33528.199999999997</v>
      </c>
      <c r="CB147">
        <v>1690200769.5</v>
      </c>
      <c r="CC147" t="s">
        <v>332</v>
      </c>
      <c r="CD147">
        <v>1690200769.5</v>
      </c>
      <c r="CE147">
        <v>1690200753</v>
      </c>
      <c r="CF147">
        <v>2</v>
      </c>
      <c r="CG147">
        <v>-0.245</v>
      </c>
      <c r="CH147">
        <v>3.0000000000000001E-3</v>
      </c>
      <c r="CI147">
        <v>-1.5169999999999999</v>
      </c>
      <c r="CJ147">
        <v>-1.6E-2</v>
      </c>
      <c r="CK147">
        <v>778</v>
      </c>
      <c r="CL147">
        <v>12</v>
      </c>
      <c r="CM147">
        <v>0.01</v>
      </c>
      <c r="CN147">
        <v>0.03</v>
      </c>
      <c r="CO147">
        <v>-439.40962500000012</v>
      </c>
      <c r="CP147">
        <v>-3.5652720450280611</v>
      </c>
      <c r="CQ147">
        <v>0.34458494507886139</v>
      </c>
      <c r="CR147">
        <v>-1</v>
      </c>
      <c r="CS147">
        <v>9.7091290000000008</v>
      </c>
      <c r="CT147">
        <v>-3.4203046153846359</v>
      </c>
      <c r="CU147">
        <v>0.32920767597976819</v>
      </c>
      <c r="CV147">
        <v>-1</v>
      </c>
      <c r="CW147">
        <v>0</v>
      </c>
      <c r="CX147">
        <v>0</v>
      </c>
      <c r="CY147" t="s">
        <v>333</v>
      </c>
      <c r="CZ147">
        <v>2.3653400000000002</v>
      </c>
      <c r="DA147">
        <v>2.71374</v>
      </c>
      <c r="DB147">
        <v>8.2762699999999995E-2</v>
      </c>
      <c r="DC147">
        <v>0.146479</v>
      </c>
      <c r="DD147">
        <v>0.12753800000000001</v>
      </c>
      <c r="DE147">
        <v>9.5388399999999998E-2</v>
      </c>
      <c r="DF147">
        <v>33465.800000000003</v>
      </c>
      <c r="DG147">
        <v>27440.2</v>
      </c>
      <c r="DH147">
        <v>31144.7</v>
      </c>
      <c r="DI147">
        <v>28010.400000000001</v>
      </c>
      <c r="DJ147">
        <v>36866.800000000003</v>
      </c>
      <c r="DK147">
        <v>35997.1</v>
      </c>
      <c r="DL147">
        <v>44312.1</v>
      </c>
      <c r="DM147">
        <v>42416.5</v>
      </c>
      <c r="DN147">
        <v>1.4380999999999999</v>
      </c>
      <c r="DO147">
        <v>2.08792</v>
      </c>
      <c r="DP147">
        <v>0.13925100000000001</v>
      </c>
      <c r="DQ147">
        <v>0.175871</v>
      </c>
      <c r="DR147">
        <v>24.7151</v>
      </c>
      <c r="DS147">
        <v>24.622299999999999</v>
      </c>
      <c r="DT147">
        <v>50</v>
      </c>
      <c r="DU147">
        <v>25.6</v>
      </c>
      <c r="DV147">
        <v>16.6417</v>
      </c>
      <c r="DW147">
        <v>61.645400000000002</v>
      </c>
      <c r="DX147">
        <v>35.400599999999997</v>
      </c>
      <c r="DY147">
        <v>1</v>
      </c>
      <c r="DZ147">
        <v>-0.157833</v>
      </c>
      <c r="EA147">
        <v>-0.50036800000000003</v>
      </c>
      <c r="EB147">
        <v>20.1907</v>
      </c>
      <c r="EC147">
        <v>5.2415500000000002</v>
      </c>
      <c r="ED147">
        <v>12.039899999999999</v>
      </c>
      <c r="EE147">
        <v>5.0174000000000003</v>
      </c>
      <c r="EF147">
        <v>3.2879999999999998</v>
      </c>
      <c r="EG147">
        <v>9999</v>
      </c>
      <c r="EH147">
        <v>9999</v>
      </c>
      <c r="EI147">
        <v>9999</v>
      </c>
      <c r="EJ147">
        <v>999.9</v>
      </c>
      <c r="EK147">
        <v>1.86876</v>
      </c>
      <c r="EL147">
        <v>1.86449</v>
      </c>
      <c r="EM147">
        <v>1.8690500000000001</v>
      </c>
      <c r="EN147">
        <v>1.8671</v>
      </c>
      <c r="EO147">
        <v>1.86331</v>
      </c>
      <c r="EP147">
        <v>1.8643799999999999</v>
      </c>
      <c r="EQ147">
        <v>1.8701000000000001</v>
      </c>
      <c r="ER147">
        <v>1.8693299999999999</v>
      </c>
      <c r="ES147">
        <v>0</v>
      </c>
      <c r="ET147">
        <v>0</v>
      </c>
      <c r="EU147">
        <v>0</v>
      </c>
      <c r="EV147">
        <v>0</v>
      </c>
      <c r="EW147" t="s">
        <v>334</v>
      </c>
      <c r="EX147" t="s">
        <v>335</v>
      </c>
      <c r="EY147" t="s">
        <v>336</v>
      </c>
      <c r="EZ147" t="s">
        <v>336</v>
      </c>
      <c r="FA147" t="s">
        <v>336</v>
      </c>
      <c r="FB147" t="s">
        <v>336</v>
      </c>
      <c r="FC147">
        <v>0</v>
      </c>
      <c r="FD147">
        <v>100</v>
      </c>
      <c r="FE147">
        <v>100</v>
      </c>
      <c r="FF147">
        <v>-1.2210000000000001</v>
      </c>
      <c r="FG147">
        <v>0.1782</v>
      </c>
      <c r="FH147">
        <v>-0.98020551812546231</v>
      </c>
      <c r="FI147">
        <v>-6.1462078757559423E-4</v>
      </c>
      <c r="FJ147">
        <v>-1.8861989874597051E-7</v>
      </c>
      <c r="FK147">
        <v>1.1980462299894961E-10</v>
      </c>
      <c r="FL147">
        <v>0.1782306200647516</v>
      </c>
      <c r="FM147">
        <v>0</v>
      </c>
      <c r="FN147">
        <v>0</v>
      </c>
      <c r="FO147">
        <v>0</v>
      </c>
      <c r="FP147">
        <v>3</v>
      </c>
      <c r="FQ147">
        <v>2158</v>
      </c>
      <c r="FR147">
        <v>1</v>
      </c>
      <c r="FS147">
        <v>19</v>
      </c>
      <c r="FT147">
        <v>23.8</v>
      </c>
      <c r="FU147">
        <v>24</v>
      </c>
      <c r="FV147">
        <v>1.78711</v>
      </c>
      <c r="FW147">
        <v>2.5476100000000002</v>
      </c>
      <c r="FX147">
        <v>1.5490699999999999</v>
      </c>
      <c r="FY147">
        <v>2.34009</v>
      </c>
      <c r="FZ147">
        <v>1.50146</v>
      </c>
      <c r="GA147">
        <v>2.3901400000000002</v>
      </c>
      <c r="GB147">
        <v>30.955200000000001</v>
      </c>
      <c r="GC147">
        <v>23.991199999999999</v>
      </c>
      <c r="GD147">
        <v>19</v>
      </c>
      <c r="GE147">
        <v>263.721</v>
      </c>
      <c r="GF147">
        <v>617.245</v>
      </c>
      <c r="GG147">
        <v>24.366199999999999</v>
      </c>
      <c r="GH147">
        <v>25.431899999999999</v>
      </c>
      <c r="GI147">
        <v>29.9999</v>
      </c>
      <c r="GJ147">
        <v>25.558299999999999</v>
      </c>
      <c r="GK147">
        <v>25.5381</v>
      </c>
      <c r="GL147">
        <v>35.7273</v>
      </c>
      <c r="GM147">
        <v>0</v>
      </c>
      <c r="GN147">
        <v>65.725200000000001</v>
      </c>
      <c r="GO147">
        <v>24.346900000000002</v>
      </c>
      <c r="GP147">
        <v>800</v>
      </c>
      <c r="GQ147">
        <v>21.1343</v>
      </c>
      <c r="GR147">
        <v>99.636799999999994</v>
      </c>
      <c r="GS147">
        <v>99.261899999999997</v>
      </c>
    </row>
    <row r="148" spans="1:201" x14ac:dyDescent="0.25">
      <c r="A148">
        <v>132</v>
      </c>
      <c r="B148">
        <v>1690202205.5999999</v>
      </c>
      <c r="C148">
        <v>1358.599999904633</v>
      </c>
      <c r="D148" t="s">
        <v>597</v>
      </c>
      <c r="E148" t="s">
        <v>598</v>
      </c>
      <c r="F148" t="s">
        <v>330</v>
      </c>
      <c r="H148">
        <v>1690202205.5999999</v>
      </c>
      <c r="I148">
        <f t="shared" si="60"/>
        <v>8.1115199573302736E-4</v>
      </c>
      <c r="J148">
        <f t="shared" si="61"/>
        <v>0.81115199573302732</v>
      </c>
      <c r="K148">
        <f t="shared" si="62"/>
        <v>39.429747502874733</v>
      </c>
      <c r="L148">
        <f t="shared" si="63"/>
        <v>359.221</v>
      </c>
      <c r="M148">
        <f t="shared" si="64"/>
        <v>-407.62864870667357</v>
      </c>
      <c r="N148">
        <f t="shared" si="65"/>
        <v>-40.394928653999848</v>
      </c>
      <c r="O148">
        <f t="shared" si="66"/>
        <v>35.597857785654</v>
      </c>
      <c r="P148">
        <f t="shared" si="67"/>
        <v>8.3797710935130415E-2</v>
      </c>
      <c r="Q148">
        <f t="shared" si="68"/>
        <v>2.0844148865926089</v>
      </c>
      <c r="R148">
        <f t="shared" si="69"/>
        <v>8.1970165145828985E-2</v>
      </c>
      <c r="S148">
        <f t="shared" si="70"/>
        <v>5.1392231304941041E-2</v>
      </c>
      <c r="T148">
        <f t="shared" si="71"/>
        <v>276.1137098324233</v>
      </c>
      <c r="U148">
        <f t="shared" si="72"/>
        <v>27.777296438780596</v>
      </c>
      <c r="V148">
        <f t="shared" si="73"/>
        <v>27.777296438780596</v>
      </c>
      <c r="W148">
        <f t="shared" si="74"/>
        <v>3.7458499735144355</v>
      </c>
      <c r="X148">
        <f t="shared" si="75"/>
        <v>83.713271402300933</v>
      </c>
      <c r="Y148">
        <f t="shared" si="76"/>
        <v>2.7975882361817996</v>
      </c>
      <c r="Z148">
        <f t="shared" si="77"/>
        <v>3.3418694423461579</v>
      </c>
      <c r="AA148">
        <f t="shared" si="78"/>
        <v>0.94826173733263586</v>
      </c>
      <c r="AB148">
        <f t="shared" si="79"/>
        <v>-35.771803011826506</v>
      </c>
      <c r="AC148">
        <f t="shared" si="80"/>
        <v>-218.02952701313302</v>
      </c>
      <c r="AD148">
        <f t="shared" si="81"/>
        <v>-22.530616158930634</v>
      </c>
      <c r="AE148">
        <f t="shared" si="82"/>
        <v>-0.2182363514668566</v>
      </c>
      <c r="AF148">
        <v>16</v>
      </c>
      <c r="AG148">
        <v>5</v>
      </c>
      <c r="AH148">
        <f t="shared" si="83"/>
        <v>1</v>
      </c>
      <c r="AI148">
        <f t="shared" si="84"/>
        <v>0</v>
      </c>
      <c r="AJ148">
        <f t="shared" si="85"/>
        <v>52739.636275104967</v>
      </c>
      <c r="AK148">
        <f t="shared" si="86"/>
        <v>1799.99</v>
      </c>
      <c r="AL148">
        <f t="shared" si="87"/>
        <v>1499.1031532028796</v>
      </c>
      <c r="AM148">
        <f t="shared" si="88"/>
        <v>0.83283971199999984</v>
      </c>
      <c r="AN148">
        <f t="shared" si="89"/>
        <v>0.15339735767000001</v>
      </c>
      <c r="AO148">
        <v>33.299999999999997</v>
      </c>
      <c r="AP148">
        <v>0.5</v>
      </c>
      <c r="AQ148" t="s">
        <v>331</v>
      </c>
      <c r="AR148">
        <v>2</v>
      </c>
      <c r="AS148">
        <v>1690202205.5999999</v>
      </c>
      <c r="AT148">
        <v>359.221</v>
      </c>
      <c r="AU148">
        <v>799.82299999999998</v>
      </c>
      <c r="AV148">
        <v>28.230699999999999</v>
      </c>
      <c r="AW148">
        <v>19.487100000000002</v>
      </c>
      <c r="AX148">
        <v>360.44099999999997</v>
      </c>
      <c r="AY148">
        <v>28.052499999999998</v>
      </c>
      <c r="AZ148">
        <v>300.20600000000002</v>
      </c>
      <c r="BA148">
        <v>98.997399999999999</v>
      </c>
      <c r="BB148">
        <v>9.9973999999999993E-2</v>
      </c>
      <c r="BC148">
        <v>25.8371</v>
      </c>
      <c r="BD148">
        <v>27.0717</v>
      </c>
      <c r="BE148">
        <v>27.557700000000001</v>
      </c>
      <c r="BF148">
        <v>0</v>
      </c>
      <c r="BG148">
        <v>0</v>
      </c>
      <c r="BH148">
        <v>10037.5</v>
      </c>
      <c r="BI148">
        <v>1073.23</v>
      </c>
      <c r="BJ148">
        <v>1.2334499999999999</v>
      </c>
      <c r="BK148">
        <v>-440.60300000000001</v>
      </c>
      <c r="BL148">
        <v>369.65600000000001</v>
      </c>
      <c r="BM148">
        <v>815.71900000000005</v>
      </c>
      <c r="BN148">
        <v>8.7436000000000007</v>
      </c>
      <c r="BO148">
        <v>799.82299999999998</v>
      </c>
      <c r="BP148">
        <v>19.487100000000002</v>
      </c>
      <c r="BQ148">
        <v>2.7947700000000002</v>
      </c>
      <c r="BR148">
        <v>1.9291799999999999</v>
      </c>
      <c r="BS148">
        <v>22.853200000000001</v>
      </c>
      <c r="BT148">
        <v>16.874700000000001</v>
      </c>
      <c r="BU148">
        <v>1799.99</v>
      </c>
      <c r="BV148">
        <v>0.909999</v>
      </c>
      <c r="BW148">
        <v>3.4005399999999998E-2</v>
      </c>
      <c r="BX148">
        <v>2.19981E-2</v>
      </c>
      <c r="BY148">
        <v>3.3997899999999998E-2</v>
      </c>
      <c r="BZ148">
        <v>25</v>
      </c>
      <c r="CA148">
        <v>33528.199999999997</v>
      </c>
      <c r="CB148">
        <v>1690200769.5</v>
      </c>
      <c r="CC148" t="s">
        <v>332</v>
      </c>
      <c r="CD148">
        <v>1690200769.5</v>
      </c>
      <c r="CE148">
        <v>1690200753</v>
      </c>
      <c r="CF148">
        <v>2</v>
      </c>
      <c r="CG148">
        <v>-0.245</v>
      </c>
      <c r="CH148">
        <v>3.0000000000000001E-3</v>
      </c>
      <c r="CI148">
        <v>-1.5169999999999999</v>
      </c>
      <c r="CJ148">
        <v>-1.6E-2</v>
      </c>
      <c r="CK148">
        <v>778</v>
      </c>
      <c r="CL148">
        <v>12</v>
      </c>
      <c r="CM148">
        <v>0.01</v>
      </c>
      <c r="CN148">
        <v>0.03</v>
      </c>
      <c r="CO148">
        <v>-439.98752500000001</v>
      </c>
      <c r="CP148">
        <v>-3.5271332082539022</v>
      </c>
      <c r="CQ148">
        <v>0.3406644967926673</v>
      </c>
      <c r="CR148">
        <v>-1</v>
      </c>
      <c r="CS148">
        <v>9.19860875</v>
      </c>
      <c r="CT148">
        <v>-2.706046266416513</v>
      </c>
      <c r="CU148">
        <v>0.26133868272978172</v>
      </c>
      <c r="CV148">
        <v>-1</v>
      </c>
      <c r="CW148">
        <v>0</v>
      </c>
      <c r="CX148">
        <v>0</v>
      </c>
      <c r="CY148" t="s">
        <v>333</v>
      </c>
      <c r="CZ148">
        <v>2.36537</v>
      </c>
      <c r="DA148">
        <v>2.7138</v>
      </c>
      <c r="DB148">
        <v>8.2669800000000002E-2</v>
      </c>
      <c r="DC148">
        <v>0.146482</v>
      </c>
      <c r="DD148">
        <v>0.12776599999999999</v>
      </c>
      <c r="DE148">
        <v>9.6993700000000002E-2</v>
      </c>
      <c r="DF148">
        <v>33469.1</v>
      </c>
      <c r="DG148">
        <v>27439.7</v>
      </c>
      <c r="DH148">
        <v>31144.6</v>
      </c>
      <c r="DI148">
        <v>28010</v>
      </c>
      <c r="DJ148">
        <v>36857</v>
      </c>
      <c r="DK148">
        <v>35932.6</v>
      </c>
      <c r="DL148">
        <v>44312</v>
      </c>
      <c r="DM148">
        <v>42416</v>
      </c>
      <c r="DN148">
        <v>1.4374499999999999</v>
      </c>
      <c r="DO148">
        <v>2.0888200000000001</v>
      </c>
      <c r="DP148">
        <v>0.14368400000000001</v>
      </c>
      <c r="DQ148">
        <v>0.17907500000000001</v>
      </c>
      <c r="DR148">
        <v>24.717700000000001</v>
      </c>
      <c r="DS148">
        <v>24.6248</v>
      </c>
      <c r="DT148">
        <v>51.1</v>
      </c>
      <c r="DU148">
        <v>25.6</v>
      </c>
      <c r="DV148">
        <v>17.009799999999998</v>
      </c>
      <c r="DW148">
        <v>61.695399999999999</v>
      </c>
      <c r="DX148">
        <v>35.741199999999999</v>
      </c>
      <c r="DY148">
        <v>1</v>
      </c>
      <c r="DZ148">
        <v>-0.15773599999999999</v>
      </c>
      <c r="EA148">
        <v>-6.7363800000000001E-2</v>
      </c>
      <c r="EB148">
        <v>20.1919</v>
      </c>
      <c r="EC148">
        <v>5.24125</v>
      </c>
      <c r="ED148">
        <v>12.039899999999999</v>
      </c>
      <c r="EE148">
        <v>5.01715</v>
      </c>
      <c r="EF148">
        <v>3.2879999999999998</v>
      </c>
      <c r="EG148">
        <v>9999</v>
      </c>
      <c r="EH148">
        <v>9999</v>
      </c>
      <c r="EI148">
        <v>9999</v>
      </c>
      <c r="EJ148">
        <v>999.9</v>
      </c>
      <c r="EK148">
        <v>1.86877</v>
      </c>
      <c r="EL148">
        <v>1.8644700000000001</v>
      </c>
      <c r="EM148">
        <v>1.8690500000000001</v>
      </c>
      <c r="EN148">
        <v>1.86714</v>
      </c>
      <c r="EO148">
        <v>1.8632899999999999</v>
      </c>
      <c r="EP148">
        <v>1.86436</v>
      </c>
      <c r="EQ148">
        <v>1.87012</v>
      </c>
      <c r="ER148">
        <v>1.8693500000000001</v>
      </c>
      <c r="ES148">
        <v>0</v>
      </c>
      <c r="ET148">
        <v>0</v>
      </c>
      <c r="EU148">
        <v>0</v>
      </c>
      <c r="EV148">
        <v>0</v>
      </c>
      <c r="EW148" t="s">
        <v>334</v>
      </c>
      <c r="EX148" t="s">
        <v>335</v>
      </c>
      <c r="EY148" t="s">
        <v>336</v>
      </c>
      <c r="EZ148" t="s">
        <v>336</v>
      </c>
      <c r="FA148" t="s">
        <v>336</v>
      </c>
      <c r="FB148" t="s">
        <v>336</v>
      </c>
      <c r="FC148">
        <v>0</v>
      </c>
      <c r="FD148">
        <v>100</v>
      </c>
      <c r="FE148">
        <v>100</v>
      </c>
      <c r="FF148">
        <v>-1.22</v>
      </c>
      <c r="FG148">
        <v>0.1782</v>
      </c>
      <c r="FH148">
        <v>-0.98020551812546231</v>
      </c>
      <c r="FI148">
        <v>-6.1462078757559423E-4</v>
      </c>
      <c r="FJ148">
        <v>-1.8861989874597051E-7</v>
      </c>
      <c r="FK148">
        <v>1.1980462299894961E-10</v>
      </c>
      <c r="FL148">
        <v>0.1782306200647516</v>
      </c>
      <c r="FM148">
        <v>0</v>
      </c>
      <c r="FN148">
        <v>0</v>
      </c>
      <c r="FO148">
        <v>0</v>
      </c>
      <c r="FP148">
        <v>3</v>
      </c>
      <c r="FQ148">
        <v>2158</v>
      </c>
      <c r="FR148">
        <v>1</v>
      </c>
      <c r="FS148">
        <v>19</v>
      </c>
      <c r="FT148">
        <v>23.9</v>
      </c>
      <c r="FU148">
        <v>24.2</v>
      </c>
      <c r="FV148">
        <v>1.78711</v>
      </c>
      <c r="FW148">
        <v>2.5439500000000002</v>
      </c>
      <c r="FX148">
        <v>1.5490699999999999</v>
      </c>
      <c r="FY148">
        <v>2.34009</v>
      </c>
      <c r="FZ148">
        <v>1.50146</v>
      </c>
      <c r="GA148">
        <v>2.4121100000000002</v>
      </c>
      <c r="GB148">
        <v>30.955200000000001</v>
      </c>
      <c r="GC148">
        <v>23.991199999999999</v>
      </c>
      <c r="GD148">
        <v>19</v>
      </c>
      <c r="GE148">
        <v>263.46899999999999</v>
      </c>
      <c r="GF148">
        <v>618.02099999999996</v>
      </c>
      <c r="GG148">
        <v>24.392900000000001</v>
      </c>
      <c r="GH148">
        <v>25.434000000000001</v>
      </c>
      <c r="GI148">
        <v>30.0002</v>
      </c>
      <c r="GJ148">
        <v>25.560400000000001</v>
      </c>
      <c r="GK148">
        <v>25.5381</v>
      </c>
      <c r="GL148">
        <v>35.744500000000002</v>
      </c>
      <c r="GM148">
        <v>0</v>
      </c>
      <c r="GN148">
        <v>68.103800000000007</v>
      </c>
      <c r="GO148">
        <v>24.306699999999999</v>
      </c>
      <c r="GP148">
        <v>800</v>
      </c>
      <c r="GQ148">
        <v>20.763100000000001</v>
      </c>
      <c r="GR148">
        <v>99.636600000000001</v>
      </c>
      <c r="GS148">
        <v>99.260599999999997</v>
      </c>
    </row>
    <row r="149" spans="1:201" x14ac:dyDescent="0.25">
      <c r="A149">
        <v>133</v>
      </c>
      <c r="B149">
        <v>1690202215.5999999</v>
      </c>
      <c r="C149">
        <v>1368.599999904633</v>
      </c>
      <c r="D149" t="s">
        <v>599</v>
      </c>
      <c r="E149" t="s">
        <v>600</v>
      </c>
      <c r="F149" t="s">
        <v>330</v>
      </c>
      <c r="H149">
        <v>1690202215.5999999</v>
      </c>
      <c r="I149">
        <f t="shared" si="60"/>
        <v>7.8043948075071751E-4</v>
      </c>
      <c r="J149">
        <f t="shared" si="61"/>
        <v>0.78043948075071756</v>
      </c>
      <c r="K149">
        <f t="shared" si="62"/>
        <v>39.481171589659986</v>
      </c>
      <c r="L149">
        <f t="shared" si="63"/>
        <v>358.63099999999997</v>
      </c>
      <c r="M149">
        <f t="shared" si="64"/>
        <v>-438.31523884068383</v>
      </c>
      <c r="N149">
        <f t="shared" si="65"/>
        <v>-43.436007279251434</v>
      </c>
      <c r="O149">
        <f t="shared" si="66"/>
        <v>35.539486986048487</v>
      </c>
      <c r="P149">
        <f t="shared" si="67"/>
        <v>8.0661502343673683E-2</v>
      </c>
      <c r="Q149">
        <f t="shared" si="68"/>
        <v>2.0798932248415904</v>
      </c>
      <c r="R149">
        <f t="shared" si="69"/>
        <v>7.8963100499346392E-2</v>
      </c>
      <c r="S149">
        <f t="shared" si="70"/>
        <v>4.9501553936756787E-2</v>
      </c>
      <c r="T149">
        <f t="shared" si="71"/>
        <v>276.11325808893298</v>
      </c>
      <c r="U149">
        <f t="shared" si="72"/>
        <v>27.801256935815978</v>
      </c>
      <c r="V149">
        <f t="shared" si="73"/>
        <v>27.801256935815978</v>
      </c>
      <c r="W149">
        <f t="shared" si="74"/>
        <v>3.7510941072511077</v>
      </c>
      <c r="X149">
        <f t="shared" si="75"/>
        <v>83.860822410597706</v>
      </c>
      <c r="Y149">
        <f t="shared" si="76"/>
        <v>2.8040471009473</v>
      </c>
      <c r="Z149">
        <f t="shared" si="77"/>
        <v>3.3436913928868712</v>
      </c>
      <c r="AA149">
        <f t="shared" si="78"/>
        <v>0.94704700630380767</v>
      </c>
      <c r="AB149">
        <f t="shared" si="79"/>
        <v>-34.417381101106642</v>
      </c>
      <c r="AC149">
        <f t="shared" si="80"/>
        <v>-219.21167407734129</v>
      </c>
      <c r="AD149">
        <f t="shared" si="81"/>
        <v>-22.70579336246988</v>
      </c>
      <c r="AE149">
        <f t="shared" si="82"/>
        <v>-0.22159045198480953</v>
      </c>
      <c r="AF149">
        <v>16</v>
      </c>
      <c r="AG149">
        <v>5</v>
      </c>
      <c r="AH149">
        <f t="shared" si="83"/>
        <v>1</v>
      </c>
      <c r="AI149">
        <f t="shared" si="84"/>
        <v>0</v>
      </c>
      <c r="AJ149">
        <f t="shared" si="85"/>
        <v>52533.544530417559</v>
      </c>
      <c r="AK149">
        <f t="shared" si="86"/>
        <v>1799.99</v>
      </c>
      <c r="AL149">
        <f t="shared" si="87"/>
        <v>1499.1031946026499</v>
      </c>
      <c r="AM149">
        <f t="shared" si="88"/>
        <v>0.83283973499999997</v>
      </c>
      <c r="AN149">
        <f t="shared" si="89"/>
        <v>0.15339710669999998</v>
      </c>
      <c r="AO149">
        <v>33.299999999999997</v>
      </c>
      <c r="AP149">
        <v>0.5</v>
      </c>
      <c r="AQ149" t="s">
        <v>331</v>
      </c>
      <c r="AR149">
        <v>2</v>
      </c>
      <c r="AS149">
        <v>1690202215.5999999</v>
      </c>
      <c r="AT149">
        <v>358.63099999999997</v>
      </c>
      <c r="AU149">
        <v>799.89200000000005</v>
      </c>
      <c r="AV149">
        <v>28.2958</v>
      </c>
      <c r="AW149">
        <v>19.8797</v>
      </c>
      <c r="AX149">
        <v>359.85199999999998</v>
      </c>
      <c r="AY149">
        <v>28.117599999999999</v>
      </c>
      <c r="AZ149">
        <v>300.05900000000003</v>
      </c>
      <c r="BA149">
        <v>98.997699999999995</v>
      </c>
      <c r="BB149">
        <v>9.9943500000000005E-2</v>
      </c>
      <c r="BC149">
        <v>25.846299999999999</v>
      </c>
      <c r="BD149">
        <v>27.060600000000001</v>
      </c>
      <c r="BE149">
        <v>27.585799999999999</v>
      </c>
      <c r="BF149">
        <v>0</v>
      </c>
      <c r="BG149">
        <v>0</v>
      </c>
      <c r="BH149">
        <v>9996.8799999999992</v>
      </c>
      <c r="BI149">
        <v>1073.21</v>
      </c>
      <c r="BJ149">
        <v>1.2334499999999999</v>
      </c>
      <c r="BK149">
        <v>-441.26</v>
      </c>
      <c r="BL149">
        <v>369.07499999999999</v>
      </c>
      <c r="BM149">
        <v>816.11599999999999</v>
      </c>
      <c r="BN149">
        <v>8.4161199999999994</v>
      </c>
      <c r="BO149">
        <v>799.89200000000005</v>
      </c>
      <c r="BP149">
        <v>19.8797</v>
      </c>
      <c r="BQ149">
        <v>2.8012199999999998</v>
      </c>
      <c r="BR149">
        <v>1.9680500000000001</v>
      </c>
      <c r="BS149">
        <v>22.891300000000001</v>
      </c>
      <c r="BT149">
        <v>17.189599999999999</v>
      </c>
      <c r="BU149">
        <v>1799.99</v>
      </c>
      <c r="BV149">
        <v>0.91000499999999995</v>
      </c>
      <c r="BW149">
        <v>3.4002900000000003E-2</v>
      </c>
      <c r="BX149">
        <v>2.1996499999999999E-2</v>
      </c>
      <c r="BY149">
        <v>3.3995400000000002E-2</v>
      </c>
      <c r="BZ149">
        <v>25</v>
      </c>
      <c r="CA149">
        <v>33528.300000000003</v>
      </c>
      <c r="CB149">
        <v>1690200769.5</v>
      </c>
      <c r="CC149" t="s">
        <v>332</v>
      </c>
      <c r="CD149">
        <v>1690200769.5</v>
      </c>
      <c r="CE149">
        <v>1690200753</v>
      </c>
      <c r="CF149">
        <v>2</v>
      </c>
      <c r="CG149">
        <v>-0.245</v>
      </c>
      <c r="CH149">
        <v>3.0000000000000001E-3</v>
      </c>
      <c r="CI149">
        <v>-1.5169999999999999</v>
      </c>
      <c r="CJ149">
        <v>-1.6E-2</v>
      </c>
      <c r="CK149">
        <v>778</v>
      </c>
      <c r="CL149">
        <v>12</v>
      </c>
      <c r="CM149">
        <v>0.01</v>
      </c>
      <c r="CN149">
        <v>0.03</v>
      </c>
      <c r="CO149">
        <v>-440.53987500000011</v>
      </c>
      <c r="CP149">
        <v>-3.1720863039396039</v>
      </c>
      <c r="CQ149">
        <v>0.30724999491456362</v>
      </c>
      <c r="CR149">
        <v>-1</v>
      </c>
      <c r="CS149">
        <v>8.7892817500000007</v>
      </c>
      <c r="CT149">
        <v>-2.2067935834897008</v>
      </c>
      <c r="CU149">
        <v>0.2125272458402393</v>
      </c>
      <c r="CV149">
        <v>-1</v>
      </c>
      <c r="CW149">
        <v>0</v>
      </c>
      <c r="CX149">
        <v>0</v>
      </c>
      <c r="CY149" t="s">
        <v>333</v>
      </c>
      <c r="CZ149">
        <v>2.3648799999999999</v>
      </c>
      <c r="DA149">
        <v>2.71373</v>
      </c>
      <c r="DB149">
        <v>8.2564299999999993E-2</v>
      </c>
      <c r="DC149">
        <v>0.14649899999999999</v>
      </c>
      <c r="DD149">
        <v>0.127969</v>
      </c>
      <c r="DE149">
        <v>9.8378099999999996E-2</v>
      </c>
      <c r="DF149">
        <v>33472.9</v>
      </c>
      <c r="DG149">
        <v>27439.3</v>
      </c>
      <c r="DH149">
        <v>31144.6</v>
      </c>
      <c r="DI149">
        <v>28010.1</v>
      </c>
      <c r="DJ149">
        <v>36848.199999999997</v>
      </c>
      <c r="DK149">
        <v>35877.300000000003</v>
      </c>
      <c r="DL149">
        <v>44312</v>
      </c>
      <c r="DM149">
        <v>42415.8</v>
      </c>
      <c r="DN149">
        <v>1.4358</v>
      </c>
      <c r="DO149">
        <v>2.0894499999999998</v>
      </c>
      <c r="DP149">
        <v>0.14271600000000001</v>
      </c>
      <c r="DQ149">
        <v>0.18037900000000001</v>
      </c>
      <c r="DR149">
        <v>24.7224</v>
      </c>
      <c r="DS149">
        <v>24.631499999999999</v>
      </c>
      <c r="DT149">
        <v>52.3</v>
      </c>
      <c r="DU149">
        <v>25.6</v>
      </c>
      <c r="DV149">
        <v>17.4099</v>
      </c>
      <c r="DW149">
        <v>61.6554</v>
      </c>
      <c r="DX149">
        <v>36.5184</v>
      </c>
      <c r="DY149">
        <v>1</v>
      </c>
      <c r="DZ149">
        <v>-0.157025</v>
      </c>
      <c r="EA149">
        <v>0.35311500000000001</v>
      </c>
      <c r="EB149">
        <v>20.191500000000001</v>
      </c>
      <c r="EC149">
        <v>5.2411000000000003</v>
      </c>
      <c r="ED149">
        <v>12.039899999999999</v>
      </c>
      <c r="EE149">
        <v>5.0170000000000003</v>
      </c>
      <c r="EF149">
        <v>3.2879999999999998</v>
      </c>
      <c r="EG149">
        <v>9999</v>
      </c>
      <c r="EH149">
        <v>9999</v>
      </c>
      <c r="EI149">
        <v>9999</v>
      </c>
      <c r="EJ149">
        <v>999.9</v>
      </c>
      <c r="EK149">
        <v>1.8687800000000001</v>
      </c>
      <c r="EL149">
        <v>1.86449</v>
      </c>
      <c r="EM149">
        <v>1.8690500000000001</v>
      </c>
      <c r="EN149">
        <v>1.8671199999999999</v>
      </c>
      <c r="EO149">
        <v>1.86327</v>
      </c>
      <c r="EP149">
        <v>1.86436</v>
      </c>
      <c r="EQ149">
        <v>1.8701099999999999</v>
      </c>
      <c r="ER149">
        <v>1.8693299999999999</v>
      </c>
      <c r="ES149">
        <v>0</v>
      </c>
      <c r="ET149">
        <v>0</v>
      </c>
      <c r="EU149">
        <v>0</v>
      </c>
      <c r="EV149">
        <v>0</v>
      </c>
      <c r="EW149" t="s">
        <v>334</v>
      </c>
      <c r="EX149" t="s">
        <v>335</v>
      </c>
      <c r="EY149" t="s">
        <v>336</v>
      </c>
      <c r="EZ149" t="s">
        <v>336</v>
      </c>
      <c r="FA149" t="s">
        <v>336</v>
      </c>
      <c r="FB149" t="s">
        <v>336</v>
      </c>
      <c r="FC149">
        <v>0</v>
      </c>
      <c r="FD149">
        <v>100</v>
      </c>
      <c r="FE149">
        <v>100</v>
      </c>
      <c r="FF149">
        <v>-1.2210000000000001</v>
      </c>
      <c r="FG149">
        <v>0.1782</v>
      </c>
      <c r="FH149">
        <v>-0.98020551812546231</v>
      </c>
      <c r="FI149">
        <v>-6.1462078757559423E-4</v>
      </c>
      <c r="FJ149">
        <v>-1.8861989874597051E-7</v>
      </c>
      <c r="FK149">
        <v>1.1980462299894961E-10</v>
      </c>
      <c r="FL149">
        <v>0.1782306200647516</v>
      </c>
      <c r="FM149">
        <v>0</v>
      </c>
      <c r="FN149">
        <v>0</v>
      </c>
      <c r="FO149">
        <v>0</v>
      </c>
      <c r="FP149">
        <v>3</v>
      </c>
      <c r="FQ149">
        <v>2158</v>
      </c>
      <c r="FR149">
        <v>1</v>
      </c>
      <c r="FS149">
        <v>19</v>
      </c>
      <c r="FT149">
        <v>24.1</v>
      </c>
      <c r="FU149">
        <v>24.4</v>
      </c>
      <c r="FV149">
        <v>1.78833</v>
      </c>
      <c r="FW149">
        <v>2.5500500000000001</v>
      </c>
      <c r="FX149">
        <v>1.5490699999999999</v>
      </c>
      <c r="FY149">
        <v>2.34009</v>
      </c>
      <c r="FZ149">
        <v>1.50146</v>
      </c>
      <c r="GA149">
        <v>2.2766099999999998</v>
      </c>
      <c r="GB149">
        <v>30.976900000000001</v>
      </c>
      <c r="GC149">
        <v>23.982399999999998</v>
      </c>
      <c r="GD149">
        <v>19</v>
      </c>
      <c r="GE149">
        <v>262.815</v>
      </c>
      <c r="GF149">
        <v>618.55999999999995</v>
      </c>
      <c r="GG149">
        <v>24.256799999999998</v>
      </c>
      <c r="GH149">
        <v>25.4345</v>
      </c>
      <c r="GI149">
        <v>30.000599999999999</v>
      </c>
      <c r="GJ149">
        <v>25.5626</v>
      </c>
      <c r="GK149">
        <v>25.5381</v>
      </c>
      <c r="GL149">
        <v>35.753399999999999</v>
      </c>
      <c r="GM149">
        <v>0</v>
      </c>
      <c r="GN149">
        <v>70.2483</v>
      </c>
      <c r="GO149">
        <v>24.160299999999999</v>
      </c>
      <c r="GP149">
        <v>800</v>
      </c>
      <c r="GQ149">
        <v>20.256900000000002</v>
      </c>
      <c r="GR149">
        <v>99.636499999999998</v>
      </c>
      <c r="GS149">
        <v>99.260499999999993</v>
      </c>
    </row>
    <row r="150" spans="1:201" x14ac:dyDescent="0.25">
      <c r="A150">
        <v>134</v>
      </c>
      <c r="B150">
        <v>1690202225.5999999</v>
      </c>
      <c r="C150">
        <v>1378.599999904633</v>
      </c>
      <c r="D150" t="s">
        <v>601</v>
      </c>
      <c r="E150" t="s">
        <v>602</v>
      </c>
      <c r="F150" t="s">
        <v>330</v>
      </c>
      <c r="H150">
        <v>1690202225.5999999</v>
      </c>
      <c r="I150">
        <f t="shared" si="60"/>
        <v>7.5482399425839204E-4</v>
      </c>
      <c r="J150">
        <f t="shared" si="61"/>
        <v>0.75482399425839208</v>
      </c>
      <c r="K150">
        <f t="shared" si="62"/>
        <v>39.566901861824299</v>
      </c>
      <c r="L150">
        <f t="shared" si="63"/>
        <v>357.9</v>
      </c>
      <c r="M150">
        <f t="shared" si="64"/>
        <v>-463.31622791670395</v>
      </c>
      <c r="N150">
        <f t="shared" si="65"/>
        <v>-45.914475099233137</v>
      </c>
      <c r="O150">
        <f t="shared" si="66"/>
        <v>35.467764019199997</v>
      </c>
      <c r="P150">
        <f t="shared" si="67"/>
        <v>7.8392222397501668E-2</v>
      </c>
      <c r="Q150">
        <f t="shared" si="68"/>
        <v>2.0775392559879386</v>
      </c>
      <c r="R150">
        <f t="shared" si="69"/>
        <v>7.6785236537932372E-2</v>
      </c>
      <c r="S150">
        <f t="shared" si="70"/>
        <v>4.8132410404249426E-2</v>
      </c>
      <c r="T150">
        <f t="shared" si="71"/>
        <v>276.11309835782043</v>
      </c>
      <c r="U150">
        <f t="shared" si="72"/>
        <v>27.789652853617657</v>
      </c>
      <c r="V150">
        <f t="shared" si="73"/>
        <v>27.789652853617657</v>
      </c>
      <c r="W150">
        <f t="shared" si="74"/>
        <v>3.7485535709256781</v>
      </c>
      <c r="X150">
        <f t="shared" si="75"/>
        <v>84.050369959839088</v>
      </c>
      <c r="Y150">
        <f t="shared" si="76"/>
        <v>2.8065912210432002</v>
      </c>
      <c r="Z150">
        <f t="shared" si="77"/>
        <v>3.3391777125838287</v>
      </c>
      <c r="AA150">
        <f t="shared" si="78"/>
        <v>0.94196234988247785</v>
      </c>
      <c r="AB150">
        <f t="shared" si="79"/>
        <v>-33.287738146795085</v>
      </c>
      <c r="AC150">
        <f t="shared" si="80"/>
        <v>-220.21756692299672</v>
      </c>
      <c r="AD150">
        <f t="shared" si="81"/>
        <v>-22.831900544527972</v>
      </c>
      <c r="AE150">
        <f t="shared" si="82"/>
        <v>-0.22410725649933738</v>
      </c>
      <c r="AF150">
        <v>16</v>
      </c>
      <c r="AG150">
        <v>5</v>
      </c>
      <c r="AH150">
        <f t="shared" si="83"/>
        <v>1</v>
      </c>
      <c r="AI150">
        <f t="shared" si="84"/>
        <v>0</v>
      </c>
      <c r="AJ150">
        <f t="shared" si="85"/>
        <v>52431.354398348674</v>
      </c>
      <c r="AK150">
        <f t="shared" si="86"/>
        <v>1799.99</v>
      </c>
      <c r="AL150">
        <f t="shared" si="87"/>
        <v>1499.1041773971901</v>
      </c>
      <c r="AM150">
        <f t="shared" si="88"/>
        <v>0.83284028100000007</v>
      </c>
      <c r="AN150">
        <f t="shared" si="89"/>
        <v>0.15339701796000002</v>
      </c>
      <c r="AO150">
        <v>33.299999999999997</v>
      </c>
      <c r="AP150">
        <v>0.5</v>
      </c>
      <c r="AQ150" t="s">
        <v>331</v>
      </c>
      <c r="AR150">
        <v>2</v>
      </c>
      <c r="AS150">
        <v>1690202225.5999999</v>
      </c>
      <c r="AT150">
        <v>357.9</v>
      </c>
      <c r="AU150">
        <v>799.86</v>
      </c>
      <c r="AV150">
        <v>28.320900000000002</v>
      </c>
      <c r="AW150">
        <v>20.183900000000001</v>
      </c>
      <c r="AX150">
        <v>359.12</v>
      </c>
      <c r="AY150">
        <v>28.142700000000001</v>
      </c>
      <c r="AZ150">
        <v>300.15699999999998</v>
      </c>
      <c r="BA150">
        <v>98.999600000000001</v>
      </c>
      <c r="BB150">
        <v>0.100048</v>
      </c>
      <c r="BC150">
        <v>25.823499999999999</v>
      </c>
      <c r="BD150">
        <v>27.048500000000001</v>
      </c>
      <c r="BE150">
        <v>27.5686</v>
      </c>
      <c r="BF150">
        <v>0</v>
      </c>
      <c r="BG150">
        <v>0</v>
      </c>
      <c r="BH150">
        <v>9975.6200000000008</v>
      </c>
      <c r="BI150">
        <v>1073.02</v>
      </c>
      <c r="BJ150">
        <v>1.4296899999999999</v>
      </c>
      <c r="BK150">
        <v>-441.96</v>
      </c>
      <c r="BL150">
        <v>368.33199999999999</v>
      </c>
      <c r="BM150">
        <v>816.33699999999999</v>
      </c>
      <c r="BN150">
        <v>8.1370100000000001</v>
      </c>
      <c r="BO150">
        <v>799.86</v>
      </c>
      <c r="BP150">
        <v>20.183900000000001</v>
      </c>
      <c r="BQ150">
        <v>2.80376</v>
      </c>
      <c r="BR150">
        <v>1.9982</v>
      </c>
      <c r="BS150">
        <v>22.906199999999998</v>
      </c>
      <c r="BT150">
        <v>17.43</v>
      </c>
      <c r="BU150">
        <v>1799.99</v>
      </c>
      <c r="BV150">
        <v>0.91000999999999999</v>
      </c>
      <c r="BW150">
        <v>3.4001099999999999E-2</v>
      </c>
      <c r="BX150">
        <v>2.1995299999999999E-2</v>
      </c>
      <c r="BY150">
        <v>3.3993599999999999E-2</v>
      </c>
      <c r="BZ150">
        <v>25</v>
      </c>
      <c r="CA150">
        <v>33528.300000000003</v>
      </c>
      <c r="CB150">
        <v>1690200769.5</v>
      </c>
      <c r="CC150" t="s">
        <v>332</v>
      </c>
      <c r="CD150">
        <v>1690200769.5</v>
      </c>
      <c r="CE150">
        <v>1690200753</v>
      </c>
      <c r="CF150">
        <v>2</v>
      </c>
      <c r="CG150">
        <v>-0.245</v>
      </c>
      <c r="CH150">
        <v>3.0000000000000001E-3</v>
      </c>
      <c r="CI150">
        <v>-1.5169999999999999</v>
      </c>
      <c r="CJ150">
        <v>-1.6E-2</v>
      </c>
      <c r="CK150">
        <v>778</v>
      </c>
      <c r="CL150">
        <v>12</v>
      </c>
      <c r="CM150">
        <v>0.01</v>
      </c>
      <c r="CN150">
        <v>0.03</v>
      </c>
      <c r="CO150">
        <v>-441.18658536585372</v>
      </c>
      <c r="CP150">
        <v>-4.3391289198610474</v>
      </c>
      <c r="CQ150">
        <v>0.43135792255019229</v>
      </c>
      <c r="CR150">
        <v>-1</v>
      </c>
      <c r="CS150">
        <v>8.4491665853658535</v>
      </c>
      <c r="CT150">
        <v>-1.802223554006968</v>
      </c>
      <c r="CU150">
        <v>0.17810439182777121</v>
      </c>
      <c r="CV150">
        <v>-1</v>
      </c>
      <c r="CW150">
        <v>0</v>
      </c>
      <c r="CX150">
        <v>0</v>
      </c>
      <c r="CY150" t="s">
        <v>333</v>
      </c>
      <c r="CZ150">
        <v>2.3652299999999999</v>
      </c>
      <c r="DA150">
        <v>2.7138200000000001</v>
      </c>
      <c r="DB150">
        <v>8.2434599999999997E-2</v>
      </c>
      <c r="DC150">
        <v>0.146504</v>
      </c>
      <c r="DD150">
        <v>0.12805</v>
      </c>
      <c r="DE150">
        <v>9.9444699999999997E-2</v>
      </c>
      <c r="DF150">
        <v>33477.4</v>
      </c>
      <c r="DG150">
        <v>27438.9</v>
      </c>
      <c r="DH150">
        <v>31144.3</v>
      </c>
      <c r="DI150">
        <v>28009.8</v>
      </c>
      <c r="DJ150">
        <v>36844.5</v>
      </c>
      <c r="DK150">
        <v>35834.5</v>
      </c>
      <c r="DL150">
        <v>44311.7</v>
      </c>
      <c r="DM150">
        <v>42415.6</v>
      </c>
      <c r="DN150">
        <v>1.4357800000000001</v>
      </c>
      <c r="DO150">
        <v>2.09</v>
      </c>
      <c r="DP150">
        <v>0.14174700000000001</v>
      </c>
      <c r="DQ150">
        <v>0.17907500000000001</v>
      </c>
      <c r="DR150">
        <v>24.726099999999999</v>
      </c>
      <c r="DS150">
        <v>24.6357</v>
      </c>
      <c r="DT150">
        <v>53.4</v>
      </c>
      <c r="DU150">
        <v>25.7</v>
      </c>
      <c r="DV150">
        <v>17.879899999999999</v>
      </c>
      <c r="DW150">
        <v>61.885399999999997</v>
      </c>
      <c r="DX150">
        <v>36.366199999999999</v>
      </c>
      <c r="DY150">
        <v>1</v>
      </c>
      <c r="DZ150">
        <v>-0.15671499999999999</v>
      </c>
      <c r="EA150">
        <v>0.40091199999999999</v>
      </c>
      <c r="EB150">
        <v>20.191299999999998</v>
      </c>
      <c r="EC150">
        <v>5.24125</v>
      </c>
      <c r="ED150">
        <v>12.039899999999999</v>
      </c>
      <c r="EE150">
        <v>5.0170000000000003</v>
      </c>
      <c r="EF150">
        <v>3.2879999999999998</v>
      </c>
      <c r="EG150">
        <v>9999</v>
      </c>
      <c r="EH150">
        <v>9999</v>
      </c>
      <c r="EI150">
        <v>9999</v>
      </c>
      <c r="EJ150">
        <v>999.9</v>
      </c>
      <c r="EK150">
        <v>1.8687800000000001</v>
      </c>
      <c r="EL150">
        <v>1.8644799999999999</v>
      </c>
      <c r="EM150">
        <v>1.8690500000000001</v>
      </c>
      <c r="EN150">
        <v>1.86711</v>
      </c>
      <c r="EO150">
        <v>1.8632599999999999</v>
      </c>
      <c r="EP150">
        <v>1.86439</v>
      </c>
      <c r="EQ150">
        <v>1.87008</v>
      </c>
      <c r="ER150">
        <v>1.8693299999999999</v>
      </c>
      <c r="ES150">
        <v>0</v>
      </c>
      <c r="ET150">
        <v>0</v>
      </c>
      <c r="EU150">
        <v>0</v>
      </c>
      <c r="EV150">
        <v>0</v>
      </c>
      <c r="EW150" t="s">
        <v>334</v>
      </c>
      <c r="EX150" t="s">
        <v>335</v>
      </c>
      <c r="EY150" t="s">
        <v>336</v>
      </c>
      <c r="EZ150" t="s">
        <v>336</v>
      </c>
      <c r="FA150" t="s">
        <v>336</v>
      </c>
      <c r="FB150" t="s">
        <v>336</v>
      </c>
      <c r="FC150">
        <v>0</v>
      </c>
      <c r="FD150">
        <v>100</v>
      </c>
      <c r="FE150">
        <v>100</v>
      </c>
      <c r="FF150">
        <v>-1.22</v>
      </c>
      <c r="FG150">
        <v>0.1782</v>
      </c>
      <c r="FH150">
        <v>-0.98020551812546231</v>
      </c>
      <c r="FI150">
        <v>-6.1462078757559423E-4</v>
      </c>
      <c r="FJ150">
        <v>-1.8861989874597051E-7</v>
      </c>
      <c r="FK150">
        <v>1.1980462299894961E-10</v>
      </c>
      <c r="FL150">
        <v>0.1782306200647516</v>
      </c>
      <c r="FM150">
        <v>0</v>
      </c>
      <c r="FN150">
        <v>0</v>
      </c>
      <c r="FO150">
        <v>0</v>
      </c>
      <c r="FP150">
        <v>3</v>
      </c>
      <c r="FQ150">
        <v>2158</v>
      </c>
      <c r="FR150">
        <v>1</v>
      </c>
      <c r="FS150">
        <v>19</v>
      </c>
      <c r="FT150">
        <v>24.3</v>
      </c>
      <c r="FU150">
        <v>24.5</v>
      </c>
      <c r="FV150">
        <v>1.78833</v>
      </c>
      <c r="FW150">
        <v>2.5427200000000001</v>
      </c>
      <c r="FX150">
        <v>1.5490699999999999</v>
      </c>
      <c r="FY150">
        <v>2.34009</v>
      </c>
      <c r="FZ150">
        <v>1.50146</v>
      </c>
      <c r="GA150">
        <v>2.3156699999999999</v>
      </c>
      <c r="GB150">
        <v>30.9985</v>
      </c>
      <c r="GC150">
        <v>23.982399999999998</v>
      </c>
      <c r="GD150">
        <v>19</v>
      </c>
      <c r="GE150">
        <v>262.80599999999998</v>
      </c>
      <c r="GF150">
        <v>619.03399999999999</v>
      </c>
      <c r="GG150">
        <v>24.1005</v>
      </c>
      <c r="GH150">
        <v>25.436599999999999</v>
      </c>
      <c r="GI150">
        <v>30.0002</v>
      </c>
      <c r="GJ150">
        <v>25.5626</v>
      </c>
      <c r="GK150">
        <v>25.5381</v>
      </c>
      <c r="GL150">
        <v>35.763599999999997</v>
      </c>
      <c r="GM150">
        <v>2.22519</v>
      </c>
      <c r="GN150">
        <v>71.4803</v>
      </c>
      <c r="GO150">
        <v>24.061699999999998</v>
      </c>
      <c r="GP150">
        <v>800</v>
      </c>
      <c r="GQ150">
        <v>19.767600000000002</v>
      </c>
      <c r="GR150">
        <v>99.635900000000007</v>
      </c>
      <c r="GS150">
        <v>99.259799999999998</v>
      </c>
    </row>
    <row r="151" spans="1:201" x14ac:dyDescent="0.25">
      <c r="A151">
        <v>135</v>
      </c>
      <c r="B151">
        <v>1690202235.5999999</v>
      </c>
      <c r="C151">
        <v>1388.599999904633</v>
      </c>
      <c r="D151" t="s">
        <v>603</v>
      </c>
      <c r="E151" t="s">
        <v>604</v>
      </c>
      <c r="F151" t="s">
        <v>330</v>
      </c>
      <c r="H151">
        <v>1690202235.5999999</v>
      </c>
      <c r="I151">
        <f t="shared" si="60"/>
        <v>7.5238636103753154E-4</v>
      </c>
      <c r="J151">
        <f t="shared" si="61"/>
        <v>0.75238636103753154</v>
      </c>
      <c r="K151">
        <f t="shared" si="62"/>
        <v>39.697192807795737</v>
      </c>
      <c r="L151">
        <f t="shared" si="63"/>
        <v>356.97800000000001</v>
      </c>
      <c r="M151">
        <f t="shared" si="64"/>
        <v>-464.44229857335557</v>
      </c>
      <c r="N151">
        <f t="shared" si="65"/>
        <v>-46.025659642151929</v>
      </c>
      <c r="O151">
        <f t="shared" si="66"/>
        <v>35.376080038801803</v>
      </c>
      <c r="P151">
        <f t="shared" si="67"/>
        <v>7.8630159119106036E-2</v>
      </c>
      <c r="Q151">
        <f t="shared" si="68"/>
        <v>2.0833183105289561</v>
      </c>
      <c r="R151">
        <f t="shared" si="69"/>
        <v>7.7017897211981823E-2</v>
      </c>
      <c r="S151">
        <f t="shared" si="70"/>
        <v>4.827828766880872E-2</v>
      </c>
      <c r="T151">
        <f t="shared" si="71"/>
        <v>276.1129889544282</v>
      </c>
      <c r="U151">
        <f t="shared" si="72"/>
        <v>27.764910536428676</v>
      </c>
      <c r="V151">
        <f t="shared" si="73"/>
        <v>27.764910536428676</v>
      </c>
      <c r="W151">
        <f t="shared" si="74"/>
        <v>3.7431416318793627</v>
      </c>
      <c r="X151">
        <f t="shared" si="75"/>
        <v>84.167045231570853</v>
      </c>
      <c r="Y151">
        <f t="shared" si="76"/>
        <v>2.8070419755701699</v>
      </c>
      <c r="Z151">
        <f t="shared" si="77"/>
        <v>3.3350843763697378</v>
      </c>
      <c r="AA151">
        <f t="shared" si="78"/>
        <v>0.93609965630919278</v>
      </c>
      <c r="AB151">
        <f t="shared" si="79"/>
        <v>-33.180238521755143</v>
      </c>
      <c r="AC151">
        <f t="shared" si="80"/>
        <v>-220.3761259513887</v>
      </c>
      <c r="AD151">
        <f t="shared" si="81"/>
        <v>-22.779778314628746</v>
      </c>
      <c r="AE151">
        <f t="shared" si="82"/>
        <v>-0.22315383334438366</v>
      </c>
      <c r="AF151">
        <v>16</v>
      </c>
      <c r="AG151">
        <v>5</v>
      </c>
      <c r="AH151">
        <f t="shared" si="83"/>
        <v>1</v>
      </c>
      <c r="AI151">
        <f t="shared" si="84"/>
        <v>0</v>
      </c>
      <c r="AJ151">
        <f t="shared" si="85"/>
        <v>52696.07470473821</v>
      </c>
      <c r="AK151">
        <f t="shared" si="86"/>
        <v>1799.99</v>
      </c>
      <c r="AL151">
        <f t="shared" si="87"/>
        <v>1499.10503599242</v>
      </c>
      <c r="AM151">
        <f t="shared" si="88"/>
        <v>0.83284075800000001</v>
      </c>
      <c r="AN151">
        <f t="shared" si="89"/>
        <v>0.15339695717999999</v>
      </c>
      <c r="AO151">
        <v>33.299999999999997</v>
      </c>
      <c r="AP151">
        <v>0.5</v>
      </c>
      <c r="AQ151" t="s">
        <v>331</v>
      </c>
      <c r="AR151">
        <v>2</v>
      </c>
      <c r="AS151">
        <v>1690202235.5999999</v>
      </c>
      <c r="AT151">
        <v>356.97800000000001</v>
      </c>
      <c r="AU151">
        <v>800.21400000000006</v>
      </c>
      <c r="AV151">
        <v>28.325700000000001</v>
      </c>
      <c r="AW151">
        <v>20.2178</v>
      </c>
      <c r="AX151">
        <v>358.197</v>
      </c>
      <c r="AY151">
        <v>28.147500000000001</v>
      </c>
      <c r="AZ151">
        <v>300.26</v>
      </c>
      <c r="BA151">
        <v>98.998800000000003</v>
      </c>
      <c r="BB151">
        <v>9.9968100000000004E-2</v>
      </c>
      <c r="BC151">
        <v>25.802800000000001</v>
      </c>
      <c r="BD151">
        <v>27.026199999999999</v>
      </c>
      <c r="BE151">
        <v>27.514900000000001</v>
      </c>
      <c r="BF151">
        <v>0</v>
      </c>
      <c r="BG151">
        <v>0</v>
      </c>
      <c r="BH151">
        <v>10027.5</v>
      </c>
      <c r="BI151">
        <v>1072.97</v>
      </c>
      <c r="BJ151">
        <v>1.5137799999999999</v>
      </c>
      <c r="BK151">
        <v>-443.23599999999999</v>
      </c>
      <c r="BL151">
        <v>367.38400000000001</v>
      </c>
      <c r="BM151">
        <v>816.726</v>
      </c>
      <c r="BN151">
        <v>8.10792</v>
      </c>
      <c r="BO151">
        <v>800.21400000000006</v>
      </c>
      <c r="BP151">
        <v>20.2178</v>
      </c>
      <c r="BQ151">
        <v>2.8042099999999999</v>
      </c>
      <c r="BR151">
        <v>2.0015299999999998</v>
      </c>
      <c r="BS151">
        <v>22.908899999999999</v>
      </c>
      <c r="BT151">
        <v>17.456499999999998</v>
      </c>
      <c r="BU151">
        <v>1799.99</v>
      </c>
      <c r="BV151">
        <v>0.91001399999999999</v>
      </c>
      <c r="BW151">
        <v>3.3999599999999998E-2</v>
      </c>
      <c r="BX151">
        <v>2.1994400000000001E-2</v>
      </c>
      <c r="BY151">
        <v>3.39922E-2</v>
      </c>
      <c r="BZ151">
        <v>25</v>
      </c>
      <c r="CA151">
        <v>33528.400000000001</v>
      </c>
      <c r="CB151">
        <v>1690200769.5</v>
      </c>
      <c r="CC151" t="s">
        <v>332</v>
      </c>
      <c r="CD151">
        <v>1690200769.5</v>
      </c>
      <c r="CE151">
        <v>1690200753</v>
      </c>
      <c r="CF151">
        <v>2</v>
      </c>
      <c r="CG151">
        <v>-0.245</v>
      </c>
      <c r="CH151">
        <v>3.0000000000000001E-3</v>
      </c>
      <c r="CI151">
        <v>-1.5169999999999999</v>
      </c>
      <c r="CJ151">
        <v>-1.6E-2</v>
      </c>
      <c r="CK151">
        <v>778</v>
      </c>
      <c r="CL151">
        <v>12</v>
      </c>
      <c r="CM151">
        <v>0.01</v>
      </c>
      <c r="CN151">
        <v>0.03</v>
      </c>
      <c r="CO151">
        <v>-442.01915000000002</v>
      </c>
      <c r="CP151">
        <v>-5.7892682926831451</v>
      </c>
      <c r="CQ151">
        <v>0.56387957712617764</v>
      </c>
      <c r="CR151">
        <v>-1</v>
      </c>
      <c r="CS151">
        <v>8.1966907500000001</v>
      </c>
      <c r="CT151">
        <v>-1.3011533583489789</v>
      </c>
      <c r="CU151">
        <v>0.12858715819216751</v>
      </c>
      <c r="CV151">
        <v>-1</v>
      </c>
      <c r="CW151">
        <v>0</v>
      </c>
      <c r="CX151">
        <v>0</v>
      </c>
      <c r="CY151" t="s">
        <v>333</v>
      </c>
      <c r="CZ151">
        <v>2.3655300000000001</v>
      </c>
      <c r="DA151">
        <v>2.7137899999999999</v>
      </c>
      <c r="DB151">
        <v>8.2267999999999994E-2</v>
      </c>
      <c r="DC151">
        <v>0.14654600000000001</v>
      </c>
      <c r="DD151">
        <v>0.12806400000000001</v>
      </c>
      <c r="DE151">
        <v>9.9562200000000003E-2</v>
      </c>
      <c r="DF151">
        <v>33482.5</v>
      </c>
      <c r="DG151">
        <v>27437.3</v>
      </c>
      <c r="DH151">
        <v>31143.5</v>
      </c>
      <c r="DI151">
        <v>28009.599999999999</v>
      </c>
      <c r="DJ151">
        <v>36842.9</v>
      </c>
      <c r="DK151">
        <v>35829.4</v>
      </c>
      <c r="DL151">
        <v>44310.5</v>
      </c>
      <c r="DM151">
        <v>42415.1</v>
      </c>
      <c r="DN151">
        <v>1.4359</v>
      </c>
      <c r="DO151">
        <v>2.0898300000000001</v>
      </c>
      <c r="DP151">
        <v>0.14025699999999999</v>
      </c>
      <c r="DQ151">
        <v>0.17572199999999999</v>
      </c>
      <c r="DR151">
        <v>24.728200000000001</v>
      </c>
      <c r="DS151">
        <v>24.636800000000001</v>
      </c>
      <c r="DT151">
        <v>54.2</v>
      </c>
      <c r="DU151">
        <v>25.7</v>
      </c>
      <c r="DV151">
        <v>18.148599999999998</v>
      </c>
      <c r="DW151">
        <v>61.485399999999998</v>
      </c>
      <c r="DX151">
        <v>35.8934</v>
      </c>
      <c r="DY151">
        <v>1</v>
      </c>
      <c r="DZ151">
        <v>-0.15643000000000001</v>
      </c>
      <c r="EA151">
        <v>0.37669399999999997</v>
      </c>
      <c r="EB151">
        <v>20.191099999999999</v>
      </c>
      <c r="EC151">
        <v>5.2409499999999998</v>
      </c>
      <c r="ED151">
        <v>12.039899999999999</v>
      </c>
      <c r="EE151">
        <v>5.0168999999999997</v>
      </c>
      <c r="EF151">
        <v>3.2879999999999998</v>
      </c>
      <c r="EG151">
        <v>9999</v>
      </c>
      <c r="EH151">
        <v>9999</v>
      </c>
      <c r="EI151">
        <v>9999</v>
      </c>
      <c r="EJ151">
        <v>999.9</v>
      </c>
      <c r="EK151">
        <v>1.86876</v>
      </c>
      <c r="EL151">
        <v>1.86449</v>
      </c>
      <c r="EM151">
        <v>1.8690500000000001</v>
      </c>
      <c r="EN151">
        <v>1.86711</v>
      </c>
      <c r="EO151">
        <v>1.86327</v>
      </c>
      <c r="EP151">
        <v>1.8643700000000001</v>
      </c>
      <c r="EQ151">
        <v>1.87009</v>
      </c>
      <c r="ER151">
        <v>1.86934</v>
      </c>
      <c r="ES151">
        <v>0</v>
      </c>
      <c r="ET151">
        <v>0</v>
      </c>
      <c r="EU151">
        <v>0</v>
      </c>
      <c r="EV151">
        <v>0</v>
      </c>
      <c r="EW151" t="s">
        <v>334</v>
      </c>
      <c r="EX151" t="s">
        <v>335</v>
      </c>
      <c r="EY151" t="s">
        <v>336</v>
      </c>
      <c r="EZ151" t="s">
        <v>336</v>
      </c>
      <c r="FA151" t="s">
        <v>336</v>
      </c>
      <c r="FB151" t="s">
        <v>336</v>
      </c>
      <c r="FC151">
        <v>0</v>
      </c>
      <c r="FD151">
        <v>100</v>
      </c>
      <c r="FE151">
        <v>100</v>
      </c>
      <c r="FF151">
        <v>-1.2190000000000001</v>
      </c>
      <c r="FG151">
        <v>0.1782</v>
      </c>
      <c r="FH151">
        <v>-0.98020551812546231</v>
      </c>
      <c r="FI151">
        <v>-6.1462078757559423E-4</v>
      </c>
      <c r="FJ151">
        <v>-1.8861989874597051E-7</v>
      </c>
      <c r="FK151">
        <v>1.1980462299894961E-10</v>
      </c>
      <c r="FL151">
        <v>0.1782306200647516</v>
      </c>
      <c r="FM151">
        <v>0</v>
      </c>
      <c r="FN151">
        <v>0</v>
      </c>
      <c r="FO151">
        <v>0</v>
      </c>
      <c r="FP151">
        <v>3</v>
      </c>
      <c r="FQ151">
        <v>2158</v>
      </c>
      <c r="FR151">
        <v>1</v>
      </c>
      <c r="FS151">
        <v>19</v>
      </c>
      <c r="FT151">
        <v>24.4</v>
      </c>
      <c r="FU151">
        <v>24.7</v>
      </c>
      <c r="FV151">
        <v>1.78833</v>
      </c>
      <c r="FW151">
        <v>2.5476100000000002</v>
      </c>
      <c r="FX151">
        <v>1.5490699999999999</v>
      </c>
      <c r="FY151">
        <v>2.33887</v>
      </c>
      <c r="FZ151">
        <v>1.50146</v>
      </c>
      <c r="GA151">
        <v>2.32666</v>
      </c>
      <c r="GB151">
        <v>30.9985</v>
      </c>
      <c r="GC151">
        <v>23.982399999999998</v>
      </c>
      <c r="GD151">
        <v>19</v>
      </c>
      <c r="GE151">
        <v>262.85599999999999</v>
      </c>
      <c r="GF151">
        <v>618.88300000000004</v>
      </c>
      <c r="GG151">
        <v>24.006799999999998</v>
      </c>
      <c r="GH151">
        <v>25.438800000000001</v>
      </c>
      <c r="GI151">
        <v>30.000299999999999</v>
      </c>
      <c r="GJ151">
        <v>25.5626</v>
      </c>
      <c r="GK151">
        <v>25.5381</v>
      </c>
      <c r="GL151">
        <v>35.7562</v>
      </c>
      <c r="GM151">
        <v>10.712400000000001</v>
      </c>
      <c r="GN151">
        <v>72.750299999999996</v>
      </c>
      <c r="GO151">
        <v>23.976900000000001</v>
      </c>
      <c r="GP151">
        <v>800</v>
      </c>
      <c r="GQ151">
        <v>19.294599999999999</v>
      </c>
      <c r="GR151">
        <v>99.633099999999999</v>
      </c>
      <c r="GS151">
        <v>99.258799999999994</v>
      </c>
    </row>
    <row r="152" spans="1:201" x14ac:dyDescent="0.25">
      <c r="A152">
        <v>136</v>
      </c>
      <c r="B152">
        <v>1690202245.5999999</v>
      </c>
      <c r="C152">
        <v>1398.599999904633</v>
      </c>
      <c r="D152" t="s">
        <v>605</v>
      </c>
      <c r="E152" t="s">
        <v>606</v>
      </c>
      <c r="F152" t="s">
        <v>330</v>
      </c>
      <c r="H152">
        <v>1690202245.5999999</v>
      </c>
      <c r="I152">
        <f t="shared" si="60"/>
        <v>8.1448366033738564E-4</v>
      </c>
      <c r="J152">
        <f t="shared" si="61"/>
        <v>0.81448366033738562</v>
      </c>
      <c r="K152">
        <f t="shared" si="62"/>
        <v>39.751381546319607</v>
      </c>
      <c r="L152">
        <f t="shared" si="63"/>
        <v>356.30399999999997</v>
      </c>
      <c r="M152">
        <f t="shared" si="64"/>
        <v>-397.45325605789219</v>
      </c>
      <c r="N152">
        <f t="shared" si="65"/>
        <v>-39.386965454543926</v>
      </c>
      <c r="O152">
        <f t="shared" si="66"/>
        <v>35.309141705136</v>
      </c>
      <c r="P152">
        <f t="shared" si="67"/>
        <v>8.6000921966351743E-2</v>
      </c>
      <c r="Q152">
        <f t="shared" si="68"/>
        <v>2.080108691682347</v>
      </c>
      <c r="R152">
        <f t="shared" si="69"/>
        <v>8.4073315345835828E-2</v>
      </c>
      <c r="S152">
        <f t="shared" si="70"/>
        <v>5.2715411398866457E-2</v>
      </c>
      <c r="T152">
        <f t="shared" si="71"/>
        <v>276.11439541200002</v>
      </c>
      <c r="U152">
        <f t="shared" si="72"/>
        <v>27.729248414112629</v>
      </c>
      <c r="V152">
        <f t="shared" si="73"/>
        <v>27.729248414112629</v>
      </c>
      <c r="W152">
        <f t="shared" si="74"/>
        <v>3.7353531763127403</v>
      </c>
      <c r="X152">
        <f t="shared" si="75"/>
        <v>84.247150665102893</v>
      </c>
      <c r="Y152">
        <f t="shared" si="76"/>
        <v>2.8070006580186</v>
      </c>
      <c r="Z152">
        <f t="shared" si="77"/>
        <v>3.3318642065141368</v>
      </c>
      <c r="AA152">
        <f t="shared" si="78"/>
        <v>0.92835251829414034</v>
      </c>
      <c r="AB152">
        <f t="shared" si="79"/>
        <v>-35.918729420878705</v>
      </c>
      <c r="AC152">
        <f t="shared" si="80"/>
        <v>-217.86528529332841</v>
      </c>
      <c r="AD152">
        <f t="shared" si="81"/>
        <v>-22.549118838407182</v>
      </c>
      <c r="AE152">
        <f t="shared" si="82"/>
        <v>-0.21873814061430608</v>
      </c>
      <c r="AF152">
        <v>16</v>
      </c>
      <c r="AG152">
        <v>5</v>
      </c>
      <c r="AH152">
        <f t="shared" si="83"/>
        <v>1</v>
      </c>
      <c r="AI152">
        <f t="shared" si="84"/>
        <v>0</v>
      </c>
      <c r="AJ152">
        <f t="shared" si="85"/>
        <v>52553.804817096869</v>
      </c>
      <c r="AK152">
        <f t="shared" si="86"/>
        <v>1800</v>
      </c>
      <c r="AL152">
        <f t="shared" si="87"/>
        <v>1499.1137981999998</v>
      </c>
      <c r="AM152">
        <f t="shared" si="88"/>
        <v>0.83284099899999986</v>
      </c>
      <c r="AN152">
        <f t="shared" si="89"/>
        <v>0.15339688634000001</v>
      </c>
      <c r="AO152">
        <v>33.299999999999997</v>
      </c>
      <c r="AP152">
        <v>0.5</v>
      </c>
      <c r="AQ152" t="s">
        <v>331</v>
      </c>
      <c r="AR152">
        <v>2</v>
      </c>
      <c r="AS152">
        <v>1690202245.5999999</v>
      </c>
      <c r="AT152">
        <v>356.30399999999997</v>
      </c>
      <c r="AU152">
        <v>800.39700000000005</v>
      </c>
      <c r="AV152">
        <v>28.325399999999998</v>
      </c>
      <c r="AW152">
        <v>19.547999999999998</v>
      </c>
      <c r="AX152">
        <v>357.52199999999999</v>
      </c>
      <c r="AY152">
        <v>28.147099999999998</v>
      </c>
      <c r="AZ152">
        <v>300.24900000000002</v>
      </c>
      <c r="BA152">
        <v>98.9983</v>
      </c>
      <c r="BB152">
        <v>0.100059</v>
      </c>
      <c r="BC152">
        <v>25.7865</v>
      </c>
      <c r="BD152">
        <v>26.970800000000001</v>
      </c>
      <c r="BE152">
        <v>27.495799999999999</v>
      </c>
      <c r="BF152">
        <v>0</v>
      </c>
      <c r="BG152">
        <v>0</v>
      </c>
      <c r="BH152">
        <v>9998.75</v>
      </c>
      <c r="BI152">
        <v>1073.0999999999999</v>
      </c>
      <c r="BJ152">
        <v>1.5137799999999999</v>
      </c>
      <c r="BK152">
        <v>-444.09399999999999</v>
      </c>
      <c r="BL152">
        <v>366.69</v>
      </c>
      <c r="BM152">
        <v>816.35599999999999</v>
      </c>
      <c r="BN152">
        <v>8.7773500000000002</v>
      </c>
      <c r="BO152">
        <v>800.39700000000005</v>
      </c>
      <c r="BP152">
        <v>19.547999999999998</v>
      </c>
      <c r="BQ152">
        <v>2.80416</v>
      </c>
      <c r="BR152">
        <v>1.9352199999999999</v>
      </c>
      <c r="BS152">
        <v>22.9086</v>
      </c>
      <c r="BT152">
        <v>16.923999999999999</v>
      </c>
      <c r="BU152">
        <v>1800</v>
      </c>
      <c r="BV152">
        <v>0.91001699999999996</v>
      </c>
      <c r="BW152">
        <v>3.3998500000000001E-2</v>
      </c>
      <c r="BX152">
        <v>2.1993700000000001E-2</v>
      </c>
      <c r="BY152">
        <v>3.3991E-2</v>
      </c>
      <c r="BZ152">
        <v>25</v>
      </c>
      <c r="CA152">
        <v>33528.5</v>
      </c>
      <c r="CB152">
        <v>1690200769.5</v>
      </c>
      <c r="CC152" t="s">
        <v>332</v>
      </c>
      <c r="CD152">
        <v>1690200769.5</v>
      </c>
      <c r="CE152">
        <v>1690200753</v>
      </c>
      <c r="CF152">
        <v>2</v>
      </c>
      <c r="CG152">
        <v>-0.245</v>
      </c>
      <c r="CH152">
        <v>3.0000000000000001E-3</v>
      </c>
      <c r="CI152">
        <v>-1.5169999999999999</v>
      </c>
      <c r="CJ152">
        <v>-1.6E-2</v>
      </c>
      <c r="CK152">
        <v>778</v>
      </c>
      <c r="CL152">
        <v>12</v>
      </c>
      <c r="CM152">
        <v>0.01</v>
      </c>
      <c r="CN152">
        <v>0.03</v>
      </c>
      <c r="CO152">
        <v>-443.06470731707321</v>
      </c>
      <c r="CP152">
        <v>-6.4263554006965586</v>
      </c>
      <c r="CQ152">
        <v>0.63808529301808481</v>
      </c>
      <c r="CR152">
        <v>-1</v>
      </c>
      <c r="CS152">
        <v>8.2096958536585376</v>
      </c>
      <c r="CT152">
        <v>1.503521184669008</v>
      </c>
      <c r="CU152">
        <v>0.18638412804004231</v>
      </c>
      <c r="CV152">
        <v>-1</v>
      </c>
      <c r="CW152">
        <v>0</v>
      </c>
      <c r="CX152">
        <v>0</v>
      </c>
      <c r="CY152" t="s">
        <v>333</v>
      </c>
      <c r="CZ152">
        <v>2.3654700000000002</v>
      </c>
      <c r="DA152">
        <v>2.7138499999999999</v>
      </c>
      <c r="DB152">
        <v>8.2146200000000003E-2</v>
      </c>
      <c r="DC152">
        <v>0.14655599999999999</v>
      </c>
      <c r="DD152">
        <v>0.12806300000000001</v>
      </c>
      <c r="DE152">
        <v>9.7210299999999999E-2</v>
      </c>
      <c r="DF152">
        <v>33487.1</v>
      </c>
      <c r="DG152">
        <v>27436.9</v>
      </c>
      <c r="DH152">
        <v>31143.599999999999</v>
      </c>
      <c r="DI152">
        <v>28009.599999999999</v>
      </c>
      <c r="DJ152">
        <v>36843.199999999997</v>
      </c>
      <c r="DK152">
        <v>35923.199999999997</v>
      </c>
      <c r="DL152">
        <v>44310.8</v>
      </c>
      <c r="DM152">
        <v>42415.1</v>
      </c>
      <c r="DN152">
        <v>1.43632</v>
      </c>
      <c r="DO152">
        <v>2.0893999999999999</v>
      </c>
      <c r="DP152">
        <v>0.13686699999999999</v>
      </c>
      <c r="DQ152">
        <v>0.174679</v>
      </c>
      <c r="DR152">
        <v>24.728200000000001</v>
      </c>
      <c r="DS152">
        <v>24.634699999999999</v>
      </c>
      <c r="DT152">
        <v>55</v>
      </c>
      <c r="DU152">
        <v>25.7</v>
      </c>
      <c r="DV152">
        <v>18.416799999999999</v>
      </c>
      <c r="DW152">
        <v>61.805399999999999</v>
      </c>
      <c r="DX152">
        <v>35.681100000000001</v>
      </c>
      <c r="DY152">
        <v>1</v>
      </c>
      <c r="DZ152">
        <v>-0.156385</v>
      </c>
      <c r="EA152">
        <v>0.191547</v>
      </c>
      <c r="EB152">
        <v>20.191299999999998</v>
      </c>
      <c r="EC152">
        <v>5.2411000000000003</v>
      </c>
      <c r="ED152">
        <v>12.039899999999999</v>
      </c>
      <c r="EE152">
        <v>5.0168999999999997</v>
      </c>
      <c r="EF152">
        <v>3.2879999999999998</v>
      </c>
      <c r="EG152">
        <v>9999</v>
      </c>
      <c r="EH152">
        <v>9999</v>
      </c>
      <c r="EI152">
        <v>9999</v>
      </c>
      <c r="EJ152">
        <v>999.9</v>
      </c>
      <c r="EK152">
        <v>1.86876</v>
      </c>
      <c r="EL152">
        <v>1.8644799999999999</v>
      </c>
      <c r="EM152">
        <v>1.8690500000000001</v>
      </c>
      <c r="EN152">
        <v>1.8671199999999999</v>
      </c>
      <c r="EO152">
        <v>1.8632899999999999</v>
      </c>
      <c r="EP152">
        <v>1.8643700000000001</v>
      </c>
      <c r="EQ152">
        <v>1.8701000000000001</v>
      </c>
      <c r="ER152">
        <v>1.86934</v>
      </c>
      <c r="ES152">
        <v>0</v>
      </c>
      <c r="ET152">
        <v>0</v>
      </c>
      <c r="EU152">
        <v>0</v>
      </c>
      <c r="EV152">
        <v>0</v>
      </c>
      <c r="EW152" t="s">
        <v>334</v>
      </c>
      <c r="EX152" t="s">
        <v>335</v>
      </c>
      <c r="EY152" t="s">
        <v>336</v>
      </c>
      <c r="EZ152" t="s">
        <v>336</v>
      </c>
      <c r="FA152" t="s">
        <v>336</v>
      </c>
      <c r="FB152" t="s">
        <v>336</v>
      </c>
      <c r="FC152">
        <v>0</v>
      </c>
      <c r="FD152">
        <v>100</v>
      </c>
      <c r="FE152">
        <v>100</v>
      </c>
      <c r="FF152">
        <v>-1.218</v>
      </c>
      <c r="FG152">
        <v>0.17829999999999999</v>
      </c>
      <c r="FH152">
        <v>-0.98020551812546231</v>
      </c>
      <c r="FI152">
        <v>-6.1462078757559423E-4</v>
      </c>
      <c r="FJ152">
        <v>-1.8861989874597051E-7</v>
      </c>
      <c r="FK152">
        <v>1.1980462299894961E-10</v>
      </c>
      <c r="FL152">
        <v>0.1782306200647516</v>
      </c>
      <c r="FM152">
        <v>0</v>
      </c>
      <c r="FN152">
        <v>0</v>
      </c>
      <c r="FO152">
        <v>0</v>
      </c>
      <c r="FP152">
        <v>3</v>
      </c>
      <c r="FQ152">
        <v>2158</v>
      </c>
      <c r="FR152">
        <v>1</v>
      </c>
      <c r="FS152">
        <v>19</v>
      </c>
      <c r="FT152">
        <v>24.6</v>
      </c>
      <c r="FU152">
        <v>24.9</v>
      </c>
      <c r="FV152">
        <v>1.78711</v>
      </c>
      <c r="FW152">
        <v>2.5415000000000001</v>
      </c>
      <c r="FX152">
        <v>1.5490699999999999</v>
      </c>
      <c r="FY152">
        <v>2.34009</v>
      </c>
      <c r="FZ152">
        <v>1.50146</v>
      </c>
      <c r="GA152">
        <v>2.3864700000000001</v>
      </c>
      <c r="GB152">
        <v>31.020199999999999</v>
      </c>
      <c r="GC152">
        <v>23.991199999999999</v>
      </c>
      <c r="GD152">
        <v>19</v>
      </c>
      <c r="GE152">
        <v>263.02600000000001</v>
      </c>
      <c r="GF152">
        <v>618.49099999999999</v>
      </c>
      <c r="GG152">
        <v>23.943999999999999</v>
      </c>
      <c r="GH152">
        <v>25.440999999999999</v>
      </c>
      <c r="GI152">
        <v>30.0002</v>
      </c>
      <c r="GJ152">
        <v>25.5626</v>
      </c>
      <c r="GK152">
        <v>25.536000000000001</v>
      </c>
      <c r="GL152">
        <v>35.725700000000003</v>
      </c>
      <c r="GM152">
        <v>18.210999999999999</v>
      </c>
      <c r="GN152">
        <v>73.545299999999997</v>
      </c>
      <c r="GO152">
        <v>24.151900000000001</v>
      </c>
      <c r="GP152">
        <v>800</v>
      </c>
      <c r="GQ152">
        <v>18.818100000000001</v>
      </c>
      <c r="GR152">
        <v>99.633700000000005</v>
      </c>
      <c r="GS152">
        <v>99.258700000000005</v>
      </c>
    </row>
    <row r="153" spans="1:201" x14ac:dyDescent="0.25">
      <c r="A153">
        <v>137</v>
      </c>
      <c r="B153">
        <v>1690202255.5999999</v>
      </c>
      <c r="C153">
        <v>1408.599999904633</v>
      </c>
      <c r="D153" t="s">
        <v>607</v>
      </c>
      <c r="E153" t="s">
        <v>608</v>
      </c>
      <c r="F153" t="s">
        <v>330</v>
      </c>
      <c r="H153">
        <v>1690202255.5999999</v>
      </c>
      <c r="I153">
        <f t="shared" si="60"/>
        <v>8.8209420032569661E-4</v>
      </c>
      <c r="J153">
        <f t="shared" si="61"/>
        <v>0.88209420032569663</v>
      </c>
      <c r="K153">
        <f t="shared" si="62"/>
        <v>39.823148092149495</v>
      </c>
      <c r="L153">
        <f t="shared" si="63"/>
        <v>355.303</v>
      </c>
      <c r="M153">
        <f t="shared" si="64"/>
        <v>-340.06018442605193</v>
      </c>
      <c r="N153">
        <f t="shared" si="65"/>
        <v>-33.700425398231829</v>
      </c>
      <c r="O153">
        <f t="shared" si="66"/>
        <v>35.211009090867996</v>
      </c>
      <c r="P153">
        <f t="shared" si="67"/>
        <v>9.3606535099933039E-2</v>
      </c>
      <c r="Q153">
        <f t="shared" si="68"/>
        <v>2.078817099268826</v>
      </c>
      <c r="R153">
        <f t="shared" si="69"/>
        <v>9.1326398900865621E-2</v>
      </c>
      <c r="S153">
        <f t="shared" si="70"/>
        <v>5.7279234483246344E-2</v>
      </c>
      <c r="T153">
        <f t="shared" si="71"/>
        <v>276.11429736600007</v>
      </c>
      <c r="U153">
        <f t="shared" si="72"/>
        <v>27.717592411335776</v>
      </c>
      <c r="V153">
        <f t="shared" si="73"/>
        <v>27.717592411335776</v>
      </c>
      <c r="W153">
        <f t="shared" si="74"/>
        <v>3.7328106230575751</v>
      </c>
      <c r="X153">
        <f t="shared" si="75"/>
        <v>84.196363198468674</v>
      </c>
      <c r="Y153">
        <f t="shared" si="76"/>
        <v>2.8072044708695998</v>
      </c>
      <c r="Z153">
        <f t="shared" si="77"/>
        <v>3.3341160641967682</v>
      </c>
      <c r="AA153">
        <f t="shared" si="78"/>
        <v>0.92560615218797526</v>
      </c>
      <c r="AB153">
        <f t="shared" si="79"/>
        <v>-38.90035423436322</v>
      </c>
      <c r="AC153">
        <f t="shared" si="80"/>
        <v>-215.14604747307473</v>
      </c>
      <c r="AD153">
        <f t="shared" si="81"/>
        <v>-22.281478046293238</v>
      </c>
      <c r="AE153">
        <f t="shared" si="82"/>
        <v>-0.21358238773112248</v>
      </c>
      <c r="AF153">
        <v>15</v>
      </c>
      <c r="AG153">
        <v>5</v>
      </c>
      <c r="AH153">
        <f t="shared" si="83"/>
        <v>1</v>
      </c>
      <c r="AI153">
        <f t="shared" si="84"/>
        <v>0</v>
      </c>
      <c r="AJ153">
        <f t="shared" si="85"/>
        <v>52493.541316640454</v>
      </c>
      <c r="AK153">
        <f t="shared" si="86"/>
        <v>1800</v>
      </c>
      <c r="AL153">
        <f t="shared" si="87"/>
        <v>1499.1133805999998</v>
      </c>
      <c r="AM153">
        <f t="shared" si="88"/>
        <v>0.83284076699999987</v>
      </c>
      <c r="AN153">
        <f t="shared" si="89"/>
        <v>0.15339683187000003</v>
      </c>
      <c r="AO153">
        <v>33.299999999999997</v>
      </c>
      <c r="AP153">
        <v>0.5</v>
      </c>
      <c r="AQ153" t="s">
        <v>331</v>
      </c>
      <c r="AR153">
        <v>2</v>
      </c>
      <c r="AS153">
        <v>1690202255.5999999</v>
      </c>
      <c r="AT153">
        <v>355.303</v>
      </c>
      <c r="AU153">
        <v>800.39300000000003</v>
      </c>
      <c r="AV153">
        <v>28.326599999999999</v>
      </c>
      <c r="AW153">
        <v>18.8218</v>
      </c>
      <c r="AX153">
        <v>356.52100000000002</v>
      </c>
      <c r="AY153">
        <v>28.148399999999999</v>
      </c>
      <c r="AZ153">
        <v>300.28699999999998</v>
      </c>
      <c r="BA153">
        <v>99.001300000000001</v>
      </c>
      <c r="BB153">
        <v>0.10005600000000001</v>
      </c>
      <c r="BC153">
        <v>25.797899999999998</v>
      </c>
      <c r="BD153">
        <v>27.0153</v>
      </c>
      <c r="BE153">
        <v>27.496600000000001</v>
      </c>
      <c r="BF153">
        <v>0</v>
      </c>
      <c r="BG153">
        <v>0</v>
      </c>
      <c r="BH153">
        <v>9986.8799999999992</v>
      </c>
      <c r="BI153">
        <v>1073.2</v>
      </c>
      <c r="BJ153">
        <v>1.5137799999999999</v>
      </c>
      <c r="BK153">
        <v>-445.09</v>
      </c>
      <c r="BL153">
        <v>365.661</v>
      </c>
      <c r="BM153">
        <v>815.74699999999996</v>
      </c>
      <c r="BN153">
        <v>9.5047899999999998</v>
      </c>
      <c r="BO153">
        <v>800.39300000000003</v>
      </c>
      <c r="BP153">
        <v>18.8218</v>
      </c>
      <c r="BQ153">
        <v>2.80437</v>
      </c>
      <c r="BR153">
        <v>1.8633900000000001</v>
      </c>
      <c r="BS153">
        <v>22.9099</v>
      </c>
      <c r="BT153">
        <v>16.328900000000001</v>
      </c>
      <c r="BU153">
        <v>1800</v>
      </c>
      <c r="BV153">
        <v>0.91001699999999996</v>
      </c>
      <c r="BW153">
        <v>3.3998399999999998E-2</v>
      </c>
      <c r="BX153">
        <v>2.1993599999999999E-2</v>
      </c>
      <c r="BY153">
        <v>3.3990899999999998E-2</v>
      </c>
      <c r="BZ153">
        <v>25</v>
      </c>
      <c r="CA153">
        <v>33528.5</v>
      </c>
      <c r="CB153">
        <v>1690200769.5</v>
      </c>
      <c r="CC153" t="s">
        <v>332</v>
      </c>
      <c r="CD153">
        <v>1690200769.5</v>
      </c>
      <c r="CE153">
        <v>1690200753</v>
      </c>
      <c r="CF153">
        <v>2</v>
      </c>
      <c r="CG153">
        <v>-0.245</v>
      </c>
      <c r="CH153">
        <v>3.0000000000000001E-3</v>
      </c>
      <c r="CI153">
        <v>-1.5169999999999999</v>
      </c>
      <c r="CJ153">
        <v>-1.6E-2</v>
      </c>
      <c r="CK153">
        <v>778</v>
      </c>
      <c r="CL153">
        <v>12</v>
      </c>
      <c r="CM153">
        <v>0.01</v>
      </c>
      <c r="CN153">
        <v>0.03</v>
      </c>
      <c r="CO153">
        <v>-444.04514634146352</v>
      </c>
      <c r="CP153">
        <v>-5.4563832752607073</v>
      </c>
      <c r="CQ153">
        <v>0.54030477221366435</v>
      </c>
      <c r="CR153">
        <v>-1</v>
      </c>
      <c r="CS153">
        <v>8.6915951219512202</v>
      </c>
      <c r="CT153">
        <v>4.2616519860627147</v>
      </c>
      <c r="CU153">
        <v>0.42140998472967289</v>
      </c>
      <c r="CV153">
        <v>-1</v>
      </c>
      <c r="CW153">
        <v>0</v>
      </c>
      <c r="CX153">
        <v>0</v>
      </c>
      <c r="CY153" t="s">
        <v>333</v>
      </c>
      <c r="CZ153">
        <v>2.3655599999999999</v>
      </c>
      <c r="DA153">
        <v>2.7138399999999998</v>
      </c>
      <c r="DB153">
        <v>8.1967799999999993E-2</v>
      </c>
      <c r="DC153">
        <v>0.14654600000000001</v>
      </c>
      <c r="DD153">
        <v>0.12806999999999999</v>
      </c>
      <c r="DE153">
        <v>9.46269E-2</v>
      </c>
      <c r="DF153">
        <v>33494.400000000001</v>
      </c>
      <c r="DG153">
        <v>27437.200000000001</v>
      </c>
      <c r="DH153">
        <v>31144.3</v>
      </c>
      <c r="DI153">
        <v>28009.5</v>
      </c>
      <c r="DJ153">
        <v>36843.699999999997</v>
      </c>
      <c r="DK153">
        <v>36026.1</v>
      </c>
      <c r="DL153">
        <v>44311.8</v>
      </c>
      <c r="DM153">
        <v>42414.9</v>
      </c>
      <c r="DN153">
        <v>1.4379299999999999</v>
      </c>
      <c r="DO153">
        <v>2.0885699999999998</v>
      </c>
      <c r="DP153">
        <v>0.13958699999999999</v>
      </c>
      <c r="DQ153">
        <v>0.17494000000000001</v>
      </c>
      <c r="DR153">
        <v>24.728200000000001</v>
      </c>
      <c r="DS153">
        <v>24.6312</v>
      </c>
      <c r="DT153">
        <v>55.7</v>
      </c>
      <c r="DU153">
        <v>25.7</v>
      </c>
      <c r="DV153">
        <v>18.648700000000002</v>
      </c>
      <c r="DW153">
        <v>61.9754</v>
      </c>
      <c r="DX153">
        <v>35.276400000000002</v>
      </c>
      <c r="DY153">
        <v>1</v>
      </c>
      <c r="DZ153">
        <v>-0.157279</v>
      </c>
      <c r="EA153">
        <v>-0.158862</v>
      </c>
      <c r="EB153">
        <v>20.191800000000001</v>
      </c>
      <c r="EC153">
        <v>5.24125</v>
      </c>
      <c r="ED153">
        <v>12.039899999999999</v>
      </c>
      <c r="EE153">
        <v>5.0170500000000002</v>
      </c>
      <c r="EF153">
        <v>3.2879999999999998</v>
      </c>
      <c r="EG153">
        <v>9999</v>
      </c>
      <c r="EH153">
        <v>9999</v>
      </c>
      <c r="EI153">
        <v>9999</v>
      </c>
      <c r="EJ153">
        <v>999.9</v>
      </c>
      <c r="EK153">
        <v>1.8687800000000001</v>
      </c>
      <c r="EL153">
        <v>1.86449</v>
      </c>
      <c r="EM153">
        <v>1.8690500000000001</v>
      </c>
      <c r="EN153">
        <v>1.8671199999999999</v>
      </c>
      <c r="EO153">
        <v>1.8632599999999999</v>
      </c>
      <c r="EP153">
        <v>1.86436</v>
      </c>
      <c r="EQ153">
        <v>1.87008</v>
      </c>
      <c r="ER153">
        <v>1.8693299999999999</v>
      </c>
      <c r="ES153">
        <v>0</v>
      </c>
      <c r="ET153">
        <v>0</v>
      </c>
      <c r="EU153">
        <v>0</v>
      </c>
      <c r="EV153">
        <v>0</v>
      </c>
      <c r="EW153" t="s">
        <v>334</v>
      </c>
      <c r="EX153" t="s">
        <v>335</v>
      </c>
      <c r="EY153" t="s">
        <v>336</v>
      </c>
      <c r="EZ153" t="s">
        <v>336</v>
      </c>
      <c r="FA153" t="s">
        <v>336</v>
      </c>
      <c r="FB153" t="s">
        <v>336</v>
      </c>
      <c r="FC153">
        <v>0</v>
      </c>
      <c r="FD153">
        <v>100</v>
      </c>
      <c r="FE153">
        <v>100</v>
      </c>
      <c r="FF153">
        <v>-1.218</v>
      </c>
      <c r="FG153">
        <v>0.1782</v>
      </c>
      <c r="FH153">
        <v>-0.98020551812546231</v>
      </c>
      <c r="FI153">
        <v>-6.1462078757559423E-4</v>
      </c>
      <c r="FJ153">
        <v>-1.8861989874597051E-7</v>
      </c>
      <c r="FK153">
        <v>1.1980462299894961E-10</v>
      </c>
      <c r="FL153">
        <v>0.1782306200647516</v>
      </c>
      <c r="FM153">
        <v>0</v>
      </c>
      <c r="FN153">
        <v>0</v>
      </c>
      <c r="FO153">
        <v>0</v>
      </c>
      <c r="FP153">
        <v>3</v>
      </c>
      <c r="FQ153">
        <v>2158</v>
      </c>
      <c r="FR153">
        <v>1</v>
      </c>
      <c r="FS153">
        <v>19</v>
      </c>
      <c r="FT153">
        <v>24.8</v>
      </c>
      <c r="FU153">
        <v>25</v>
      </c>
      <c r="FV153">
        <v>1.78589</v>
      </c>
      <c r="FW153">
        <v>2.5402800000000001</v>
      </c>
      <c r="FX153">
        <v>1.5490699999999999</v>
      </c>
      <c r="FY153">
        <v>2.34009</v>
      </c>
      <c r="FZ153">
        <v>1.50146</v>
      </c>
      <c r="GA153">
        <v>2.3986800000000001</v>
      </c>
      <c r="GB153">
        <v>31.020199999999999</v>
      </c>
      <c r="GC153">
        <v>23.991199999999999</v>
      </c>
      <c r="GD153">
        <v>19</v>
      </c>
      <c r="GE153">
        <v>263.678</v>
      </c>
      <c r="GF153">
        <v>617.75400000000002</v>
      </c>
      <c r="GG153">
        <v>24.169699999999999</v>
      </c>
      <c r="GH153">
        <v>25.442599999999999</v>
      </c>
      <c r="GI153">
        <v>29.9999</v>
      </c>
      <c r="GJ153">
        <v>25.564699999999998</v>
      </c>
      <c r="GK153">
        <v>25.533899999999999</v>
      </c>
      <c r="GL153">
        <v>35.697200000000002</v>
      </c>
      <c r="GM153">
        <v>22.563099999999999</v>
      </c>
      <c r="GN153">
        <v>74.293499999999995</v>
      </c>
      <c r="GO153">
        <v>24.158899999999999</v>
      </c>
      <c r="GP153">
        <v>800</v>
      </c>
      <c r="GQ153">
        <v>18.343499999999999</v>
      </c>
      <c r="GR153">
        <v>99.635900000000007</v>
      </c>
      <c r="GS153">
        <v>99.258399999999995</v>
      </c>
    </row>
    <row r="154" spans="1:201" x14ac:dyDescent="0.25">
      <c r="A154">
        <v>138</v>
      </c>
      <c r="B154">
        <v>1690202265.5999999</v>
      </c>
      <c r="C154">
        <v>1418.599999904633</v>
      </c>
      <c r="D154" t="s">
        <v>609</v>
      </c>
      <c r="E154" t="s">
        <v>610</v>
      </c>
      <c r="F154" t="s">
        <v>330</v>
      </c>
      <c r="H154">
        <v>1690202265.5999999</v>
      </c>
      <c r="I154">
        <f t="shared" si="60"/>
        <v>9.3958314291850474E-4</v>
      </c>
      <c r="J154">
        <f t="shared" si="61"/>
        <v>0.93958314291850475</v>
      </c>
      <c r="K154">
        <f t="shared" si="62"/>
        <v>39.858992301405692</v>
      </c>
      <c r="L154">
        <f t="shared" si="63"/>
        <v>354.53800000000001</v>
      </c>
      <c r="M154">
        <f t="shared" si="64"/>
        <v>-294.61470770610038</v>
      </c>
      <c r="N154">
        <f t="shared" si="65"/>
        <v>-29.196674017470869</v>
      </c>
      <c r="O154">
        <f t="shared" si="66"/>
        <v>35.13514479098</v>
      </c>
      <c r="P154">
        <f t="shared" si="67"/>
        <v>0.10057014282401704</v>
      </c>
      <c r="Q154">
        <f t="shared" si="68"/>
        <v>2.0789545012093784</v>
      </c>
      <c r="R154">
        <f t="shared" si="69"/>
        <v>9.7943434467200788E-2</v>
      </c>
      <c r="S154">
        <f t="shared" si="70"/>
        <v>6.144493165561607E-2</v>
      </c>
      <c r="T154">
        <f t="shared" si="71"/>
        <v>276.11250886109542</v>
      </c>
      <c r="U154">
        <f t="shared" si="72"/>
        <v>27.698644056524369</v>
      </c>
      <c r="V154">
        <f t="shared" si="73"/>
        <v>27.698644056524369</v>
      </c>
      <c r="W154">
        <f t="shared" si="74"/>
        <v>3.7286805934763829</v>
      </c>
      <c r="X154">
        <f t="shared" si="75"/>
        <v>84.252250357882403</v>
      </c>
      <c r="Y154">
        <f t="shared" si="76"/>
        <v>2.8093508314429996</v>
      </c>
      <c r="Z154">
        <f t="shared" si="77"/>
        <v>3.3344519814124638</v>
      </c>
      <c r="AA154">
        <f t="shared" si="78"/>
        <v>0.91932976203338335</v>
      </c>
      <c r="AB154">
        <f t="shared" si="79"/>
        <v>-41.435616602706062</v>
      </c>
      <c r="AC154">
        <f t="shared" si="80"/>
        <v>-212.8459879178786</v>
      </c>
      <c r="AD154">
        <f t="shared" si="81"/>
        <v>-22.039909576592127</v>
      </c>
      <c r="AE154">
        <f t="shared" si="82"/>
        <v>-0.20900523608136723</v>
      </c>
      <c r="AF154">
        <v>16</v>
      </c>
      <c r="AG154">
        <v>5</v>
      </c>
      <c r="AH154">
        <f t="shared" si="83"/>
        <v>1</v>
      </c>
      <c r="AI154">
        <f t="shared" si="84"/>
        <v>0</v>
      </c>
      <c r="AJ154">
        <f t="shared" si="85"/>
        <v>52499.442893183732</v>
      </c>
      <c r="AK154">
        <f t="shared" si="86"/>
        <v>1799.99</v>
      </c>
      <c r="AL154">
        <f t="shared" si="87"/>
        <v>1499.1049423929398</v>
      </c>
      <c r="AM154">
        <f t="shared" si="88"/>
        <v>0.83284070599999993</v>
      </c>
      <c r="AN154">
        <f t="shared" si="89"/>
        <v>0.15339669046000001</v>
      </c>
      <c r="AO154">
        <v>33.299999999999997</v>
      </c>
      <c r="AP154">
        <v>0.5</v>
      </c>
      <c r="AQ154" t="s">
        <v>331</v>
      </c>
      <c r="AR154">
        <v>2</v>
      </c>
      <c r="AS154">
        <v>1690202265.5999999</v>
      </c>
      <c r="AT154">
        <v>354.53800000000001</v>
      </c>
      <c r="AU154">
        <v>800.24699999999996</v>
      </c>
      <c r="AV154">
        <v>28.348299999999998</v>
      </c>
      <c r="AW154">
        <v>18.2242</v>
      </c>
      <c r="AX154">
        <v>355.75599999999997</v>
      </c>
      <c r="AY154">
        <v>28.170100000000001</v>
      </c>
      <c r="AZ154">
        <v>300.28500000000003</v>
      </c>
      <c r="BA154">
        <v>99.001199999999997</v>
      </c>
      <c r="BB154">
        <v>0.10001</v>
      </c>
      <c r="BC154">
        <v>25.799600000000002</v>
      </c>
      <c r="BD154">
        <v>27.000599999999999</v>
      </c>
      <c r="BE154">
        <v>27.499600000000001</v>
      </c>
      <c r="BF154">
        <v>0</v>
      </c>
      <c r="BG154">
        <v>0</v>
      </c>
      <c r="BH154">
        <v>9988.1200000000008</v>
      </c>
      <c r="BI154">
        <v>1073.3699999999999</v>
      </c>
      <c r="BJ154">
        <v>1.2334499999999999</v>
      </c>
      <c r="BK154">
        <v>-445.70800000000003</v>
      </c>
      <c r="BL154">
        <v>364.88200000000001</v>
      </c>
      <c r="BM154">
        <v>815.101</v>
      </c>
      <c r="BN154">
        <v>10.1241</v>
      </c>
      <c r="BO154">
        <v>800.24699999999996</v>
      </c>
      <c r="BP154">
        <v>18.2242</v>
      </c>
      <c r="BQ154">
        <v>2.8065199999999999</v>
      </c>
      <c r="BR154">
        <v>1.8042199999999999</v>
      </c>
      <c r="BS154">
        <v>22.922499999999999</v>
      </c>
      <c r="BT154">
        <v>15.823399999999999</v>
      </c>
      <c r="BU154">
        <v>1799.99</v>
      </c>
      <c r="BV154">
        <v>0.91002000000000005</v>
      </c>
      <c r="BW154">
        <v>3.3997100000000002E-2</v>
      </c>
      <c r="BX154">
        <v>2.19928E-2</v>
      </c>
      <c r="BY154">
        <v>3.3989600000000002E-2</v>
      </c>
      <c r="BZ154">
        <v>25</v>
      </c>
      <c r="CA154">
        <v>33528.400000000001</v>
      </c>
      <c r="CB154">
        <v>1690200769.5</v>
      </c>
      <c r="CC154" t="s">
        <v>332</v>
      </c>
      <c r="CD154">
        <v>1690200769.5</v>
      </c>
      <c r="CE154">
        <v>1690200753</v>
      </c>
      <c r="CF154">
        <v>2</v>
      </c>
      <c r="CG154">
        <v>-0.245</v>
      </c>
      <c r="CH154">
        <v>3.0000000000000001E-3</v>
      </c>
      <c r="CI154">
        <v>-1.5169999999999999</v>
      </c>
      <c r="CJ154">
        <v>-1.6E-2</v>
      </c>
      <c r="CK154">
        <v>778</v>
      </c>
      <c r="CL154">
        <v>12</v>
      </c>
      <c r="CM154">
        <v>0.01</v>
      </c>
      <c r="CN154">
        <v>0.03</v>
      </c>
      <c r="CO154">
        <v>-444.89319999999998</v>
      </c>
      <c r="CP154">
        <v>-5.1184390243892803</v>
      </c>
      <c r="CQ154">
        <v>0.4973338516529876</v>
      </c>
      <c r="CR154">
        <v>-1</v>
      </c>
      <c r="CS154">
        <v>9.3980447500000004</v>
      </c>
      <c r="CT154">
        <v>4.2684575234521454</v>
      </c>
      <c r="CU154">
        <v>0.41085768082139779</v>
      </c>
      <c r="CV154">
        <v>-1</v>
      </c>
      <c r="CW154">
        <v>0</v>
      </c>
      <c r="CX154">
        <v>0</v>
      </c>
      <c r="CY154" t="s">
        <v>333</v>
      </c>
      <c r="CZ154">
        <v>2.3655400000000002</v>
      </c>
      <c r="DA154">
        <v>2.7137899999999999</v>
      </c>
      <c r="DB154">
        <v>8.1829700000000005E-2</v>
      </c>
      <c r="DC154">
        <v>0.14651500000000001</v>
      </c>
      <c r="DD154">
        <v>0.128137</v>
      </c>
      <c r="DE154">
        <v>9.2468300000000003E-2</v>
      </c>
      <c r="DF154">
        <v>33499.599999999999</v>
      </c>
      <c r="DG154">
        <v>27438.400000000001</v>
      </c>
      <c r="DH154">
        <v>31144.400000000001</v>
      </c>
      <c r="DI154">
        <v>28009.8</v>
      </c>
      <c r="DJ154">
        <v>36840.9</v>
      </c>
      <c r="DK154">
        <v>36112.699999999997</v>
      </c>
      <c r="DL154">
        <v>44311.9</v>
      </c>
      <c r="DM154">
        <v>42415.6</v>
      </c>
      <c r="DN154">
        <v>1.43747</v>
      </c>
      <c r="DO154">
        <v>2.0881500000000002</v>
      </c>
      <c r="DP154">
        <v>0.13869300000000001</v>
      </c>
      <c r="DQ154">
        <v>0.17516300000000001</v>
      </c>
      <c r="DR154">
        <v>24.728200000000001</v>
      </c>
      <c r="DS154">
        <v>24.630600000000001</v>
      </c>
      <c r="DT154">
        <v>56.3</v>
      </c>
      <c r="DU154">
        <v>25.7</v>
      </c>
      <c r="DV154">
        <v>18.851900000000001</v>
      </c>
      <c r="DW154">
        <v>62.025399999999998</v>
      </c>
      <c r="DX154">
        <v>35.156199999999998</v>
      </c>
      <c r="DY154">
        <v>1</v>
      </c>
      <c r="DZ154">
        <v>-0.15731500000000001</v>
      </c>
      <c r="EA154">
        <v>0.10648100000000001</v>
      </c>
      <c r="EB154">
        <v>20.192299999999999</v>
      </c>
      <c r="EC154">
        <v>5.2408000000000001</v>
      </c>
      <c r="ED154">
        <v>12.039899999999999</v>
      </c>
      <c r="EE154">
        <v>5.0169499999999996</v>
      </c>
      <c r="EF154">
        <v>3.2879999999999998</v>
      </c>
      <c r="EG154">
        <v>9999</v>
      </c>
      <c r="EH154">
        <v>9999</v>
      </c>
      <c r="EI154">
        <v>9999</v>
      </c>
      <c r="EJ154">
        <v>999.9</v>
      </c>
      <c r="EK154">
        <v>1.8688</v>
      </c>
      <c r="EL154">
        <v>1.8644700000000001</v>
      </c>
      <c r="EM154">
        <v>1.8690500000000001</v>
      </c>
      <c r="EN154">
        <v>1.8671199999999999</v>
      </c>
      <c r="EO154">
        <v>1.86328</v>
      </c>
      <c r="EP154">
        <v>1.86439</v>
      </c>
      <c r="EQ154">
        <v>1.87008</v>
      </c>
      <c r="ER154">
        <v>1.8693500000000001</v>
      </c>
      <c r="ES154">
        <v>0</v>
      </c>
      <c r="ET154">
        <v>0</v>
      </c>
      <c r="EU154">
        <v>0</v>
      </c>
      <c r="EV154">
        <v>0</v>
      </c>
      <c r="EW154" t="s">
        <v>334</v>
      </c>
      <c r="EX154" t="s">
        <v>335</v>
      </c>
      <c r="EY154" t="s">
        <v>336</v>
      </c>
      <c r="EZ154" t="s">
        <v>336</v>
      </c>
      <c r="FA154" t="s">
        <v>336</v>
      </c>
      <c r="FB154" t="s">
        <v>336</v>
      </c>
      <c r="FC154">
        <v>0</v>
      </c>
      <c r="FD154">
        <v>100</v>
      </c>
      <c r="FE154">
        <v>100</v>
      </c>
      <c r="FF154">
        <v>-1.218</v>
      </c>
      <c r="FG154">
        <v>0.1782</v>
      </c>
      <c r="FH154">
        <v>-0.98020551812546231</v>
      </c>
      <c r="FI154">
        <v>-6.1462078757559423E-4</v>
      </c>
      <c r="FJ154">
        <v>-1.8861989874597051E-7</v>
      </c>
      <c r="FK154">
        <v>1.1980462299894961E-10</v>
      </c>
      <c r="FL154">
        <v>0.1782306200647516</v>
      </c>
      <c r="FM154">
        <v>0</v>
      </c>
      <c r="FN154">
        <v>0</v>
      </c>
      <c r="FO154">
        <v>0</v>
      </c>
      <c r="FP154">
        <v>3</v>
      </c>
      <c r="FQ154">
        <v>2158</v>
      </c>
      <c r="FR154">
        <v>1</v>
      </c>
      <c r="FS154">
        <v>19</v>
      </c>
      <c r="FT154">
        <v>24.9</v>
      </c>
      <c r="FU154">
        <v>25.2</v>
      </c>
      <c r="FV154">
        <v>1.78467</v>
      </c>
      <c r="FW154">
        <v>2.5427200000000001</v>
      </c>
      <c r="FX154">
        <v>1.5490699999999999</v>
      </c>
      <c r="FY154">
        <v>2.34009</v>
      </c>
      <c r="FZ154">
        <v>1.50146</v>
      </c>
      <c r="GA154">
        <v>2.35107</v>
      </c>
      <c r="GB154">
        <v>31.020199999999999</v>
      </c>
      <c r="GC154">
        <v>23.982399999999998</v>
      </c>
      <c r="GD154">
        <v>19</v>
      </c>
      <c r="GE154">
        <v>263.50200000000001</v>
      </c>
      <c r="GF154">
        <v>617.38699999999994</v>
      </c>
      <c r="GG154">
        <v>24.164999999999999</v>
      </c>
      <c r="GH154">
        <v>25.4436</v>
      </c>
      <c r="GI154">
        <v>30</v>
      </c>
      <c r="GJ154">
        <v>25.565799999999999</v>
      </c>
      <c r="GK154">
        <v>25.533899999999999</v>
      </c>
      <c r="GL154">
        <v>35.677599999999998</v>
      </c>
      <c r="GM154">
        <v>25.324300000000001</v>
      </c>
      <c r="GN154">
        <v>74.680400000000006</v>
      </c>
      <c r="GO154">
        <v>24.140899999999998</v>
      </c>
      <c r="GP154">
        <v>800</v>
      </c>
      <c r="GQ154">
        <v>17.853400000000001</v>
      </c>
      <c r="GR154">
        <v>99.636200000000002</v>
      </c>
      <c r="GS154">
        <v>99.259699999999995</v>
      </c>
    </row>
    <row r="155" spans="1:201" x14ac:dyDescent="0.25">
      <c r="A155">
        <v>139</v>
      </c>
      <c r="B155">
        <v>1690202275.5999999</v>
      </c>
      <c r="C155">
        <v>1428.599999904633</v>
      </c>
      <c r="D155" t="s">
        <v>611</v>
      </c>
      <c r="E155" t="s">
        <v>612</v>
      </c>
      <c r="F155" t="s">
        <v>330</v>
      </c>
      <c r="H155">
        <v>1690202275.5999999</v>
      </c>
      <c r="I155">
        <f t="shared" si="60"/>
        <v>9.9510668184352429E-4</v>
      </c>
      <c r="J155">
        <f t="shared" si="61"/>
        <v>0.99510668184352435</v>
      </c>
      <c r="K155">
        <f t="shared" si="62"/>
        <v>39.917602510358243</v>
      </c>
      <c r="L155">
        <f t="shared" si="63"/>
        <v>353.54599999999999</v>
      </c>
      <c r="M155">
        <f t="shared" si="64"/>
        <v>-257.26135443391252</v>
      </c>
      <c r="N155">
        <f t="shared" si="65"/>
        <v>-25.494783445937358</v>
      </c>
      <c r="O155">
        <f t="shared" si="66"/>
        <v>35.036660395461197</v>
      </c>
      <c r="P155">
        <f t="shared" si="67"/>
        <v>0.10724675574030135</v>
      </c>
      <c r="Q155">
        <f t="shared" si="68"/>
        <v>2.0841084970388826</v>
      </c>
      <c r="R155">
        <f t="shared" si="69"/>
        <v>0.10427242897041047</v>
      </c>
      <c r="S155">
        <f t="shared" si="70"/>
        <v>6.5430628769161725E-2</v>
      </c>
      <c r="T155">
        <f t="shared" si="71"/>
        <v>276.11258381267902</v>
      </c>
      <c r="U155">
        <f t="shared" si="72"/>
        <v>27.683199275425288</v>
      </c>
      <c r="V155">
        <f t="shared" si="73"/>
        <v>27.683199275425288</v>
      </c>
      <c r="W155">
        <f t="shared" si="74"/>
        <v>3.7253171615152914</v>
      </c>
      <c r="X155">
        <f t="shared" si="75"/>
        <v>84.251378379680048</v>
      </c>
      <c r="Y155">
        <f t="shared" si="76"/>
        <v>2.8107538598437198</v>
      </c>
      <c r="Z155">
        <f t="shared" si="77"/>
        <v>3.3361517804219378</v>
      </c>
      <c r="AA155">
        <f t="shared" si="78"/>
        <v>0.91456330167157152</v>
      </c>
      <c r="AB155">
        <f t="shared" si="79"/>
        <v>-43.884204669299422</v>
      </c>
      <c r="AC155">
        <f t="shared" si="80"/>
        <v>-210.67202601107871</v>
      </c>
      <c r="AD155">
        <f t="shared" si="81"/>
        <v>-21.76010001236693</v>
      </c>
      <c r="AE155">
        <f t="shared" si="82"/>
        <v>-0.20374688006606334</v>
      </c>
      <c r="AF155">
        <v>16</v>
      </c>
      <c r="AG155">
        <v>5</v>
      </c>
      <c r="AH155">
        <f t="shared" si="83"/>
        <v>1</v>
      </c>
      <c r="AI155">
        <f t="shared" si="84"/>
        <v>0</v>
      </c>
      <c r="AJ155">
        <f t="shared" si="85"/>
        <v>52730.938065783812</v>
      </c>
      <c r="AK155">
        <f t="shared" si="86"/>
        <v>1799.99</v>
      </c>
      <c r="AL155">
        <f t="shared" si="87"/>
        <v>1499.1066055837</v>
      </c>
      <c r="AM155">
        <f t="shared" si="88"/>
        <v>0.83284163</v>
      </c>
      <c r="AN155">
        <f t="shared" si="89"/>
        <v>0.15339673210000002</v>
      </c>
      <c r="AO155">
        <v>33.299999999999997</v>
      </c>
      <c r="AP155">
        <v>0.5</v>
      </c>
      <c r="AQ155" t="s">
        <v>331</v>
      </c>
      <c r="AR155">
        <v>2</v>
      </c>
      <c r="AS155">
        <v>1690202275.5999999</v>
      </c>
      <c r="AT155">
        <v>353.54599999999999</v>
      </c>
      <c r="AU155">
        <v>800.27</v>
      </c>
      <c r="AV155">
        <v>28.3626</v>
      </c>
      <c r="AW155">
        <v>17.636600000000001</v>
      </c>
      <c r="AX155">
        <v>354.762</v>
      </c>
      <c r="AY155">
        <v>28.1844</v>
      </c>
      <c r="AZ155">
        <v>300.17899999999997</v>
      </c>
      <c r="BA155">
        <v>99.000799999999998</v>
      </c>
      <c r="BB155">
        <v>9.9912200000000007E-2</v>
      </c>
      <c r="BC155">
        <v>25.808199999999999</v>
      </c>
      <c r="BD155">
        <v>27.02</v>
      </c>
      <c r="BE155">
        <v>27.506399999999999</v>
      </c>
      <c r="BF155">
        <v>0</v>
      </c>
      <c r="BG155">
        <v>0</v>
      </c>
      <c r="BH155">
        <v>10034.4</v>
      </c>
      <c r="BI155">
        <v>1073.3399999999999</v>
      </c>
      <c r="BJ155">
        <v>1.25868</v>
      </c>
      <c r="BK155">
        <v>-446.72399999999999</v>
      </c>
      <c r="BL155">
        <v>363.86599999999999</v>
      </c>
      <c r="BM155">
        <v>814.63800000000003</v>
      </c>
      <c r="BN155">
        <v>10.726000000000001</v>
      </c>
      <c r="BO155">
        <v>800.27</v>
      </c>
      <c r="BP155">
        <v>17.636600000000001</v>
      </c>
      <c r="BQ155">
        <v>2.8079200000000002</v>
      </c>
      <c r="BR155">
        <v>1.74604</v>
      </c>
      <c r="BS155">
        <v>22.930700000000002</v>
      </c>
      <c r="BT155">
        <v>15.3119</v>
      </c>
      <c r="BU155">
        <v>1799.99</v>
      </c>
      <c r="BV155">
        <v>0.91002400000000006</v>
      </c>
      <c r="BW155">
        <v>3.3995900000000003E-2</v>
      </c>
      <c r="BX155">
        <v>2.1992000000000001E-2</v>
      </c>
      <c r="BY155">
        <v>3.3988400000000002E-2</v>
      </c>
      <c r="BZ155">
        <v>25</v>
      </c>
      <c r="CA155">
        <v>33528.5</v>
      </c>
      <c r="CB155">
        <v>1690200769.5</v>
      </c>
      <c r="CC155" t="s">
        <v>332</v>
      </c>
      <c r="CD155">
        <v>1690200769.5</v>
      </c>
      <c r="CE155">
        <v>1690200753</v>
      </c>
      <c r="CF155">
        <v>2</v>
      </c>
      <c r="CG155">
        <v>-0.245</v>
      </c>
      <c r="CH155">
        <v>3.0000000000000001E-3</v>
      </c>
      <c r="CI155">
        <v>-1.5169999999999999</v>
      </c>
      <c r="CJ155">
        <v>-1.6E-2</v>
      </c>
      <c r="CK155">
        <v>778</v>
      </c>
      <c r="CL155">
        <v>12</v>
      </c>
      <c r="CM155">
        <v>0.01</v>
      </c>
      <c r="CN155">
        <v>0.03</v>
      </c>
      <c r="CO155">
        <v>-445.68655000000001</v>
      </c>
      <c r="CP155">
        <v>-4.5161200750458246</v>
      </c>
      <c r="CQ155">
        <v>0.44213775850972292</v>
      </c>
      <c r="CR155">
        <v>-1</v>
      </c>
      <c r="CS155">
        <v>10.036558749999999</v>
      </c>
      <c r="CT155">
        <v>3.404606341463408</v>
      </c>
      <c r="CU155">
        <v>0.32845942733606781</v>
      </c>
      <c r="CV155">
        <v>-1</v>
      </c>
      <c r="CW155">
        <v>0</v>
      </c>
      <c r="CX155">
        <v>0</v>
      </c>
      <c r="CY155" t="s">
        <v>333</v>
      </c>
      <c r="CZ155">
        <v>2.3651499999999999</v>
      </c>
      <c r="DA155">
        <v>2.71373</v>
      </c>
      <c r="DB155">
        <v>8.1649899999999997E-2</v>
      </c>
      <c r="DC155">
        <v>0.146506</v>
      </c>
      <c r="DD155">
        <v>0.12818099999999999</v>
      </c>
      <c r="DE155">
        <v>9.0317599999999998E-2</v>
      </c>
      <c r="DF155">
        <v>33506.199999999997</v>
      </c>
      <c r="DG155">
        <v>27438.7</v>
      </c>
      <c r="DH155">
        <v>31144.5</v>
      </c>
      <c r="DI155">
        <v>28009.8</v>
      </c>
      <c r="DJ155">
        <v>36839.199999999997</v>
      </c>
      <c r="DK155">
        <v>36198.6</v>
      </c>
      <c r="DL155">
        <v>44312.1</v>
      </c>
      <c r="DM155">
        <v>42415.7</v>
      </c>
      <c r="DN155">
        <v>1.43757</v>
      </c>
      <c r="DO155">
        <v>2.0872799999999998</v>
      </c>
      <c r="DP155">
        <v>0.13969799999999999</v>
      </c>
      <c r="DQ155">
        <v>0.17557300000000001</v>
      </c>
      <c r="DR155">
        <v>24.731200000000001</v>
      </c>
      <c r="DS155">
        <v>24.630700000000001</v>
      </c>
      <c r="DT155">
        <v>56.8</v>
      </c>
      <c r="DU155">
        <v>25.7</v>
      </c>
      <c r="DV155">
        <v>19.020299999999999</v>
      </c>
      <c r="DW155">
        <v>61.415399999999998</v>
      </c>
      <c r="DX155">
        <v>35.340499999999999</v>
      </c>
      <c r="DY155">
        <v>1</v>
      </c>
      <c r="DZ155">
        <v>-0.15662899999999999</v>
      </c>
      <c r="EA155">
        <v>5.2824099999999999E-2</v>
      </c>
      <c r="EB155">
        <v>20.192399999999999</v>
      </c>
      <c r="EC155">
        <v>5.2411000000000003</v>
      </c>
      <c r="ED155">
        <v>12.039899999999999</v>
      </c>
      <c r="EE155">
        <v>5.01715</v>
      </c>
      <c r="EF155">
        <v>3.2879999999999998</v>
      </c>
      <c r="EG155">
        <v>9999</v>
      </c>
      <c r="EH155">
        <v>9999</v>
      </c>
      <c r="EI155">
        <v>9999</v>
      </c>
      <c r="EJ155">
        <v>999.9</v>
      </c>
      <c r="EK155">
        <v>1.8688</v>
      </c>
      <c r="EL155">
        <v>1.8645</v>
      </c>
      <c r="EM155">
        <v>1.8690500000000001</v>
      </c>
      <c r="EN155">
        <v>1.8671199999999999</v>
      </c>
      <c r="EO155">
        <v>1.8632899999999999</v>
      </c>
      <c r="EP155">
        <v>1.86439</v>
      </c>
      <c r="EQ155">
        <v>1.8701000000000001</v>
      </c>
      <c r="ER155">
        <v>1.8693500000000001</v>
      </c>
      <c r="ES155">
        <v>0</v>
      </c>
      <c r="ET155">
        <v>0</v>
      </c>
      <c r="EU155">
        <v>0</v>
      </c>
      <c r="EV155">
        <v>0</v>
      </c>
      <c r="EW155" t="s">
        <v>334</v>
      </c>
      <c r="EX155" t="s">
        <v>335</v>
      </c>
      <c r="EY155" t="s">
        <v>336</v>
      </c>
      <c r="EZ155" t="s">
        <v>336</v>
      </c>
      <c r="FA155" t="s">
        <v>336</v>
      </c>
      <c r="FB155" t="s">
        <v>336</v>
      </c>
      <c r="FC155">
        <v>0</v>
      </c>
      <c r="FD155">
        <v>100</v>
      </c>
      <c r="FE155">
        <v>100</v>
      </c>
      <c r="FF155">
        <v>-1.216</v>
      </c>
      <c r="FG155">
        <v>0.1782</v>
      </c>
      <c r="FH155">
        <v>-0.98020551812546231</v>
      </c>
      <c r="FI155">
        <v>-6.1462078757559423E-4</v>
      </c>
      <c r="FJ155">
        <v>-1.8861989874597051E-7</v>
      </c>
      <c r="FK155">
        <v>1.1980462299894961E-10</v>
      </c>
      <c r="FL155">
        <v>0.1782306200647516</v>
      </c>
      <c r="FM155">
        <v>0</v>
      </c>
      <c r="FN155">
        <v>0</v>
      </c>
      <c r="FO155">
        <v>0</v>
      </c>
      <c r="FP155">
        <v>3</v>
      </c>
      <c r="FQ155">
        <v>2158</v>
      </c>
      <c r="FR155">
        <v>1</v>
      </c>
      <c r="FS155">
        <v>19</v>
      </c>
      <c r="FT155">
        <v>25.1</v>
      </c>
      <c r="FU155">
        <v>25.4</v>
      </c>
      <c r="FV155">
        <v>1.78345</v>
      </c>
      <c r="FW155">
        <v>2.5402800000000001</v>
      </c>
      <c r="FX155">
        <v>1.5490699999999999</v>
      </c>
      <c r="FY155">
        <v>2.34009</v>
      </c>
      <c r="FZ155">
        <v>1.50146</v>
      </c>
      <c r="GA155">
        <v>2.3864700000000001</v>
      </c>
      <c r="GB155">
        <v>31.041899999999998</v>
      </c>
      <c r="GC155">
        <v>23.991199999999999</v>
      </c>
      <c r="GD155">
        <v>19</v>
      </c>
      <c r="GE155">
        <v>263.54500000000002</v>
      </c>
      <c r="GF155">
        <v>616.63400000000001</v>
      </c>
      <c r="GG155">
        <v>24.151</v>
      </c>
      <c r="GH155">
        <v>25.4452</v>
      </c>
      <c r="GI155">
        <v>30</v>
      </c>
      <c r="GJ155">
        <v>25.566800000000001</v>
      </c>
      <c r="GK155">
        <v>25.533899999999999</v>
      </c>
      <c r="GL155">
        <v>35.656500000000001</v>
      </c>
      <c r="GM155">
        <v>28.504899999999999</v>
      </c>
      <c r="GN155">
        <v>74.680400000000006</v>
      </c>
      <c r="GO155">
        <v>24.1526</v>
      </c>
      <c r="GP155">
        <v>800</v>
      </c>
      <c r="GQ155">
        <v>17.226400000000002</v>
      </c>
      <c r="GR155">
        <v>99.636600000000001</v>
      </c>
      <c r="GS155">
        <v>99.259900000000002</v>
      </c>
    </row>
    <row r="156" spans="1:201" x14ac:dyDescent="0.25">
      <c r="A156">
        <v>140</v>
      </c>
      <c r="B156">
        <v>1690202285.5999999</v>
      </c>
      <c r="C156">
        <v>1438.599999904633</v>
      </c>
      <c r="D156" t="s">
        <v>613</v>
      </c>
      <c r="E156" t="s">
        <v>614</v>
      </c>
      <c r="F156" t="s">
        <v>330</v>
      </c>
      <c r="H156">
        <v>1690202285.5999999</v>
      </c>
      <c r="I156">
        <f t="shared" si="60"/>
        <v>1.0538991990536352E-3</v>
      </c>
      <c r="J156">
        <f t="shared" si="61"/>
        <v>1.0538991990536353</v>
      </c>
      <c r="K156">
        <f t="shared" si="62"/>
        <v>39.975899403398586</v>
      </c>
      <c r="L156">
        <f t="shared" si="63"/>
        <v>352.637</v>
      </c>
      <c r="M156">
        <f t="shared" si="64"/>
        <v>-220.08999091935814</v>
      </c>
      <c r="N156">
        <f t="shared" si="65"/>
        <v>-21.811236130145268</v>
      </c>
      <c r="O156">
        <f t="shared" si="66"/>
        <v>34.946836260465005</v>
      </c>
      <c r="P156">
        <f t="shared" si="67"/>
        <v>0.11480156264361244</v>
      </c>
      <c r="Q156">
        <f t="shared" si="68"/>
        <v>2.0825126475538474</v>
      </c>
      <c r="R156">
        <f t="shared" si="69"/>
        <v>0.11139806505689068</v>
      </c>
      <c r="S156">
        <f t="shared" si="70"/>
        <v>6.9921176462225926E-2</v>
      </c>
      <c r="T156">
        <f t="shared" si="71"/>
        <v>276.11230729821523</v>
      </c>
      <c r="U156">
        <f t="shared" si="72"/>
        <v>27.659758707505404</v>
      </c>
      <c r="V156">
        <f t="shared" si="73"/>
        <v>27.659758707505404</v>
      </c>
      <c r="W156">
        <f t="shared" si="74"/>
        <v>3.7202175337598873</v>
      </c>
      <c r="X156">
        <f t="shared" si="75"/>
        <v>84.354466551433362</v>
      </c>
      <c r="Y156">
        <f t="shared" si="76"/>
        <v>2.8135593945614996</v>
      </c>
      <c r="Z156">
        <f t="shared" si="77"/>
        <v>3.3354006131329053</v>
      </c>
      <c r="AA156">
        <f t="shared" si="78"/>
        <v>0.90665813919838767</v>
      </c>
      <c r="AB156">
        <f t="shared" si="79"/>
        <v>-46.476954678265315</v>
      </c>
      <c r="AC156">
        <f t="shared" si="80"/>
        <v>-208.30561550125128</v>
      </c>
      <c r="AD156">
        <f t="shared" si="81"/>
        <v>-21.529224072315703</v>
      </c>
      <c r="AE156">
        <f t="shared" si="82"/>
        <v>-0.19948695361708246</v>
      </c>
      <c r="AF156">
        <v>15</v>
      </c>
      <c r="AG156">
        <v>5</v>
      </c>
      <c r="AH156">
        <f t="shared" si="83"/>
        <v>1</v>
      </c>
      <c r="AI156">
        <f t="shared" si="84"/>
        <v>0</v>
      </c>
      <c r="AJ156">
        <f t="shared" si="85"/>
        <v>52659.394886341186</v>
      </c>
      <c r="AK156">
        <f t="shared" si="86"/>
        <v>1799.99</v>
      </c>
      <c r="AL156">
        <f t="shared" si="87"/>
        <v>1499.1067549828697</v>
      </c>
      <c r="AM156">
        <f t="shared" si="88"/>
        <v>0.83284171299999987</v>
      </c>
      <c r="AN156">
        <f t="shared" si="89"/>
        <v>0.15339657848000002</v>
      </c>
      <c r="AO156">
        <v>33.299999999999997</v>
      </c>
      <c r="AP156">
        <v>0.5</v>
      </c>
      <c r="AQ156" t="s">
        <v>331</v>
      </c>
      <c r="AR156">
        <v>2</v>
      </c>
      <c r="AS156">
        <v>1690202285.5999999</v>
      </c>
      <c r="AT156">
        <v>352.637</v>
      </c>
      <c r="AU156">
        <v>800.25599999999997</v>
      </c>
      <c r="AV156">
        <v>28.390699999999999</v>
      </c>
      <c r="AW156">
        <v>17.0306</v>
      </c>
      <c r="AX156">
        <v>353.85300000000001</v>
      </c>
      <c r="AY156">
        <v>28.212499999999999</v>
      </c>
      <c r="AZ156">
        <v>300.16000000000003</v>
      </c>
      <c r="BA156">
        <v>99.001400000000004</v>
      </c>
      <c r="BB156">
        <v>0.100045</v>
      </c>
      <c r="BC156">
        <v>25.804400000000001</v>
      </c>
      <c r="BD156">
        <v>27.001300000000001</v>
      </c>
      <c r="BE156">
        <v>27.5307</v>
      </c>
      <c r="BF156">
        <v>0</v>
      </c>
      <c r="BG156">
        <v>0</v>
      </c>
      <c r="BH156">
        <v>10020</v>
      </c>
      <c r="BI156">
        <v>1073.3399999999999</v>
      </c>
      <c r="BJ156">
        <v>1.4577199999999999</v>
      </c>
      <c r="BK156">
        <v>-447.62</v>
      </c>
      <c r="BL156">
        <v>362.94099999999997</v>
      </c>
      <c r="BM156">
        <v>814.12099999999998</v>
      </c>
      <c r="BN156">
        <v>11.360099999999999</v>
      </c>
      <c r="BO156">
        <v>800.25599999999997</v>
      </c>
      <c r="BP156">
        <v>17.0306</v>
      </c>
      <c r="BQ156">
        <v>2.8107199999999999</v>
      </c>
      <c r="BR156">
        <v>1.6860599999999999</v>
      </c>
      <c r="BS156">
        <v>22.947199999999999</v>
      </c>
      <c r="BT156">
        <v>14.768599999999999</v>
      </c>
      <c r="BU156">
        <v>1799.99</v>
      </c>
      <c r="BV156">
        <v>0.91002799999999995</v>
      </c>
      <c r="BW156">
        <v>3.3994299999999998E-2</v>
      </c>
      <c r="BX156">
        <v>2.1990900000000001E-2</v>
      </c>
      <c r="BY156">
        <v>3.3986799999999998E-2</v>
      </c>
      <c r="BZ156">
        <v>25</v>
      </c>
      <c r="CA156">
        <v>33528.400000000001</v>
      </c>
      <c r="CB156">
        <v>1690200769.5</v>
      </c>
      <c r="CC156" t="s">
        <v>332</v>
      </c>
      <c r="CD156">
        <v>1690200769.5</v>
      </c>
      <c r="CE156">
        <v>1690200753</v>
      </c>
      <c r="CF156">
        <v>2</v>
      </c>
      <c r="CG156">
        <v>-0.245</v>
      </c>
      <c r="CH156">
        <v>3.0000000000000001E-3</v>
      </c>
      <c r="CI156">
        <v>-1.5169999999999999</v>
      </c>
      <c r="CJ156">
        <v>-1.6E-2</v>
      </c>
      <c r="CK156">
        <v>778</v>
      </c>
      <c r="CL156">
        <v>12</v>
      </c>
      <c r="CM156">
        <v>0.01</v>
      </c>
      <c r="CN156">
        <v>0.03</v>
      </c>
      <c r="CO156">
        <v>-446.55426829268288</v>
      </c>
      <c r="CP156">
        <v>-5.727428571428538</v>
      </c>
      <c r="CQ156">
        <v>0.56782357378490811</v>
      </c>
      <c r="CR156">
        <v>-1</v>
      </c>
      <c r="CS156">
        <v>10.65565365853659</v>
      </c>
      <c r="CT156">
        <v>3.8239547038327379</v>
      </c>
      <c r="CU156">
        <v>0.37772477275131122</v>
      </c>
      <c r="CV156">
        <v>-1</v>
      </c>
      <c r="CW156">
        <v>0</v>
      </c>
      <c r="CX156">
        <v>0</v>
      </c>
      <c r="CY156" t="s">
        <v>333</v>
      </c>
      <c r="CZ156">
        <v>2.3651200000000001</v>
      </c>
      <c r="DA156">
        <v>2.7138499999999999</v>
      </c>
      <c r="DB156">
        <v>8.1485699999999994E-2</v>
      </c>
      <c r="DC156">
        <v>0.14649300000000001</v>
      </c>
      <c r="DD156">
        <v>0.12826899999999999</v>
      </c>
      <c r="DE156">
        <v>8.8070700000000002E-2</v>
      </c>
      <c r="DF156">
        <v>33512.5</v>
      </c>
      <c r="DG156">
        <v>27439.5</v>
      </c>
      <c r="DH156">
        <v>31144.799999999999</v>
      </c>
      <c r="DI156">
        <v>28010.3</v>
      </c>
      <c r="DJ156">
        <v>36835.599999999999</v>
      </c>
      <c r="DK156">
        <v>36288.9</v>
      </c>
      <c r="DL156">
        <v>44312.4</v>
      </c>
      <c r="DM156">
        <v>42416.5</v>
      </c>
      <c r="DN156">
        <v>1.4381699999999999</v>
      </c>
      <c r="DO156">
        <v>2.0864500000000001</v>
      </c>
      <c r="DP156">
        <v>0.13835700000000001</v>
      </c>
      <c r="DQ156">
        <v>0.177063</v>
      </c>
      <c r="DR156">
        <v>24.734500000000001</v>
      </c>
      <c r="DS156">
        <v>24.630600000000001</v>
      </c>
      <c r="DT156">
        <v>57.2</v>
      </c>
      <c r="DU156">
        <v>25.8</v>
      </c>
      <c r="DV156">
        <v>19.266100000000002</v>
      </c>
      <c r="DW156">
        <v>61.4054</v>
      </c>
      <c r="DX156">
        <v>35.789299999999997</v>
      </c>
      <c r="DY156">
        <v>1</v>
      </c>
      <c r="DZ156">
        <v>-0.15682699999999999</v>
      </c>
      <c r="EA156">
        <v>0.14485000000000001</v>
      </c>
      <c r="EB156">
        <v>20.192399999999999</v>
      </c>
      <c r="EC156">
        <v>5.2409499999999998</v>
      </c>
      <c r="ED156">
        <v>12.039899999999999</v>
      </c>
      <c r="EE156">
        <v>5.0170500000000002</v>
      </c>
      <c r="EF156">
        <v>3.2879999999999998</v>
      </c>
      <c r="EG156">
        <v>9999</v>
      </c>
      <c r="EH156">
        <v>9999</v>
      </c>
      <c r="EI156">
        <v>9999</v>
      </c>
      <c r="EJ156">
        <v>999.9</v>
      </c>
      <c r="EK156">
        <v>1.8688</v>
      </c>
      <c r="EL156">
        <v>1.8644799999999999</v>
      </c>
      <c r="EM156">
        <v>1.8690500000000001</v>
      </c>
      <c r="EN156">
        <v>1.86714</v>
      </c>
      <c r="EO156">
        <v>1.8632899999999999</v>
      </c>
      <c r="EP156">
        <v>1.86439</v>
      </c>
      <c r="EQ156">
        <v>1.87009</v>
      </c>
      <c r="ER156">
        <v>1.8693500000000001</v>
      </c>
      <c r="ES156">
        <v>0</v>
      </c>
      <c r="ET156">
        <v>0</v>
      </c>
      <c r="EU156">
        <v>0</v>
      </c>
      <c r="EV156">
        <v>0</v>
      </c>
      <c r="EW156" t="s">
        <v>334</v>
      </c>
      <c r="EX156" t="s">
        <v>335</v>
      </c>
      <c r="EY156" t="s">
        <v>336</v>
      </c>
      <c r="EZ156" t="s">
        <v>336</v>
      </c>
      <c r="FA156" t="s">
        <v>336</v>
      </c>
      <c r="FB156" t="s">
        <v>336</v>
      </c>
      <c r="FC156">
        <v>0</v>
      </c>
      <c r="FD156">
        <v>100</v>
      </c>
      <c r="FE156">
        <v>100</v>
      </c>
      <c r="FF156">
        <v>-1.216</v>
      </c>
      <c r="FG156">
        <v>0.1782</v>
      </c>
      <c r="FH156">
        <v>-0.98020551812546231</v>
      </c>
      <c r="FI156">
        <v>-6.1462078757559423E-4</v>
      </c>
      <c r="FJ156">
        <v>-1.8861989874597051E-7</v>
      </c>
      <c r="FK156">
        <v>1.1980462299894961E-10</v>
      </c>
      <c r="FL156">
        <v>0.1782306200647516</v>
      </c>
      <c r="FM156">
        <v>0</v>
      </c>
      <c r="FN156">
        <v>0</v>
      </c>
      <c r="FO156">
        <v>0</v>
      </c>
      <c r="FP156">
        <v>3</v>
      </c>
      <c r="FQ156">
        <v>2158</v>
      </c>
      <c r="FR156">
        <v>1</v>
      </c>
      <c r="FS156">
        <v>19</v>
      </c>
      <c r="FT156">
        <v>25.3</v>
      </c>
      <c r="FU156">
        <v>25.5</v>
      </c>
      <c r="FV156">
        <v>1.78223</v>
      </c>
      <c r="FW156">
        <v>2.5476100000000002</v>
      </c>
      <c r="FX156">
        <v>1.5490699999999999</v>
      </c>
      <c r="FY156">
        <v>2.34009</v>
      </c>
      <c r="FZ156">
        <v>1.50146</v>
      </c>
      <c r="GA156">
        <v>2.33521</v>
      </c>
      <c r="GB156">
        <v>31.041899999999998</v>
      </c>
      <c r="GC156">
        <v>23.982399999999998</v>
      </c>
      <c r="GD156">
        <v>19</v>
      </c>
      <c r="GE156">
        <v>263.79599999999999</v>
      </c>
      <c r="GF156">
        <v>615.92399999999998</v>
      </c>
      <c r="GG156">
        <v>24.139199999999999</v>
      </c>
      <c r="GH156">
        <v>25.447399999999998</v>
      </c>
      <c r="GI156">
        <v>30.000299999999999</v>
      </c>
      <c r="GJ156">
        <v>25.568999999999999</v>
      </c>
      <c r="GK156">
        <v>25.533899999999999</v>
      </c>
      <c r="GL156">
        <v>35.639499999999998</v>
      </c>
      <c r="GM156">
        <v>30.820699999999999</v>
      </c>
      <c r="GN156">
        <v>74.2149</v>
      </c>
      <c r="GO156">
        <v>24.126300000000001</v>
      </c>
      <c r="GP156">
        <v>800</v>
      </c>
      <c r="GQ156">
        <v>16.695699999999999</v>
      </c>
      <c r="GR156">
        <v>99.6374</v>
      </c>
      <c r="GS156">
        <v>99.261700000000005</v>
      </c>
    </row>
    <row r="157" spans="1:201" x14ac:dyDescent="0.25">
      <c r="A157">
        <v>141</v>
      </c>
      <c r="B157">
        <v>1690202295.5999999</v>
      </c>
      <c r="C157">
        <v>1448.599999904633</v>
      </c>
      <c r="D157" t="s">
        <v>615</v>
      </c>
      <c r="E157" t="s">
        <v>616</v>
      </c>
      <c r="F157" t="s">
        <v>330</v>
      </c>
      <c r="H157">
        <v>1690202295.5999999</v>
      </c>
      <c r="I157">
        <f t="shared" si="60"/>
        <v>1.1082024075123569E-3</v>
      </c>
      <c r="J157">
        <f t="shared" si="61"/>
        <v>1.1082024075123569</v>
      </c>
      <c r="K157">
        <f t="shared" si="62"/>
        <v>40.029245551629337</v>
      </c>
      <c r="L157">
        <f t="shared" si="63"/>
        <v>351.685</v>
      </c>
      <c r="M157">
        <f t="shared" si="64"/>
        <v>-190.49138058107178</v>
      </c>
      <c r="N157">
        <f t="shared" si="65"/>
        <v>-18.878784664315614</v>
      </c>
      <c r="O157">
        <f t="shared" si="66"/>
        <v>34.853993731460001</v>
      </c>
      <c r="P157">
        <f t="shared" si="67"/>
        <v>0.12168276113373205</v>
      </c>
      <c r="Q157">
        <f t="shared" si="68"/>
        <v>2.0783772347098308</v>
      </c>
      <c r="R157">
        <f t="shared" si="69"/>
        <v>0.11785898840923892</v>
      </c>
      <c r="S157">
        <f t="shared" si="70"/>
        <v>7.3995409182507244E-2</v>
      </c>
      <c r="T157">
        <f t="shared" si="71"/>
        <v>276.11428996799998</v>
      </c>
      <c r="U157">
        <f t="shared" si="72"/>
        <v>27.64164282996364</v>
      </c>
      <c r="V157">
        <f t="shared" si="73"/>
        <v>27.64164282996364</v>
      </c>
      <c r="W157">
        <f t="shared" si="74"/>
        <v>3.71628049664008</v>
      </c>
      <c r="X157">
        <f t="shared" si="75"/>
        <v>84.411690406852742</v>
      </c>
      <c r="Y157">
        <f t="shared" si="76"/>
        <v>2.8151176841232002</v>
      </c>
      <c r="Z157">
        <f t="shared" si="77"/>
        <v>3.3349855577523924</v>
      </c>
      <c r="AA157">
        <f t="shared" si="78"/>
        <v>0.9011628125168798</v>
      </c>
      <c r="AB157">
        <f t="shared" si="79"/>
        <v>-48.871726171294938</v>
      </c>
      <c r="AC157">
        <f t="shared" si="80"/>
        <v>-206.09739564236526</v>
      </c>
      <c r="AD157">
        <f t="shared" si="81"/>
        <v>-21.341216191000733</v>
      </c>
      <c r="AE157">
        <f t="shared" si="82"/>
        <v>-0.19604803666095449</v>
      </c>
      <c r="AF157">
        <v>15</v>
      </c>
      <c r="AG157">
        <v>5</v>
      </c>
      <c r="AH157">
        <f t="shared" si="83"/>
        <v>1</v>
      </c>
      <c r="AI157">
        <f t="shared" si="84"/>
        <v>0</v>
      </c>
      <c r="AJ157">
        <f t="shared" si="85"/>
        <v>52473.010569724298</v>
      </c>
      <c r="AK157">
        <f t="shared" si="86"/>
        <v>1800</v>
      </c>
      <c r="AL157">
        <f t="shared" si="87"/>
        <v>1499.1149628000003</v>
      </c>
      <c r="AM157">
        <f t="shared" si="88"/>
        <v>0.8328416460000001</v>
      </c>
      <c r="AN157">
        <f t="shared" si="89"/>
        <v>0.15339682775999999</v>
      </c>
      <c r="AO157">
        <v>33.299999999999997</v>
      </c>
      <c r="AP157">
        <v>0.5</v>
      </c>
      <c r="AQ157" t="s">
        <v>331</v>
      </c>
      <c r="AR157">
        <v>2</v>
      </c>
      <c r="AS157">
        <v>1690202295.5999999</v>
      </c>
      <c r="AT157">
        <v>351.685</v>
      </c>
      <c r="AU157">
        <v>800.11300000000006</v>
      </c>
      <c r="AV157">
        <v>28.405200000000001</v>
      </c>
      <c r="AW157">
        <v>16.459499999999998</v>
      </c>
      <c r="AX157">
        <v>352.9</v>
      </c>
      <c r="AY157">
        <v>28.227</v>
      </c>
      <c r="AZ157">
        <v>300.149</v>
      </c>
      <c r="BA157">
        <v>99.005700000000004</v>
      </c>
      <c r="BB157">
        <v>0.10001599999999999</v>
      </c>
      <c r="BC157">
        <v>25.802299999999999</v>
      </c>
      <c r="BD157">
        <v>27.023900000000001</v>
      </c>
      <c r="BE157">
        <v>27.5227</v>
      </c>
      <c r="BF157">
        <v>0</v>
      </c>
      <c r="BG157">
        <v>0</v>
      </c>
      <c r="BH157">
        <v>9982.5</v>
      </c>
      <c r="BI157">
        <v>1073.31</v>
      </c>
      <c r="BJ157">
        <v>1.4577199999999999</v>
      </c>
      <c r="BK157">
        <v>-448.428</v>
      </c>
      <c r="BL157">
        <v>361.96699999999998</v>
      </c>
      <c r="BM157">
        <v>813.50300000000004</v>
      </c>
      <c r="BN157">
        <v>11.9458</v>
      </c>
      <c r="BO157">
        <v>800.11300000000006</v>
      </c>
      <c r="BP157">
        <v>16.459499999999998</v>
      </c>
      <c r="BQ157">
        <v>2.8122799999999999</v>
      </c>
      <c r="BR157">
        <v>1.62958</v>
      </c>
      <c r="BS157">
        <v>22.956299999999999</v>
      </c>
      <c r="BT157">
        <v>14.241400000000001</v>
      </c>
      <c r="BU157">
        <v>1800</v>
      </c>
      <c r="BV157">
        <v>0.910022</v>
      </c>
      <c r="BW157">
        <v>3.3993299999999997E-2</v>
      </c>
      <c r="BX157">
        <v>2.1993800000000001E-2</v>
      </c>
      <c r="BY157">
        <v>3.3991E-2</v>
      </c>
      <c r="BZ157">
        <v>25</v>
      </c>
      <c r="CA157">
        <v>33528.5</v>
      </c>
      <c r="CB157">
        <v>1690200769.5</v>
      </c>
      <c r="CC157" t="s">
        <v>332</v>
      </c>
      <c r="CD157">
        <v>1690200769.5</v>
      </c>
      <c r="CE157">
        <v>1690200753</v>
      </c>
      <c r="CF157">
        <v>2</v>
      </c>
      <c r="CG157">
        <v>-0.245</v>
      </c>
      <c r="CH157">
        <v>3.0000000000000001E-3</v>
      </c>
      <c r="CI157">
        <v>-1.5169999999999999</v>
      </c>
      <c r="CJ157">
        <v>-1.6E-2</v>
      </c>
      <c r="CK157">
        <v>778</v>
      </c>
      <c r="CL157">
        <v>12</v>
      </c>
      <c r="CM157">
        <v>0.01</v>
      </c>
      <c r="CN157">
        <v>0.03</v>
      </c>
      <c r="CO157">
        <v>-447.424125</v>
      </c>
      <c r="CP157">
        <v>-4.7702026266404838</v>
      </c>
      <c r="CQ157">
        <v>0.46120636311200358</v>
      </c>
      <c r="CR157">
        <v>-1</v>
      </c>
      <c r="CS157">
        <v>11.277082500000001</v>
      </c>
      <c r="CT157">
        <v>3.7211245778611359</v>
      </c>
      <c r="CU157">
        <v>0.35812564965909649</v>
      </c>
      <c r="CV157">
        <v>-1</v>
      </c>
      <c r="CW157">
        <v>0</v>
      </c>
      <c r="CX157">
        <v>0</v>
      </c>
      <c r="CY157" t="s">
        <v>333</v>
      </c>
      <c r="CZ157">
        <v>2.3651</v>
      </c>
      <c r="DA157">
        <v>2.7137899999999999</v>
      </c>
      <c r="DB157">
        <v>8.1316899999999998E-2</v>
      </c>
      <c r="DC157">
        <v>0.14646999999999999</v>
      </c>
      <c r="DD157">
        <v>0.12831999999999999</v>
      </c>
      <c r="DE157">
        <v>8.5927199999999995E-2</v>
      </c>
      <c r="DF157">
        <v>33518.199999999997</v>
      </c>
      <c r="DG157">
        <v>27440.3</v>
      </c>
      <c r="DH157">
        <v>31144.400000000001</v>
      </c>
      <c r="DI157">
        <v>28010.400000000001</v>
      </c>
      <c r="DJ157">
        <v>36833.1</v>
      </c>
      <c r="DK157">
        <v>36374.800000000003</v>
      </c>
      <c r="DL157">
        <v>44311.9</v>
      </c>
      <c r="DM157">
        <v>42416.9</v>
      </c>
      <c r="DN157">
        <v>1.43868</v>
      </c>
      <c r="DO157">
        <v>2.0848300000000002</v>
      </c>
      <c r="DP157">
        <v>0.139736</v>
      </c>
      <c r="DQ157">
        <v>0.17657900000000001</v>
      </c>
      <c r="DR157">
        <v>24.734500000000001</v>
      </c>
      <c r="DS157">
        <v>24.630600000000001</v>
      </c>
      <c r="DT157">
        <v>57.3</v>
      </c>
      <c r="DU157">
        <v>25.8</v>
      </c>
      <c r="DV157">
        <v>19.301200000000001</v>
      </c>
      <c r="DW157">
        <v>61.935400000000001</v>
      </c>
      <c r="DX157">
        <v>36.326099999999997</v>
      </c>
      <c r="DY157">
        <v>1</v>
      </c>
      <c r="DZ157">
        <v>-0.15701999999999999</v>
      </c>
      <c r="EA157">
        <v>5.6721100000000003E-2</v>
      </c>
      <c r="EB157">
        <v>20.192299999999999</v>
      </c>
      <c r="EC157">
        <v>5.2413999999999996</v>
      </c>
      <c r="ED157">
        <v>12.039899999999999</v>
      </c>
      <c r="EE157">
        <v>5.0173500000000004</v>
      </c>
      <c r="EF157">
        <v>3.2879999999999998</v>
      </c>
      <c r="EG157">
        <v>9999</v>
      </c>
      <c r="EH157">
        <v>9999</v>
      </c>
      <c r="EI157">
        <v>9999</v>
      </c>
      <c r="EJ157">
        <v>999.9</v>
      </c>
      <c r="EK157">
        <v>1.86879</v>
      </c>
      <c r="EL157">
        <v>1.86449</v>
      </c>
      <c r="EM157">
        <v>1.8690599999999999</v>
      </c>
      <c r="EN157">
        <v>1.8671500000000001</v>
      </c>
      <c r="EO157">
        <v>1.86328</v>
      </c>
      <c r="EP157">
        <v>1.86442</v>
      </c>
      <c r="EQ157">
        <v>1.8701099999999999</v>
      </c>
      <c r="ER157">
        <v>1.8693500000000001</v>
      </c>
      <c r="ES157">
        <v>0</v>
      </c>
      <c r="ET157">
        <v>0</v>
      </c>
      <c r="EU157">
        <v>0</v>
      </c>
      <c r="EV157">
        <v>0</v>
      </c>
      <c r="EW157" t="s">
        <v>334</v>
      </c>
      <c r="EX157" t="s">
        <v>335</v>
      </c>
      <c r="EY157" t="s">
        <v>336</v>
      </c>
      <c r="EZ157" t="s">
        <v>336</v>
      </c>
      <c r="FA157" t="s">
        <v>336</v>
      </c>
      <c r="FB157" t="s">
        <v>336</v>
      </c>
      <c r="FC157">
        <v>0</v>
      </c>
      <c r="FD157">
        <v>100</v>
      </c>
      <c r="FE157">
        <v>100</v>
      </c>
      <c r="FF157">
        <v>-1.2150000000000001</v>
      </c>
      <c r="FG157">
        <v>0.1782</v>
      </c>
      <c r="FH157">
        <v>-0.98020551812546231</v>
      </c>
      <c r="FI157">
        <v>-6.1462078757559423E-4</v>
      </c>
      <c r="FJ157">
        <v>-1.8861989874597051E-7</v>
      </c>
      <c r="FK157">
        <v>1.1980462299894961E-10</v>
      </c>
      <c r="FL157">
        <v>0.1782306200647516</v>
      </c>
      <c r="FM157">
        <v>0</v>
      </c>
      <c r="FN157">
        <v>0</v>
      </c>
      <c r="FO157">
        <v>0</v>
      </c>
      <c r="FP157">
        <v>3</v>
      </c>
      <c r="FQ157">
        <v>2158</v>
      </c>
      <c r="FR157">
        <v>1</v>
      </c>
      <c r="FS157">
        <v>19</v>
      </c>
      <c r="FT157">
        <v>25.4</v>
      </c>
      <c r="FU157">
        <v>25.7</v>
      </c>
      <c r="FV157">
        <v>1.78223</v>
      </c>
      <c r="FW157">
        <v>2.5415000000000001</v>
      </c>
      <c r="FX157">
        <v>1.5490699999999999</v>
      </c>
      <c r="FY157">
        <v>2.34009</v>
      </c>
      <c r="FZ157">
        <v>1.50146</v>
      </c>
      <c r="GA157">
        <v>2.4047900000000002</v>
      </c>
      <c r="GB157">
        <v>31.041899999999998</v>
      </c>
      <c r="GC157">
        <v>23.991199999999999</v>
      </c>
      <c r="GD157">
        <v>19</v>
      </c>
      <c r="GE157">
        <v>263.99700000000001</v>
      </c>
      <c r="GF157">
        <v>614.529</v>
      </c>
      <c r="GG157">
        <v>24.1326</v>
      </c>
      <c r="GH157">
        <v>25.4495</v>
      </c>
      <c r="GI157">
        <v>29.9999</v>
      </c>
      <c r="GJ157">
        <v>25.568999999999999</v>
      </c>
      <c r="GK157">
        <v>25.533899999999999</v>
      </c>
      <c r="GL157">
        <v>35.626199999999997</v>
      </c>
      <c r="GM157">
        <v>32.651499999999999</v>
      </c>
      <c r="GN157">
        <v>73.815200000000004</v>
      </c>
      <c r="GO157">
        <v>24.1355</v>
      </c>
      <c r="GP157">
        <v>800</v>
      </c>
      <c r="GQ157">
        <v>16.1708</v>
      </c>
      <c r="GR157">
        <v>99.636300000000006</v>
      </c>
      <c r="GS157">
        <v>99.2624</v>
      </c>
    </row>
    <row r="158" spans="1:201" x14ac:dyDescent="0.25">
      <c r="A158">
        <v>142</v>
      </c>
      <c r="B158">
        <v>1690202305.5999999</v>
      </c>
      <c r="C158">
        <v>1458.599999904633</v>
      </c>
      <c r="D158" t="s">
        <v>617</v>
      </c>
      <c r="E158" t="s">
        <v>618</v>
      </c>
      <c r="F158" t="s">
        <v>330</v>
      </c>
      <c r="H158">
        <v>1690202305.5999999</v>
      </c>
      <c r="I158">
        <f t="shared" si="60"/>
        <v>1.158349384088952E-3</v>
      </c>
      <c r="J158">
        <f t="shared" si="61"/>
        <v>1.158349384088952</v>
      </c>
      <c r="K158">
        <f t="shared" si="62"/>
        <v>40.100476164103426</v>
      </c>
      <c r="L158">
        <f t="shared" si="63"/>
        <v>350.83499999999998</v>
      </c>
      <c r="M158">
        <f t="shared" si="64"/>
        <v>-165.4066802003598</v>
      </c>
      <c r="N158">
        <f t="shared" si="65"/>
        <v>-16.392227681947151</v>
      </c>
      <c r="O158">
        <f t="shared" si="66"/>
        <v>34.768651373872494</v>
      </c>
      <c r="P158">
        <f t="shared" si="67"/>
        <v>0.12826795389468371</v>
      </c>
      <c r="Q158">
        <f t="shared" si="68"/>
        <v>2.0779935228256861</v>
      </c>
      <c r="R158">
        <f t="shared" si="69"/>
        <v>0.1240261220331961</v>
      </c>
      <c r="S158">
        <f t="shared" si="70"/>
        <v>7.7885752151036186E-2</v>
      </c>
      <c r="T158">
        <f t="shared" si="71"/>
        <v>276.11561111399999</v>
      </c>
      <c r="U158">
        <f t="shared" si="72"/>
        <v>27.618068638602619</v>
      </c>
      <c r="V158">
        <f t="shared" si="73"/>
        <v>27.618068638602619</v>
      </c>
      <c r="W158">
        <f t="shared" si="74"/>
        <v>3.7111626745369093</v>
      </c>
      <c r="X158">
        <f t="shared" si="75"/>
        <v>84.47024577677476</v>
      </c>
      <c r="Y158">
        <f t="shared" si="76"/>
        <v>2.8160689978039506</v>
      </c>
      <c r="Z158">
        <f t="shared" si="77"/>
        <v>3.3337999338202868</v>
      </c>
      <c r="AA158">
        <f t="shared" si="78"/>
        <v>0.8950936767329587</v>
      </c>
      <c r="AB158">
        <f t="shared" si="79"/>
        <v>-51.083207838322785</v>
      </c>
      <c r="AC158">
        <f t="shared" si="80"/>
        <v>-204.09053041763642</v>
      </c>
      <c r="AD158">
        <f t="shared" si="81"/>
        <v>-21.134177228910975</v>
      </c>
      <c r="AE158">
        <f t="shared" si="82"/>
        <v>-0.19230437087017549</v>
      </c>
      <c r="AF158">
        <v>15</v>
      </c>
      <c r="AG158">
        <v>5</v>
      </c>
      <c r="AH158">
        <f t="shared" si="83"/>
        <v>1</v>
      </c>
      <c r="AI158">
        <f t="shared" si="84"/>
        <v>0</v>
      </c>
      <c r="AJ158">
        <f t="shared" si="85"/>
        <v>52456.683811316951</v>
      </c>
      <c r="AK158">
        <f t="shared" si="86"/>
        <v>1800</v>
      </c>
      <c r="AL158">
        <f t="shared" si="87"/>
        <v>1499.1147593999997</v>
      </c>
      <c r="AM158">
        <f t="shared" si="88"/>
        <v>0.83284153299999986</v>
      </c>
      <c r="AN158">
        <f t="shared" si="89"/>
        <v>0.15339756172999999</v>
      </c>
      <c r="AO158">
        <v>33.299999999999997</v>
      </c>
      <c r="AP158">
        <v>0.5</v>
      </c>
      <c r="AQ158" t="s">
        <v>331</v>
      </c>
      <c r="AR158">
        <v>2</v>
      </c>
      <c r="AS158">
        <v>1690202305.5999999</v>
      </c>
      <c r="AT158">
        <v>350.83499999999998</v>
      </c>
      <c r="AU158">
        <v>800.24099999999999</v>
      </c>
      <c r="AV158">
        <v>28.415700000000001</v>
      </c>
      <c r="AW158">
        <v>15.929500000000001</v>
      </c>
      <c r="AX158">
        <v>352.04899999999998</v>
      </c>
      <c r="AY158">
        <v>28.237500000000001</v>
      </c>
      <c r="AZ158">
        <v>300.14699999999999</v>
      </c>
      <c r="BA158">
        <v>99.002600000000001</v>
      </c>
      <c r="BB158">
        <v>9.9973500000000007E-2</v>
      </c>
      <c r="BC158">
        <v>25.796299999999999</v>
      </c>
      <c r="BD158">
        <v>27.008400000000002</v>
      </c>
      <c r="BE158">
        <v>27.4862</v>
      </c>
      <c r="BF158">
        <v>0</v>
      </c>
      <c r="BG158">
        <v>0</v>
      </c>
      <c r="BH158">
        <v>9979.3799999999992</v>
      </c>
      <c r="BI158">
        <v>1073.33</v>
      </c>
      <c r="BJ158">
        <v>1.4577199999999999</v>
      </c>
      <c r="BK158">
        <v>-449.40600000000001</v>
      </c>
      <c r="BL158">
        <v>361.09500000000003</v>
      </c>
      <c r="BM158">
        <v>813.19500000000005</v>
      </c>
      <c r="BN158">
        <v>12.4862</v>
      </c>
      <c r="BO158">
        <v>800.24099999999999</v>
      </c>
      <c r="BP158">
        <v>15.929500000000001</v>
      </c>
      <c r="BQ158">
        <v>2.8132299999999999</v>
      </c>
      <c r="BR158">
        <v>1.5770599999999999</v>
      </c>
      <c r="BS158">
        <v>22.9619</v>
      </c>
      <c r="BT158">
        <v>13.736499999999999</v>
      </c>
      <c r="BU158">
        <v>1800</v>
      </c>
      <c r="BV158">
        <v>0.91000599999999998</v>
      </c>
      <c r="BW158">
        <v>3.3991899999999999E-2</v>
      </c>
      <c r="BX158">
        <v>2.2002399999999998E-2</v>
      </c>
      <c r="BY158">
        <v>3.4000099999999998E-2</v>
      </c>
      <c r="BZ158">
        <v>25</v>
      </c>
      <c r="CA158">
        <v>33528.400000000001</v>
      </c>
      <c r="CB158">
        <v>1690200769.5</v>
      </c>
      <c r="CC158" t="s">
        <v>332</v>
      </c>
      <c r="CD158">
        <v>1690200769.5</v>
      </c>
      <c r="CE158">
        <v>1690200753</v>
      </c>
      <c r="CF158">
        <v>2</v>
      </c>
      <c r="CG158">
        <v>-0.245</v>
      </c>
      <c r="CH158">
        <v>3.0000000000000001E-3</v>
      </c>
      <c r="CI158">
        <v>-1.5169999999999999</v>
      </c>
      <c r="CJ158">
        <v>-1.6E-2</v>
      </c>
      <c r="CK158">
        <v>778</v>
      </c>
      <c r="CL158">
        <v>12</v>
      </c>
      <c r="CM158">
        <v>0.01</v>
      </c>
      <c r="CN158">
        <v>0.03</v>
      </c>
      <c r="CO158">
        <v>-448.34226829268289</v>
      </c>
      <c r="CP158">
        <v>-5.5635679442514041</v>
      </c>
      <c r="CQ158">
        <v>0.55301898809152239</v>
      </c>
      <c r="CR158">
        <v>-1</v>
      </c>
      <c r="CS158">
        <v>11.873660975609759</v>
      </c>
      <c r="CT158">
        <v>3.250889895470392</v>
      </c>
      <c r="CU158">
        <v>0.32090149987720279</v>
      </c>
      <c r="CV158">
        <v>-1</v>
      </c>
      <c r="CW158">
        <v>0</v>
      </c>
      <c r="CX158">
        <v>0</v>
      </c>
      <c r="CY158" t="s">
        <v>333</v>
      </c>
      <c r="CZ158">
        <v>2.3651</v>
      </c>
      <c r="DA158">
        <v>2.7137500000000001</v>
      </c>
      <c r="DB158">
        <v>8.1159899999999993E-2</v>
      </c>
      <c r="DC158">
        <v>0.14646999999999999</v>
      </c>
      <c r="DD158">
        <v>0.12834799999999999</v>
      </c>
      <c r="DE158">
        <v>8.39057E-2</v>
      </c>
      <c r="DF158">
        <v>33523.800000000003</v>
      </c>
      <c r="DG158">
        <v>27440.3</v>
      </c>
      <c r="DH158">
        <v>31144.3</v>
      </c>
      <c r="DI158">
        <v>28010.400000000001</v>
      </c>
      <c r="DJ158">
        <v>36831.5</v>
      </c>
      <c r="DK158">
        <v>36455.4</v>
      </c>
      <c r="DL158">
        <v>44311.5</v>
      </c>
      <c r="DM158">
        <v>42416.9</v>
      </c>
      <c r="DN158">
        <v>1.4390000000000001</v>
      </c>
      <c r="DO158">
        <v>2.0840700000000001</v>
      </c>
      <c r="DP158">
        <v>0.13891600000000001</v>
      </c>
      <c r="DQ158">
        <v>0.17449300000000001</v>
      </c>
      <c r="DR158">
        <v>24.732299999999999</v>
      </c>
      <c r="DS158">
        <v>24.6281</v>
      </c>
      <c r="DT158">
        <v>57.6</v>
      </c>
      <c r="DU158">
        <v>25.8</v>
      </c>
      <c r="DV158">
        <v>19.401199999999999</v>
      </c>
      <c r="DW158">
        <v>61.565399999999997</v>
      </c>
      <c r="DX158">
        <v>36.6066</v>
      </c>
      <c r="DY158">
        <v>1</v>
      </c>
      <c r="DZ158">
        <v>-0.15642</v>
      </c>
      <c r="EA158">
        <v>0.13467000000000001</v>
      </c>
      <c r="EB158">
        <v>20.1922</v>
      </c>
      <c r="EC158">
        <v>5.2409499999999998</v>
      </c>
      <c r="ED158">
        <v>12.039899999999999</v>
      </c>
      <c r="EE158">
        <v>5.0168999999999997</v>
      </c>
      <c r="EF158">
        <v>3.2879999999999998</v>
      </c>
      <c r="EG158">
        <v>9999</v>
      </c>
      <c r="EH158">
        <v>9999</v>
      </c>
      <c r="EI158">
        <v>9999</v>
      </c>
      <c r="EJ158">
        <v>999.9</v>
      </c>
      <c r="EK158">
        <v>1.8688</v>
      </c>
      <c r="EL158">
        <v>1.8645</v>
      </c>
      <c r="EM158">
        <v>1.8690500000000001</v>
      </c>
      <c r="EN158">
        <v>1.86714</v>
      </c>
      <c r="EO158">
        <v>1.8632899999999999</v>
      </c>
      <c r="EP158">
        <v>1.86439</v>
      </c>
      <c r="EQ158">
        <v>1.8701000000000001</v>
      </c>
      <c r="ER158">
        <v>1.8693500000000001</v>
      </c>
      <c r="ES158">
        <v>0</v>
      </c>
      <c r="ET158">
        <v>0</v>
      </c>
      <c r="EU158">
        <v>0</v>
      </c>
      <c r="EV158">
        <v>0</v>
      </c>
      <c r="EW158" t="s">
        <v>334</v>
      </c>
      <c r="EX158" t="s">
        <v>335</v>
      </c>
      <c r="EY158" t="s">
        <v>336</v>
      </c>
      <c r="EZ158" t="s">
        <v>336</v>
      </c>
      <c r="FA158" t="s">
        <v>336</v>
      </c>
      <c r="FB158" t="s">
        <v>336</v>
      </c>
      <c r="FC158">
        <v>0</v>
      </c>
      <c r="FD158">
        <v>100</v>
      </c>
      <c r="FE158">
        <v>100</v>
      </c>
      <c r="FF158">
        <v>-1.214</v>
      </c>
      <c r="FG158">
        <v>0.1782</v>
      </c>
      <c r="FH158">
        <v>-0.98020551812546231</v>
      </c>
      <c r="FI158">
        <v>-6.1462078757559423E-4</v>
      </c>
      <c r="FJ158">
        <v>-1.8861989874597051E-7</v>
      </c>
      <c r="FK158">
        <v>1.1980462299894961E-10</v>
      </c>
      <c r="FL158">
        <v>0.1782306200647516</v>
      </c>
      <c r="FM158">
        <v>0</v>
      </c>
      <c r="FN158">
        <v>0</v>
      </c>
      <c r="FO158">
        <v>0</v>
      </c>
      <c r="FP158">
        <v>3</v>
      </c>
      <c r="FQ158">
        <v>2158</v>
      </c>
      <c r="FR158">
        <v>1</v>
      </c>
      <c r="FS158">
        <v>19</v>
      </c>
      <c r="FT158">
        <v>25.6</v>
      </c>
      <c r="FU158">
        <v>25.9</v>
      </c>
      <c r="FV158">
        <v>1.78101</v>
      </c>
      <c r="FW158">
        <v>2.5488300000000002</v>
      </c>
      <c r="FX158">
        <v>1.5490699999999999</v>
      </c>
      <c r="FY158">
        <v>2.34009</v>
      </c>
      <c r="FZ158">
        <v>1.50146</v>
      </c>
      <c r="GA158">
        <v>2.2766099999999998</v>
      </c>
      <c r="GB158">
        <v>31.063600000000001</v>
      </c>
      <c r="GC158">
        <v>23.982399999999998</v>
      </c>
      <c r="GD158">
        <v>19</v>
      </c>
      <c r="GE158">
        <v>264.137</v>
      </c>
      <c r="GF158">
        <v>613.899</v>
      </c>
      <c r="GG158">
        <v>24.122800000000002</v>
      </c>
      <c r="GH158">
        <v>25.45</v>
      </c>
      <c r="GI158">
        <v>30.0002</v>
      </c>
      <c r="GJ158">
        <v>25.571100000000001</v>
      </c>
      <c r="GK158">
        <v>25.535</v>
      </c>
      <c r="GL158">
        <v>35.607999999999997</v>
      </c>
      <c r="GM158">
        <v>35.458399999999997</v>
      </c>
      <c r="GN158">
        <v>73.815200000000004</v>
      </c>
      <c r="GO158">
        <v>24.112500000000001</v>
      </c>
      <c r="GP158">
        <v>800</v>
      </c>
      <c r="GQ158">
        <v>15.521800000000001</v>
      </c>
      <c r="GR158">
        <v>99.635599999999997</v>
      </c>
      <c r="GS158">
        <v>99.2624</v>
      </c>
    </row>
    <row r="159" spans="1:201" x14ac:dyDescent="0.25">
      <c r="A159">
        <v>143</v>
      </c>
      <c r="B159">
        <v>1690202315.5999999</v>
      </c>
      <c r="C159">
        <v>1468.599999904633</v>
      </c>
      <c r="D159" t="s">
        <v>619</v>
      </c>
      <c r="E159" t="s">
        <v>620</v>
      </c>
      <c r="F159" t="s">
        <v>330</v>
      </c>
      <c r="H159">
        <v>1690202315.5999999</v>
      </c>
      <c r="I159">
        <f t="shared" si="60"/>
        <v>1.2150954834811727E-3</v>
      </c>
      <c r="J159">
        <f t="shared" si="61"/>
        <v>1.2150954834811727</v>
      </c>
      <c r="K159">
        <f t="shared" si="62"/>
        <v>40.169525318141815</v>
      </c>
      <c r="L159">
        <f t="shared" si="63"/>
        <v>349.83800000000002</v>
      </c>
      <c r="M159">
        <f t="shared" si="64"/>
        <v>-140.99179564831877</v>
      </c>
      <c r="N159">
        <f t="shared" si="65"/>
        <v>-13.972334321991728</v>
      </c>
      <c r="O159">
        <f t="shared" si="66"/>
        <v>34.669063345567999</v>
      </c>
      <c r="P159">
        <f t="shared" si="67"/>
        <v>0.13541005423496894</v>
      </c>
      <c r="Q159">
        <f t="shared" si="68"/>
        <v>2.082923375367336</v>
      </c>
      <c r="R159">
        <f t="shared" si="69"/>
        <v>0.13070278893786458</v>
      </c>
      <c r="S159">
        <f t="shared" si="70"/>
        <v>8.20985394840196E-2</v>
      </c>
      <c r="T159">
        <f t="shared" si="71"/>
        <v>276.11672023799997</v>
      </c>
      <c r="U159">
        <f t="shared" si="72"/>
        <v>27.599341466335417</v>
      </c>
      <c r="V159">
        <f t="shared" si="73"/>
        <v>27.599341466335417</v>
      </c>
      <c r="W159">
        <f t="shared" si="74"/>
        <v>3.7071014970693987</v>
      </c>
      <c r="X159">
        <f t="shared" si="75"/>
        <v>84.444877591555951</v>
      </c>
      <c r="Y159">
        <f t="shared" si="76"/>
        <v>2.8161243380783998</v>
      </c>
      <c r="Z159">
        <f t="shared" si="77"/>
        <v>3.3348669787875895</v>
      </c>
      <c r="AA159">
        <f t="shared" si="78"/>
        <v>0.89097715899099894</v>
      </c>
      <c r="AB159">
        <f t="shared" si="79"/>
        <v>-53.585710821519712</v>
      </c>
      <c r="AC159">
        <f t="shared" si="80"/>
        <v>-201.8653665111145</v>
      </c>
      <c r="AD159">
        <f t="shared" si="81"/>
        <v>-20.852884002834049</v>
      </c>
      <c r="AE159">
        <f t="shared" si="82"/>
        <v>-0.18724109746830209</v>
      </c>
      <c r="AF159">
        <v>15</v>
      </c>
      <c r="AG159">
        <v>5</v>
      </c>
      <c r="AH159">
        <f t="shared" si="83"/>
        <v>1</v>
      </c>
      <c r="AI159">
        <f t="shared" si="84"/>
        <v>0</v>
      </c>
      <c r="AJ159">
        <f t="shared" si="85"/>
        <v>52678.429288533982</v>
      </c>
      <c r="AK159">
        <f t="shared" si="86"/>
        <v>1800</v>
      </c>
      <c r="AL159">
        <f t="shared" si="87"/>
        <v>1499.1141257999998</v>
      </c>
      <c r="AM159">
        <f t="shared" si="88"/>
        <v>0.83284118099999982</v>
      </c>
      <c r="AN159">
        <f t="shared" si="89"/>
        <v>0.15339817790999999</v>
      </c>
      <c r="AO159">
        <v>33.299999999999997</v>
      </c>
      <c r="AP159">
        <v>0.5</v>
      </c>
      <c r="AQ159" t="s">
        <v>331</v>
      </c>
      <c r="AR159">
        <v>2</v>
      </c>
      <c r="AS159">
        <v>1690202315.5999999</v>
      </c>
      <c r="AT159">
        <v>349.83800000000002</v>
      </c>
      <c r="AU159">
        <v>800.19799999999998</v>
      </c>
      <c r="AV159">
        <v>28.416899999999998</v>
      </c>
      <c r="AW159">
        <v>15.319599999999999</v>
      </c>
      <c r="AX159">
        <v>351.05200000000002</v>
      </c>
      <c r="AY159">
        <v>28.238600000000002</v>
      </c>
      <c r="AZ159">
        <v>300.16000000000003</v>
      </c>
      <c r="BA159">
        <v>99.000299999999996</v>
      </c>
      <c r="BB159">
        <v>0.100036</v>
      </c>
      <c r="BC159">
        <v>25.8017</v>
      </c>
      <c r="BD159">
        <v>26.992999999999999</v>
      </c>
      <c r="BE159">
        <v>27.484500000000001</v>
      </c>
      <c r="BF159">
        <v>0</v>
      </c>
      <c r="BG159">
        <v>0</v>
      </c>
      <c r="BH159">
        <v>10023.799999999999</v>
      </c>
      <c r="BI159">
        <v>1073.31</v>
      </c>
      <c r="BJ159">
        <v>1.4577199999999999</v>
      </c>
      <c r="BK159">
        <v>-450.36</v>
      </c>
      <c r="BL159">
        <v>360.07</v>
      </c>
      <c r="BM159">
        <v>812.64700000000005</v>
      </c>
      <c r="BN159">
        <v>13.097300000000001</v>
      </c>
      <c r="BO159">
        <v>800.19799999999998</v>
      </c>
      <c r="BP159">
        <v>15.319599999999999</v>
      </c>
      <c r="BQ159">
        <v>2.8132799999999998</v>
      </c>
      <c r="BR159">
        <v>1.51664</v>
      </c>
      <c r="BS159">
        <v>22.962199999999999</v>
      </c>
      <c r="BT159">
        <v>13.137</v>
      </c>
      <c r="BU159">
        <v>1800</v>
      </c>
      <c r="BV159">
        <v>0.90999099999999999</v>
      </c>
      <c r="BW159">
        <v>3.3991199999999999E-2</v>
      </c>
      <c r="BX159">
        <v>2.20098E-2</v>
      </c>
      <c r="BY159">
        <v>3.4008499999999997E-2</v>
      </c>
      <c r="BZ159">
        <v>25</v>
      </c>
      <c r="CA159">
        <v>33528.300000000003</v>
      </c>
      <c r="CB159">
        <v>1690200769.5</v>
      </c>
      <c r="CC159" t="s">
        <v>332</v>
      </c>
      <c r="CD159">
        <v>1690200769.5</v>
      </c>
      <c r="CE159">
        <v>1690200753</v>
      </c>
      <c r="CF159">
        <v>2</v>
      </c>
      <c r="CG159">
        <v>-0.245</v>
      </c>
      <c r="CH159">
        <v>3.0000000000000001E-3</v>
      </c>
      <c r="CI159">
        <v>-1.5169999999999999</v>
      </c>
      <c r="CJ159">
        <v>-1.6E-2</v>
      </c>
      <c r="CK159">
        <v>778</v>
      </c>
      <c r="CL159">
        <v>12</v>
      </c>
      <c r="CM159">
        <v>0.01</v>
      </c>
      <c r="CN159">
        <v>0.03</v>
      </c>
      <c r="CO159">
        <v>-449.32351219512202</v>
      </c>
      <c r="CP159">
        <v>-5.9367595818812644</v>
      </c>
      <c r="CQ159">
        <v>0.58630043584393765</v>
      </c>
      <c r="CR159">
        <v>-1</v>
      </c>
      <c r="CS159">
        <v>12.44318292682927</v>
      </c>
      <c r="CT159">
        <v>3.5123477351916859</v>
      </c>
      <c r="CU159">
        <v>0.3469965641936032</v>
      </c>
      <c r="CV159">
        <v>-1</v>
      </c>
      <c r="CW159">
        <v>0</v>
      </c>
      <c r="CX159">
        <v>0</v>
      </c>
      <c r="CY159" t="s">
        <v>333</v>
      </c>
      <c r="CZ159">
        <v>2.3651599999999999</v>
      </c>
      <c r="DA159">
        <v>2.7138499999999999</v>
      </c>
      <c r="DB159">
        <v>8.0977199999999999E-2</v>
      </c>
      <c r="DC159">
        <v>0.14645</v>
      </c>
      <c r="DD159">
        <v>0.12834899999999999</v>
      </c>
      <c r="DE159">
        <v>8.1548499999999996E-2</v>
      </c>
      <c r="DF159">
        <v>33530.6</v>
      </c>
      <c r="DG159">
        <v>27441</v>
      </c>
      <c r="DH159">
        <v>31144.400000000001</v>
      </c>
      <c r="DI159">
        <v>28010.5</v>
      </c>
      <c r="DJ159">
        <v>36831.800000000003</v>
      </c>
      <c r="DK159">
        <v>36549.5</v>
      </c>
      <c r="DL159">
        <v>44311.9</v>
      </c>
      <c r="DM159">
        <v>42416.9</v>
      </c>
      <c r="DN159">
        <v>1.4394199999999999</v>
      </c>
      <c r="DO159">
        <v>2.0833200000000001</v>
      </c>
      <c r="DP159">
        <v>0.138097</v>
      </c>
      <c r="DQ159">
        <v>0.17464199999999999</v>
      </c>
      <c r="DR159">
        <v>24.730399999999999</v>
      </c>
      <c r="DS159">
        <v>24.623899999999999</v>
      </c>
      <c r="DT159">
        <v>57.7</v>
      </c>
      <c r="DU159">
        <v>25.8</v>
      </c>
      <c r="DV159">
        <v>19.435600000000001</v>
      </c>
      <c r="DW159">
        <v>61.675400000000003</v>
      </c>
      <c r="DX159">
        <v>36.706699999999998</v>
      </c>
      <c r="DY159">
        <v>1</v>
      </c>
      <c r="DZ159">
        <v>-0.15642300000000001</v>
      </c>
      <c r="EA159">
        <v>0.12345</v>
      </c>
      <c r="EB159">
        <v>20.192399999999999</v>
      </c>
      <c r="EC159">
        <v>5.2413999999999996</v>
      </c>
      <c r="ED159">
        <v>12.039899999999999</v>
      </c>
      <c r="EE159">
        <v>5.0171000000000001</v>
      </c>
      <c r="EF159">
        <v>3.2879999999999998</v>
      </c>
      <c r="EG159">
        <v>9999</v>
      </c>
      <c r="EH159">
        <v>9999</v>
      </c>
      <c r="EI159">
        <v>9999</v>
      </c>
      <c r="EJ159">
        <v>999.9</v>
      </c>
      <c r="EK159">
        <v>1.8688</v>
      </c>
      <c r="EL159">
        <v>1.8644799999999999</v>
      </c>
      <c r="EM159">
        <v>1.8690500000000001</v>
      </c>
      <c r="EN159">
        <v>1.8671599999999999</v>
      </c>
      <c r="EO159">
        <v>1.8632899999999999</v>
      </c>
      <c r="EP159">
        <v>1.8644000000000001</v>
      </c>
      <c r="EQ159">
        <v>1.8701099999999999</v>
      </c>
      <c r="ER159">
        <v>1.8693500000000001</v>
      </c>
      <c r="ES159">
        <v>0</v>
      </c>
      <c r="ET159">
        <v>0</v>
      </c>
      <c r="EU159">
        <v>0</v>
      </c>
      <c r="EV159">
        <v>0</v>
      </c>
      <c r="EW159" t="s">
        <v>334</v>
      </c>
      <c r="EX159" t="s">
        <v>335</v>
      </c>
      <c r="EY159" t="s">
        <v>336</v>
      </c>
      <c r="EZ159" t="s">
        <v>336</v>
      </c>
      <c r="FA159" t="s">
        <v>336</v>
      </c>
      <c r="FB159" t="s">
        <v>336</v>
      </c>
      <c r="FC159">
        <v>0</v>
      </c>
      <c r="FD159">
        <v>100</v>
      </c>
      <c r="FE159">
        <v>100</v>
      </c>
      <c r="FF159">
        <v>-1.214</v>
      </c>
      <c r="FG159">
        <v>0.17829999999999999</v>
      </c>
      <c r="FH159">
        <v>-0.98020551812546231</v>
      </c>
      <c r="FI159">
        <v>-6.1462078757559423E-4</v>
      </c>
      <c r="FJ159">
        <v>-1.8861989874597051E-7</v>
      </c>
      <c r="FK159">
        <v>1.1980462299894961E-10</v>
      </c>
      <c r="FL159">
        <v>0.1782306200647516</v>
      </c>
      <c r="FM159">
        <v>0</v>
      </c>
      <c r="FN159">
        <v>0</v>
      </c>
      <c r="FO159">
        <v>0</v>
      </c>
      <c r="FP159">
        <v>3</v>
      </c>
      <c r="FQ159">
        <v>2158</v>
      </c>
      <c r="FR159">
        <v>1</v>
      </c>
      <c r="FS159">
        <v>19</v>
      </c>
      <c r="FT159">
        <v>25.8</v>
      </c>
      <c r="FU159">
        <v>26</v>
      </c>
      <c r="FV159">
        <v>1.77979</v>
      </c>
      <c r="FW159">
        <v>2.5451700000000002</v>
      </c>
      <c r="FX159">
        <v>1.5490699999999999</v>
      </c>
      <c r="FY159">
        <v>2.34009</v>
      </c>
      <c r="FZ159">
        <v>1.50146</v>
      </c>
      <c r="GA159">
        <v>2.2863799999999999</v>
      </c>
      <c r="GB159">
        <v>31.063600000000001</v>
      </c>
      <c r="GC159">
        <v>23.982399999999998</v>
      </c>
      <c r="GD159">
        <v>19</v>
      </c>
      <c r="GE159">
        <v>264.30799999999999</v>
      </c>
      <c r="GF159">
        <v>613.25400000000002</v>
      </c>
      <c r="GG159">
        <v>24.105</v>
      </c>
      <c r="GH159">
        <v>25.451599999999999</v>
      </c>
      <c r="GI159">
        <v>30.0001</v>
      </c>
      <c r="GJ159">
        <v>25.571100000000001</v>
      </c>
      <c r="GK159">
        <v>25.534800000000001</v>
      </c>
      <c r="GL159">
        <v>35.593699999999998</v>
      </c>
      <c r="GM159">
        <v>37.569400000000002</v>
      </c>
      <c r="GN159">
        <v>73.443100000000001</v>
      </c>
      <c r="GO159">
        <v>24.1206</v>
      </c>
      <c r="GP159">
        <v>800</v>
      </c>
      <c r="GQ159">
        <v>14.9772</v>
      </c>
      <c r="GR159">
        <v>99.636300000000006</v>
      </c>
      <c r="GS159">
        <v>99.262600000000006</v>
      </c>
    </row>
    <row r="160" spans="1:201" x14ac:dyDescent="0.25">
      <c r="A160">
        <v>144</v>
      </c>
      <c r="B160">
        <v>1690202325.5999999</v>
      </c>
      <c r="C160">
        <v>1478.599999904633</v>
      </c>
      <c r="D160" t="s">
        <v>621</v>
      </c>
      <c r="E160" t="s">
        <v>622</v>
      </c>
      <c r="F160" t="s">
        <v>330</v>
      </c>
      <c r="H160">
        <v>1690202325.5999999</v>
      </c>
      <c r="I160">
        <f t="shared" si="60"/>
        <v>1.2675297715121956E-3</v>
      </c>
      <c r="J160">
        <f t="shared" si="61"/>
        <v>1.2675297715121956</v>
      </c>
      <c r="K160">
        <f t="shared" si="62"/>
        <v>40.230554095533364</v>
      </c>
      <c r="L160">
        <f t="shared" si="63"/>
        <v>349.06900000000002</v>
      </c>
      <c r="M160">
        <f t="shared" si="64"/>
        <v>-118.41224830527273</v>
      </c>
      <c r="N160">
        <f t="shared" si="65"/>
        <v>-11.734745244990668</v>
      </c>
      <c r="O160">
        <f t="shared" si="66"/>
        <v>34.593007451081803</v>
      </c>
      <c r="P160">
        <f t="shared" si="67"/>
        <v>0.14268815905637391</v>
      </c>
      <c r="Q160">
        <f t="shared" si="68"/>
        <v>2.0815254189897834</v>
      </c>
      <c r="R160">
        <f t="shared" si="69"/>
        <v>0.13746839764175844</v>
      </c>
      <c r="S160">
        <f t="shared" si="70"/>
        <v>8.6370814640790453E-2</v>
      </c>
      <c r="T160">
        <f t="shared" si="71"/>
        <v>276.11661603599998</v>
      </c>
      <c r="U160">
        <f t="shared" si="72"/>
        <v>27.56657004585615</v>
      </c>
      <c r="V160">
        <f t="shared" si="73"/>
        <v>27.56657004585615</v>
      </c>
      <c r="W160">
        <f t="shared" si="74"/>
        <v>3.7000040125475162</v>
      </c>
      <c r="X160">
        <f t="shared" si="75"/>
        <v>84.525815283298527</v>
      </c>
      <c r="Y160">
        <f t="shared" si="76"/>
        <v>2.8162853846884794</v>
      </c>
      <c r="Z160">
        <f t="shared" si="77"/>
        <v>3.3318642065141368</v>
      </c>
      <c r="AA160">
        <f t="shared" si="78"/>
        <v>0.88371862785903676</v>
      </c>
      <c r="AB160">
        <f t="shared" si="79"/>
        <v>-55.898062923687824</v>
      </c>
      <c r="AC160">
        <f t="shared" si="80"/>
        <v>-199.75803362149497</v>
      </c>
      <c r="AD160">
        <f t="shared" si="81"/>
        <v>-20.644092192603093</v>
      </c>
      <c r="AE160">
        <f t="shared" si="82"/>
        <v>-0.18357270178591989</v>
      </c>
      <c r="AF160">
        <v>15</v>
      </c>
      <c r="AG160">
        <v>5</v>
      </c>
      <c r="AH160">
        <f t="shared" si="83"/>
        <v>1</v>
      </c>
      <c r="AI160">
        <f t="shared" si="84"/>
        <v>0</v>
      </c>
      <c r="AJ160">
        <f t="shared" si="85"/>
        <v>52617.887158400677</v>
      </c>
      <c r="AK160">
        <f t="shared" si="86"/>
        <v>1800</v>
      </c>
      <c r="AL160">
        <f t="shared" si="87"/>
        <v>1499.1131465999997</v>
      </c>
      <c r="AM160">
        <f t="shared" si="88"/>
        <v>0.83284063699999988</v>
      </c>
      <c r="AN160">
        <f t="shared" si="89"/>
        <v>0.15339812002</v>
      </c>
      <c r="AO160">
        <v>33.299999999999997</v>
      </c>
      <c r="AP160">
        <v>0.5</v>
      </c>
      <c r="AQ160" t="s">
        <v>331</v>
      </c>
      <c r="AR160">
        <v>2</v>
      </c>
      <c r="AS160">
        <v>1690202325.5999999</v>
      </c>
      <c r="AT160">
        <v>349.06900000000002</v>
      </c>
      <c r="AU160">
        <v>800.16800000000001</v>
      </c>
      <c r="AV160">
        <v>28.418399999999998</v>
      </c>
      <c r="AW160">
        <v>14.7599</v>
      </c>
      <c r="AX160">
        <v>350.28199999999998</v>
      </c>
      <c r="AY160">
        <v>28.240200000000002</v>
      </c>
      <c r="AZ160">
        <v>300.24700000000001</v>
      </c>
      <c r="BA160">
        <v>99.000799999999998</v>
      </c>
      <c r="BB160">
        <v>9.9972199999999997E-2</v>
      </c>
      <c r="BC160">
        <v>25.7865</v>
      </c>
      <c r="BD160">
        <v>26.971</v>
      </c>
      <c r="BE160">
        <v>27.488399999999999</v>
      </c>
      <c r="BF160">
        <v>0</v>
      </c>
      <c r="BG160">
        <v>0</v>
      </c>
      <c r="BH160">
        <v>10011.200000000001</v>
      </c>
      <c r="BI160">
        <v>1073.52</v>
      </c>
      <c r="BJ160">
        <v>1.4577199999999999</v>
      </c>
      <c r="BK160">
        <v>-451.09899999999999</v>
      </c>
      <c r="BL160">
        <v>359.279</v>
      </c>
      <c r="BM160">
        <v>812.15499999999997</v>
      </c>
      <c r="BN160">
        <v>13.6585</v>
      </c>
      <c r="BO160">
        <v>800.16800000000001</v>
      </c>
      <c r="BP160">
        <v>14.7599</v>
      </c>
      <c r="BQ160">
        <v>2.81345</v>
      </c>
      <c r="BR160">
        <v>1.4612400000000001</v>
      </c>
      <c r="BS160">
        <v>22.963200000000001</v>
      </c>
      <c r="BT160">
        <v>12.5685</v>
      </c>
      <c r="BU160">
        <v>1800</v>
      </c>
      <c r="BV160">
        <v>0.90998699999999999</v>
      </c>
      <c r="BW160">
        <v>3.3990199999999998E-2</v>
      </c>
      <c r="BX160">
        <v>2.20091E-2</v>
      </c>
      <c r="BY160">
        <v>3.4014000000000003E-2</v>
      </c>
      <c r="BZ160">
        <v>25</v>
      </c>
      <c r="CA160">
        <v>33528.300000000003</v>
      </c>
      <c r="CB160">
        <v>1690200769.5</v>
      </c>
      <c r="CC160" t="s">
        <v>332</v>
      </c>
      <c r="CD160">
        <v>1690200769.5</v>
      </c>
      <c r="CE160">
        <v>1690200753</v>
      </c>
      <c r="CF160">
        <v>2</v>
      </c>
      <c r="CG160">
        <v>-0.245</v>
      </c>
      <c r="CH160">
        <v>3.0000000000000001E-3</v>
      </c>
      <c r="CI160">
        <v>-1.5169999999999999</v>
      </c>
      <c r="CJ160">
        <v>-1.6E-2</v>
      </c>
      <c r="CK160">
        <v>778</v>
      </c>
      <c r="CL160">
        <v>12</v>
      </c>
      <c r="CM160">
        <v>0.01</v>
      </c>
      <c r="CN160">
        <v>0.03</v>
      </c>
      <c r="CO160">
        <v>-450.16730000000001</v>
      </c>
      <c r="CP160">
        <v>-4.4977936210128462</v>
      </c>
      <c r="CQ160">
        <v>0.43737948054292158</v>
      </c>
      <c r="CR160">
        <v>-1</v>
      </c>
      <c r="CS160">
        <v>13.012245</v>
      </c>
      <c r="CT160">
        <v>3.476692682926791</v>
      </c>
      <c r="CU160">
        <v>0.33466573020702312</v>
      </c>
      <c r="CV160">
        <v>-1</v>
      </c>
      <c r="CW160">
        <v>0</v>
      </c>
      <c r="CX160">
        <v>0</v>
      </c>
      <c r="CY160" t="s">
        <v>333</v>
      </c>
      <c r="CZ160">
        <v>2.3654299999999999</v>
      </c>
      <c r="DA160">
        <v>2.7137699999999998</v>
      </c>
      <c r="DB160">
        <v>8.0837900000000004E-2</v>
      </c>
      <c r="DC160">
        <v>0.14643500000000001</v>
      </c>
      <c r="DD160">
        <v>0.128355</v>
      </c>
      <c r="DE160">
        <v>7.9355200000000001E-2</v>
      </c>
      <c r="DF160">
        <v>33536</v>
      </c>
      <c r="DG160">
        <v>27441.5</v>
      </c>
      <c r="DH160">
        <v>31144.7</v>
      </c>
      <c r="DI160">
        <v>28010.6</v>
      </c>
      <c r="DJ160">
        <v>36831.800000000003</v>
      </c>
      <c r="DK160">
        <v>36637.300000000003</v>
      </c>
      <c r="DL160">
        <v>44312.3</v>
      </c>
      <c r="DM160">
        <v>42417.3</v>
      </c>
      <c r="DN160">
        <v>1.4398500000000001</v>
      </c>
      <c r="DO160">
        <v>2.0823999999999998</v>
      </c>
      <c r="DP160">
        <v>0.13675499999999999</v>
      </c>
      <c r="DQ160">
        <v>0.17519999999999999</v>
      </c>
      <c r="DR160">
        <v>24.7303</v>
      </c>
      <c r="DS160">
        <v>24.6187</v>
      </c>
      <c r="DT160">
        <v>57.9</v>
      </c>
      <c r="DU160">
        <v>25.8</v>
      </c>
      <c r="DV160">
        <v>19.501999999999999</v>
      </c>
      <c r="DW160">
        <v>61.785400000000003</v>
      </c>
      <c r="DX160">
        <v>36.494399999999999</v>
      </c>
      <c r="DY160">
        <v>1</v>
      </c>
      <c r="DZ160">
        <v>-0.156357</v>
      </c>
      <c r="EA160">
        <v>3.2181399999999999E-2</v>
      </c>
      <c r="EB160">
        <v>20.192499999999999</v>
      </c>
      <c r="EC160">
        <v>5.2416999999999998</v>
      </c>
      <c r="ED160">
        <v>12.039899999999999</v>
      </c>
      <c r="EE160">
        <v>5.0172999999999996</v>
      </c>
      <c r="EF160">
        <v>3.2879999999999998</v>
      </c>
      <c r="EG160">
        <v>9999</v>
      </c>
      <c r="EH160">
        <v>9999</v>
      </c>
      <c r="EI160">
        <v>9999</v>
      </c>
      <c r="EJ160">
        <v>999.9</v>
      </c>
      <c r="EK160">
        <v>1.8688</v>
      </c>
      <c r="EL160">
        <v>1.86449</v>
      </c>
      <c r="EM160">
        <v>1.8690500000000001</v>
      </c>
      <c r="EN160">
        <v>1.8671500000000001</v>
      </c>
      <c r="EO160">
        <v>1.86328</v>
      </c>
      <c r="EP160">
        <v>1.86442</v>
      </c>
      <c r="EQ160">
        <v>1.8701099999999999</v>
      </c>
      <c r="ER160">
        <v>1.8693500000000001</v>
      </c>
      <c r="ES160">
        <v>0</v>
      </c>
      <c r="ET160">
        <v>0</v>
      </c>
      <c r="EU160">
        <v>0</v>
      </c>
      <c r="EV160">
        <v>0</v>
      </c>
      <c r="EW160" t="s">
        <v>334</v>
      </c>
      <c r="EX160" t="s">
        <v>335</v>
      </c>
      <c r="EY160" t="s">
        <v>336</v>
      </c>
      <c r="EZ160" t="s">
        <v>336</v>
      </c>
      <c r="FA160" t="s">
        <v>336</v>
      </c>
      <c r="FB160" t="s">
        <v>336</v>
      </c>
      <c r="FC160">
        <v>0</v>
      </c>
      <c r="FD160">
        <v>100</v>
      </c>
      <c r="FE160">
        <v>100</v>
      </c>
      <c r="FF160">
        <v>-1.2130000000000001</v>
      </c>
      <c r="FG160">
        <v>0.1782</v>
      </c>
      <c r="FH160">
        <v>-0.98020551812546231</v>
      </c>
      <c r="FI160">
        <v>-6.1462078757559423E-4</v>
      </c>
      <c r="FJ160">
        <v>-1.8861989874597051E-7</v>
      </c>
      <c r="FK160">
        <v>1.1980462299894961E-10</v>
      </c>
      <c r="FL160">
        <v>0.1782306200647516</v>
      </c>
      <c r="FM160">
        <v>0</v>
      </c>
      <c r="FN160">
        <v>0</v>
      </c>
      <c r="FO160">
        <v>0</v>
      </c>
      <c r="FP160">
        <v>3</v>
      </c>
      <c r="FQ160">
        <v>2158</v>
      </c>
      <c r="FR160">
        <v>1</v>
      </c>
      <c r="FS160">
        <v>19</v>
      </c>
      <c r="FT160">
        <v>25.9</v>
      </c>
      <c r="FU160">
        <v>26.2</v>
      </c>
      <c r="FV160">
        <v>1.77979</v>
      </c>
      <c r="FW160">
        <v>2.5500500000000001</v>
      </c>
      <c r="FX160">
        <v>1.5490699999999999</v>
      </c>
      <c r="FY160">
        <v>2.34009</v>
      </c>
      <c r="FZ160">
        <v>1.50146</v>
      </c>
      <c r="GA160">
        <v>2.32422</v>
      </c>
      <c r="GB160">
        <v>31.063600000000001</v>
      </c>
      <c r="GC160">
        <v>23.982399999999998</v>
      </c>
      <c r="GD160">
        <v>19</v>
      </c>
      <c r="GE160">
        <v>264.48</v>
      </c>
      <c r="GF160">
        <v>612.47699999999998</v>
      </c>
      <c r="GG160">
        <v>24.123699999999999</v>
      </c>
      <c r="GH160">
        <v>25.453800000000001</v>
      </c>
      <c r="GI160">
        <v>30.0002</v>
      </c>
      <c r="GJ160">
        <v>25.571100000000001</v>
      </c>
      <c r="GK160">
        <v>25.536000000000001</v>
      </c>
      <c r="GL160">
        <v>35.580800000000004</v>
      </c>
      <c r="GM160">
        <v>39.8461</v>
      </c>
      <c r="GN160">
        <v>73.064499999999995</v>
      </c>
      <c r="GO160">
        <v>24.144200000000001</v>
      </c>
      <c r="GP160">
        <v>800</v>
      </c>
      <c r="GQ160">
        <v>14.428599999999999</v>
      </c>
      <c r="GR160">
        <v>99.637100000000004</v>
      </c>
      <c r="GS160">
        <v>99.263300000000001</v>
      </c>
    </row>
    <row r="161" spans="1:201" x14ac:dyDescent="0.25">
      <c r="A161">
        <v>145</v>
      </c>
      <c r="B161">
        <v>1690202335.5999999</v>
      </c>
      <c r="C161">
        <v>1488.599999904633</v>
      </c>
      <c r="D161" t="s">
        <v>623</v>
      </c>
      <c r="E161" t="s">
        <v>624</v>
      </c>
      <c r="F161" t="s">
        <v>330</v>
      </c>
      <c r="H161">
        <v>1690202335.5999999</v>
      </c>
      <c r="I161">
        <f t="shared" si="60"/>
        <v>1.3214557689713591E-3</v>
      </c>
      <c r="J161">
        <f t="shared" si="61"/>
        <v>1.3214557689713591</v>
      </c>
      <c r="K161">
        <f t="shared" si="62"/>
        <v>40.286494019819671</v>
      </c>
      <c r="L161">
        <f t="shared" si="63"/>
        <v>348.31200000000001</v>
      </c>
      <c r="M161">
        <f t="shared" si="64"/>
        <v>-98.889909446358729</v>
      </c>
      <c r="N161">
        <f t="shared" si="65"/>
        <v>-9.8000613257588594</v>
      </c>
      <c r="O161">
        <f t="shared" si="66"/>
        <v>34.517970332951997</v>
      </c>
      <c r="P161">
        <f t="shared" si="67"/>
        <v>0.1496700981442648</v>
      </c>
      <c r="Q161">
        <f t="shared" si="68"/>
        <v>2.078879603620098</v>
      </c>
      <c r="R161">
        <f t="shared" si="69"/>
        <v>0.14393106061474606</v>
      </c>
      <c r="S161">
        <f t="shared" si="70"/>
        <v>9.0454207139084794E-2</v>
      </c>
      <c r="T161">
        <f t="shared" si="71"/>
        <v>276.11665957799994</v>
      </c>
      <c r="U161">
        <f t="shared" si="72"/>
        <v>27.550478235288935</v>
      </c>
      <c r="V161">
        <f t="shared" si="73"/>
        <v>27.550478235288935</v>
      </c>
      <c r="W161">
        <f t="shared" si="74"/>
        <v>3.6965232647693651</v>
      </c>
      <c r="X161">
        <f t="shared" si="75"/>
        <v>84.528588758506118</v>
      </c>
      <c r="Y161">
        <f t="shared" si="76"/>
        <v>2.8165614116851998</v>
      </c>
      <c r="Z161">
        <f t="shared" si="77"/>
        <v>3.33208143310185</v>
      </c>
      <c r="AA161">
        <f t="shared" si="78"/>
        <v>0.8799618530841653</v>
      </c>
      <c r="AB161">
        <f t="shared" si="79"/>
        <v>-58.276199411636931</v>
      </c>
      <c r="AC161">
        <f t="shared" si="80"/>
        <v>-197.577323357013</v>
      </c>
      <c r="AD161">
        <f t="shared" si="81"/>
        <v>-20.443175189233116</v>
      </c>
      <c r="AE161">
        <f t="shared" si="82"/>
        <v>-0.18003837988308646</v>
      </c>
      <c r="AF161">
        <v>14</v>
      </c>
      <c r="AG161">
        <v>5</v>
      </c>
      <c r="AH161">
        <f t="shared" si="83"/>
        <v>1</v>
      </c>
      <c r="AI161">
        <f t="shared" si="84"/>
        <v>0</v>
      </c>
      <c r="AJ161">
        <f t="shared" si="85"/>
        <v>52498.159525549898</v>
      </c>
      <c r="AK161">
        <f t="shared" si="86"/>
        <v>1800</v>
      </c>
      <c r="AL161">
        <f t="shared" si="87"/>
        <v>1499.1130098000001</v>
      </c>
      <c r="AM161">
        <f t="shared" si="88"/>
        <v>0.83284056100000003</v>
      </c>
      <c r="AN161">
        <f t="shared" si="89"/>
        <v>0.15339814420999998</v>
      </c>
      <c r="AO161">
        <v>33.299999999999997</v>
      </c>
      <c r="AP161">
        <v>0.5</v>
      </c>
      <c r="AQ161" t="s">
        <v>331</v>
      </c>
      <c r="AR161">
        <v>2</v>
      </c>
      <c r="AS161">
        <v>1690202335.5999999</v>
      </c>
      <c r="AT161">
        <v>348.31200000000001</v>
      </c>
      <c r="AU161">
        <v>800.19899999999996</v>
      </c>
      <c r="AV161">
        <v>28.421199999999999</v>
      </c>
      <c r="AW161">
        <v>14.182600000000001</v>
      </c>
      <c r="AX161">
        <v>349.52499999999998</v>
      </c>
      <c r="AY161">
        <v>28.242999999999999</v>
      </c>
      <c r="AZ161">
        <v>300.267</v>
      </c>
      <c r="BA161">
        <v>99.000699999999995</v>
      </c>
      <c r="BB161">
        <v>0.100021</v>
      </c>
      <c r="BC161">
        <v>25.787600000000001</v>
      </c>
      <c r="BD161">
        <v>27.014600000000002</v>
      </c>
      <c r="BE161">
        <v>27.5229</v>
      </c>
      <c r="BF161">
        <v>0</v>
      </c>
      <c r="BG161">
        <v>0</v>
      </c>
      <c r="BH161">
        <v>9987.5</v>
      </c>
      <c r="BI161">
        <v>1073.56</v>
      </c>
      <c r="BJ161">
        <v>1.28952</v>
      </c>
      <c r="BK161">
        <v>-451.887</v>
      </c>
      <c r="BL161">
        <v>358.50099999999998</v>
      </c>
      <c r="BM161">
        <v>811.71100000000001</v>
      </c>
      <c r="BN161">
        <v>14.2386</v>
      </c>
      <c r="BO161">
        <v>800.19899999999996</v>
      </c>
      <c r="BP161">
        <v>14.182600000000001</v>
      </c>
      <c r="BQ161">
        <v>2.81372</v>
      </c>
      <c r="BR161">
        <v>1.4040900000000001</v>
      </c>
      <c r="BS161">
        <v>22.9648</v>
      </c>
      <c r="BT161">
        <v>11.9619</v>
      </c>
      <c r="BU161">
        <v>1800</v>
      </c>
      <c r="BV161">
        <v>0.90998599999999996</v>
      </c>
      <c r="BW161">
        <v>3.39922E-2</v>
      </c>
      <c r="BX161">
        <v>2.2008799999999999E-2</v>
      </c>
      <c r="BY161">
        <v>3.4013500000000002E-2</v>
      </c>
      <c r="BZ161">
        <v>25</v>
      </c>
      <c r="CA161">
        <v>33528.300000000003</v>
      </c>
      <c r="CB161">
        <v>1690200769.5</v>
      </c>
      <c r="CC161" t="s">
        <v>332</v>
      </c>
      <c r="CD161">
        <v>1690200769.5</v>
      </c>
      <c r="CE161">
        <v>1690200753</v>
      </c>
      <c r="CF161">
        <v>2</v>
      </c>
      <c r="CG161">
        <v>-0.245</v>
      </c>
      <c r="CH161">
        <v>3.0000000000000001E-3</v>
      </c>
      <c r="CI161">
        <v>-1.5169999999999999</v>
      </c>
      <c r="CJ161">
        <v>-1.6E-2</v>
      </c>
      <c r="CK161">
        <v>778</v>
      </c>
      <c r="CL161">
        <v>12</v>
      </c>
      <c r="CM161">
        <v>0.01</v>
      </c>
      <c r="CN161">
        <v>0.03</v>
      </c>
      <c r="CO161">
        <v>-450.99595121951228</v>
      </c>
      <c r="CP161">
        <v>-4.9825087108029251</v>
      </c>
      <c r="CQ161">
        <v>0.49698667358192339</v>
      </c>
      <c r="CR161">
        <v>-1</v>
      </c>
      <c r="CS161">
        <v>13.60468292682927</v>
      </c>
      <c r="CT161">
        <v>3.4589790940766578</v>
      </c>
      <c r="CU161">
        <v>0.34115461761954952</v>
      </c>
      <c r="CV161">
        <v>-1</v>
      </c>
      <c r="CW161">
        <v>0</v>
      </c>
      <c r="CX161">
        <v>0</v>
      </c>
      <c r="CY161" t="s">
        <v>333</v>
      </c>
      <c r="CZ161">
        <v>2.3654700000000002</v>
      </c>
      <c r="DA161">
        <v>2.7138</v>
      </c>
      <c r="DB161">
        <v>8.0699499999999993E-2</v>
      </c>
      <c r="DC161">
        <v>0.146426</v>
      </c>
      <c r="DD161">
        <v>0.128362</v>
      </c>
      <c r="DE161">
        <v>7.7058600000000005E-2</v>
      </c>
      <c r="DF161">
        <v>33541</v>
      </c>
      <c r="DG161">
        <v>27441.7</v>
      </c>
      <c r="DH161">
        <v>31144.7</v>
      </c>
      <c r="DI161">
        <v>28010.5</v>
      </c>
      <c r="DJ161">
        <v>36831.4</v>
      </c>
      <c r="DK161">
        <v>36729</v>
      </c>
      <c r="DL161">
        <v>44312.1</v>
      </c>
      <c r="DM161">
        <v>42417.4</v>
      </c>
      <c r="DN161">
        <v>1.44018</v>
      </c>
      <c r="DO161">
        <v>2.0811000000000002</v>
      </c>
      <c r="DP161">
        <v>0.13954900000000001</v>
      </c>
      <c r="DQ161">
        <v>0.17743600000000001</v>
      </c>
      <c r="DR161">
        <v>24.728200000000001</v>
      </c>
      <c r="DS161">
        <v>24.616700000000002</v>
      </c>
      <c r="DT161">
        <v>58</v>
      </c>
      <c r="DU161">
        <v>25.8</v>
      </c>
      <c r="DV161">
        <v>19.537500000000001</v>
      </c>
      <c r="DW161">
        <v>61.505400000000002</v>
      </c>
      <c r="DX161">
        <v>36.069699999999997</v>
      </c>
      <c r="DY161">
        <v>1</v>
      </c>
      <c r="DZ161">
        <v>-0.156776</v>
      </c>
      <c r="EA161">
        <v>3.3199899999999997E-2</v>
      </c>
      <c r="EB161">
        <v>20.192599999999999</v>
      </c>
      <c r="EC161">
        <v>5.2416999999999998</v>
      </c>
      <c r="ED161">
        <v>12.039899999999999</v>
      </c>
      <c r="EE161">
        <v>5.0167000000000002</v>
      </c>
      <c r="EF161">
        <v>3.2879999999999998</v>
      </c>
      <c r="EG161">
        <v>9999</v>
      </c>
      <c r="EH161">
        <v>9999</v>
      </c>
      <c r="EI161">
        <v>9999</v>
      </c>
      <c r="EJ161">
        <v>999.9</v>
      </c>
      <c r="EK161">
        <v>1.8688100000000001</v>
      </c>
      <c r="EL161">
        <v>1.86449</v>
      </c>
      <c r="EM161">
        <v>1.8690500000000001</v>
      </c>
      <c r="EN161">
        <v>1.86717</v>
      </c>
      <c r="EO161">
        <v>1.86328</v>
      </c>
      <c r="EP161">
        <v>1.86443</v>
      </c>
      <c r="EQ161">
        <v>1.8701000000000001</v>
      </c>
      <c r="ER161">
        <v>1.86934</v>
      </c>
      <c r="ES161">
        <v>0</v>
      </c>
      <c r="ET161">
        <v>0</v>
      </c>
      <c r="EU161">
        <v>0</v>
      </c>
      <c r="EV161">
        <v>0</v>
      </c>
      <c r="EW161" t="s">
        <v>334</v>
      </c>
      <c r="EX161" t="s">
        <v>335</v>
      </c>
      <c r="EY161" t="s">
        <v>336</v>
      </c>
      <c r="EZ161" t="s">
        <v>336</v>
      </c>
      <c r="FA161" t="s">
        <v>336</v>
      </c>
      <c r="FB161" t="s">
        <v>336</v>
      </c>
      <c r="FC161">
        <v>0</v>
      </c>
      <c r="FD161">
        <v>100</v>
      </c>
      <c r="FE161">
        <v>100</v>
      </c>
      <c r="FF161">
        <v>-1.2130000000000001</v>
      </c>
      <c r="FG161">
        <v>0.1782</v>
      </c>
      <c r="FH161">
        <v>-0.98020551812546231</v>
      </c>
      <c r="FI161">
        <v>-6.1462078757559423E-4</v>
      </c>
      <c r="FJ161">
        <v>-1.8861989874597051E-7</v>
      </c>
      <c r="FK161">
        <v>1.1980462299894961E-10</v>
      </c>
      <c r="FL161">
        <v>0.1782306200647516</v>
      </c>
      <c r="FM161">
        <v>0</v>
      </c>
      <c r="FN161">
        <v>0</v>
      </c>
      <c r="FO161">
        <v>0</v>
      </c>
      <c r="FP161">
        <v>3</v>
      </c>
      <c r="FQ161">
        <v>2158</v>
      </c>
      <c r="FR161">
        <v>1</v>
      </c>
      <c r="FS161">
        <v>19</v>
      </c>
      <c r="FT161">
        <v>26.1</v>
      </c>
      <c r="FU161">
        <v>26.4</v>
      </c>
      <c r="FV161">
        <v>1.7785599999999999</v>
      </c>
      <c r="FW161">
        <v>2.5451700000000002</v>
      </c>
      <c r="FX161">
        <v>1.5490699999999999</v>
      </c>
      <c r="FY161">
        <v>2.34009</v>
      </c>
      <c r="FZ161">
        <v>1.50146</v>
      </c>
      <c r="GA161">
        <v>2.3913600000000002</v>
      </c>
      <c r="GB161">
        <v>31.0853</v>
      </c>
      <c r="GC161">
        <v>23.991199999999999</v>
      </c>
      <c r="GD161">
        <v>19</v>
      </c>
      <c r="GE161">
        <v>264.61900000000003</v>
      </c>
      <c r="GF161">
        <v>611.36599999999999</v>
      </c>
      <c r="GG161">
        <v>24.1496</v>
      </c>
      <c r="GH161">
        <v>25.453800000000001</v>
      </c>
      <c r="GI161">
        <v>29.9998</v>
      </c>
      <c r="GJ161">
        <v>25.5732</v>
      </c>
      <c r="GK161">
        <v>25.536000000000001</v>
      </c>
      <c r="GL161">
        <v>35.563699999999997</v>
      </c>
      <c r="GM161">
        <v>42.2577</v>
      </c>
      <c r="GN161">
        <v>73.064499999999995</v>
      </c>
      <c r="GO161">
        <v>24.134899999999998</v>
      </c>
      <c r="GP161">
        <v>800</v>
      </c>
      <c r="GQ161">
        <v>13.763500000000001</v>
      </c>
      <c r="GR161">
        <v>99.636899999999997</v>
      </c>
      <c r="GS161">
        <v>99.263300000000001</v>
      </c>
    </row>
    <row r="162" spans="1:201" x14ac:dyDescent="0.25">
      <c r="A162">
        <v>146</v>
      </c>
      <c r="B162">
        <v>1690202345.5999999</v>
      </c>
      <c r="C162">
        <v>1498.599999904633</v>
      </c>
      <c r="D162" t="s">
        <v>625</v>
      </c>
      <c r="E162" t="s">
        <v>626</v>
      </c>
      <c r="F162" t="s">
        <v>330</v>
      </c>
      <c r="H162">
        <v>1690202345.5999999</v>
      </c>
      <c r="I162">
        <f t="shared" si="60"/>
        <v>1.3824721844825627E-3</v>
      </c>
      <c r="J162">
        <f t="shared" si="61"/>
        <v>1.3824721844825627</v>
      </c>
      <c r="K162">
        <f t="shared" si="62"/>
        <v>40.352766437254047</v>
      </c>
      <c r="L162">
        <f t="shared" si="63"/>
        <v>347.39699999999999</v>
      </c>
      <c r="M162">
        <f t="shared" si="64"/>
        <v>-79.245467286289454</v>
      </c>
      <c r="N162">
        <f t="shared" si="65"/>
        <v>-7.8534313311906914</v>
      </c>
      <c r="O162">
        <f t="shared" si="66"/>
        <v>34.427943674119497</v>
      </c>
      <c r="P162">
        <f t="shared" si="67"/>
        <v>0.15749130421361326</v>
      </c>
      <c r="Q162">
        <f t="shared" si="68"/>
        <v>2.0783422985776161</v>
      </c>
      <c r="R162">
        <f t="shared" si="69"/>
        <v>0.15114888929005865</v>
      </c>
      <c r="S162">
        <f t="shared" si="70"/>
        <v>9.501661358913277E-2</v>
      </c>
      <c r="T162">
        <f t="shared" si="71"/>
        <v>276.11660057399996</v>
      </c>
      <c r="U162">
        <f t="shared" si="72"/>
        <v>27.535599877691183</v>
      </c>
      <c r="V162">
        <f t="shared" si="73"/>
        <v>27.535599877691183</v>
      </c>
      <c r="W162">
        <f t="shared" si="74"/>
        <v>3.6933075363637768</v>
      </c>
      <c r="X162">
        <f t="shared" si="75"/>
        <v>84.49852056233911</v>
      </c>
      <c r="Y162">
        <f t="shared" si="76"/>
        <v>2.8166443611602499</v>
      </c>
      <c r="Z162">
        <f t="shared" si="77"/>
        <v>3.3333652973039447</v>
      </c>
      <c r="AA162">
        <f t="shared" si="78"/>
        <v>0.87666317520352699</v>
      </c>
      <c r="AB162">
        <f t="shared" si="79"/>
        <v>-60.967023335681013</v>
      </c>
      <c r="AC162">
        <f t="shared" si="80"/>
        <v>-195.13086428218782</v>
      </c>
      <c r="AD162">
        <f t="shared" si="81"/>
        <v>-20.194410432732088</v>
      </c>
      <c r="AE162">
        <f t="shared" si="82"/>
        <v>-0.17569747660095913</v>
      </c>
      <c r="AF162">
        <v>14</v>
      </c>
      <c r="AG162">
        <v>5</v>
      </c>
      <c r="AH162">
        <f t="shared" si="83"/>
        <v>1</v>
      </c>
      <c r="AI162">
        <f t="shared" si="84"/>
        <v>0</v>
      </c>
      <c r="AJ162">
        <f t="shared" si="85"/>
        <v>52472.807575774124</v>
      </c>
      <c r="AK162">
        <f t="shared" si="86"/>
        <v>1800</v>
      </c>
      <c r="AL162">
        <f t="shared" si="87"/>
        <v>1499.1088283999998</v>
      </c>
      <c r="AM162">
        <f t="shared" si="88"/>
        <v>0.8328382379999999</v>
      </c>
      <c r="AN162">
        <f t="shared" si="89"/>
        <v>0.15339811142999998</v>
      </c>
      <c r="AO162">
        <v>33.299999999999997</v>
      </c>
      <c r="AP162">
        <v>0.5</v>
      </c>
      <c r="AQ162" t="s">
        <v>331</v>
      </c>
      <c r="AR162">
        <v>2</v>
      </c>
      <c r="AS162">
        <v>1690202345.5999999</v>
      </c>
      <c r="AT162">
        <v>347.39699999999999</v>
      </c>
      <c r="AU162">
        <v>800.21500000000003</v>
      </c>
      <c r="AV162">
        <v>28.421500000000002</v>
      </c>
      <c r="AW162">
        <v>13.526300000000001</v>
      </c>
      <c r="AX162">
        <v>348.60899999999998</v>
      </c>
      <c r="AY162">
        <v>28.243200000000002</v>
      </c>
      <c r="AZ162">
        <v>300.28399999999999</v>
      </c>
      <c r="BA162">
        <v>99.002600000000001</v>
      </c>
      <c r="BB162">
        <v>9.9993499999999999E-2</v>
      </c>
      <c r="BC162">
        <v>25.7941</v>
      </c>
      <c r="BD162">
        <v>27.0014</v>
      </c>
      <c r="BE162">
        <v>27.473600000000001</v>
      </c>
      <c r="BF162">
        <v>0</v>
      </c>
      <c r="BG162">
        <v>0</v>
      </c>
      <c r="BH162">
        <v>9982.5</v>
      </c>
      <c r="BI162">
        <v>1073.44</v>
      </c>
      <c r="BJ162">
        <v>1.28952</v>
      </c>
      <c r="BK162">
        <v>-452.81799999999998</v>
      </c>
      <c r="BL162">
        <v>357.55900000000003</v>
      </c>
      <c r="BM162">
        <v>811.18799999999999</v>
      </c>
      <c r="BN162">
        <v>14.895200000000001</v>
      </c>
      <c r="BO162">
        <v>800.21500000000003</v>
      </c>
      <c r="BP162">
        <v>13.526300000000001</v>
      </c>
      <c r="BQ162">
        <v>2.8138000000000001</v>
      </c>
      <c r="BR162">
        <v>1.33914</v>
      </c>
      <c r="BS162">
        <v>22.965299999999999</v>
      </c>
      <c r="BT162">
        <v>11.2454</v>
      </c>
      <c r="BU162">
        <v>1800</v>
      </c>
      <c r="BV162">
        <v>0.90997399999999995</v>
      </c>
      <c r="BW162">
        <v>3.4005899999999999E-2</v>
      </c>
      <c r="BX162">
        <v>2.20079E-2</v>
      </c>
      <c r="BY162">
        <v>3.4012100000000003E-2</v>
      </c>
      <c r="BZ162">
        <v>25</v>
      </c>
      <c r="CA162">
        <v>33528.1</v>
      </c>
      <c r="CB162">
        <v>1690200769.5</v>
      </c>
      <c r="CC162" t="s">
        <v>332</v>
      </c>
      <c r="CD162">
        <v>1690200769.5</v>
      </c>
      <c r="CE162">
        <v>1690200753</v>
      </c>
      <c r="CF162">
        <v>2</v>
      </c>
      <c r="CG162">
        <v>-0.245</v>
      </c>
      <c r="CH162">
        <v>3.0000000000000001E-3</v>
      </c>
      <c r="CI162">
        <v>-1.5169999999999999</v>
      </c>
      <c r="CJ162">
        <v>-1.6E-2</v>
      </c>
      <c r="CK162">
        <v>778</v>
      </c>
      <c r="CL162">
        <v>12</v>
      </c>
      <c r="CM162">
        <v>0.01</v>
      </c>
      <c r="CN162">
        <v>0.03</v>
      </c>
      <c r="CO162">
        <v>-451.8458048780488</v>
      </c>
      <c r="CP162">
        <v>-4.8114773519166736</v>
      </c>
      <c r="CQ162">
        <v>0.47924708325191961</v>
      </c>
      <c r="CR162">
        <v>-1</v>
      </c>
      <c r="CS162">
        <v>14.21145121951219</v>
      </c>
      <c r="CT162">
        <v>3.7817372822299582</v>
      </c>
      <c r="CU162">
        <v>0.37341862542672649</v>
      </c>
      <c r="CV162">
        <v>-1</v>
      </c>
      <c r="CW162">
        <v>0</v>
      </c>
      <c r="CX162">
        <v>0</v>
      </c>
      <c r="CY162" t="s">
        <v>333</v>
      </c>
      <c r="CZ162">
        <v>2.3655599999999999</v>
      </c>
      <c r="DA162">
        <v>2.7137699999999998</v>
      </c>
      <c r="DB162">
        <v>8.0534800000000004E-2</v>
      </c>
      <c r="DC162">
        <v>0.14641899999999999</v>
      </c>
      <c r="DD162">
        <v>0.12836600000000001</v>
      </c>
      <c r="DE162">
        <v>7.4406100000000003E-2</v>
      </c>
      <c r="DF162">
        <v>33546.699999999997</v>
      </c>
      <c r="DG162">
        <v>27442</v>
      </c>
      <c r="DH162">
        <v>31144.400000000001</v>
      </c>
      <c r="DI162">
        <v>28010.6</v>
      </c>
      <c r="DJ162">
        <v>36831.1</v>
      </c>
      <c r="DK162">
        <v>36835</v>
      </c>
      <c r="DL162">
        <v>44311.9</v>
      </c>
      <c r="DM162">
        <v>42417.7</v>
      </c>
      <c r="DN162">
        <v>1.4404699999999999</v>
      </c>
      <c r="DO162">
        <v>2.0802800000000001</v>
      </c>
      <c r="DP162">
        <v>0.138767</v>
      </c>
      <c r="DQ162">
        <v>0.174455</v>
      </c>
      <c r="DR162">
        <v>24.727799999999998</v>
      </c>
      <c r="DS162">
        <v>24.616099999999999</v>
      </c>
      <c r="DT162">
        <v>58</v>
      </c>
      <c r="DU162">
        <v>25.8</v>
      </c>
      <c r="DV162">
        <v>19.536200000000001</v>
      </c>
      <c r="DW162">
        <v>61.795400000000001</v>
      </c>
      <c r="DX162">
        <v>35.512799999999999</v>
      </c>
      <c r="DY162">
        <v>1</v>
      </c>
      <c r="DZ162">
        <v>-0.15616099999999999</v>
      </c>
      <c r="EA162">
        <v>0.103543</v>
      </c>
      <c r="EB162">
        <v>20.192399999999999</v>
      </c>
      <c r="EC162">
        <v>5.2421499999999996</v>
      </c>
      <c r="ED162">
        <v>12.039899999999999</v>
      </c>
      <c r="EE162">
        <v>5.01715</v>
      </c>
      <c r="EF162">
        <v>3.2879999999999998</v>
      </c>
      <c r="EG162">
        <v>9999</v>
      </c>
      <c r="EH162">
        <v>9999</v>
      </c>
      <c r="EI162">
        <v>9999</v>
      </c>
      <c r="EJ162">
        <v>999.9</v>
      </c>
      <c r="EK162">
        <v>1.86883</v>
      </c>
      <c r="EL162">
        <v>1.86449</v>
      </c>
      <c r="EM162">
        <v>1.8690500000000001</v>
      </c>
      <c r="EN162">
        <v>1.86714</v>
      </c>
      <c r="EO162">
        <v>1.8632899999999999</v>
      </c>
      <c r="EP162">
        <v>1.86443</v>
      </c>
      <c r="EQ162">
        <v>1.87009</v>
      </c>
      <c r="ER162">
        <v>1.86934</v>
      </c>
      <c r="ES162">
        <v>0</v>
      </c>
      <c r="ET162">
        <v>0</v>
      </c>
      <c r="EU162">
        <v>0</v>
      </c>
      <c r="EV162">
        <v>0</v>
      </c>
      <c r="EW162" t="s">
        <v>334</v>
      </c>
      <c r="EX162" t="s">
        <v>335</v>
      </c>
      <c r="EY162" t="s">
        <v>336</v>
      </c>
      <c r="EZ162" t="s">
        <v>336</v>
      </c>
      <c r="FA162" t="s">
        <v>336</v>
      </c>
      <c r="FB162" t="s">
        <v>336</v>
      </c>
      <c r="FC162">
        <v>0</v>
      </c>
      <c r="FD162">
        <v>100</v>
      </c>
      <c r="FE162">
        <v>100</v>
      </c>
      <c r="FF162">
        <v>-1.212</v>
      </c>
      <c r="FG162">
        <v>0.17829999999999999</v>
      </c>
      <c r="FH162">
        <v>-0.98020551812546231</v>
      </c>
      <c r="FI162">
        <v>-6.1462078757559423E-4</v>
      </c>
      <c r="FJ162">
        <v>-1.8861989874597051E-7</v>
      </c>
      <c r="FK162">
        <v>1.1980462299894961E-10</v>
      </c>
      <c r="FL162">
        <v>0.1782306200647516</v>
      </c>
      <c r="FM162">
        <v>0</v>
      </c>
      <c r="FN162">
        <v>0</v>
      </c>
      <c r="FO162">
        <v>0</v>
      </c>
      <c r="FP162">
        <v>3</v>
      </c>
      <c r="FQ162">
        <v>2158</v>
      </c>
      <c r="FR162">
        <v>1</v>
      </c>
      <c r="FS162">
        <v>19</v>
      </c>
      <c r="FT162">
        <v>26.3</v>
      </c>
      <c r="FU162">
        <v>26.5</v>
      </c>
      <c r="FV162">
        <v>1.7785599999999999</v>
      </c>
      <c r="FW162">
        <v>2.5427200000000001</v>
      </c>
      <c r="FX162">
        <v>1.5490699999999999</v>
      </c>
      <c r="FY162">
        <v>2.34009</v>
      </c>
      <c r="FZ162">
        <v>1.50146</v>
      </c>
      <c r="GA162">
        <v>2.3999000000000001</v>
      </c>
      <c r="GB162">
        <v>31.0853</v>
      </c>
      <c r="GC162">
        <v>23.991199999999999</v>
      </c>
      <c r="GD162">
        <v>19</v>
      </c>
      <c r="GE162">
        <v>264.74</v>
      </c>
      <c r="GF162">
        <v>610.66099999999994</v>
      </c>
      <c r="GG162">
        <v>24.130700000000001</v>
      </c>
      <c r="GH162">
        <v>25.4559</v>
      </c>
      <c r="GI162">
        <v>30</v>
      </c>
      <c r="GJ162">
        <v>25.5732</v>
      </c>
      <c r="GK162">
        <v>25.536000000000001</v>
      </c>
      <c r="GL162">
        <v>35.549300000000002</v>
      </c>
      <c r="GM162">
        <v>44.2273</v>
      </c>
      <c r="GN162">
        <v>72.686599999999999</v>
      </c>
      <c r="GO162">
        <v>24.125599999999999</v>
      </c>
      <c r="GP162">
        <v>800</v>
      </c>
      <c r="GQ162">
        <v>13.1934</v>
      </c>
      <c r="GR162">
        <v>99.636200000000002</v>
      </c>
      <c r="GS162">
        <v>99.263800000000003</v>
      </c>
    </row>
    <row r="163" spans="1:201" x14ac:dyDescent="0.25">
      <c r="A163">
        <v>147</v>
      </c>
      <c r="B163">
        <v>1690202355.5999999</v>
      </c>
      <c r="C163">
        <v>1508.599999904633</v>
      </c>
      <c r="D163" t="s">
        <v>627</v>
      </c>
      <c r="E163" t="s">
        <v>628</v>
      </c>
      <c r="F163" t="s">
        <v>330</v>
      </c>
      <c r="H163">
        <v>1690202355.5999999</v>
      </c>
      <c r="I163">
        <f t="shared" si="60"/>
        <v>1.4336846127432639E-3</v>
      </c>
      <c r="J163">
        <f t="shared" si="61"/>
        <v>1.4336846127432639</v>
      </c>
      <c r="K163">
        <f t="shared" si="62"/>
        <v>40.399051231506455</v>
      </c>
      <c r="L163">
        <f t="shared" si="63"/>
        <v>346.53</v>
      </c>
      <c r="M163">
        <f t="shared" si="64"/>
        <v>-63.722013296228511</v>
      </c>
      <c r="N163">
        <f t="shared" si="65"/>
        <v>-6.3151680631294962</v>
      </c>
      <c r="O163">
        <f t="shared" si="66"/>
        <v>34.342844422427994</v>
      </c>
      <c r="P163">
        <f t="shared" si="67"/>
        <v>0.16427632911702983</v>
      </c>
      <c r="Q163">
        <f t="shared" si="68"/>
        <v>2.0814389939794253</v>
      </c>
      <c r="R163">
        <f t="shared" si="69"/>
        <v>0.15739829157715624</v>
      </c>
      <c r="S163">
        <f t="shared" si="70"/>
        <v>9.8967899352241318E-2</v>
      </c>
      <c r="T163">
        <f t="shared" si="71"/>
        <v>276.1152081800991</v>
      </c>
      <c r="U163">
        <f t="shared" si="72"/>
        <v>27.517677891163689</v>
      </c>
      <c r="V163">
        <f t="shared" si="73"/>
        <v>27.517677891163689</v>
      </c>
      <c r="W163">
        <f t="shared" si="74"/>
        <v>3.6894372159965734</v>
      </c>
      <c r="X163">
        <f t="shared" si="75"/>
        <v>84.476323182412116</v>
      </c>
      <c r="Y163">
        <f t="shared" si="76"/>
        <v>2.8163550587600397</v>
      </c>
      <c r="Z163">
        <f t="shared" si="77"/>
        <v>3.3338987217502405</v>
      </c>
      <c r="AA163">
        <f t="shared" si="78"/>
        <v>0.87308215723653371</v>
      </c>
      <c r="AB163">
        <f t="shared" si="79"/>
        <v>-63.225491421977935</v>
      </c>
      <c r="AC163">
        <f t="shared" si="80"/>
        <v>-193.10751930694391</v>
      </c>
      <c r="AD163">
        <f t="shared" si="81"/>
        <v>-19.953753726310879</v>
      </c>
      <c r="AE163">
        <f t="shared" si="82"/>
        <v>-0.17155627513363925</v>
      </c>
      <c r="AF163">
        <v>14</v>
      </c>
      <c r="AG163">
        <v>5</v>
      </c>
      <c r="AH163">
        <f t="shared" si="83"/>
        <v>1</v>
      </c>
      <c r="AI163">
        <f t="shared" si="84"/>
        <v>0</v>
      </c>
      <c r="AJ163">
        <f t="shared" si="85"/>
        <v>52612.257766097631</v>
      </c>
      <c r="AK163">
        <f t="shared" si="86"/>
        <v>1799.99</v>
      </c>
      <c r="AL163">
        <f t="shared" si="87"/>
        <v>1499.10078081606</v>
      </c>
      <c r="AM163">
        <f t="shared" si="88"/>
        <v>0.83283839400000004</v>
      </c>
      <c r="AN163">
        <f t="shared" si="89"/>
        <v>0.15339819009</v>
      </c>
      <c r="AO163">
        <v>33.299999999999997</v>
      </c>
      <c r="AP163">
        <v>0.5</v>
      </c>
      <c r="AQ163" t="s">
        <v>331</v>
      </c>
      <c r="AR163">
        <v>2</v>
      </c>
      <c r="AS163">
        <v>1690202355.5999999</v>
      </c>
      <c r="AT163">
        <v>346.53</v>
      </c>
      <c r="AU163">
        <v>800.21400000000006</v>
      </c>
      <c r="AV163">
        <v>28.417899999999999</v>
      </c>
      <c r="AW163">
        <v>12.9651</v>
      </c>
      <c r="AX163">
        <v>347.74200000000002</v>
      </c>
      <c r="AY163">
        <v>28.239699999999999</v>
      </c>
      <c r="AZ163">
        <v>300.17200000000003</v>
      </c>
      <c r="BA163">
        <v>99.004999999999995</v>
      </c>
      <c r="BB163">
        <v>9.9967600000000004E-2</v>
      </c>
      <c r="BC163">
        <v>25.796800000000001</v>
      </c>
      <c r="BD163">
        <v>26.967500000000001</v>
      </c>
      <c r="BE163">
        <v>27.4817</v>
      </c>
      <c r="BF163">
        <v>0</v>
      </c>
      <c r="BG163">
        <v>0</v>
      </c>
      <c r="BH163">
        <v>10010</v>
      </c>
      <c r="BI163">
        <v>1073.33</v>
      </c>
      <c r="BJ163">
        <v>1.3343700000000001</v>
      </c>
      <c r="BK163">
        <v>-453.68400000000003</v>
      </c>
      <c r="BL163">
        <v>356.666</v>
      </c>
      <c r="BM163">
        <v>810.72500000000002</v>
      </c>
      <c r="BN163">
        <v>15.4528</v>
      </c>
      <c r="BO163">
        <v>800.21400000000006</v>
      </c>
      <c r="BP163">
        <v>12.9651</v>
      </c>
      <c r="BQ163">
        <v>2.81352</v>
      </c>
      <c r="BR163">
        <v>1.2836099999999999</v>
      </c>
      <c r="BS163">
        <v>22.9636</v>
      </c>
      <c r="BT163">
        <v>10.6083</v>
      </c>
      <c r="BU163">
        <v>1799.99</v>
      </c>
      <c r="BV163">
        <v>0.90997300000000003</v>
      </c>
      <c r="BW163">
        <v>3.4007999999999997E-2</v>
      </c>
      <c r="BX163">
        <v>2.2007700000000002E-2</v>
      </c>
      <c r="BY163">
        <v>3.4011699999999999E-2</v>
      </c>
      <c r="BZ163">
        <v>25</v>
      </c>
      <c r="CA163">
        <v>33528</v>
      </c>
      <c r="CB163">
        <v>1690200769.5</v>
      </c>
      <c r="CC163" t="s">
        <v>332</v>
      </c>
      <c r="CD163">
        <v>1690200769.5</v>
      </c>
      <c r="CE163">
        <v>1690200753</v>
      </c>
      <c r="CF163">
        <v>2</v>
      </c>
      <c r="CG163">
        <v>-0.245</v>
      </c>
      <c r="CH163">
        <v>3.0000000000000001E-3</v>
      </c>
      <c r="CI163">
        <v>-1.5169999999999999</v>
      </c>
      <c r="CJ163">
        <v>-1.6E-2</v>
      </c>
      <c r="CK163">
        <v>778</v>
      </c>
      <c r="CL163">
        <v>12</v>
      </c>
      <c r="CM163">
        <v>0.01</v>
      </c>
      <c r="CN163">
        <v>0.03</v>
      </c>
      <c r="CO163">
        <v>-452.66892499999989</v>
      </c>
      <c r="CP163">
        <v>-5.1284015009388124</v>
      </c>
      <c r="CQ163">
        <v>0.49701752421318263</v>
      </c>
      <c r="CR163">
        <v>-1</v>
      </c>
      <c r="CS163">
        <v>14.80824</v>
      </c>
      <c r="CT163">
        <v>3.6122183864915511</v>
      </c>
      <c r="CU163">
        <v>0.34823378555217749</v>
      </c>
      <c r="CV163">
        <v>-1</v>
      </c>
      <c r="CW163">
        <v>0</v>
      </c>
      <c r="CX163">
        <v>0</v>
      </c>
      <c r="CY163" t="s">
        <v>333</v>
      </c>
      <c r="CZ163">
        <v>2.3651900000000001</v>
      </c>
      <c r="DA163">
        <v>2.7137699999999998</v>
      </c>
      <c r="DB163">
        <v>8.03783E-2</v>
      </c>
      <c r="DC163">
        <v>0.14641100000000001</v>
      </c>
      <c r="DD163">
        <v>0.128357</v>
      </c>
      <c r="DE163">
        <v>7.21001E-2</v>
      </c>
      <c r="DF163">
        <v>33552.6</v>
      </c>
      <c r="DG163">
        <v>27442.1</v>
      </c>
      <c r="DH163">
        <v>31144.6</v>
      </c>
      <c r="DI163">
        <v>28010.400000000001</v>
      </c>
      <c r="DJ163">
        <v>36831.800000000003</v>
      </c>
      <c r="DK163">
        <v>36927</v>
      </c>
      <c r="DL163">
        <v>44312.4</v>
      </c>
      <c r="DM163">
        <v>42417.599999999999</v>
      </c>
      <c r="DN163">
        <v>1.44068</v>
      </c>
      <c r="DO163">
        <v>2.07952</v>
      </c>
      <c r="DP163">
        <v>0.136793</v>
      </c>
      <c r="DQ163">
        <v>0.175014</v>
      </c>
      <c r="DR163">
        <v>24.726099999999999</v>
      </c>
      <c r="DS163">
        <v>24.614999999999998</v>
      </c>
      <c r="DT163">
        <v>58.1</v>
      </c>
      <c r="DU163">
        <v>25.8</v>
      </c>
      <c r="DV163">
        <v>19.569900000000001</v>
      </c>
      <c r="DW163">
        <v>61.3354</v>
      </c>
      <c r="DX163">
        <v>35.5929</v>
      </c>
      <c r="DY163">
        <v>1</v>
      </c>
      <c r="DZ163">
        <v>-0.156026</v>
      </c>
      <c r="EA163">
        <v>7.4613299999999994E-2</v>
      </c>
      <c r="EB163">
        <v>20.192299999999999</v>
      </c>
      <c r="EC163">
        <v>5.2415500000000002</v>
      </c>
      <c r="ED163">
        <v>12.039899999999999</v>
      </c>
      <c r="EE163">
        <v>5.01715</v>
      </c>
      <c r="EF163">
        <v>3.2879999999999998</v>
      </c>
      <c r="EG163">
        <v>9999</v>
      </c>
      <c r="EH163">
        <v>9999</v>
      </c>
      <c r="EI163">
        <v>9999</v>
      </c>
      <c r="EJ163">
        <v>999.9</v>
      </c>
      <c r="EK163">
        <v>1.86879</v>
      </c>
      <c r="EL163">
        <v>1.86449</v>
      </c>
      <c r="EM163">
        <v>1.8690500000000001</v>
      </c>
      <c r="EN163">
        <v>1.8671199999999999</v>
      </c>
      <c r="EO163">
        <v>1.86327</v>
      </c>
      <c r="EP163">
        <v>1.8644000000000001</v>
      </c>
      <c r="EQ163">
        <v>1.8700600000000001</v>
      </c>
      <c r="ER163">
        <v>1.8693500000000001</v>
      </c>
      <c r="ES163">
        <v>0</v>
      </c>
      <c r="ET163">
        <v>0</v>
      </c>
      <c r="EU163">
        <v>0</v>
      </c>
      <c r="EV163">
        <v>0</v>
      </c>
      <c r="EW163" t="s">
        <v>334</v>
      </c>
      <c r="EX163" t="s">
        <v>335</v>
      </c>
      <c r="EY163" t="s">
        <v>336</v>
      </c>
      <c r="EZ163" t="s">
        <v>336</v>
      </c>
      <c r="FA163" t="s">
        <v>336</v>
      </c>
      <c r="FB163" t="s">
        <v>336</v>
      </c>
      <c r="FC163">
        <v>0</v>
      </c>
      <c r="FD163">
        <v>100</v>
      </c>
      <c r="FE163">
        <v>100</v>
      </c>
      <c r="FF163">
        <v>-1.212</v>
      </c>
      <c r="FG163">
        <v>0.1782</v>
      </c>
      <c r="FH163">
        <v>-0.98020551812546231</v>
      </c>
      <c r="FI163">
        <v>-6.1462078757559423E-4</v>
      </c>
      <c r="FJ163">
        <v>-1.8861989874597051E-7</v>
      </c>
      <c r="FK163">
        <v>1.1980462299894961E-10</v>
      </c>
      <c r="FL163">
        <v>0.1782306200647516</v>
      </c>
      <c r="FM163">
        <v>0</v>
      </c>
      <c r="FN163">
        <v>0</v>
      </c>
      <c r="FO163">
        <v>0</v>
      </c>
      <c r="FP163">
        <v>3</v>
      </c>
      <c r="FQ163">
        <v>2158</v>
      </c>
      <c r="FR163">
        <v>1</v>
      </c>
      <c r="FS163">
        <v>19</v>
      </c>
      <c r="FT163">
        <v>26.4</v>
      </c>
      <c r="FU163">
        <v>26.7</v>
      </c>
      <c r="FV163">
        <v>1.7773399999999999</v>
      </c>
      <c r="FW163">
        <v>2.5427200000000001</v>
      </c>
      <c r="FX163">
        <v>1.5490699999999999</v>
      </c>
      <c r="FY163">
        <v>2.34009</v>
      </c>
      <c r="FZ163">
        <v>1.50024</v>
      </c>
      <c r="GA163">
        <v>2.34253</v>
      </c>
      <c r="GB163">
        <v>31.0853</v>
      </c>
      <c r="GC163">
        <v>23.991199999999999</v>
      </c>
      <c r="GD163">
        <v>19</v>
      </c>
      <c r="GE163">
        <v>264.83</v>
      </c>
      <c r="GF163">
        <v>610.02099999999996</v>
      </c>
      <c r="GG163">
        <v>24.122499999999999</v>
      </c>
      <c r="GH163">
        <v>25.4575</v>
      </c>
      <c r="GI163">
        <v>30</v>
      </c>
      <c r="GJ163">
        <v>25.575399999999998</v>
      </c>
      <c r="GK163">
        <v>25.536000000000001</v>
      </c>
      <c r="GL163">
        <v>35.536900000000003</v>
      </c>
      <c r="GM163">
        <v>46.550400000000003</v>
      </c>
      <c r="GN163">
        <v>72.301100000000005</v>
      </c>
      <c r="GO163">
        <v>24.128699999999998</v>
      </c>
      <c r="GP163">
        <v>800</v>
      </c>
      <c r="GQ163">
        <v>12.6158</v>
      </c>
      <c r="GR163">
        <v>99.637100000000004</v>
      </c>
      <c r="GS163">
        <v>99.263599999999997</v>
      </c>
    </row>
    <row r="164" spans="1:201" x14ac:dyDescent="0.25">
      <c r="A164">
        <v>148</v>
      </c>
      <c r="B164">
        <v>1690202365.5999999</v>
      </c>
      <c r="C164">
        <v>1518.599999904633</v>
      </c>
      <c r="D164" t="s">
        <v>629</v>
      </c>
      <c r="E164" t="s">
        <v>630</v>
      </c>
      <c r="F164" t="s">
        <v>330</v>
      </c>
      <c r="H164">
        <v>1690202365.5999999</v>
      </c>
      <c r="I164">
        <f t="shared" si="60"/>
        <v>1.569753586408696E-3</v>
      </c>
      <c r="J164">
        <f t="shared" si="61"/>
        <v>1.569753586408696</v>
      </c>
      <c r="K164">
        <f t="shared" si="62"/>
        <v>40.658114885808267</v>
      </c>
      <c r="L164">
        <f t="shared" si="63"/>
        <v>344.94099999999997</v>
      </c>
      <c r="M164">
        <f t="shared" si="64"/>
        <v>-28.079177425347439</v>
      </c>
      <c r="N164">
        <f t="shared" si="65"/>
        <v>-2.7827046909867339</v>
      </c>
      <c r="O164">
        <f t="shared" si="66"/>
        <v>34.184368162692998</v>
      </c>
      <c r="P164">
        <f t="shared" si="67"/>
        <v>0.18277926164191013</v>
      </c>
      <c r="Q164">
        <f t="shared" si="68"/>
        <v>2.0781946882920193</v>
      </c>
      <c r="R164">
        <f t="shared" si="69"/>
        <v>0.17429495877590531</v>
      </c>
      <c r="S164">
        <f t="shared" si="70"/>
        <v>0.10966380601538969</v>
      </c>
      <c r="T164">
        <f t="shared" si="71"/>
        <v>276.11653471199998</v>
      </c>
      <c r="U164">
        <f t="shared" si="72"/>
        <v>27.477541335250834</v>
      </c>
      <c r="V164">
        <f t="shared" si="73"/>
        <v>27.477541335250834</v>
      </c>
      <c r="W164">
        <f t="shared" si="74"/>
        <v>3.6807824126270106</v>
      </c>
      <c r="X164">
        <f t="shared" si="75"/>
        <v>84.480671193055983</v>
      </c>
      <c r="Y164">
        <f t="shared" si="76"/>
        <v>2.8175016660118999</v>
      </c>
      <c r="Z164">
        <f t="shared" si="77"/>
        <v>3.3350843763697378</v>
      </c>
      <c r="AA164">
        <f t="shared" si="78"/>
        <v>0.86328074661511067</v>
      </c>
      <c r="AB164">
        <f t="shared" si="79"/>
        <v>-69.22613316062349</v>
      </c>
      <c r="AC164">
        <f t="shared" si="80"/>
        <v>-187.6374029556417</v>
      </c>
      <c r="AD164">
        <f t="shared" si="81"/>
        <v>-19.415469172754889</v>
      </c>
      <c r="AE164">
        <f t="shared" si="82"/>
        <v>-0.16247057702011602</v>
      </c>
      <c r="AF164">
        <v>14</v>
      </c>
      <c r="AG164">
        <v>5</v>
      </c>
      <c r="AH164">
        <f t="shared" si="83"/>
        <v>1</v>
      </c>
      <c r="AI164">
        <f t="shared" si="84"/>
        <v>0</v>
      </c>
      <c r="AJ164">
        <f t="shared" si="85"/>
        <v>52464.604068376</v>
      </c>
      <c r="AK164">
        <f t="shared" si="86"/>
        <v>1800</v>
      </c>
      <c r="AL164">
        <f t="shared" si="87"/>
        <v>1499.1095502000001</v>
      </c>
      <c r="AM164">
        <f t="shared" si="88"/>
        <v>0.83283863899999999</v>
      </c>
      <c r="AN164">
        <f t="shared" si="89"/>
        <v>0.15339807483999998</v>
      </c>
      <c r="AO164">
        <v>33.299999999999997</v>
      </c>
      <c r="AP164">
        <v>0.5</v>
      </c>
      <c r="AQ164" t="s">
        <v>331</v>
      </c>
      <c r="AR164">
        <v>2</v>
      </c>
      <c r="AS164">
        <v>1690202365.5999999</v>
      </c>
      <c r="AT164">
        <v>344.94099999999997</v>
      </c>
      <c r="AU164">
        <v>802.35400000000004</v>
      </c>
      <c r="AV164">
        <v>28.430299999999999</v>
      </c>
      <c r="AW164">
        <v>11.4978</v>
      </c>
      <c r="AX164">
        <v>346.15199999999999</v>
      </c>
      <c r="AY164">
        <v>28.252099999999999</v>
      </c>
      <c r="AZ164">
        <v>299.93599999999998</v>
      </c>
      <c r="BA164">
        <v>99.001900000000006</v>
      </c>
      <c r="BB164">
        <v>0.100173</v>
      </c>
      <c r="BC164">
        <v>25.802800000000001</v>
      </c>
      <c r="BD164">
        <v>26.996700000000001</v>
      </c>
      <c r="BE164">
        <v>27.489799999999999</v>
      </c>
      <c r="BF164">
        <v>0</v>
      </c>
      <c r="BG164">
        <v>0</v>
      </c>
      <c r="BH164">
        <v>9981.25</v>
      </c>
      <c r="BI164">
        <v>1073.31</v>
      </c>
      <c r="BJ164">
        <v>1.28952</v>
      </c>
      <c r="BK164">
        <v>-457.41300000000001</v>
      </c>
      <c r="BL164">
        <v>355.03500000000003</v>
      </c>
      <c r="BM164">
        <v>811.68600000000004</v>
      </c>
      <c r="BN164">
        <v>16.932500000000001</v>
      </c>
      <c r="BO164">
        <v>802.35400000000004</v>
      </c>
      <c r="BP164">
        <v>11.4978</v>
      </c>
      <c r="BQ164">
        <v>2.8146499999999999</v>
      </c>
      <c r="BR164">
        <v>1.1383000000000001</v>
      </c>
      <c r="BS164">
        <v>22.970300000000002</v>
      </c>
      <c r="BT164">
        <v>8.8181799999999999</v>
      </c>
      <c r="BU164">
        <v>1800</v>
      </c>
      <c r="BV164">
        <v>0.90997700000000004</v>
      </c>
      <c r="BW164">
        <v>3.4006399999999999E-2</v>
      </c>
      <c r="BX164">
        <v>2.2006700000000001E-2</v>
      </c>
      <c r="BY164">
        <v>3.4010199999999997E-2</v>
      </c>
      <c r="BZ164">
        <v>25</v>
      </c>
      <c r="CA164">
        <v>33528.199999999997</v>
      </c>
      <c r="CB164">
        <v>1690200769.5</v>
      </c>
      <c r="CC164" t="s">
        <v>332</v>
      </c>
      <c r="CD164">
        <v>1690200769.5</v>
      </c>
      <c r="CE164">
        <v>1690200753</v>
      </c>
      <c r="CF164">
        <v>2</v>
      </c>
      <c r="CG164">
        <v>-0.245</v>
      </c>
      <c r="CH164">
        <v>3.0000000000000001E-3</v>
      </c>
      <c r="CI164">
        <v>-1.5169999999999999</v>
      </c>
      <c r="CJ164">
        <v>-1.6E-2</v>
      </c>
      <c r="CK164">
        <v>778</v>
      </c>
      <c r="CL164">
        <v>12</v>
      </c>
      <c r="CM164">
        <v>0.01</v>
      </c>
      <c r="CN164">
        <v>0.03</v>
      </c>
      <c r="CO164">
        <v>-451.84529268292681</v>
      </c>
      <c r="CP164">
        <v>17.632390243900769</v>
      </c>
      <c r="CQ164">
        <v>2.8299700269368731</v>
      </c>
      <c r="CR164">
        <v>-1</v>
      </c>
      <c r="CS164">
        <v>15.29370487804878</v>
      </c>
      <c r="CT164">
        <v>2.0178271777003611</v>
      </c>
      <c r="CU164">
        <v>0.27033331364078972</v>
      </c>
      <c r="CV164">
        <v>-1</v>
      </c>
      <c r="CW164">
        <v>0</v>
      </c>
      <c r="CX164">
        <v>0</v>
      </c>
      <c r="CY164" t="s">
        <v>333</v>
      </c>
      <c r="CZ164">
        <v>2.3645900000000002</v>
      </c>
      <c r="DA164">
        <v>2.71394</v>
      </c>
      <c r="DB164">
        <v>8.0085900000000002E-2</v>
      </c>
      <c r="DC164">
        <v>0.14663599999999999</v>
      </c>
      <c r="DD164">
        <v>0.12839200000000001</v>
      </c>
      <c r="DE164">
        <v>6.5829499999999999E-2</v>
      </c>
      <c r="DF164">
        <v>33563.699999999997</v>
      </c>
      <c r="DG164">
        <v>27435.1</v>
      </c>
      <c r="DH164">
        <v>31145</v>
      </c>
      <c r="DI164">
        <v>28010.799999999999</v>
      </c>
      <c r="DJ164">
        <v>36830.5</v>
      </c>
      <c r="DK164">
        <v>37177.699999999997</v>
      </c>
      <c r="DL164">
        <v>44312.7</v>
      </c>
      <c r="DM164">
        <v>42418.2</v>
      </c>
      <c r="DN164">
        <v>1.4402999999999999</v>
      </c>
      <c r="DO164">
        <v>2.0771299999999999</v>
      </c>
      <c r="DP164">
        <v>0.13858100000000001</v>
      </c>
      <c r="DQ164">
        <v>0.17557300000000001</v>
      </c>
      <c r="DR164">
        <v>24.726099999999999</v>
      </c>
      <c r="DS164">
        <v>24.614000000000001</v>
      </c>
      <c r="DT164">
        <v>54.1</v>
      </c>
      <c r="DU164">
        <v>25.8</v>
      </c>
      <c r="DV164">
        <v>18.220400000000001</v>
      </c>
      <c r="DW164">
        <v>61.685400000000001</v>
      </c>
      <c r="DX164">
        <v>35.677100000000003</v>
      </c>
      <c r="DY164">
        <v>1</v>
      </c>
      <c r="DZ164">
        <v>-0.156385</v>
      </c>
      <c r="EA164">
        <v>-1.69962E-2</v>
      </c>
      <c r="EB164">
        <v>20.192299999999999</v>
      </c>
      <c r="EC164">
        <v>5.24125</v>
      </c>
      <c r="ED164">
        <v>12.039899999999999</v>
      </c>
      <c r="EE164">
        <v>5.0170000000000003</v>
      </c>
      <c r="EF164">
        <v>3.2879999999999998</v>
      </c>
      <c r="EG164">
        <v>9999</v>
      </c>
      <c r="EH164">
        <v>9999</v>
      </c>
      <c r="EI164">
        <v>9999</v>
      </c>
      <c r="EJ164">
        <v>999.9</v>
      </c>
      <c r="EK164">
        <v>1.86876</v>
      </c>
      <c r="EL164">
        <v>1.8644799999999999</v>
      </c>
      <c r="EM164">
        <v>1.8690500000000001</v>
      </c>
      <c r="EN164">
        <v>1.86711</v>
      </c>
      <c r="EO164">
        <v>1.8632899999999999</v>
      </c>
      <c r="EP164">
        <v>1.86435</v>
      </c>
      <c r="EQ164">
        <v>1.87008</v>
      </c>
      <c r="ER164">
        <v>1.8693500000000001</v>
      </c>
      <c r="ES164">
        <v>0</v>
      </c>
      <c r="ET164">
        <v>0</v>
      </c>
      <c r="EU164">
        <v>0</v>
      </c>
      <c r="EV164">
        <v>0</v>
      </c>
      <c r="EW164" t="s">
        <v>334</v>
      </c>
      <c r="EX164" t="s">
        <v>335</v>
      </c>
      <c r="EY164" t="s">
        <v>336</v>
      </c>
      <c r="EZ164" t="s">
        <v>336</v>
      </c>
      <c r="FA164" t="s">
        <v>336</v>
      </c>
      <c r="FB164" t="s">
        <v>336</v>
      </c>
      <c r="FC164">
        <v>0</v>
      </c>
      <c r="FD164">
        <v>100</v>
      </c>
      <c r="FE164">
        <v>100</v>
      </c>
      <c r="FF164">
        <v>-1.2110000000000001</v>
      </c>
      <c r="FG164">
        <v>0.1782</v>
      </c>
      <c r="FH164">
        <v>-0.98020551812546231</v>
      </c>
      <c r="FI164">
        <v>-6.1462078757559423E-4</v>
      </c>
      <c r="FJ164">
        <v>-1.8861989874597051E-7</v>
      </c>
      <c r="FK164">
        <v>1.1980462299894961E-10</v>
      </c>
      <c r="FL164">
        <v>0.1782306200647516</v>
      </c>
      <c r="FM164">
        <v>0</v>
      </c>
      <c r="FN164">
        <v>0</v>
      </c>
      <c r="FO164">
        <v>0</v>
      </c>
      <c r="FP164">
        <v>3</v>
      </c>
      <c r="FQ164">
        <v>2158</v>
      </c>
      <c r="FR164">
        <v>1</v>
      </c>
      <c r="FS164">
        <v>19</v>
      </c>
      <c r="FT164">
        <v>26.6</v>
      </c>
      <c r="FU164">
        <v>26.9</v>
      </c>
      <c r="FV164">
        <v>1.78467</v>
      </c>
      <c r="FW164">
        <v>2.5463900000000002</v>
      </c>
      <c r="FX164">
        <v>1.5490699999999999</v>
      </c>
      <c r="FY164">
        <v>2.34131</v>
      </c>
      <c r="FZ164">
        <v>1.50146</v>
      </c>
      <c r="GA164">
        <v>2.3718300000000001</v>
      </c>
      <c r="GB164">
        <v>31.106999999999999</v>
      </c>
      <c r="GC164">
        <v>23.982399999999998</v>
      </c>
      <c r="GD164">
        <v>19</v>
      </c>
      <c r="GE164">
        <v>264.68099999999998</v>
      </c>
      <c r="GF164">
        <v>607.98900000000003</v>
      </c>
      <c r="GG164">
        <v>24.144200000000001</v>
      </c>
      <c r="GH164">
        <v>25.458100000000002</v>
      </c>
      <c r="GI164">
        <v>29.9999</v>
      </c>
      <c r="GJ164">
        <v>25.575399999999998</v>
      </c>
      <c r="GK164">
        <v>25.5366</v>
      </c>
      <c r="GL164">
        <v>35.678400000000003</v>
      </c>
      <c r="GM164">
        <v>-30</v>
      </c>
      <c r="GN164">
        <v>-30</v>
      </c>
      <c r="GO164">
        <v>24.161000000000001</v>
      </c>
      <c r="GP164">
        <v>800</v>
      </c>
      <c r="GQ164">
        <v>12.5298</v>
      </c>
      <c r="GR164">
        <v>99.638000000000005</v>
      </c>
      <c r="GS164">
        <v>99.264899999999997</v>
      </c>
    </row>
    <row r="165" spans="1:201" x14ac:dyDescent="0.25">
      <c r="A165">
        <v>149</v>
      </c>
      <c r="B165">
        <v>1690202375.5999999</v>
      </c>
      <c r="C165">
        <v>1528.599999904633</v>
      </c>
      <c r="D165" t="s">
        <v>631</v>
      </c>
      <c r="E165" t="s">
        <v>632</v>
      </c>
      <c r="F165" t="s">
        <v>330</v>
      </c>
      <c r="H165">
        <v>1690202375.5999999</v>
      </c>
      <c r="I165">
        <f t="shared" si="60"/>
        <v>1.7015930734303525E-3</v>
      </c>
      <c r="J165">
        <f t="shared" si="61"/>
        <v>1.7015930734303524</v>
      </c>
      <c r="K165">
        <f t="shared" si="62"/>
        <v>40.499191368475913</v>
      </c>
      <c r="L165">
        <f t="shared" si="63"/>
        <v>344.851</v>
      </c>
      <c r="M165">
        <f t="shared" si="64"/>
        <v>8.1068862726840045</v>
      </c>
      <c r="N165">
        <f t="shared" si="65"/>
        <v>0.8034218332994959</v>
      </c>
      <c r="O165">
        <f t="shared" si="66"/>
        <v>34.175984874576997</v>
      </c>
      <c r="P165">
        <f t="shared" si="67"/>
        <v>0.20282422475041581</v>
      </c>
      <c r="Q165">
        <f t="shared" si="68"/>
        <v>2.0775843345477698</v>
      </c>
      <c r="R165">
        <f t="shared" si="69"/>
        <v>0.19243091794119674</v>
      </c>
      <c r="S165">
        <f t="shared" si="70"/>
        <v>0.12115872275873266</v>
      </c>
      <c r="T165">
        <f t="shared" si="71"/>
        <v>276.11626843799996</v>
      </c>
      <c r="U165">
        <f t="shared" si="72"/>
        <v>27.418427579584641</v>
      </c>
      <c r="V165">
        <f t="shared" si="73"/>
        <v>27.418427579584641</v>
      </c>
      <c r="W165">
        <f t="shared" si="74"/>
        <v>3.6680677466312366</v>
      </c>
      <c r="X165">
        <f t="shared" si="75"/>
        <v>84.630841676006071</v>
      </c>
      <c r="Y165">
        <f t="shared" si="76"/>
        <v>2.8204198518811001</v>
      </c>
      <c r="Z165">
        <f t="shared" si="77"/>
        <v>3.3326146780845796</v>
      </c>
      <c r="AA165">
        <f t="shared" si="78"/>
        <v>0.84764789475013647</v>
      </c>
      <c r="AB165">
        <f t="shared" si="79"/>
        <v>-75.040254538278546</v>
      </c>
      <c r="AC165">
        <f t="shared" si="80"/>
        <v>-182.36124074832134</v>
      </c>
      <c r="AD165">
        <f t="shared" si="81"/>
        <v>-18.868296598620198</v>
      </c>
      <c r="AE165">
        <f t="shared" si="82"/>
        <v>-0.15352344722009548</v>
      </c>
      <c r="AF165">
        <v>13</v>
      </c>
      <c r="AG165">
        <v>4</v>
      </c>
      <c r="AH165">
        <f t="shared" si="83"/>
        <v>1</v>
      </c>
      <c r="AI165">
        <f t="shared" si="84"/>
        <v>0</v>
      </c>
      <c r="AJ165">
        <f t="shared" si="85"/>
        <v>52439.298976031649</v>
      </c>
      <c r="AK165">
        <f t="shared" si="86"/>
        <v>1800</v>
      </c>
      <c r="AL165">
        <f t="shared" si="87"/>
        <v>1499.1094097999999</v>
      </c>
      <c r="AM165">
        <f t="shared" si="88"/>
        <v>0.83283856099999998</v>
      </c>
      <c r="AN165">
        <f t="shared" si="89"/>
        <v>0.15339792690999998</v>
      </c>
      <c r="AO165">
        <v>33.299999999999997</v>
      </c>
      <c r="AP165">
        <v>0.5</v>
      </c>
      <c r="AQ165" t="s">
        <v>331</v>
      </c>
      <c r="AR165">
        <v>2</v>
      </c>
      <c r="AS165">
        <v>1690202375.5999999</v>
      </c>
      <c r="AT165">
        <v>344.851</v>
      </c>
      <c r="AU165">
        <v>800.59100000000001</v>
      </c>
      <c r="AV165">
        <v>28.459299999999999</v>
      </c>
      <c r="AW165">
        <v>10.1218</v>
      </c>
      <c r="AX165">
        <v>346.06200000000001</v>
      </c>
      <c r="AY165">
        <v>28.281099999999999</v>
      </c>
      <c r="AZ165">
        <v>300.20699999999999</v>
      </c>
      <c r="BA165">
        <v>99.003600000000006</v>
      </c>
      <c r="BB165">
        <v>0.100027</v>
      </c>
      <c r="BC165">
        <v>25.790299999999998</v>
      </c>
      <c r="BD165">
        <v>26.9605</v>
      </c>
      <c r="BE165">
        <v>27.4758</v>
      </c>
      <c r="BF165">
        <v>0</v>
      </c>
      <c r="BG165">
        <v>0</v>
      </c>
      <c r="BH165">
        <v>9975.6200000000008</v>
      </c>
      <c r="BI165">
        <v>1073.18</v>
      </c>
      <c r="BJ165">
        <v>1.28952</v>
      </c>
      <c r="BK165">
        <v>-455.74</v>
      </c>
      <c r="BL165">
        <v>354.95299999999997</v>
      </c>
      <c r="BM165">
        <v>808.77700000000004</v>
      </c>
      <c r="BN165">
        <v>18.337499999999999</v>
      </c>
      <c r="BO165">
        <v>800.59100000000001</v>
      </c>
      <c r="BP165">
        <v>10.1218</v>
      </c>
      <c r="BQ165">
        <v>2.8175699999999999</v>
      </c>
      <c r="BR165">
        <v>1.0020899999999999</v>
      </c>
      <c r="BS165">
        <v>22.987400000000001</v>
      </c>
      <c r="BT165">
        <v>6.9468199999999998</v>
      </c>
      <c r="BU165">
        <v>1800</v>
      </c>
      <c r="BV165">
        <v>0.90998000000000001</v>
      </c>
      <c r="BW165">
        <v>3.4005199999999999E-2</v>
      </c>
      <c r="BX165">
        <v>2.2005799999999999E-2</v>
      </c>
      <c r="BY165">
        <v>3.4008900000000002E-2</v>
      </c>
      <c r="BZ165">
        <v>25</v>
      </c>
      <c r="CA165">
        <v>33528.199999999997</v>
      </c>
      <c r="CB165">
        <v>1690200769.5</v>
      </c>
      <c r="CC165" t="s">
        <v>332</v>
      </c>
      <c r="CD165">
        <v>1690200769.5</v>
      </c>
      <c r="CE165">
        <v>1690200753</v>
      </c>
      <c r="CF165">
        <v>2</v>
      </c>
      <c r="CG165">
        <v>-0.245</v>
      </c>
      <c r="CH165">
        <v>3.0000000000000001E-3</v>
      </c>
      <c r="CI165">
        <v>-1.5169999999999999</v>
      </c>
      <c r="CJ165">
        <v>-1.6E-2</v>
      </c>
      <c r="CK165">
        <v>778</v>
      </c>
      <c r="CL165">
        <v>12</v>
      </c>
      <c r="CM165">
        <v>0.01</v>
      </c>
      <c r="CN165">
        <v>0.03</v>
      </c>
      <c r="CO165">
        <v>-454.49502439024388</v>
      </c>
      <c r="CP165">
        <v>-24.47255749128945</v>
      </c>
      <c r="CQ165">
        <v>4.9711273221537624</v>
      </c>
      <c r="CR165">
        <v>-1</v>
      </c>
      <c r="CS165">
        <v>16.662609756097559</v>
      </c>
      <c r="CT165">
        <v>11.718591637630659</v>
      </c>
      <c r="CU165">
        <v>1.2748732807051999</v>
      </c>
      <c r="CV165">
        <v>-1</v>
      </c>
      <c r="CW165">
        <v>0</v>
      </c>
      <c r="CX165">
        <v>0</v>
      </c>
      <c r="CY165" t="s">
        <v>333</v>
      </c>
      <c r="CZ165">
        <v>2.3654700000000002</v>
      </c>
      <c r="DA165">
        <v>2.7138</v>
      </c>
      <c r="DB165">
        <v>8.0070600000000006E-2</v>
      </c>
      <c r="DC165">
        <v>0.146399</v>
      </c>
      <c r="DD165">
        <v>0.12848399999999999</v>
      </c>
      <c r="DE165">
        <v>5.9783999999999997E-2</v>
      </c>
      <c r="DF165">
        <v>33564.1</v>
      </c>
      <c r="DG165">
        <v>27443</v>
      </c>
      <c r="DH165">
        <v>31144.799999999999</v>
      </c>
      <c r="DI165">
        <v>28011.200000000001</v>
      </c>
      <c r="DJ165">
        <v>36826.5</v>
      </c>
      <c r="DK165">
        <v>37419.4</v>
      </c>
      <c r="DL165">
        <v>44312.6</v>
      </c>
      <c r="DM165">
        <v>42418.8</v>
      </c>
      <c r="DN165">
        <v>1.44272</v>
      </c>
      <c r="DO165">
        <v>2.0761699999999998</v>
      </c>
      <c r="DP165">
        <v>0.13645699999999999</v>
      </c>
      <c r="DQ165">
        <v>0.17471600000000001</v>
      </c>
      <c r="DR165">
        <v>24.724699999999999</v>
      </c>
      <c r="DS165">
        <v>24.614000000000001</v>
      </c>
      <c r="DT165">
        <v>47.5</v>
      </c>
      <c r="DU165">
        <v>25.8</v>
      </c>
      <c r="DV165">
        <v>15.9993</v>
      </c>
      <c r="DW165">
        <v>61.645400000000002</v>
      </c>
      <c r="DX165">
        <v>35.717100000000002</v>
      </c>
      <c r="DY165">
        <v>1</v>
      </c>
      <c r="DZ165">
        <v>-0.15612300000000001</v>
      </c>
      <c r="EA165">
        <v>-2.1653100000000002E-2</v>
      </c>
      <c r="EB165">
        <v>20.192299999999999</v>
      </c>
      <c r="EC165">
        <v>5.2415500000000002</v>
      </c>
      <c r="ED165">
        <v>12.039899999999999</v>
      </c>
      <c r="EE165">
        <v>5.0171000000000001</v>
      </c>
      <c r="EF165">
        <v>3.2879999999999998</v>
      </c>
      <c r="EG165">
        <v>9999</v>
      </c>
      <c r="EH165">
        <v>9999</v>
      </c>
      <c r="EI165">
        <v>9999</v>
      </c>
      <c r="EJ165">
        <v>999.9</v>
      </c>
      <c r="EK165">
        <v>1.8687800000000001</v>
      </c>
      <c r="EL165">
        <v>1.8644700000000001</v>
      </c>
      <c r="EM165">
        <v>1.8690500000000001</v>
      </c>
      <c r="EN165">
        <v>1.86714</v>
      </c>
      <c r="EO165">
        <v>1.86331</v>
      </c>
      <c r="EP165">
        <v>1.86443</v>
      </c>
      <c r="EQ165">
        <v>1.8701000000000001</v>
      </c>
      <c r="ER165">
        <v>1.8693500000000001</v>
      </c>
      <c r="ES165">
        <v>0</v>
      </c>
      <c r="ET165">
        <v>0</v>
      </c>
      <c r="EU165">
        <v>0</v>
      </c>
      <c r="EV165">
        <v>0</v>
      </c>
      <c r="EW165" t="s">
        <v>334</v>
      </c>
      <c r="EX165" t="s">
        <v>335</v>
      </c>
      <c r="EY165" t="s">
        <v>336</v>
      </c>
      <c r="EZ165" t="s">
        <v>336</v>
      </c>
      <c r="FA165" t="s">
        <v>336</v>
      </c>
      <c r="FB165" t="s">
        <v>336</v>
      </c>
      <c r="FC165">
        <v>0</v>
      </c>
      <c r="FD165">
        <v>100</v>
      </c>
      <c r="FE165">
        <v>100</v>
      </c>
      <c r="FF165">
        <v>-1.2110000000000001</v>
      </c>
      <c r="FG165">
        <v>0.1782</v>
      </c>
      <c r="FH165">
        <v>-0.98020551812546231</v>
      </c>
      <c r="FI165">
        <v>-6.1462078757559423E-4</v>
      </c>
      <c r="FJ165">
        <v>-1.8861989874597051E-7</v>
      </c>
      <c r="FK165">
        <v>1.1980462299894961E-10</v>
      </c>
      <c r="FL165">
        <v>0.1782306200647516</v>
      </c>
      <c r="FM165">
        <v>0</v>
      </c>
      <c r="FN165">
        <v>0</v>
      </c>
      <c r="FO165">
        <v>0</v>
      </c>
      <c r="FP165">
        <v>3</v>
      </c>
      <c r="FQ165">
        <v>2158</v>
      </c>
      <c r="FR165">
        <v>1</v>
      </c>
      <c r="FS165">
        <v>19</v>
      </c>
      <c r="FT165">
        <v>26.8</v>
      </c>
      <c r="FU165">
        <v>27</v>
      </c>
      <c r="FV165">
        <v>1.7773399999999999</v>
      </c>
      <c r="FW165">
        <v>2.5427200000000001</v>
      </c>
      <c r="FX165">
        <v>1.5490699999999999</v>
      </c>
      <c r="FY165">
        <v>2.34131</v>
      </c>
      <c r="FZ165">
        <v>1.50146</v>
      </c>
      <c r="GA165">
        <v>2.3864700000000001</v>
      </c>
      <c r="GB165">
        <v>31.106999999999999</v>
      </c>
      <c r="GC165">
        <v>23.991199999999999</v>
      </c>
      <c r="GD165">
        <v>19</v>
      </c>
      <c r="GE165">
        <v>265.66699999999997</v>
      </c>
      <c r="GF165">
        <v>607.11599999999999</v>
      </c>
      <c r="GG165">
        <v>24.171199999999999</v>
      </c>
      <c r="GH165">
        <v>25.4602</v>
      </c>
      <c r="GI165">
        <v>30.0002</v>
      </c>
      <c r="GJ165">
        <v>25.577500000000001</v>
      </c>
      <c r="GK165">
        <v>25.531600000000001</v>
      </c>
      <c r="GL165">
        <v>35.5441</v>
      </c>
      <c r="GM165">
        <v>-30</v>
      </c>
      <c r="GN165">
        <v>-30</v>
      </c>
      <c r="GO165">
        <v>24.194500000000001</v>
      </c>
      <c r="GP165">
        <v>800</v>
      </c>
      <c r="GQ165">
        <v>12.5298</v>
      </c>
      <c r="GR165">
        <v>99.637699999999995</v>
      </c>
      <c r="GS165">
        <v>99.266199999999998</v>
      </c>
    </row>
    <row r="166" spans="1:201" x14ac:dyDescent="0.25">
      <c r="A166">
        <v>150</v>
      </c>
      <c r="B166">
        <v>1690202385.5999999</v>
      </c>
      <c r="C166">
        <v>1538.599999904633</v>
      </c>
      <c r="D166" t="s">
        <v>633</v>
      </c>
      <c r="E166" t="s">
        <v>634</v>
      </c>
      <c r="F166" t="s">
        <v>330</v>
      </c>
      <c r="H166">
        <v>1690202385.5999999</v>
      </c>
      <c r="I166">
        <f t="shared" si="60"/>
        <v>1.7154436601815315E-3</v>
      </c>
      <c r="J166">
        <f t="shared" si="61"/>
        <v>1.7154436601815315</v>
      </c>
      <c r="K166">
        <f t="shared" si="62"/>
        <v>40.546709339638213</v>
      </c>
      <c r="L166">
        <f t="shared" si="63"/>
        <v>343.78800000000001</v>
      </c>
      <c r="M166">
        <f t="shared" si="64"/>
        <v>9.5465760247112783</v>
      </c>
      <c r="N166">
        <f t="shared" si="65"/>
        <v>0.94608416622007152</v>
      </c>
      <c r="O166">
        <f t="shared" si="66"/>
        <v>34.070056373568008</v>
      </c>
      <c r="P166">
        <f t="shared" si="67"/>
        <v>0.20466027027149827</v>
      </c>
      <c r="Q166">
        <f t="shared" si="68"/>
        <v>2.0812702740825193</v>
      </c>
      <c r="R166">
        <f t="shared" si="69"/>
        <v>0.19410090689205972</v>
      </c>
      <c r="S166">
        <f t="shared" si="70"/>
        <v>0.12221636574238803</v>
      </c>
      <c r="T166">
        <f t="shared" si="71"/>
        <v>276.11605137599997</v>
      </c>
      <c r="U166">
        <f t="shared" si="72"/>
        <v>27.425550277627405</v>
      </c>
      <c r="V166">
        <f t="shared" si="73"/>
        <v>27.425550277627405</v>
      </c>
      <c r="W166">
        <f t="shared" si="74"/>
        <v>3.6695977204500645</v>
      </c>
      <c r="X166">
        <f t="shared" si="75"/>
        <v>84.617502430681967</v>
      </c>
      <c r="Y166">
        <f t="shared" si="76"/>
        <v>2.8224330474736004</v>
      </c>
      <c r="Z166">
        <f t="shared" si="77"/>
        <v>3.3355192086716534</v>
      </c>
      <c r="AA166">
        <f t="shared" si="78"/>
        <v>0.84716467297646414</v>
      </c>
      <c r="AB166">
        <f t="shared" si="79"/>
        <v>-75.651065414005544</v>
      </c>
      <c r="AC166">
        <f t="shared" si="80"/>
        <v>-181.83456183143056</v>
      </c>
      <c r="AD166">
        <f t="shared" si="81"/>
        <v>-18.78253427743223</v>
      </c>
      <c r="AE166">
        <f t="shared" si="82"/>
        <v>-0.15211014686832414</v>
      </c>
      <c r="AF166">
        <v>13</v>
      </c>
      <c r="AG166">
        <v>4</v>
      </c>
      <c r="AH166">
        <f t="shared" si="83"/>
        <v>1</v>
      </c>
      <c r="AI166">
        <f t="shared" si="84"/>
        <v>0</v>
      </c>
      <c r="AJ166">
        <f t="shared" si="85"/>
        <v>52603.119014671378</v>
      </c>
      <c r="AK166">
        <f t="shared" si="86"/>
        <v>1800</v>
      </c>
      <c r="AL166">
        <f t="shared" si="87"/>
        <v>1499.1101316000002</v>
      </c>
      <c r="AM166">
        <f t="shared" si="88"/>
        <v>0.83283896200000007</v>
      </c>
      <c r="AN166">
        <f t="shared" si="89"/>
        <v>0.15339780632</v>
      </c>
      <c r="AO166">
        <v>33.299999999999997</v>
      </c>
      <c r="AP166">
        <v>0.5</v>
      </c>
      <c r="AQ166" t="s">
        <v>331</v>
      </c>
      <c r="AR166">
        <v>2</v>
      </c>
      <c r="AS166">
        <v>1690202385.5999999</v>
      </c>
      <c r="AT166">
        <v>343.78800000000001</v>
      </c>
      <c r="AU166">
        <v>800.1</v>
      </c>
      <c r="AV166">
        <v>28.4801</v>
      </c>
      <c r="AW166">
        <v>9.9932400000000001</v>
      </c>
      <c r="AX166">
        <v>344.99700000000001</v>
      </c>
      <c r="AY166">
        <v>28.3019</v>
      </c>
      <c r="AZ166">
        <v>300.19900000000001</v>
      </c>
      <c r="BA166">
        <v>99.001900000000006</v>
      </c>
      <c r="BB166">
        <v>0.100036</v>
      </c>
      <c r="BC166">
        <v>25.805</v>
      </c>
      <c r="BD166">
        <v>26.9849</v>
      </c>
      <c r="BE166">
        <v>27.468699999999998</v>
      </c>
      <c r="BF166">
        <v>0</v>
      </c>
      <c r="BG166">
        <v>0</v>
      </c>
      <c r="BH166">
        <v>10008.799999999999</v>
      </c>
      <c r="BI166">
        <v>1073.07</v>
      </c>
      <c r="BJ166">
        <v>1.32596</v>
      </c>
      <c r="BK166">
        <v>-456.31200000000001</v>
      </c>
      <c r="BL166">
        <v>353.86599999999999</v>
      </c>
      <c r="BM166">
        <v>808.17600000000004</v>
      </c>
      <c r="BN166">
        <v>18.486899999999999</v>
      </c>
      <c r="BO166">
        <v>800.1</v>
      </c>
      <c r="BP166">
        <v>9.9932400000000001</v>
      </c>
      <c r="BQ166">
        <v>2.8195899999999998</v>
      </c>
      <c r="BR166">
        <v>0.98934999999999995</v>
      </c>
      <c r="BS166">
        <v>22.999199999999998</v>
      </c>
      <c r="BT166">
        <v>6.7604699999999998</v>
      </c>
      <c r="BU166">
        <v>1800</v>
      </c>
      <c r="BV166">
        <v>0.90998500000000004</v>
      </c>
      <c r="BW166">
        <v>3.40033E-2</v>
      </c>
      <c r="BX166">
        <v>2.2004599999999999E-2</v>
      </c>
      <c r="BY166">
        <v>3.4007000000000003E-2</v>
      </c>
      <c r="BZ166">
        <v>25</v>
      </c>
      <c r="CA166">
        <v>33528.199999999997</v>
      </c>
      <c r="CB166">
        <v>1690200769.5</v>
      </c>
      <c r="CC166" t="s">
        <v>332</v>
      </c>
      <c r="CD166">
        <v>1690200769.5</v>
      </c>
      <c r="CE166">
        <v>1690200753</v>
      </c>
      <c r="CF166">
        <v>2</v>
      </c>
      <c r="CG166">
        <v>-0.245</v>
      </c>
      <c r="CH166">
        <v>3.0000000000000001E-3</v>
      </c>
      <c r="CI166">
        <v>-1.5169999999999999</v>
      </c>
      <c r="CJ166">
        <v>-1.6E-2</v>
      </c>
      <c r="CK166">
        <v>778</v>
      </c>
      <c r="CL166">
        <v>12</v>
      </c>
      <c r="CM166">
        <v>0.01</v>
      </c>
      <c r="CN166">
        <v>0.03</v>
      </c>
      <c r="CO166">
        <v>-457.06959999999998</v>
      </c>
      <c r="CP166">
        <v>12.16822514071297</v>
      </c>
      <c r="CQ166">
        <v>2.3036449574532951</v>
      </c>
      <c r="CR166">
        <v>-1</v>
      </c>
      <c r="CS166">
        <v>18.102062499999999</v>
      </c>
      <c r="CT166">
        <v>4.1692266416509884</v>
      </c>
      <c r="CU166">
        <v>0.52411196260317283</v>
      </c>
      <c r="CV166">
        <v>-1</v>
      </c>
      <c r="CW166">
        <v>0</v>
      </c>
      <c r="CX166">
        <v>0</v>
      </c>
      <c r="CY166" t="s">
        <v>333</v>
      </c>
      <c r="CZ166">
        <v>2.3654500000000001</v>
      </c>
      <c r="DA166">
        <v>2.7138399999999998</v>
      </c>
      <c r="DB166">
        <v>7.9874600000000004E-2</v>
      </c>
      <c r="DC166">
        <v>0.14633299999999999</v>
      </c>
      <c r="DD166">
        <v>0.12854599999999999</v>
      </c>
      <c r="DE166">
        <v>5.9198099999999997E-2</v>
      </c>
      <c r="DF166">
        <v>33571.1</v>
      </c>
      <c r="DG166">
        <v>27445.5</v>
      </c>
      <c r="DH166">
        <v>31144.7</v>
      </c>
      <c r="DI166">
        <v>28011.599999999999</v>
      </c>
      <c r="DJ166">
        <v>36823.699999999997</v>
      </c>
      <c r="DK166">
        <v>37443.5</v>
      </c>
      <c r="DL166">
        <v>44312.4</v>
      </c>
      <c r="DM166">
        <v>42419.6</v>
      </c>
      <c r="DN166">
        <v>1.4431</v>
      </c>
      <c r="DO166">
        <v>2.0752199999999998</v>
      </c>
      <c r="DP166">
        <v>0.137985</v>
      </c>
      <c r="DQ166">
        <v>0.17415700000000001</v>
      </c>
      <c r="DR166">
        <v>24.724</v>
      </c>
      <c r="DS166">
        <v>24.616099999999999</v>
      </c>
      <c r="DT166">
        <v>44.5</v>
      </c>
      <c r="DU166">
        <v>25.8</v>
      </c>
      <c r="DV166">
        <v>14.986700000000001</v>
      </c>
      <c r="DW166">
        <v>61.5154</v>
      </c>
      <c r="DX166">
        <v>35.7652</v>
      </c>
      <c r="DY166">
        <v>1</v>
      </c>
      <c r="DZ166">
        <v>-0.15598600000000001</v>
      </c>
      <c r="EA166">
        <v>-8.3401400000000001E-2</v>
      </c>
      <c r="EB166">
        <v>20.192299999999999</v>
      </c>
      <c r="EC166">
        <v>5.2416999999999998</v>
      </c>
      <c r="ED166">
        <v>12.039899999999999</v>
      </c>
      <c r="EE166">
        <v>5.0172999999999996</v>
      </c>
      <c r="EF166">
        <v>3.2879999999999998</v>
      </c>
      <c r="EG166">
        <v>9999</v>
      </c>
      <c r="EH166">
        <v>9999</v>
      </c>
      <c r="EI166">
        <v>9999</v>
      </c>
      <c r="EJ166">
        <v>999.9</v>
      </c>
      <c r="EK166">
        <v>1.8688100000000001</v>
      </c>
      <c r="EL166">
        <v>1.8644799999999999</v>
      </c>
      <c r="EM166">
        <v>1.8690599999999999</v>
      </c>
      <c r="EN166">
        <v>1.8671599999999999</v>
      </c>
      <c r="EO166">
        <v>1.8633</v>
      </c>
      <c r="EP166">
        <v>1.8644400000000001</v>
      </c>
      <c r="EQ166">
        <v>1.8701000000000001</v>
      </c>
      <c r="ER166">
        <v>1.8693500000000001</v>
      </c>
      <c r="ES166">
        <v>0</v>
      </c>
      <c r="ET166">
        <v>0</v>
      </c>
      <c r="EU166">
        <v>0</v>
      </c>
      <c r="EV166">
        <v>0</v>
      </c>
      <c r="EW166" t="s">
        <v>334</v>
      </c>
      <c r="EX166" t="s">
        <v>335</v>
      </c>
      <c r="EY166" t="s">
        <v>336</v>
      </c>
      <c r="EZ166" t="s">
        <v>336</v>
      </c>
      <c r="FA166" t="s">
        <v>336</v>
      </c>
      <c r="FB166" t="s">
        <v>336</v>
      </c>
      <c r="FC166">
        <v>0</v>
      </c>
      <c r="FD166">
        <v>100</v>
      </c>
      <c r="FE166">
        <v>100</v>
      </c>
      <c r="FF166">
        <v>-1.2090000000000001</v>
      </c>
      <c r="FG166">
        <v>0.1782</v>
      </c>
      <c r="FH166">
        <v>-0.98020551812546231</v>
      </c>
      <c r="FI166">
        <v>-6.1462078757559423E-4</v>
      </c>
      <c r="FJ166">
        <v>-1.8861989874597051E-7</v>
      </c>
      <c r="FK166">
        <v>1.1980462299894961E-10</v>
      </c>
      <c r="FL166">
        <v>0.1782306200647516</v>
      </c>
      <c r="FM166">
        <v>0</v>
      </c>
      <c r="FN166">
        <v>0</v>
      </c>
      <c r="FO166">
        <v>0</v>
      </c>
      <c r="FP166">
        <v>3</v>
      </c>
      <c r="FQ166">
        <v>2158</v>
      </c>
      <c r="FR166">
        <v>1</v>
      </c>
      <c r="FS166">
        <v>19</v>
      </c>
      <c r="FT166">
        <v>26.9</v>
      </c>
      <c r="FU166">
        <v>27.2</v>
      </c>
      <c r="FV166">
        <v>1.7773399999999999</v>
      </c>
      <c r="FW166">
        <v>2.5427200000000001</v>
      </c>
      <c r="FX166">
        <v>1.5490699999999999</v>
      </c>
      <c r="FY166">
        <v>2.34131</v>
      </c>
      <c r="FZ166">
        <v>1.50146</v>
      </c>
      <c r="GA166">
        <v>2.3327599999999999</v>
      </c>
      <c r="GB166">
        <v>31.128699999999998</v>
      </c>
      <c r="GC166">
        <v>23.982399999999998</v>
      </c>
      <c r="GD166">
        <v>19</v>
      </c>
      <c r="GE166">
        <v>265.82799999999997</v>
      </c>
      <c r="GF166">
        <v>606.36199999999997</v>
      </c>
      <c r="GG166">
        <v>24.216699999999999</v>
      </c>
      <c r="GH166">
        <v>25.4602</v>
      </c>
      <c r="GI166">
        <v>30.0001</v>
      </c>
      <c r="GJ166">
        <v>25.579699999999999</v>
      </c>
      <c r="GK166">
        <v>25.536000000000001</v>
      </c>
      <c r="GL166">
        <v>35.536200000000001</v>
      </c>
      <c r="GM166">
        <v>-30</v>
      </c>
      <c r="GN166">
        <v>-30</v>
      </c>
      <c r="GO166">
        <v>24.2285</v>
      </c>
      <c r="GP166">
        <v>800</v>
      </c>
      <c r="GQ166">
        <v>12.5298</v>
      </c>
      <c r="GR166">
        <v>99.637299999999996</v>
      </c>
      <c r="GS166">
        <v>99.267799999999994</v>
      </c>
    </row>
    <row r="167" spans="1:201" x14ac:dyDescent="0.25">
      <c r="A167">
        <v>151</v>
      </c>
      <c r="B167">
        <v>1690202395.5999999</v>
      </c>
      <c r="C167">
        <v>1548.599999904633</v>
      </c>
      <c r="D167" t="s">
        <v>635</v>
      </c>
      <c r="E167" t="s">
        <v>636</v>
      </c>
      <c r="F167" t="s">
        <v>330</v>
      </c>
      <c r="H167">
        <v>1690202395.5999999</v>
      </c>
      <c r="I167">
        <f t="shared" si="60"/>
        <v>1.723130956233328E-3</v>
      </c>
      <c r="J167">
        <f t="shared" si="61"/>
        <v>1.7231309562333279</v>
      </c>
      <c r="K167">
        <f t="shared" si="62"/>
        <v>40.601441400134476</v>
      </c>
      <c r="L167">
        <f t="shared" si="63"/>
        <v>343.02499999999998</v>
      </c>
      <c r="M167">
        <f t="shared" si="64"/>
        <v>10.224101122177347</v>
      </c>
      <c r="N167">
        <f t="shared" si="65"/>
        <v>1.0132277887225309</v>
      </c>
      <c r="O167">
        <f t="shared" si="66"/>
        <v>33.994427292257505</v>
      </c>
      <c r="P167">
        <f t="shared" si="67"/>
        <v>0.20589290260155407</v>
      </c>
      <c r="Q167">
        <f t="shared" si="68"/>
        <v>2.079032765788082</v>
      </c>
      <c r="R167">
        <f t="shared" si="69"/>
        <v>0.19519867115778741</v>
      </c>
      <c r="S167">
        <f t="shared" si="70"/>
        <v>0.12291369635348959</v>
      </c>
      <c r="T167">
        <f t="shared" si="71"/>
        <v>276.11581557600005</v>
      </c>
      <c r="U167">
        <f t="shared" si="72"/>
        <v>27.429279574813872</v>
      </c>
      <c r="V167">
        <f t="shared" si="73"/>
        <v>27.429279574813872</v>
      </c>
      <c r="W167">
        <f t="shared" si="74"/>
        <v>3.6703990051722672</v>
      </c>
      <c r="X167">
        <f t="shared" si="75"/>
        <v>84.646958677161805</v>
      </c>
      <c r="Y167">
        <f t="shared" si="76"/>
        <v>2.8242355143296902</v>
      </c>
      <c r="Z167">
        <f t="shared" si="77"/>
        <v>3.3364878767837922</v>
      </c>
      <c r="AA167">
        <f t="shared" si="78"/>
        <v>0.84616349084257703</v>
      </c>
      <c r="AB167">
        <f t="shared" si="79"/>
        <v>-75.990075169889764</v>
      </c>
      <c r="AC167">
        <f t="shared" si="80"/>
        <v>-181.50785919817167</v>
      </c>
      <c r="AD167">
        <f t="shared" si="81"/>
        <v>-18.769776238465301</v>
      </c>
      <c r="AE167">
        <f t="shared" si="82"/>
        <v>-0.15189503052667419</v>
      </c>
      <c r="AF167">
        <v>13</v>
      </c>
      <c r="AG167">
        <v>4</v>
      </c>
      <c r="AH167">
        <f t="shared" si="83"/>
        <v>1</v>
      </c>
      <c r="AI167">
        <f t="shared" si="84"/>
        <v>0</v>
      </c>
      <c r="AJ167">
        <f t="shared" si="85"/>
        <v>52501.181308878258</v>
      </c>
      <c r="AK167">
        <f t="shared" si="86"/>
        <v>1800</v>
      </c>
      <c r="AL167">
        <f t="shared" si="87"/>
        <v>1499.1104376000001</v>
      </c>
      <c r="AM167">
        <f t="shared" si="88"/>
        <v>0.83283913200000004</v>
      </c>
      <c r="AN167">
        <f t="shared" si="89"/>
        <v>0.15339767532000004</v>
      </c>
      <c r="AO167">
        <v>33.299999999999997</v>
      </c>
      <c r="AP167">
        <v>0.5</v>
      </c>
      <c r="AQ167" t="s">
        <v>331</v>
      </c>
      <c r="AR167">
        <v>2</v>
      </c>
      <c r="AS167">
        <v>1690202395.5999999</v>
      </c>
      <c r="AT167">
        <v>343.02499999999998</v>
      </c>
      <c r="AU167">
        <v>800.00300000000004</v>
      </c>
      <c r="AV167">
        <v>28.4983</v>
      </c>
      <c r="AW167">
        <v>9.9271499999999993</v>
      </c>
      <c r="AX167">
        <v>344.23500000000001</v>
      </c>
      <c r="AY167">
        <v>28.32</v>
      </c>
      <c r="AZ167">
        <v>300.17</v>
      </c>
      <c r="BA167">
        <v>99.001900000000006</v>
      </c>
      <c r="BB167">
        <v>9.9994299999999994E-2</v>
      </c>
      <c r="BC167">
        <v>25.809899999999999</v>
      </c>
      <c r="BD167">
        <v>26.9849</v>
      </c>
      <c r="BE167">
        <v>27.476199999999999</v>
      </c>
      <c r="BF167">
        <v>0</v>
      </c>
      <c r="BG167">
        <v>0</v>
      </c>
      <c r="BH167">
        <v>9988.75</v>
      </c>
      <c r="BI167">
        <v>1073.03</v>
      </c>
      <c r="BJ167">
        <v>1.5137799999999999</v>
      </c>
      <c r="BK167">
        <v>-456.97699999999998</v>
      </c>
      <c r="BL167">
        <v>353.08800000000002</v>
      </c>
      <c r="BM167">
        <v>808.024</v>
      </c>
      <c r="BN167">
        <v>18.571100000000001</v>
      </c>
      <c r="BO167">
        <v>800.00300000000004</v>
      </c>
      <c r="BP167">
        <v>9.9271499999999993</v>
      </c>
      <c r="BQ167">
        <v>2.82138</v>
      </c>
      <c r="BR167">
        <v>0.98280699999999999</v>
      </c>
      <c r="BS167">
        <v>23.009699999999999</v>
      </c>
      <c r="BT167">
        <v>6.6639499999999998</v>
      </c>
      <c r="BU167">
        <v>1800</v>
      </c>
      <c r="BV167">
        <v>0.90998900000000005</v>
      </c>
      <c r="BW167">
        <v>3.4001700000000003E-2</v>
      </c>
      <c r="BX167">
        <v>2.2003600000000002E-2</v>
      </c>
      <c r="BY167">
        <v>3.4005399999999998E-2</v>
      </c>
      <c r="BZ167">
        <v>25</v>
      </c>
      <c r="CA167">
        <v>33528.199999999997</v>
      </c>
      <c r="CB167">
        <v>1690200769.5</v>
      </c>
      <c r="CC167" t="s">
        <v>332</v>
      </c>
      <c r="CD167">
        <v>1690200769.5</v>
      </c>
      <c r="CE167">
        <v>1690200753</v>
      </c>
      <c r="CF167">
        <v>2</v>
      </c>
      <c r="CG167">
        <v>-0.245</v>
      </c>
      <c r="CH167">
        <v>3.0000000000000001E-3</v>
      </c>
      <c r="CI167">
        <v>-1.5169999999999999</v>
      </c>
      <c r="CJ167">
        <v>-1.6E-2</v>
      </c>
      <c r="CK167">
        <v>778</v>
      </c>
      <c r="CL167">
        <v>12</v>
      </c>
      <c r="CM167">
        <v>0.01</v>
      </c>
      <c r="CN167">
        <v>0.03</v>
      </c>
      <c r="CO167">
        <v>-456.1499024390244</v>
      </c>
      <c r="CP167">
        <v>-3.5481742160299712</v>
      </c>
      <c r="CQ167">
        <v>0.36211039988016219</v>
      </c>
      <c r="CR167">
        <v>-1</v>
      </c>
      <c r="CS167">
        <v>18.463475609756099</v>
      </c>
      <c r="CT167">
        <v>0.71423205574913162</v>
      </c>
      <c r="CU167">
        <v>7.1354377651228179E-2</v>
      </c>
      <c r="CV167">
        <v>-1</v>
      </c>
      <c r="CW167">
        <v>0</v>
      </c>
      <c r="CX167">
        <v>0</v>
      </c>
      <c r="CY167" t="s">
        <v>333</v>
      </c>
      <c r="CZ167">
        <v>2.3653300000000002</v>
      </c>
      <c r="DA167">
        <v>2.7137799999999999</v>
      </c>
      <c r="DB167">
        <v>7.9735299999999995E-2</v>
      </c>
      <c r="DC167">
        <v>0.146319</v>
      </c>
      <c r="DD167">
        <v>0.128603</v>
      </c>
      <c r="DE167">
        <v>5.8896400000000002E-2</v>
      </c>
      <c r="DF167">
        <v>33576.6</v>
      </c>
      <c r="DG167">
        <v>27446.3</v>
      </c>
      <c r="DH167">
        <v>31145.1</v>
      </c>
      <c r="DI167">
        <v>28012</v>
      </c>
      <c r="DJ167">
        <v>36821.800000000003</v>
      </c>
      <c r="DK167">
        <v>37455.9</v>
      </c>
      <c r="DL167">
        <v>44313.1</v>
      </c>
      <c r="DM167">
        <v>42420</v>
      </c>
      <c r="DN167">
        <v>1.44285</v>
      </c>
      <c r="DO167">
        <v>2.0745</v>
      </c>
      <c r="DP167">
        <v>0.137985</v>
      </c>
      <c r="DQ167">
        <v>0.17449300000000001</v>
      </c>
      <c r="DR167">
        <v>24.724</v>
      </c>
      <c r="DS167">
        <v>24.618099999999998</v>
      </c>
      <c r="DT167">
        <v>42.3</v>
      </c>
      <c r="DU167">
        <v>25.8</v>
      </c>
      <c r="DV167">
        <v>14.2461</v>
      </c>
      <c r="DW167">
        <v>61.505400000000002</v>
      </c>
      <c r="DX167">
        <v>36.073700000000002</v>
      </c>
      <c r="DY167">
        <v>1</v>
      </c>
      <c r="DZ167">
        <v>-0.156004</v>
      </c>
      <c r="EA167">
        <v>-7.2388300000000003E-2</v>
      </c>
      <c r="EB167">
        <v>20.1922</v>
      </c>
      <c r="EC167">
        <v>5.2413999999999996</v>
      </c>
      <c r="ED167">
        <v>12.039899999999999</v>
      </c>
      <c r="EE167">
        <v>5.0174500000000002</v>
      </c>
      <c r="EF167">
        <v>3.2879999999999998</v>
      </c>
      <c r="EG167">
        <v>9999</v>
      </c>
      <c r="EH167">
        <v>9999</v>
      </c>
      <c r="EI167">
        <v>9999</v>
      </c>
      <c r="EJ167">
        <v>999.9</v>
      </c>
      <c r="EK167">
        <v>1.8688400000000001</v>
      </c>
      <c r="EL167">
        <v>1.86449</v>
      </c>
      <c r="EM167">
        <v>1.86907</v>
      </c>
      <c r="EN167">
        <v>1.86714</v>
      </c>
      <c r="EO167">
        <v>1.86331</v>
      </c>
      <c r="EP167">
        <v>1.86442</v>
      </c>
      <c r="EQ167">
        <v>1.8701000000000001</v>
      </c>
      <c r="ER167">
        <v>1.8693500000000001</v>
      </c>
      <c r="ES167">
        <v>0</v>
      </c>
      <c r="ET167">
        <v>0</v>
      </c>
      <c r="EU167">
        <v>0</v>
      </c>
      <c r="EV167">
        <v>0</v>
      </c>
      <c r="EW167" t="s">
        <v>334</v>
      </c>
      <c r="EX167" t="s">
        <v>335</v>
      </c>
      <c r="EY167" t="s">
        <v>336</v>
      </c>
      <c r="EZ167" t="s">
        <v>336</v>
      </c>
      <c r="FA167" t="s">
        <v>336</v>
      </c>
      <c r="FB167" t="s">
        <v>336</v>
      </c>
      <c r="FC167">
        <v>0</v>
      </c>
      <c r="FD167">
        <v>100</v>
      </c>
      <c r="FE167">
        <v>100</v>
      </c>
      <c r="FF167">
        <v>-1.21</v>
      </c>
      <c r="FG167">
        <v>0.17829999999999999</v>
      </c>
      <c r="FH167">
        <v>-0.98020551812546231</v>
      </c>
      <c r="FI167">
        <v>-6.1462078757559423E-4</v>
      </c>
      <c r="FJ167">
        <v>-1.8861989874597051E-7</v>
      </c>
      <c r="FK167">
        <v>1.1980462299894961E-10</v>
      </c>
      <c r="FL167">
        <v>0.1782306200647516</v>
      </c>
      <c r="FM167">
        <v>0</v>
      </c>
      <c r="FN167">
        <v>0</v>
      </c>
      <c r="FO167">
        <v>0</v>
      </c>
      <c r="FP167">
        <v>3</v>
      </c>
      <c r="FQ167">
        <v>2158</v>
      </c>
      <c r="FR167">
        <v>1</v>
      </c>
      <c r="FS167">
        <v>19</v>
      </c>
      <c r="FT167">
        <v>27.1</v>
      </c>
      <c r="FU167">
        <v>27.4</v>
      </c>
      <c r="FV167">
        <v>1.7773399999999999</v>
      </c>
      <c r="FW167">
        <v>2.5463900000000002</v>
      </c>
      <c r="FX167">
        <v>1.5490699999999999</v>
      </c>
      <c r="FY167">
        <v>2.34131</v>
      </c>
      <c r="FZ167">
        <v>1.50146</v>
      </c>
      <c r="GA167">
        <v>2.3840300000000001</v>
      </c>
      <c r="GB167">
        <v>31.128699999999998</v>
      </c>
      <c r="GC167">
        <v>23.991199999999999</v>
      </c>
      <c r="GD167">
        <v>19</v>
      </c>
      <c r="GE167">
        <v>265.726</v>
      </c>
      <c r="GF167">
        <v>605.77700000000004</v>
      </c>
      <c r="GG167">
        <v>24.244900000000001</v>
      </c>
      <c r="GH167">
        <v>25.462299999999999</v>
      </c>
      <c r="GI167">
        <v>30.0001</v>
      </c>
      <c r="GJ167">
        <v>25.579699999999999</v>
      </c>
      <c r="GK167">
        <v>25.538599999999999</v>
      </c>
      <c r="GL167">
        <v>35.5349</v>
      </c>
      <c r="GM167">
        <v>-30</v>
      </c>
      <c r="GN167">
        <v>-30</v>
      </c>
      <c r="GO167">
        <v>24.2516</v>
      </c>
      <c r="GP167">
        <v>800</v>
      </c>
      <c r="GQ167">
        <v>12.5298</v>
      </c>
      <c r="GR167">
        <v>99.638599999999997</v>
      </c>
      <c r="GS167">
        <v>99.269099999999995</v>
      </c>
    </row>
    <row r="168" spans="1:201" x14ac:dyDescent="0.25">
      <c r="A168">
        <v>152</v>
      </c>
      <c r="B168">
        <v>1690202405.5999999</v>
      </c>
      <c r="C168">
        <v>1558.599999904633</v>
      </c>
      <c r="D168" t="s">
        <v>637</v>
      </c>
      <c r="E168" t="s">
        <v>638</v>
      </c>
      <c r="F168" t="s">
        <v>330</v>
      </c>
      <c r="H168">
        <v>1690202405.5999999</v>
      </c>
      <c r="I168">
        <f t="shared" si="60"/>
        <v>1.7282138216818501E-3</v>
      </c>
      <c r="J168">
        <f t="shared" si="61"/>
        <v>1.7282138216818501</v>
      </c>
      <c r="K168">
        <f t="shared" si="62"/>
        <v>40.67767446803397</v>
      </c>
      <c r="L168">
        <f t="shared" si="63"/>
        <v>342.24</v>
      </c>
      <c r="M168">
        <f t="shared" si="64"/>
        <v>11.213479939588931</v>
      </c>
      <c r="N168">
        <f t="shared" si="65"/>
        <v>1.1112689705713124</v>
      </c>
      <c r="O168">
        <f t="shared" si="66"/>
        <v>33.91638407856</v>
      </c>
      <c r="P168">
        <f t="shared" si="67"/>
        <v>0.20746117457925012</v>
      </c>
      <c r="Q168">
        <f t="shared" si="68"/>
        <v>2.0783946891839071</v>
      </c>
      <c r="R168">
        <f t="shared" si="69"/>
        <v>0.19660487508964278</v>
      </c>
      <c r="S168">
        <f t="shared" si="70"/>
        <v>0.12380608071894446</v>
      </c>
      <c r="T168">
        <f t="shared" si="71"/>
        <v>276.1144171204939</v>
      </c>
      <c r="U168">
        <f t="shared" si="72"/>
        <v>27.417620398691788</v>
      </c>
      <c r="V168">
        <f t="shared" si="73"/>
        <v>27.417620398691788</v>
      </c>
      <c r="W168">
        <f t="shared" si="74"/>
        <v>3.6678943972282609</v>
      </c>
      <c r="X168">
        <f t="shared" si="75"/>
        <v>84.730713566158755</v>
      </c>
      <c r="Y168">
        <f t="shared" si="76"/>
        <v>2.8253049573716997</v>
      </c>
      <c r="Z168">
        <f t="shared" si="77"/>
        <v>3.3344519814124638</v>
      </c>
      <c r="AA168">
        <f t="shared" si="78"/>
        <v>0.84258943985656121</v>
      </c>
      <c r="AB168">
        <f t="shared" si="79"/>
        <v>-76.214229536169583</v>
      </c>
      <c r="AC168">
        <f t="shared" si="80"/>
        <v>-181.29985631582119</v>
      </c>
      <c r="AD168">
        <f t="shared" si="81"/>
        <v>-18.751960534795568</v>
      </c>
      <c r="AE168">
        <f t="shared" si="82"/>
        <v>-0.15162926629241724</v>
      </c>
      <c r="AF168">
        <v>13</v>
      </c>
      <c r="AG168">
        <v>4</v>
      </c>
      <c r="AH168">
        <f t="shared" si="83"/>
        <v>1</v>
      </c>
      <c r="AI168">
        <f t="shared" si="84"/>
        <v>0</v>
      </c>
      <c r="AJ168">
        <f t="shared" si="85"/>
        <v>52474.173756422177</v>
      </c>
      <c r="AK168">
        <f t="shared" si="86"/>
        <v>1799.99</v>
      </c>
      <c r="AL168">
        <f t="shared" si="87"/>
        <v>1499.10335840174</v>
      </c>
      <c r="AM168">
        <f t="shared" si="88"/>
        <v>0.83283982599999995</v>
      </c>
      <c r="AN168">
        <f t="shared" si="89"/>
        <v>0.15339775060999999</v>
      </c>
      <c r="AO168">
        <v>33.299999999999997</v>
      </c>
      <c r="AP168">
        <v>0.5</v>
      </c>
      <c r="AQ168" t="s">
        <v>331</v>
      </c>
      <c r="AR168">
        <v>2</v>
      </c>
      <c r="AS168">
        <v>1690202405.5999999</v>
      </c>
      <c r="AT168">
        <v>342.24</v>
      </c>
      <c r="AU168">
        <v>800.06799999999998</v>
      </c>
      <c r="AV168">
        <v>28.5093</v>
      </c>
      <c r="AW168">
        <v>9.8835800000000003</v>
      </c>
      <c r="AX168">
        <v>343.44799999999998</v>
      </c>
      <c r="AY168">
        <v>28.331</v>
      </c>
      <c r="AZ168">
        <v>300.17</v>
      </c>
      <c r="BA168">
        <v>99.001099999999994</v>
      </c>
      <c r="BB168">
        <v>0.10006900000000001</v>
      </c>
      <c r="BC168">
        <v>25.799600000000002</v>
      </c>
      <c r="BD168">
        <v>26.964099999999998</v>
      </c>
      <c r="BE168">
        <v>27.480799999999999</v>
      </c>
      <c r="BF168">
        <v>0</v>
      </c>
      <c r="BG168">
        <v>0</v>
      </c>
      <c r="BH168">
        <v>9983.1200000000008</v>
      </c>
      <c r="BI168">
        <v>1073.0899999999999</v>
      </c>
      <c r="BJ168">
        <v>1.4689300000000001</v>
      </c>
      <c r="BK168">
        <v>-457.82799999999997</v>
      </c>
      <c r="BL168">
        <v>352.28300000000002</v>
      </c>
      <c r="BM168">
        <v>808.05399999999997</v>
      </c>
      <c r="BN168">
        <v>18.625699999999998</v>
      </c>
      <c r="BO168">
        <v>800.06799999999998</v>
      </c>
      <c r="BP168">
        <v>9.8835800000000003</v>
      </c>
      <c r="BQ168">
        <v>2.8224499999999999</v>
      </c>
      <c r="BR168">
        <v>0.97848500000000005</v>
      </c>
      <c r="BS168">
        <v>23.015999999999998</v>
      </c>
      <c r="BT168">
        <v>6.5998999999999999</v>
      </c>
      <c r="BU168">
        <v>1799.99</v>
      </c>
      <c r="BV168">
        <v>0.90999099999999999</v>
      </c>
      <c r="BW168">
        <v>3.4001200000000002E-2</v>
      </c>
      <c r="BX168">
        <v>2.20033E-2</v>
      </c>
      <c r="BY168">
        <v>3.4004899999999998E-2</v>
      </c>
      <c r="BZ168">
        <v>25</v>
      </c>
      <c r="CA168">
        <v>33528.199999999997</v>
      </c>
      <c r="CB168">
        <v>1690200769.5</v>
      </c>
      <c r="CC168" t="s">
        <v>332</v>
      </c>
      <c r="CD168">
        <v>1690200769.5</v>
      </c>
      <c r="CE168">
        <v>1690200753</v>
      </c>
      <c r="CF168">
        <v>2</v>
      </c>
      <c r="CG168">
        <v>-0.245</v>
      </c>
      <c r="CH168">
        <v>3.0000000000000001E-3</v>
      </c>
      <c r="CI168">
        <v>-1.5169999999999999</v>
      </c>
      <c r="CJ168">
        <v>-1.6E-2</v>
      </c>
      <c r="CK168">
        <v>778</v>
      </c>
      <c r="CL168">
        <v>12</v>
      </c>
      <c r="CM168">
        <v>0.01</v>
      </c>
      <c r="CN168">
        <v>0.03</v>
      </c>
      <c r="CO168">
        <v>-456.94282926829283</v>
      </c>
      <c r="CP168">
        <v>-5.2947595818814142</v>
      </c>
      <c r="CQ168">
        <v>0.53155253061377206</v>
      </c>
      <c r="CR168">
        <v>-1</v>
      </c>
      <c r="CS168">
        <v>18.55799268292683</v>
      </c>
      <c r="CT168">
        <v>0.42513031358886771</v>
      </c>
      <c r="CU168">
        <v>4.220318673809717E-2</v>
      </c>
      <c r="CV168">
        <v>-1</v>
      </c>
      <c r="CW168">
        <v>0</v>
      </c>
      <c r="CX168">
        <v>0</v>
      </c>
      <c r="CY168" t="s">
        <v>333</v>
      </c>
      <c r="CZ168">
        <v>2.3653300000000002</v>
      </c>
      <c r="DA168">
        <v>2.7138499999999999</v>
      </c>
      <c r="DB168">
        <v>7.9590800000000003E-2</v>
      </c>
      <c r="DC168">
        <v>0.14632400000000001</v>
      </c>
      <c r="DD168">
        <v>0.128636</v>
      </c>
      <c r="DE168">
        <v>5.8696600000000002E-2</v>
      </c>
      <c r="DF168">
        <v>33581.9</v>
      </c>
      <c r="DG168">
        <v>27446.6</v>
      </c>
      <c r="DH168">
        <v>31145.1</v>
      </c>
      <c r="DI168">
        <v>28012.5</v>
      </c>
      <c r="DJ168">
        <v>36820.400000000001</v>
      </c>
      <c r="DK168">
        <v>37464.699999999997</v>
      </c>
      <c r="DL168">
        <v>44313.1</v>
      </c>
      <c r="DM168">
        <v>42421</v>
      </c>
      <c r="DN168">
        <v>1.44275</v>
      </c>
      <c r="DO168">
        <v>2.0739000000000001</v>
      </c>
      <c r="DP168">
        <v>0.13671800000000001</v>
      </c>
      <c r="DQ168">
        <v>0.174679</v>
      </c>
      <c r="DR168">
        <v>24.724</v>
      </c>
      <c r="DS168">
        <v>24.619599999999998</v>
      </c>
      <c r="DT168">
        <v>40.9</v>
      </c>
      <c r="DU168">
        <v>25.8</v>
      </c>
      <c r="DV168">
        <v>13.7746</v>
      </c>
      <c r="DW168">
        <v>61.645400000000002</v>
      </c>
      <c r="DX168">
        <v>36.157899999999998</v>
      </c>
      <c r="DY168">
        <v>1</v>
      </c>
      <c r="DZ168">
        <v>-0.15587699999999999</v>
      </c>
      <c r="EA168">
        <v>-7.1887300000000001E-2</v>
      </c>
      <c r="EB168">
        <v>20.192</v>
      </c>
      <c r="EC168">
        <v>5.2421499999999996</v>
      </c>
      <c r="ED168">
        <v>12.039899999999999</v>
      </c>
      <c r="EE168">
        <v>5.0174500000000002</v>
      </c>
      <c r="EF168">
        <v>3.2879999999999998</v>
      </c>
      <c r="EG168">
        <v>9999</v>
      </c>
      <c r="EH168">
        <v>9999</v>
      </c>
      <c r="EI168">
        <v>9999</v>
      </c>
      <c r="EJ168">
        <v>999.9</v>
      </c>
      <c r="EK168">
        <v>1.8688100000000001</v>
      </c>
      <c r="EL168">
        <v>1.86452</v>
      </c>
      <c r="EM168">
        <v>1.8690500000000001</v>
      </c>
      <c r="EN168">
        <v>1.86713</v>
      </c>
      <c r="EO168">
        <v>1.8632899999999999</v>
      </c>
      <c r="EP168">
        <v>1.8644499999999999</v>
      </c>
      <c r="EQ168">
        <v>1.8701099999999999</v>
      </c>
      <c r="ER168">
        <v>1.8693500000000001</v>
      </c>
      <c r="ES168">
        <v>0</v>
      </c>
      <c r="ET168">
        <v>0</v>
      </c>
      <c r="EU168">
        <v>0</v>
      </c>
      <c r="EV168">
        <v>0</v>
      </c>
      <c r="EW168" t="s">
        <v>334</v>
      </c>
      <c r="EX168" t="s">
        <v>335</v>
      </c>
      <c r="EY168" t="s">
        <v>336</v>
      </c>
      <c r="EZ168" t="s">
        <v>336</v>
      </c>
      <c r="FA168" t="s">
        <v>336</v>
      </c>
      <c r="FB168" t="s">
        <v>336</v>
      </c>
      <c r="FC168">
        <v>0</v>
      </c>
      <c r="FD168">
        <v>100</v>
      </c>
      <c r="FE168">
        <v>100</v>
      </c>
      <c r="FF168">
        <v>-1.208</v>
      </c>
      <c r="FG168">
        <v>0.17829999999999999</v>
      </c>
      <c r="FH168">
        <v>-0.98020551812546231</v>
      </c>
      <c r="FI168">
        <v>-6.1462078757559423E-4</v>
      </c>
      <c r="FJ168">
        <v>-1.8861989874597051E-7</v>
      </c>
      <c r="FK168">
        <v>1.1980462299894961E-10</v>
      </c>
      <c r="FL168">
        <v>0.1782306200647516</v>
      </c>
      <c r="FM168">
        <v>0</v>
      </c>
      <c r="FN168">
        <v>0</v>
      </c>
      <c r="FO168">
        <v>0</v>
      </c>
      <c r="FP168">
        <v>3</v>
      </c>
      <c r="FQ168">
        <v>2158</v>
      </c>
      <c r="FR168">
        <v>1</v>
      </c>
      <c r="FS168">
        <v>19</v>
      </c>
      <c r="FT168">
        <v>27.3</v>
      </c>
      <c r="FU168">
        <v>27.5</v>
      </c>
      <c r="FV168">
        <v>1.7773399999999999</v>
      </c>
      <c r="FW168">
        <v>2.5439500000000002</v>
      </c>
      <c r="FX168">
        <v>1.5490699999999999</v>
      </c>
      <c r="FY168">
        <v>2.34131</v>
      </c>
      <c r="FZ168">
        <v>1.50146</v>
      </c>
      <c r="GA168">
        <v>2.3645</v>
      </c>
      <c r="GB168">
        <v>31.128699999999998</v>
      </c>
      <c r="GC168">
        <v>23.991199999999999</v>
      </c>
      <c r="GD168">
        <v>19</v>
      </c>
      <c r="GE168">
        <v>265.68599999999998</v>
      </c>
      <c r="GF168">
        <v>605.28899999999999</v>
      </c>
      <c r="GG168">
        <v>24.264199999999999</v>
      </c>
      <c r="GH168">
        <v>25.462299999999999</v>
      </c>
      <c r="GI168">
        <v>30.0002</v>
      </c>
      <c r="GJ168">
        <v>25.579699999999999</v>
      </c>
      <c r="GK168">
        <v>25.540299999999998</v>
      </c>
      <c r="GL168">
        <v>35.531599999999997</v>
      </c>
      <c r="GM168">
        <v>-30</v>
      </c>
      <c r="GN168">
        <v>-30</v>
      </c>
      <c r="GO168">
        <v>24.287299999999998</v>
      </c>
      <c r="GP168">
        <v>800</v>
      </c>
      <c r="GQ168">
        <v>12.5298</v>
      </c>
      <c r="GR168">
        <v>99.6387</v>
      </c>
      <c r="GS168">
        <v>99.271100000000004</v>
      </c>
    </row>
    <row r="169" spans="1:201" x14ac:dyDescent="0.25">
      <c r="A169">
        <v>153</v>
      </c>
      <c r="B169">
        <v>1690202415.5999999</v>
      </c>
      <c r="C169">
        <v>1568.599999904633</v>
      </c>
      <c r="D169" t="s">
        <v>639</v>
      </c>
      <c r="E169" t="s">
        <v>640</v>
      </c>
      <c r="F169" t="s">
        <v>330</v>
      </c>
      <c r="H169">
        <v>1690202415.5999999</v>
      </c>
      <c r="I169">
        <f t="shared" si="60"/>
        <v>1.7323458435667396E-3</v>
      </c>
      <c r="J169">
        <f t="shared" si="61"/>
        <v>1.7323458435667396</v>
      </c>
      <c r="K169">
        <f t="shared" si="62"/>
        <v>40.758762916281391</v>
      </c>
      <c r="L169">
        <f t="shared" si="63"/>
        <v>341.31200000000001</v>
      </c>
      <c r="M169">
        <f t="shared" si="64"/>
        <v>8.9188983335522121</v>
      </c>
      <c r="N169">
        <f t="shared" si="65"/>
        <v>0.88389783153098345</v>
      </c>
      <c r="O169">
        <f t="shared" si="66"/>
        <v>33.825358849600001</v>
      </c>
      <c r="P169">
        <f t="shared" si="67"/>
        <v>0.20696556221273299</v>
      </c>
      <c r="Q169">
        <f t="shared" si="68"/>
        <v>2.0826087736872898</v>
      </c>
      <c r="R169">
        <f t="shared" si="69"/>
        <v>0.19618026174547443</v>
      </c>
      <c r="S169">
        <f t="shared" si="70"/>
        <v>0.1235348243718821</v>
      </c>
      <c r="T169">
        <f t="shared" si="71"/>
        <v>276.11423976747921</v>
      </c>
      <c r="U169">
        <f t="shared" si="72"/>
        <v>27.439237541188941</v>
      </c>
      <c r="V169">
        <f t="shared" si="73"/>
        <v>27.439237541188941</v>
      </c>
      <c r="W169">
        <f t="shared" si="74"/>
        <v>3.6725393432721152</v>
      </c>
      <c r="X169">
        <f t="shared" si="75"/>
        <v>84.623786598314013</v>
      </c>
      <c r="Y169">
        <f t="shared" si="76"/>
        <v>2.8261069876549998</v>
      </c>
      <c r="Z169">
        <f t="shared" si="77"/>
        <v>3.3396130110198889</v>
      </c>
      <c r="AA169">
        <f t="shared" si="78"/>
        <v>0.84643235561711538</v>
      </c>
      <c r="AB169">
        <f t="shared" si="79"/>
        <v>-76.396451701293216</v>
      </c>
      <c r="AC169">
        <f t="shared" si="80"/>
        <v>-181.16412942279482</v>
      </c>
      <c r="AD169">
        <f t="shared" si="81"/>
        <v>-18.704473660697975</v>
      </c>
      <c r="AE169">
        <f t="shared" si="82"/>
        <v>-0.15081501730682589</v>
      </c>
      <c r="AF169">
        <v>13</v>
      </c>
      <c r="AG169">
        <v>4</v>
      </c>
      <c r="AH169">
        <f t="shared" si="83"/>
        <v>1</v>
      </c>
      <c r="AI169">
        <f t="shared" si="84"/>
        <v>0</v>
      </c>
      <c r="AJ169">
        <f t="shared" si="85"/>
        <v>52660.046928498217</v>
      </c>
      <c r="AK169">
        <f t="shared" si="86"/>
        <v>1799.99</v>
      </c>
      <c r="AL169">
        <f t="shared" si="87"/>
        <v>1499.1029390040699</v>
      </c>
      <c r="AM169">
        <f t="shared" si="88"/>
        <v>0.83283959299999988</v>
      </c>
      <c r="AN169">
        <f t="shared" si="89"/>
        <v>0.15339765208</v>
      </c>
      <c r="AO169">
        <v>33.299999999999997</v>
      </c>
      <c r="AP169">
        <v>0.5</v>
      </c>
      <c r="AQ169" t="s">
        <v>331</v>
      </c>
      <c r="AR169">
        <v>2</v>
      </c>
      <c r="AS169">
        <v>1690202415.5999999</v>
      </c>
      <c r="AT169">
        <v>341.31200000000001</v>
      </c>
      <c r="AU169">
        <v>799.98699999999997</v>
      </c>
      <c r="AV169">
        <v>28.5166</v>
      </c>
      <c r="AW169">
        <v>9.8485399999999998</v>
      </c>
      <c r="AX169">
        <v>342.52</v>
      </c>
      <c r="AY169">
        <v>28.3384</v>
      </c>
      <c r="AZ169">
        <v>300.20299999999997</v>
      </c>
      <c r="BA169">
        <v>99.004000000000005</v>
      </c>
      <c r="BB169">
        <v>9.9925E-2</v>
      </c>
      <c r="BC169">
        <v>25.825700000000001</v>
      </c>
      <c r="BD169">
        <v>27.026900000000001</v>
      </c>
      <c r="BE169">
        <v>27.472899999999999</v>
      </c>
      <c r="BF169">
        <v>0</v>
      </c>
      <c r="BG169">
        <v>0</v>
      </c>
      <c r="BH169">
        <v>10020.6</v>
      </c>
      <c r="BI169">
        <v>1073.24</v>
      </c>
      <c r="BJ169">
        <v>1.5137799999999999</v>
      </c>
      <c r="BK169">
        <v>-458.67500000000001</v>
      </c>
      <c r="BL169">
        <v>351.33100000000002</v>
      </c>
      <c r="BM169">
        <v>807.94399999999996</v>
      </c>
      <c r="BN169">
        <v>18.668099999999999</v>
      </c>
      <c r="BO169">
        <v>799.98699999999997</v>
      </c>
      <c r="BP169">
        <v>9.8485399999999998</v>
      </c>
      <c r="BQ169">
        <v>2.8232599999999999</v>
      </c>
      <c r="BR169">
        <v>0.97504500000000005</v>
      </c>
      <c r="BS169">
        <v>23.020700000000001</v>
      </c>
      <c r="BT169">
        <v>6.5487200000000003</v>
      </c>
      <c r="BU169">
        <v>1799.99</v>
      </c>
      <c r="BV169">
        <v>0.90999200000000002</v>
      </c>
      <c r="BW169">
        <v>3.4000700000000002E-2</v>
      </c>
      <c r="BX169">
        <v>2.2002899999999999E-2</v>
      </c>
      <c r="BY169">
        <v>3.4004399999999997E-2</v>
      </c>
      <c r="BZ169">
        <v>25</v>
      </c>
      <c r="CA169">
        <v>33528.199999999997</v>
      </c>
      <c r="CB169">
        <v>1690200769.5</v>
      </c>
      <c r="CC169" t="s">
        <v>332</v>
      </c>
      <c r="CD169">
        <v>1690200769.5</v>
      </c>
      <c r="CE169">
        <v>1690200753</v>
      </c>
      <c r="CF169">
        <v>2</v>
      </c>
      <c r="CG169">
        <v>-0.245</v>
      </c>
      <c r="CH169">
        <v>3.0000000000000001E-3</v>
      </c>
      <c r="CI169">
        <v>-1.5169999999999999</v>
      </c>
      <c r="CJ169">
        <v>-1.6E-2</v>
      </c>
      <c r="CK169">
        <v>778</v>
      </c>
      <c r="CL169">
        <v>12</v>
      </c>
      <c r="CM169">
        <v>0.01</v>
      </c>
      <c r="CN169">
        <v>0.03</v>
      </c>
      <c r="CO169">
        <v>-457.74650000000003</v>
      </c>
      <c r="CP169">
        <v>-4.7146941838644194</v>
      </c>
      <c r="CQ169">
        <v>0.46251708076567533</v>
      </c>
      <c r="CR169">
        <v>-1</v>
      </c>
      <c r="CS169">
        <v>18.617182499999998</v>
      </c>
      <c r="CT169">
        <v>0.29764615384616638</v>
      </c>
      <c r="CU169">
        <v>2.870222889864113E-2</v>
      </c>
      <c r="CV169">
        <v>-1</v>
      </c>
      <c r="CW169">
        <v>0</v>
      </c>
      <c r="CX169">
        <v>0</v>
      </c>
      <c r="CY169" t="s">
        <v>333</v>
      </c>
      <c r="CZ169">
        <v>2.3654500000000001</v>
      </c>
      <c r="DA169">
        <v>2.71373</v>
      </c>
      <c r="DB169">
        <v>7.9422599999999996E-2</v>
      </c>
      <c r="DC169">
        <v>0.146317</v>
      </c>
      <c r="DD169">
        <v>0.128662</v>
      </c>
      <c r="DE169">
        <v>5.8537600000000002E-2</v>
      </c>
      <c r="DF169">
        <v>33588.400000000001</v>
      </c>
      <c r="DG169">
        <v>27446.7</v>
      </c>
      <c r="DH169">
        <v>31145.4</v>
      </c>
      <c r="DI169">
        <v>28012.3</v>
      </c>
      <c r="DJ169">
        <v>36819.4</v>
      </c>
      <c r="DK169">
        <v>37471</v>
      </c>
      <c r="DL169">
        <v>44313.3</v>
      </c>
      <c r="DM169">
        <v>42420.9</v>
      </c>
      <c r="DN169">
        <v>1.44323</v>
      </c>
      <c r="DO169">
        <v>2.0737199999999998</v>
      </c>
      <c r="DP169">
        <v>0.14055500000000001</v>
      </c>
      <c r="DQ169">
        <v>0.17415700000000001</v>
      </c>
      <c r="DR169">
        <v>24.724</v>
      </c>
      <c r="DS169">
        <v>24.620200000000001</v>
      </c>
      <c r="DT169">
        <v>40</v>
      </c>
      <c r="DU169">
        <v>25.8</v>
      </c>
      <c r="DV169">
        <v>13.471500000000001</v>
      </c>
      <c r="DW169">
        <v>61.695399999999999</v>
      </c>
      <c r="DX169">
        <v>36.4343</v>
      </c>
      <c r="DY169">
        <v>1</v>
      </c>
      <c r="DZ169">
        <v>-0.15568599999999999</v>
      </c>
      <c r="EA169">
        <v>-6.1949900000000002E-2</v>
      </c>
      <c r="EB169">
        <v>20.192</v>
      </c>
      <c r="EC169">
        <v>5.2413999999999996</v>
      </c>
      <c r="ED169">
        <v>12.039899999999999</v>
      </c>
      <c r="EE169">
        <v>5.0172499999999998</v>
      </c>
      <c r="EF169">
        <v>3.2879999999999998</v>
      </c>
      <c r="EG169">
        <v>9999</v>
      </c>
      <c r="EH169">
        <v>9999</v>
      </c>
      <c r="EI169">
        <v>9999</v>
      </c>
      <c r="EJ169">
        <v>999.9</v>
      </c>
      <c r="EK169">
        <v>1.8688199999999999</v>
      </c>
      <c r="EL169">
        <v>1.8645</v>
      </c>
      <c r="EM169">
        <v>1.86907</v>
      </c>
      <c r="EN169">
        <v>1.86713</v>
      </c>
      <c r="EO169">
        <v>1.8633</v>
      </c>
      <c r="EP169">
        <v>1.8644400000000001</v>
      </c>
      <c r="EQ169">
        <v>1.8701099999999999</v>
      </c>
      <c r="ER169">
        <v>1.8693500000000001</v>
      </c>
      <c r="ES169">
        <v>0</v>
      </c>
      <c r="ET169">
        <v>0</v>
      </c>
      <c r="EU169">
        <v>0</v>
      </c>
      <c r="EV169">
        <v>0</v>
      </c>
      <c r="EW169" t="s">
        <v>334</v>
      </c>
      <c r="EX169" t="s">
        <v>335</v>
      </c>
      <c r="EY169" t="s">
        <v>336</v>
      </c>
      <c r="EZ169" t="s">
        <v>336</v>
      </c>
      <c r="FA169" t="s">
        <v>336</v>
      </c>
      <c r="FB169" t="s">
        <v>336</v>
      </c>
      <c r="FC169">
        <v>0</v>
      </c>
      <c r="FD169">
        <v>100</v>
      </c>
      <c r="FE169">
        <v>100</v>
      </c>
      <c r="FF169">
        <v>-1.208</v>
      </c>
      <c r="FG169">
        <v>0.1782</v>
      </c>
      <c r="FH169">
        <v>-0.98020551812546231</v>
      </c>
      <c r="FI169">
        <v>-6.1462078757559423E-4</v>
      </c>
      <c r="FJ169">
        <v>-1.8861989874597051E-7</v>
      </c>
      <c r="FK169">
        <v>1.1980462299894961E-10</v>
      </c>
      <c r="FL169">
        <v>0.1782306200647516</v>
      </c>
      <c r="FM169">
        <v>0</v>
      </c>
      <c r="FN169">
        <v>0</v>
      </c>
      <c r="FO169">
        <v>0</v>
      </c>
      <c r="FP169">
        <v>3</v>
      </c>
      <c r="FQ169">
        <v>2158</v>
      </c>
      <c r="FR169">
        <v>1</v>
      </c>
      <c r="FS169">
        <v>19</v>
      </c>
      <c r="FT169">
        <v>27.4</v>
      </c>
      <c r="FU169">
        <v>27.7</v>
      </c>
      <c r="FV169">
        <v>1.7773399999999999</v>
      </c>
      <c r="FW169">
        <v>2.5537100000000001</v>
      </c>
      <c r="FX169">
        <v>1.5490699999999999</v>
      </c>
      <c r="FY169">
        <v>2.34131</v>
      </c>
      <c r="FZ169">
        <v>1.50146</v>
      </c>
      <c r="GA169">
        <v>2.32544</v>
      </c>
      <c r="GB169">
        <v>31.150400000000001</v>
      </c>
      <c r="GC169">
        <v>23.982399999999998</v>
      </c>
      <c r="GD169">
        <v>19</v>
      </c>
      <c r="GE169">
        <v>265.88799999999998</v>
      </c>
      <c r="GF169">
        <v>605.16600000000005</v>
      </c>
      <c r="GG169">
        <v>24.3065</v>
      </c>
      <c r="GH169">
        <v>25.464500000000001</v>
      </c>
      <c r="GI169">
        <v>30.0002</v>
      </c>
      <c r="GJ169">
        <v>25.581800000000001</v>
      </c>
      <c r="GK169">
        <v>25.542400000000001</v>
      </c>
      <c r="GL169">
        <v>35.533799999999999</v>
      </c>
      <c r="GM169">
        <v>-30</v>
      </c>
      <c r="GN169">
        <v>-30</v>
      </c>
      <c r="GO169">
        <v>24.2166</v>
      </c>
      <c r="GP169">
        <v>800</v>
      </c>
      <c r="GQ169">
        <v>12.5298</v>
      </c>
      <c r="GR169">
        <v>99.639499999999998</v>
      </c>
      <c r="GS169">
        <v>99.270799999999994</v>
      </c>
    </row>
    <row r="170" spans="1:201" x14ac:dyDescent="0.25">
      <c r="A170">
        <v>154</v>
      </c>
      <c r="B170">
        <v>1690202425.5999999</v>
      </c>
      <c r="C170">
        <v>1578.599999904633</v>
      </c>
      <c r="D170" t="s">
        <v>641</v>
      </c>
      <c r="E170" t="s">
        <v>642</v>
      </c>
      <c r="F170" t="s">
        <v>330</v>
      </c>
      <c r="H170">
        <v>1690202425.5999999</v>
      </c>
      <c r="I170">
        <f t="shared" si="60"/>
        <v>1.7349146909251937E-3</v>
      </c>
      <c r="J170">
        <f t="shared" si="61"/>
        <v>1.7349146909251938</v>
      </c>
      <c r="K170">
        <f t="shared" si="62"/>
        <v>40.780706283598988</v>
      </c>
      <c r="L170">
        <f t="shared" si="63"/>
        <v>340.96100000000001</v>
      </c>
      <c r="M170">
        <f t="shared" si="64"/>
        <v>9.9041464562758481</v>
      </c>
      <c r="N170">
        <f t="shared" si="65"/>
        <v>0.98154119794223282</v>
      </c>
      <c r="O170">
        <f t="shared" si="66"/>
        <v>33.790621924771393</v>
      </c>
      <c r="P170">
        <f t="shared" si="67"/>
        <v>0.2079668359175926</v>
      </c>
      <c r="Q170">
        <f t="shared" si="68"/>
        <v>2.0815637413376344</v>
      </c>
      <c r="R170">
        <f t="shared" si="69"/>
        <v>0.19707471663081591</v>
      </c>
      <c r="S170">
        <f t="shared" si="70"/>
        <v>0.1241027527216953</v>
      </c>
      <c r="T170">
        <f t="shared" si="71"/>
        <v>276.11411162619112</v>
      </c>
      <c r="U170">
        <f t="shared" si="72"/>
        <v>27.428671270131233</v>
      </c>
      <c r="V170">
        <f t="shared" si="73"/>
        <v>27.428671270131233</v>
      </c>
      <c r="W170">
        <f t="shared" si="74"/>
        <v>3.6702682931135859</v>
      </c>
      <c r="X170">
        <f t="shared" si="75"/>
        <v>84.685277124727406</v>
      </c>
      <c r="Y170">
        <f t="shared" si="76"/>
        <v>2.8264182710277796</v>
      </c>
      <c r="Z170">
        <f t="shared" si="77"/>
        <v>3.3375556731838203</v>
      </c>
      <c r="AA170">
        <f t="shared" si="78"/>
        <v>0.84385002208580628</v>
      </c>
      <c r="AB170">
        <f t="shared" si="79"/>
        <v>-76.509737869801043</v>
      </c>
      <c r="AC170">
        <f t="shared" si="80"/>
        <v>-181.05456391785958</v>
      </c>
      <c r="AD170">
        <f t="shared" si="81"/>
        <v>-18.700583242948625</v>
      </c>
      <c r="AE170">
        <f t="shared" si="82"/>
        <v>-0.15077340441814613</v>
      </c>
      <c r="AF170">
        <v>13</v>
      </c>
      <c r="AG170">
        <v>4</v>
      </c>
      <c r="AH170">
        <f t="shared" si="83"/>
        <v>1</v>
      </c>
      <c r="AI170">
        <f t="shared" si="84"/>
        <v>0</v>
      </c>
      <c r="AJ170">
        <f t="shared" si="85"/>
        <v>52614.622704680827</v>
      </c>
      <c r="AK170">
        <f t="shared" si="86"/>
        <v>1799.99</v>
      </c>
      <c r="AL170">
        <f t="shared" si="87"/>
        <v>1499.1033818016099</v>
      </c>
      <c r="AM170">
        <f t="shared" si="88"/>
        <v>0.83283983899999992</v>
      </c>
      <c r="AN170">
        <f t="shared" si="89"/>
        <v>0.15339758089000002</v>
      </c>
      <c r="AO170">
        <v>33.299999999999997</v>
      </c>
      <c r="AP170">
        <v>0.5</v>
      </c>
      <c r="AQ170" t="s">
        <v>331</v>
      </c>
      <c r="AR170">
        <v>2</v>
      </c>
      <c r="AS170">
        <v>1690202425.5999999</v>
      </c>
      <c r="AT170">
        <v>340.96100000000001</v>
      </c>
      <c r="AU170">
        <v>799.99400000000003</v>
      </c>
      <c r="AV170">
        <v>28.5197</v>
      </c>
      <c r="AW170">
        <v>9.8194700000000008</v>
      </c>
      <c r="AX170">
        <v>342.16800000000001</v>
      </c>
      <c r="AY170">
        <v>28.3414</v>
      </c>
      <c r="AZ170">
        <v>300.13</v>
      </c>
      <c r="BA170">
        <v>99.004199999999997</v>
      </c>
      <c r="BB170">
        <v>9.9867399999999995E-2</v>
      </c>
      <c r="BC170">
        <v>25.815300000000001</v>
      </c>
      <c r="BD170">
        <v>27.015000000000001</v>
      </c>
      <c r="BE170">
        <v>27.473500000000001</v>
      </c>
      <c r="BF170">
        <v>0</v>
      </c>
      <c r="BG170">
        <v>0</v>
      </c>
      <c r="BH170">
        <v>10011.200000000001</v>
      </c>
      <c r="BI170">
        <v>1073.29</v>
      </c>
      <c r="BJ170">
        <v>1.5137799999999999</v>
      </c>
      <c r="BK170">
        <v>-459.03399999999999</v>
      </c>
      <c r="BL170">
        <v>350.97</v>
      </c>
      <c r="BM170">
        <v>807.92700000000002</v>
      </c>
      <c r="BN170">
        <v>18.700199999999999</v>
      </c>
      <c r="BO170">
        <v>799.99400000000003</v>
      </c>
      <c r="BP170">
        <v>9.8194700000000008</v>
      </c>
      <c r="BQ170">
        <v>2.8235700000000001</v>
      </c>
      <c r="BR170">
        <v>0.97216899999999995</v>
      </c>
      <c r="BS170">
        <v>23.022500000000001</v>
      </c>
      <c r="BT170">
        <v>6.5058100000000003</v>
      </c>
      <c r="BU170">
        <v>1799.99</v>
      </c>
      <c r="BV170">
        <v>0.909995</v>
      </c>
      <c r="BW170">
        <v>3.3999500000000002E-2</v>
      </c>
      <c r="BX170">
        <v>2.20022E-2</v>
      </c>
      <c r="BY170">
        <v>3.40033E-2</v>
      </c>
      <c r="BZ170">
        <v>25</v>
      </c>
      <c r="CA170">
        <v>33528.199999999997</v>
      </c>
      <c r="CB170">
        <v>1690200769.5</v>
      </c>
      <c r="CC170" t="s">
        <v>332</v>
      </c>
      <c r="CD170">
        <v>1690200769.5</v>
      </c>
      <c r="CE170">
        <v>1690200753</v>
      </c>
      <c r="CF170">
        <v>2</v>
      </c>
      <c r="CG170">
        <v>-0.245</v>
      </c>
      <c r="CH170">
        <v>3.0000000000000001E-3</v>
      </c>
      <c r="CI170">
        <v>-1.5169999999999999</v>
      </c>
      <c r="CJ170">
        <v>-1.6E-2</v>
      </c>
      <c r="CK170">
        <v>778</v>
      </c>
      <c r="CL170">
        <v>12</v>
      </c>
      <c r="CM170">
        <v>0.01</v>
      </c>
      <c r="CN170">
        <v>0.03</v>
      </c>
      <c r="CO170">
        <v>-458.48497560975608</v>
      </c>
      <c r="CP170">
        <v>-4.1264320557492722</v>
      </c>
      <c r="CQ170">
        <v>0.41876185023231499</v>
      </c>
      <c r="CR170">
        <v>-1</v>
      </c>
      <c r="CS170">
        <v>18.662612195121952</v>
      </c>
      <c r="CT170">
        <v>0.23089547038328559</v>
      </c>
      <c r="CU170">
        <v>2.2847823135053971E-2</v>
      </c>
      <c r="CV170">
        <v>-1</v>
      </c>
      <c r="CW170">
        <v>0</v>
      </c>
      <c r="CX170">
        <v>0</v>
      </c>
      <c r="CY170" t="s">
        <v>333</v>
      </c>
      <c r="CZ170">
        <v>2.3652299999999999</v>
      </c>
      <c r="DA170">
        <v>2.71367</v>
      </c>
      <c r="DB170">
        <v>7.9358300000000007E-2</v>
      </c>
      <c r="DC170">
        <v>0.146317</v>
      </c>
      <c r="DD170">
        <v>0.12867200000000001</v>
      </c>
      <c r="DE170">
        <v>5.8404200000000003E-2</v>
      </c>
      <c r="DF170">
        <v>33590.1</v>
      </c>
      <c r="DG170">
        <v>27446.6</v>
      </c>
      <c r="DH170">
        <v>31144.799999999999</v>
      </c>
      <c r="DI170">
        <v>28012.2</v>
      </c>
      <c r="DJ170">
        <v>36818.5</v>
      </c>
      <c r="DK170">
        <v>37476.400000000001</v>
      </c>
      <c r="DL170">
        <v>44312.7</v>
      </c>
      <c r="DM170">
        <v>42420.9</v>
      </c>
      <c r="DN170">
        <v>1.4421999999999999</v>
      </c>
      <c r="DO170">
        <v>2.0735999999999999</v>
      </c>
      <c r="DP170">
        <v>0.13969799999999999</v>
      </c>
      <c r="DQ170">
        <v>0.17419499999999999</v>
      </c>
      <c r="DR170">
        <v>24.726099999999999</v>
      </c>
      <c r="DS170">
        <v>24.620200000000001</v>
      </c>
      <c r="DT170">
        <v>39.1</v>
      </c>
      <c r="DU170">
        <v>25.8</v>
      </c>
      <c r="DV170">
        <v>13.169700000000001</v>
      </c>
      <c r="DW170">
        <v>61.415500000000002</v>
      </c>
      <c r="DX170">
        <v>36.866999999999997</v>
      </c>
      <c r="DY170">
        <v>1</v>
      </c>
      <c r="DZ170">
        <v>-0.15478700000000001</v>
      </c>
      <c r="EA170">
        <v>0.28155200000000002</v>
      </c>
      <c r="EB170">
        <v>20.191500000000001</v>
      </c>
      <c r="EC170">
        <v>5.2416999999999998</v>
      </c>
      <c r="ED170">
        <v>12.039899999999999</v>
      </c>
      <c r="EE170">
        <v>5.0172499999999998</v>
      </c>
      <c r="EF170">
        <v>3.2879999999999998</v>
      </c>
      <c r="EG170">
        <v>9999</v>
      </c>
      <c r="EH170">
        <v>9999</v>
      </c>
      <c r="EI170">
        <v>9999</v>
      </c>
      <c r="EJ170">
        <v>999.9</v>
      </c>
      <c r="EK170">
        <v>1.8688100000000001</v>
      </c>
      <c r="EL170">
        <v>1.8645099999999999</v>
      </c>
      <c r="EM170">
        <v>1.8690599999999999</v>
      </c>
      <c r="EN170">
        <v>1.86713</v>
      </c>
      <c r="EO170">
        <v>1.8633</v>
      </c>
      <c r="EP170">
        <v>1.8644400000000001</v>
      </c>
      <c r="EQ170">
        <v>1.8701099999999999</v>
      </c>
      <c r="ER170">
        <v>1.8693500000000001</v>
      </c>
      <c r="ES170">
        <v>0</v>
      </c>
      <c r="ET170">
        <v>0</v>
      </c>
      <c r="EU170">
        <v>0</v>
      </c>
      <c r="EV170">
        <v>0</v>
      </c>
      <c r="EW170" t="s">
        <v>334</v>
      </c>
      <c r="EX170" t="s">
        <v>335</v>
      </c>
      <c r="EY170" t="s">
        <v>336</v>
      </c>
      <c r="EZ170" t="s">
        <v>336</v>
      </c>
      <c r="FA170" t="s">
        <v>336</v>
      </c>
      <c r="FB170" t="s">
        <v>336</v>
      </c>
      <c r="FC170">
        <v>0</v>
      </c>
      <c r="FD170">
        <v>100</v>
      </c>
      <c r="FE170">
        <v>100</v>
      </c>
      <c r="FF170">
        <v>-1.2070000000000001</v>
      </c>
      <c r="FG170">
        <v>0.17829999999999999</v>
      </c>
      <c r="FH170">
        <v>-0.98020551812546231</v>
      </c>
      <c r="FI170">
        <v>-6.1462078757559423E-4</v>
      </c>
      <c r="FJ170">
        <v>-1.8861989874597051E-7</v>
      </c>
      <c r="FK170">
        <v>1.1980462299894961E-10</v>
      </c>
      <c r="FL170">
        <v>0.1782306200647516</v>
      </c>
      <c r="FM170">
        <v>0</v>
      </c>
      <c r="FN170">
        <v>0</v>
      </c>
      <c r="FO170">
        <v>0</v>
      </c>
      <c r="FP170">
        <v>3</v>
      </c>
      <c r="FQ170">
        <v>2158</v>
      </c>
      <c r="FR170">
        <v>1</v>
      </c>
      <c r="FS170">
        <v>19</v>
      </c>
      <c r="FT170">
        <v>27.6</v>
      </c>
      <c r="FU170">
        <v>27.9</v>
      </c>
      <c r="FV170">
        <v>1.7773399999999999</v>
      </c>
      <c r="FW170">
        <v>2.5476100000000002</v>
      </c>
      <c r="FX170">
        <v>1.5490699999999999</v>
      </c>
      <c r="FY170">
        <v>2.34131</v>
      </c>
      <c r="FZ170">
        <v>1.50146</v>
      </c>
      <c r="GA170">
        <v>2.31812</v>
      </c>
      <c r="GB170">
        <v>31.150400000000001</v>
      </c>
      <c r="GC170">
        <v>23.982399999999998</v>
      </c>
      <c r="GD170">
        <v>19</v>
      </c>
      <c r="GE170">
        <v>265.47300000000001</v>
      </c>
      <c r="GF170">
        <v>605.08500000000004</v>
      </c>
      <c r="GG170">
        <v>24.177399999999999</v>
      </c>
      <c r="GH170">
        <v>25.464500000000001</v>
      </c>
      <c r="GI170">
        <v>30.000499999999999</v>
      </c>
      <c r="GJ170">
        <v>25.581800000000001</v>
      </c>
      <c r="GK170">
        <v>25.544499999999999</v>
      </c>
      <c r="GL170">
        <v>35.534999999999997</v>
      </c>
      <c r="GM170">
        <v>-30</v>
      </c>
      <c r="GN170">
        <v>-30</v>
      </c>
      <c r="GO170">
        <v>24.1387</v>
      </c>
      <c r="GP170">
        <v>800</v>
      </c>
      <c r="GQ170">
        <v>12.5298</v>
      </c>
      <c r="GR170">
        <v>99.637799999999999</v>
      </c>
      <c r="GS170">
        <v>99.270700000000005</v>
      </c>
    </row>
    <row r="171" spans="1:201" x14ac:dyDescent="0.25">
      <c r="A171">
        <v>155</v>
      </c>
      <c r="B171">
        <v>1690202435.5999999</v>
      </c>
      <c r="C171">
        <v>1588.599999904633</v>
      </c>
      <c r="D171" t="s">
        <v>643</v>
      </c>
      <c r="E171" t="s">
        <v>644</v>
      </c>
      <c r="F171" t="s">
        <v>330</v>
      </c>
      <c r="H171">
        <v>1690202435.5999999</v>
      </c>
      <c r="I171">
        <f t="shared" si="60"/>
        <v>1.7368184123056978E-3</v>
      </c>
      <c r="J171">
        <f t="shared" si="61"/>
        <v>1.7368184123056978</v>
      </c>
      <c r="K171">
        <f t="shared" si="62"/>
        <v>40.856415690785639</v>
      </c>
      <c r="L171">
        <f t="shared" si="63"/>
        <v>340.16399999999999</v>
      </c>
      <c r="M171">
        <f t="shared" si="64"/>
        <v>9.9031166738957914</v>
      </c>
      <c r="N171">
        <f t="shared" si="65"/>
        <v>0.98142032243690536</v>
      </c>
      <c r="O171">
        <f t="shared" si="66"/>
        <v>33.710989535387995</v>
      </c>
      <c r="P171">
        <f t="shared" si="67"/>
        <v>0.20889565789672362</v>
      </c>
      <c r="Q171">
        <f t="shared" si="68"/>
        <v>2.0808499190123406</v>
      </c>
      <c r="R171">
        <f t="shared" si="69"/>
        <v>0.1979052325610543</v>
      </c>
      <c r="S171">
        <f t="shared" si="70"/>
        <v>0.12463001001857753</v>
      </c>
      <c r="T171">
        <f t="shared" si="71"/>
        <v>276.11412075214042</v>
      </c>
      <c r="U171">
        <f t="shared" si="72"/>
        <v>27.413916532071472</v>
      </c>
      <c r="V171">
        <f t="shared" si="73"/>
        <v>27.413916532071472</v>
      </c>
      <c r="W171">
        <f t="shared" si="74"/>
        <v>3.6670990500165193</v>
      </c>
      <c r="X171">
        <f t="shared" si="75"/>
        <v>84.742091650245968</v>
      </c>
      <c r="Y171">
        <f t="shared" si="76"/>
        <v>2.8258685613549006</v>
      </c>
      <c r="Z171">
        <f t="shared" si="77"/>
        <v>3.3346693553636144</v>
      </c>
      <c r="AA171">
        <f t="shared" si="78"/>
        <v>0.84123048866161865</v>
      </c>
      <c r="AB171">
        <f t="shared" si="79"/>
        <v>-76.593691982681278</v>
      </c>
      <c r="AC171">
        <f t="shared" si="80"/>
        <v>-180.97511665482611</v>
      </c>
      <c r="AD171">
        <f t="shared" si="81"/>
        <v>-18.696041843373919</v>
      </c>
      <c r="AE171">
        <f t="shared" si="82"/>
        <v>-0.15072972874085622</v>
      </c>
      <c r="AF171">
        <v>13</v>
      </c>
      <c r="AG171">
        <v>4</v>
      </c>
      <c r="AH171">
        <f t="shared" si="83"/>
        <v>1</v>
      </c>
      <c r="AI171">
        <f t="shared" si="84"/>
        <v>0</v>
      </c>
      <c r="AJ171">
        <f t="shared" si="85"/>
        <v>52584.882939051975</v>
      </c>
      <c r="AK171">
        <f t="shared" si="86"/>
        <v>1799.99</v>
      </c>
      <c r="AL171">
        <f t="shared" si="87"/>
        <v>1499.1040783977398</v>
      </c>
      <c r="AM171">
        <f t="shared" si="88"/>
        <v>0.83284022599999985</v>
      </c>
      <c r="AN171">
        <f t="shared" si="89"/>
        <v>0.15339758596</v>
      </c>
      <c r="AO171">
        <v>33.299999999999997</v>
      </c>
      <c r="AP171">
        <v>0.5</v>
      </c>
      <c r="AQ171" t="s">
        <v>331</v>
      </c>
      <c r="AR171">
        <v>2</v>
      </c>
      <c r="AS171">
        <v>1690202435.5999999</v>
      </c>
      <c r="AT171">
        <v>340.16399999999999</v>
      </c>
      <c r="AU171">
        <v>800.01199999999994</v>
      </c>
      <c r="AV171">
        <v>28.514700000000001</v>
      </c>
      <c r="AW171">
        <v>9.7945399999999996</v>
      </c>
      <c r="AX171">
        <v>341.37099999999998</v>
      </c>
      <c r="AY171">
        <v>28.336500000000001</v>
      </c>
      <c r="AZ171">
        <v>300.14100000000002</v>
      </c>
      <c r="BA171">
        <v>99.002200000000002</v>
      </c>
      <c r="BB171">
        <v>9.9967E-2</v>
      </c>
      <c r="BC171">
        <v>25.800699999999999</v>
      </c>
      <c r="BD171">
        <v>26.988800000000001</v>
      </c>
      <c r="BE171">
        <v>27.474699999999999</v>
      </c>
      <c r="BF171">
        <v>0</v>
      </c>
      <c r="BG171">
        <v>0</v>
      </c>
      <c r="BH171">
        <v>10005</v>
      </c>
      <c r="BI171">
        <v>1073.28</v>
      </c>
      <c r="BJ171">
        <v>1.4380999999999999</v>
      </c>
      <c r="BK171">
        <v>-459.84899999999999</v>
      </c>
      <c r="BL171">
        <v>350.14800000000002</v>
      </c>
      <c r="BM171">
        <v>807.92600000000004</v>
      </c>
      <c r="BN171">
        <v>18.720199999999998</v>
      </c>
      <c r="BO171">
        <v>800.01199999999994</v>
      </c>
      <c r="BP171">
        <v>9.7945399999999996</v>
      </c>
      <c r="BQ171">
        <v>2.8230200000000001</v>
      </c>
      <c r="BR171">
        <v>0.96968100000000002</v>
      </c>
      <c r="BS171">
        <v>23.019300000000001</v>
      </c>
      <c r="BT171">
        <v>6.46861</v>
      </c>
      <c r="BU171">
        <v>1799.99</v>
      </c>
      <c r="BV171">
        <v>0.90999699999999994</v>
      </c>
      <c r="BW171">
        <v>3.3998899999999999E-2</v>
      </c>
      <c r="BX171">
        <v>2.2001799999999998E-2</v>
      </c>
      <c r="BY171">
        <v>3.4002600000000001E-2</v>
      </c>
      <c r="BZ171">
        <v>25</v>
      </c>
      <c r="CA171">
        <v>33528.199999999997</v>
      </c>
      <c r="CB171">
        <v>1690200769.5</v>
      </c>
      <c r="CC171" t="s">
        <v>332</v>
      </c>
      <c r="CD171">
        <v>1690200769.5</v>
      </c>
      <c r="CE171">
        <v>1690200753</v>
      </c>
      <c r="CF171">
        <v>2</v>
      </c>
      <c r="CG171">
        <v>-0.245</v>
      </c>
      <c r="CH171">
        <v>3.0000000000000001E-3</v>
      </c>
      <c r="CI171">
        <v>-1.5169999999999999</v>
      </c>
      <c r="CJ171">
        <v>-1.6E-2</v>
      </c>
      <c r="CK171">
        <v>778</v>
      </c>
      <c r="CL171">
        <v>12</v>
      </c>
      <c r="CM171">
        <v>0.01</v>
      </c>
      <c r="CN171">
        <v>0.03</v>
      </c>
      <c r="CO171">
        <v>-459.11190243902439</v>
      </c>
      <c r="CP171">
        <v>-3.349609756097252</v>
      </c>
      <c r="CQ171">
        <v>0.34106202889654391</v>
      </c>
      <c r="CR171">
        <v>-1</v>
      </c>
      <c r="CS171">
        <v>18.695599999999999</v>
      </c>
      <c r="CT171">
        <v>0.16205017421602069</v>
      </c>
      <c r="CU171">
        <v>1.6089187400845091E-2</v>
      </c>
      <c r="CV171">
        <v>-1</v>
      </c>
      <c r="CW171">
        <v>0</v>
      </c>
      <c r="CX171">
        <v>0</v>
      </c>
      <c r="CY171" t="s">
        <v>333</v>
      </c>
      <c r="CZ171">
        <v>2.3652199999999999</v>
      </c>
      <c r="DA171">
        <v>2.7137600000000002</v>
      </c>
      <c r="DB171">
        <v>7.92104E-2</v>
      </c>
      <c r="DC171">
        <v>0.146315</v>
      </c>
      <c r="DD171">
        <v>0.12865399999999999</v>
      </c>
      <c r="DE171">
        <v>5.8288699999999999E-2</v>
      </c>
      <c r="DF171">
        <v>33595.9</v>
      </c>
      <c r="DG171">
        <v>27446.1</v>
      </c>
      <c r="DH171">
        <v>31145.200000000001</v>
      </c>
      <c r="DI171">
        <v>28011.599999999999</v>
      </c>
      <c r="DJ171">
        <v>36819.5</v>
      </c>
      <c r="DK171">
        <v>37480.300000000003</v>
      </c>
      <c r="DL171">
        <v>44313</v>
      </c>
      <c r="DM171">
        <v>42420.2</v>
      </c>
      <c r="DN171">
        <v>1.44265</v>
      </c>
      <c r="DO171">
        <v>2.07315</v>
      </c>
      <c r="DP171">
        <v>0.138097</v>
      </c>
      <c r="DQ171">
        <v>0.17426900000000001</v>
      </c>
      <c r="DR171">
        <v>24.726099999999999</v>
      </c>
      <c r="DS171">
        <v>24.620200000000001</v>
      </c>
      <c r="DT171">
        <v>38.4</v>
      </c>
      <c r="DU171">
        <v>25.9</v>
      </c>
      <c r="DV171">
        <v>13.0105</v>
      </c>
      <c r="DW171">
        <v>61.675400000000003</v>
      </c>
      <c r="DX171">
        <v>36.959099999999999</v>
      </c>
      <c r="DY171">
        <v>1</v>
      </c>
      <c r="DZ171">
        <v>-0.15554399999999999</v>
      </c>
      <c r="EA171">
        <v>-1.8641100000000001E-2</v>
      </c>
      <c r="EB171">
        <v>20.192299999999999</v>
      </c>
      <c r="EC171">
        <v>5.2415500000000002</v>
      </c>
      <c r="ED171">
        <v>12.039899999999999</v>
      </c>
      <c r="EE171">
        <v>5.01755</v>
      </c>
      <c r="EF171">
        <v>3.2879999999999998</v>
      </c>
      <c r="EG171">
        <v>9999</v>
      </c>
      <c r="EH171">
        <v>9999</v>
      </c>
      <c r="EI171">
        <v>9999</v>
      </c>
      <c r="EJ171">
        <v>999.9</v>
      </c>
      <c r="EK171">
        <v>1.8688400000000001</v>
      </c>
      <c r="EL171">
        <v>1.8645</v>
      </c>
      <c r="EM171">
        <v>1.8690500000000001</v>
      </c>
      <c r="EN171">
        <v>1.8671199999999999</v>
      </c>
      <c r="EO171">
        <v>1.86328</v>
      </c>
      <c r="EP171">
        <v>1.8644400000000001</v>
      </c>
      <c r="EQ171">
        <v>1.87012</v>
      </c>
      <c r="ER171">
        <v>1.8693500000000001</v>
      </c>
      <c r="ES171">
        <v>0</v>
      </c>
      <c r="ET171">
        <v>0</v>
      </c>
      <c r="EU171">
        <v>0</v>
      </c>
      <c r="EV171">
        <v>0</v>
      </c>
      <c r="EW171" t="s">
        <v>334</v>
      </c>
      <c r="EX171" t="s">
        <v>335</v>
      </c>
      <c r="EY171" t="s">
        <v>336</v>
      </c>
      <c r="EZ171" t="s">
        <v>336</v>
      </c>
      <c r="FA171" t="s">
        <v>336</v>
      </c>
      <c r="FB171" t="s">
        <v>336</v>
      </c>
      <c r="FC171">
        <v>0</v>
      </c>
      <c r="FD171">
        <v>100</v>
      </c>
      <c r="FE171">
        <v>100</v>
      </c>
      <c r="FF171">
        <v>-1.2070000000000001</v>
      </c>
      <c r="FG171">
        <v>0.1782</v>
      </c>
      <c r="FH171">
        <v>-0.98020551812546231</v>
      </c>
      <c r="FI171">
        <v>-6.1462078757559423E-4</v>
      </c>
      <c r="FJ171">
        <v>-1.8861989874597051E-7</v>
      </c>
      <c r="FK171">
        <v>1.1980462299894961E-10</v>
      </c>
      <c r="FL171">
        <v>0.1782306200647516</v>
      </c>
      <c r="FM171">
        <v>0</v>
      </c>
      <c r="FN171">
        <v>0</v>
      </c>
      <c r="FO171">
        <v>0</v>
      </c>
      <c r="FP171">
        <v>3</v>
      </c>
      <c r="FQ171">
        <v>2158</v>
      </c>
      <c r="FR171">
        <v>1</v>
      </c>
      <c r="FS171">
        <v>19</v>
      </c>
      <c r="FT171">
        <v>27.8</v>
      </c>
      <c r="FU171">
        <v>28</v>
      </c>
      <c r="FV171">
        <v>1.7773399999999999</v>
      </c>
      <c r="FW171">
        <v>2.5463900000000002</v>
      </c>
      <c r="FX171">
        <v>1.5490699999999999</v>
      </c>
      <c r="FY171">
        <v>2.34131</v>
      </c>
      <c r="FZ171">
        <v>1.50146</v>
      </c>
      <c r="GA171">
        <v>2.3168899999999999</v>
      </c>
      <c r="GB171">
        <v>31.1722</v>
      </c>
      <c r="GC171">
        <v>23.982399999999998</v>
      </c>
      <c r="GD171">
        <v>19</v>
      </c>
      <c r="GE171">
        <v>265.654</v>
      </c>
      <c r="GF171">
        <v>604.70799999999997</v>
      </c>
      <c r="GG171">
        <v>24.15</v>
      </c>
      <c r="GH171">
        <v>25.4666</v>
      </c>
      <c r="GI171">
        <v>29.9998</v>
      </c>
      <c r="GJ171">
        <v>25.581800000000001</v>
      </c>
      <c r="GK171">
        <v>25.545000000000002</v>
      </c>
      <c r="GL171">
        <v>35.530999999999999</v>
      </c>
      <c r="GM171">
        <v>-30</v>
      </c>
      <c r="GN171">
        <v>-30</v>
      </c>
      <c r="GO171">
        <v>24.1783</v>
      </c>
      <c r="GP171">
        <v>800</v>
      </c>
      <c r="GQ171">
        <v>12.5298</v>
      </c>
      <c r="GR171">
        <v>99.638800000000003</v>
      </c>
      <c r="GS171">
        <v>99.268799999999999</v>
      </c>
    </row>
    <row r="172" spans="1:201" x14ac:dyDescent="0.25">
      <c r="A172">
        <v>156</v>
      </c>
      <c r="B172">
        <v>1690202445.5999999</v>
      </c>
      <c r="C172">
        <v>1598.599999904633</v>
      </c>
      <c r="D172" t="s">
        <v>645</v>
      </c>
      <c r="E172" t="s">
        <v>646</v>
      </c>
      <c r="F172" t="s">
        <v>330</v>
      </c>
      <c r="H172">
        <v>1690202445.5999999</v>
      </c>
      <c r="I172">
        <f t="shared" si="60"/>
        <v>1.7383690691052044E-3</v>
      </c>
      <c r="J172">
        <f t="shared" si="61"/>
        <v>1.7383690691052045</v>
      </c>
      <c r="K172">
        <f t="shared" si="62"/>
        <v>40.904239410833689</v>
      </c>
      <c r="L172">
        <f t="shared" si="63"/>
        <v>339.50700000000001</v>
      </c>
      <c r="M172">
        <f t="shared" si="64"/>
        <v>9.5407237531806235</v>
      </c>
      <c r="N172">
        <f t="shared" si="65"/>
        <v>0.94553673055752907</v>
      </c>
      <c r="O172">
        <f t="shared" si="66"/>
        <v>33.646958772323401</v>
      </c>
      <c r="P172">
        <f t="shared" si="67"/>
        <v>0.2093426944319218</v>
      </c>
      <c r="Q172">
        <f t="shared" si="68"/>
        <v>2.0807521419931216</v>
      </c>
      <c r="R172">
        <f t="shared" si="69"/>
        <v>0.19830602495195759</v>
      </c>
      <c r="S172">
        <f t="shared" si="70"/>
        <v>0.12488435716175086</v>
      </c>
      <c r="T172">
        <f t="shared" si="71"/>
        <v>276.11534073600006</v>
      </c>
      <c r="U172">
        <f t="shared" si="72"/>
        <v>27.40795049501661</v>
      </c>
      <c r="V172">
        <f t="shared" si="73"/>
        <v>27.40795049501661</v>
      </c>
      <c r="W172">
        <f t="shared" si="74"/>
        <v>3.6658182536923056</v>
      </c>
      <c r="X172">
        <f t="shared" si="75"/>
        <v>84.758761422343838</v>
      </c>
      <c r="Y172">
        <f t="shared" si="76"/>
        <v>2.8255033306966202</v>
      </c>
      <c r="Z172">
        <f t="shared" si="77"/>
        <v>3.3335826093746692</v>
      </c>
      <c r="AA172">
        <f t="shared" si="78"/>
        <v>0.84031492299568544</v>
      </c>
      <c r="AB172">
        <f t="shared" si="79"/>
        <v>-76.66207594753952</v>
      </c>
      <c r="AC172">
        <f t="shared" si="80"/>
        <v>-180.9143339422024</v>
      </c>
      <c r="AD172">
        <f t="shared" si="81"/>
        <v>-18.689567807697863</v>
      </c>
      <c r="AE172">
        <f t="shared" si="82"/>
        <v>-0.15063696143971583</v>
      </c>
      <c r="AF172">
        <v>13</v>
      </c>
      <c r="AG172">
        <v>4</v>
      </c>
      <c r="AH172">
        <f t="shared" si="83"/>
        <v>1</v>
      </c>
      <c r="AI172">
        <f t="shared" si="84"/>
        <v>0</v>
      </c>
      <c r="AJ172">
        <f t="shared" si="85"/>
        <v>52581.501688819029</v>
      </c>
      <c r="AK172">
        <f t="shared" si="86"/>
        <v>1800</v>
      </c>
      <c r="AL172">
        <f t="shared" si="87"/>
        <v>1499.1117245999999</v>
      </c>
      <c r="AM172">
        <f t="shared" si="88"/>
        <v>0.83283984699999991</v>
      </c>
      <c r="AN172">
        <f t="shared" si="89"/>
        <v>0.15339741152000003</v>
      </c>
      <c r="AO172">
        <v>33.299999999999997</v>
      </c>
      <c r="AP172">
        <v>0.5</v>
      </c>
      <c r="AQ172" t="s">
        <v>331</v>
      </c>
      <c r="AR172">
        <v>2</v>
      </c>
      <c r="AS172">
        <v>1690202445.5999999</v>
      </c>
      <c r="AT172">
        <v>339.50700000000001</v>
      </c>
      <c r="AU172">
        <v>799.93399999999997</v>
      </c>
      <c r="AV172">
        <v>28.510100000000001</v>
      </c>
      <c r="AW172">
        <v>9.7708899999999996</v>
      </c>
      <c r="AX172">
        <v>340.714</v>
      </c>
      <c r="AY172">
        <v>28.331900000000001</v>
      </c>
      <c r="AZ172">
        <v>300.10500000000002</v>
      </c>
      <c r="BA172">
        <v>99.005399999999995</v>
      </c>
      <c r="BB172">
        <v>9.9946199999999999E-2</v>
      </c>
      <c r="BC172">
        <v>25.795200000000001</v>
      </c>
      <c r="BD172">
        <v>26.970700000000001</v>
      </c>
      <c r="BE172">
        <v>27.461099999999998</v>
      </c>
      <c r="BF172">
        <v>0</v>
      </c>
      <c r="BG172">
        <v>0</v>
      </c>
      <c r="BH172">
        <v>10003.799999999999</v>
      </c>
      <c r="BI172">
        <v>1073.26</v>
      </c>
      <c r="BJ172">
        <v>1.28952</v>
      </c>
      <c r="BK172">
        <v>-460.42700000000002</v>
      </c>
      <c r="BL172">
        <v>349.471</v>
      </c>
      <c r="BM172">
        <v>807.827</v>
      </c>
      <c r="BN172">
        <v>18.7392</v>
      </c>
      <c r="BO172">
        <v>799.93399999999997</v>
      </c>
      <c r="BP172">
        <v>9.7708899999999996</v>
      </c>
      <c r="BQ172">
        <v>2.8226599999999999</v>
      </c>
      <c r="BR172">
        <v>0.96737099999999998</v>
      </c>
      <c r="BS172">
        <v>23.017199999999999</v>
      </c>
      <c r="BT172">
        <v>6.4340000000000002</v>
      </c>
      <c r="BU172">
        <v>1800</v>
      </c>
      <c r="BV172">
        <v>0.909999</v>
      </c>
      <c r="BW172">
        <v>3.3997899999999998E-2</v>
      </c>
      <c r="BX172">
        <v>2.2001099999999999E-2</v>
      </c>
      <c r="BY172">
        <v>3.40016E-2</v>
      </c>
      <c r="BZ172">
        <v>25</v>
      </c>
      <c r="CA172">
        <v>33528.300000000003</v>
      </c>
      <c r="CB172">
        <v>1690200769.5</v>
      </c>
      <c r="CC172" t="s">
        <v>332</v>
      </c>
      <c r="CD172">
        <v>1690200769.5</v>
      </c>
      <c r="CE172">
        <v>1690200753</v>
      </c>
      <c r="CF172">
        <v>2</v>
      </c>
      <c r="CG172">
        <v>-0.245</v>
      </c>
      <c r="CH172">
        <v>3.0000000000000001E-3</v>
      </c>
      <c r="CI172">
        <v>-1.5169999999999999</v>
      </c>
      <c r="CJ172">
        <v>-1.6E-2</v>
      </c>
      <c r="CK172">
        <v>778</v>
      </c>
      <c r="CL172">
        <v>12</v>
      </c>
      <c r="CM172">
        <v>0.01</v>
      </c>
      <c r="CN172">
        <v>0.03</v>
      </c>
      <c r="CO172">
        <v>-459.70819999999998</v>
      </c>
      <c r="CP172">
        <v>-4.3151819887428724</v>
      </c>
      <c r="CQ172">
        <v>0.41763645674198319</v>
      </c>
      <c r="CR172">
        <v>-1</v>
      </c>
      <c r="CS172">
        <v>18.717817499999999</v>
      </c>
      <c r="CT172">
        <v>0.11277410881794581</v>
      </c>
      <c r="CU172">
        <v>1.087834747330685E-2</v>
      </c>
      <c r="CV172">
        <v>-1</v>
      </c>
      <c r="CW172">
        <v>0</v>
      </c>
      <c r="CX172">
        <v>0</v>
      </c>
      <c r="CY172" t="s">
        <v>333</v>
      </c>
      <c r="CZ172">
        <v>2.3651300000000002</v>
      </c>
      <c r="DA172">
        <v>2.71374</v>
      </c>
      <c r="DB172">
        <v>7.9091800000000004E-2</v>
      </c>
      <c r="DC172">
        <v>0.14630899999999999</v>
      </c>
      <c r="DD172">
        <v>0.12864300000000001</v>
      </c>
      <c r="DE172">
        <v>5.8181700000000003E-2</v>
      </c>
      <c r="DF172">
        <v>33600</v>
      </c>
      <c r="DG172">
        <v>27447.3</v>
      </c>
      <c r="DH172">
        <v>31145</v>
      </c>
      <c r="DI172">
        <v>28012.7</v>
      </c>
      <c r="DJ172">
        <v>36819.9</v>
      </c>
      <c r="DK172">
        <v>37485.9</v>
      </c>
      <c r="DL172">
        <v>44312.9</v>
      </c>
      <c r="DM172">
        <v>42421.7</v>
      </c>
      <c r="DN172">
        <v>1.44295</v>
      </c>
      <c r="DO172">
        <v>2.0731000000000002</v>
      </c>
      <c r="DP172">
        <v>0.13724</v>
      </c>
      <c r="DQ172">
        <v>0.17356099999999999</v>
      </c>
      <c r="DR172">
        <v>24.722100000000001</v>
      </c>
      <c r="DS172">
        <v>24.618200000000002</v>
      </c>
      <c r="DT172">
        <v>37.799999999999997</v>
      </c>
      <c r="DU172">
        <v>25.9</v>
      </c>
      <c r="DV172">
        <v>12.808199999999999</v>
      </c>
      <c r="DW172">
        <v>61.815399999999997</v>
      </c>
      <c r="DX172">
        <v>36.682699999999997</v>
      </c>
      <c r="DY172">
        <v>1</v>
      </c>
      <c r="DZ172">
        <v>-0.155866</v>
      </c>
      <c r="EA172">
        <v>-4.1059400000000003E-2</v>
      </c>
      <c r="EB172">
        <v>20.1921</v>
      </c>
      <c r="EC172">
        <v>5.2416999999999998</v>
      </c>
      <c r="ED172">
        <v>12.039899999999999</v>
      </c>
      <c r="EE172">
        <v>5.0172499999999998</v>
      </c>
      <c r="EF172">
        <v>3.2879999999999998</v>
      </c>
      <c r="EG172">
        <v>9999</v>
      </c>
      <c r="EH172">
        <v>9999</v>
      </c>
      <c r="EI172">
        <v>9999</v>
      </c>
      <c r="EJ172">
        <v>999.9</v>
      </c>
      <c r="EK172">
        <v>1.8688100000000001</v>
      </c>
      <c r="EL172">
        <v>1.8645</v>
      </c>
      <c r="EM172">
        <v>1.8690500000000001</v>
      </c>
      <c r="EN172">
        <v>1.8671500000000001</v>
      </c>
      <c r="EO172">
        <v>1.86328</v>
      </c>
      <c r="EP172">
        <v>1.8644400000000001</v>
      </c>
      <c r="EQ172">
        <v>1.87012</v>
      </c>
      <c r="ER172">
        <v>1.8693500000000001</v>
      </c>
      <c r="ES172">
        <v>0</v>
      </c>
      <c r="ET172">
        <v>0</v>
      </c>
      <c r="EU172">
        <v>0</v>
      </c>
      <c r="EV172">
        <v>0</v>
      </c>
      <c r="EW172" t="s">
        <v>334</v>
      </c>
      <c r="EX172" t="s">
        <v>335</v>
      </c>
      <c r="EY172" t="s">
        <v>336</v>
      </c>
      <c r="EZ172" t="s">
        <v>336</v>
      </c>
      <c r="FA172" t="s">
        <v>336</v>
      </c>
      <c r="FB172" t="s">
        <v>336</v>
      </c>
      <c r="FC172">
        <v>0</v>
      </c>
      <c r="FD172">
        <v>100</v>
      </c>
      <c r="FE172">
        <v>100</v>
      </c>
      <c r="FF172">
        <v>-1.2070000000000001</v>
      </c>
      <c r="FG172">
        <v>0.1782</v>
      </c>
      <c r="FH172">
        <v>-0.98020551812546231</v>
      </c>
      <c r="FI172">
        <v>-6.1462078757559423E-4</v>
      </c>
      <c r="FJ172">
        <v>-1.8861989874597051E-7</v>
      </c>
      <c r="FK172">
        <v>1.1980462299894961E-10</v>
      </c>
      <c r="FL172">
        <v>0.1782306200647516</v>
      </c>
      <c r="FM172">
        <v>0</v>
      </c>
      <c r="FN172">
        <v>0</v>
      </c>
      <c r="FO172">
        <v>0</v>
      </c>
      <c r="FP172">
        <v>3</v>
      </c>
      <c r="FQ172">
        <v>2158</v>
      </c>
      <c r="FR172">
        <v>1</v>
      </c>
      <c r="FS172">
        <v>19</v>
      </c>
      <c r="FT172">
        <v>27.9</v>
      </c>
      <c r="FU172">
        <v>28.2</v>
      </c>
      <c r="FV172">
        <v>1.7773399999999999</v>
      </c>
      <c r="FW172">
        <v>2.5451700000000002</v>
      </c>
      <c r="FX172">
        <v>1.5490699999999999</v>
      </c>
      <c r="FY172">
        <v>2.34131</v>
      </c>
      <c r="FZ172">
        <v>1.50146</v>
      </c>
      <c r="GA172">
        <v>2.4072300000000002</v>
      </c>
      <c r="GB172">
        <v>31.150400000000001</v>
      </c>
      <c r="GC172">
        <v>23.991199999999999</v>
      </c>
      <c r="GD172">
        <v>19</v>
      </c>
      <c r="GE172">
        <v>265.78500000000003</v>
      </c>
      <c r="GF172">
        <v>604.68700000000001</v>
      </c>
      <c r="GG172">
        <v>24.1873</v>
      </c>
      <c r="GH172">
        <v>25.4666</v>
      </c>
      <c r="GI172">
        <v>29.9999</v>
      </c>
      <c r="GJ172">
        <v>25.584</v>
      </c>
      <c r="GK172">
        <v>25.546700000000001</v>
      </c>
      <c r="GL172">
        <v>35.534700000000001</v>
      </c>
      <c r="GM172">
        <v>-30</v>
      </c>
      <c r="GN172">
        <v>-30</v>
      </c>
      <c r="GO172">
        <v>24.205200000000001</v>
      </c>
      <c r="GP172">
        <v>800</v>
      </c>
      <c r="GQ172">
        <v>12.5298</v>
      </c>
      <c r="GR172">
        <v>99.638400000000004</v>
      </c>
      <c r="GS172">
        <v>99.272499999999994</v>
      </c>
    </row>
    <row r="173" spans="1:201" x14ac:dyDescent="0.25">
      <c r="A173">
        <v>157</v>
      </c>
      <c r="B173">
        <v>1690202455.5999999</v>
      </c>
      <c r="C173">
        <v>1608.599999904633</v>
      </c>
      <c r="D173" t="s">
        <v>647</v>
      </c>
      <c r="E173" t="s">
        <v>648</v>
      </c>
      <c r="F173" t="s">
        <v>330</v>
      </c>
      <c r="H173">
        <v>1690202455.5999999</v>
      </c>
      <c r="I173">
        <f t="shared" si="60"/>
        <v>1.7404764799103226E-3</v>
      </c>
      <c r="J173">
        <f t="shared" si="61"/>
        <v>1.7404764799103225</v>
      </c>
      <c r="K173">
        <f t="shared" si="62"/>
        <v>40.961025268065548</v>
      </c>
      <c r="L173">
        <f t="shared" si="63"/>
        <v>338.89</v>
      </c>
      <c r="M173">
        <f t="shared" si="64"/>
        <v>8.2240587566279437</v>
      </c>
      <c r="N173">
        <f t="shared" si="65"/>
        <v>0.81504666714907215</v>
      </c>
      <c r="O173">
        <f t="shared" si="66"/>
        <v>33.585748011289994</v>
      </c>
      <c r="P173">
        <f t="shared" si="67"/>
        <v>0.20918866054757243</v>
      </c>
      <c r="Q173">
        <f t="shared" si="68"/>
        <v>2.0775318931644562</v>
      </c>
      <c r="R173">
        <f t="shared" si="69"/>
        <v>0.1981516526383699</v>
      </c>
      <c r="S173">
        <f t="shared" si="70"/>
        <v>0.12478786608764079</v>
      </c>
      <c r="T173">
        <f t="shared" si="71"/>
        <v>276.115494996</v>
      </c>
      <c r="U173">
        <f t="shared" si="72"/>
        <v>27.417054887454587</v>
      </c>
      <c r="V173">
        <f t="shared" si="73"/>
        <v>27.417054887454587</v>
      </c>
      <c r="W173">
        <f t="shared" si="74"/>
        <v>3.6677729528305574</v>
      </c>
      <c r="X173">
        <f t="shared" si="75"/>
        <v>84.729351560964034</v>
      </c>
      <c r="Y173">
        <f t="shared" si="76"/>
        <v>2.8257953661091002</v>
      </c>
      <c r="Z173">
        <f t="shared" si="77"/>
        <v>3.3350843763697378</v>
      </c>
      <c r="AA173">
        <f t="shared" si="78"/>
        <v>0.84197758672145717</v>
      </c>
      <c r="AB173">
        <f t="shared" si="79"/>
        <v>-76.755012764045219</v>
      </c>
      <c r="AC173">
        <f t="shared" si="80"/>
        <v>-180.80284205961928</v>
      </c>
      <c r="AD173">
        <f t="shared" si="81"/>
        <v>-18.70856646644534</v>
      </c>
      <c r="AE173">
        <f t="shared" si="82"/>
        <v>-0.15092629410983704</v>
      </c>
      <c r="AF173">
        <v>13</v>
      </c>
      <c r="AG173">
        <v>4</v>
      </c>
      <c r="AH173">
        <f t="shared" si="83"/>
        <v>1</v>
      </c>
      <c r="AI173">
        <f t="shared" si="84"/>
        <v>0</v>
      </c>
      <c r="AJ173">
        <f t="shared" si="85"/>
        <v>52434.771891843462</v>
      </c>
      <c r="AK173">
        <f t="shared" si="86"/>
        <v>1800</v>
      </c>
      <c r="AL173">
        <f t="shared" si="87"/>
        <v>1499.1133895999999</v>
      </c>
      <c r="AM173">
        <f t="shared" si="88"/>
        <v>0.83284077199999995</v>
      </c>
      <c r="AN173">
        <f t="shared" si="89"/>
        <v>0.15339749722000001</v>
      </c>
      <c r="AO173">
        <v>33.299999999999997</v>
      </c>
      <c r="AP173">
        <v>0.5</v>
      </c>
      <c r="AQ173" t="s">
        <v>331</v>
      </c>
      <c r="AR173">
        <v>2</v>
      </c>
      <c r="AS173">
        <v>1690202455.5999999</v>
      </c>
      <c r="AT173">
        <v>338.89</v>
      </c>
      <c r="AU173">
        <v>799.98</v>
      </c>
      <c r="AV173">
        <v>28.513100000000001</v>
      </c>
      <c r="AW173">
        <v>9.7497299999999996</v>
      </c>
      <c r="AX173">
        <v>340.096</v>
      </c>
      <c r="AY173">
        <v>28.334900000000001</v>
      </c>
      <c r="AZ173">
        <v>300.08100000000002</v>
      </c>
      <c r="BA173">
        <v>99.005099999999999</v>
      </c>
      <c r="BB173">
        <v>0.100061</v>
      </c>
      <c r="BC173">
        <v>25.802800000000001</v>
      </c>
      <c r="BD173">
        <v>26.966899999999999</v>
      </c>
      <c r="BE173">
        <v>27.4604</v>
      </c>
      <c r="BF173">
        <v>0</v>
      </c>
      <c r="BG173">
        <v>0</v>
      </c>
      <c r="BH173">
        <v>9975</v>
      </c>
      <c r="BI173">
        <v>1073.2</v>
      </c>
      <c r="BJ173">
        <v>1.31755</v>
      </c>
      <c r="BK173">
        <v>-461.09</v>
      </c>
      <c r="BL173">
        <v>348.83600000000001</v>
      </c>
      <c r="BM173">
        <v>807.85599999999999</v>
      </c>
      <c r="BN173">
        <v>18.763400000000001</v>
      </c>
      <c r="BO173">
        <v>799.98</v>
      </c>
      <c r="BP173">
        <v>9.7497299999999996</v>
      </c>
      <c r="BQ173">
        <v>2.82294</v>
      </c>
      <c r="BR173">
        <v>0.96527300000000005</v>
      </c>
      <c r="BS173">
        <v>23.018899999999999</v>
      </c>
      <c r="BT173">
        <v>6.4024799999999997</v>
      </c>
      <c r="BU173">
        <v>1800</v>
      </c>
      <c r="BV173">
        <v>0.91000199999999998</v>
      </c>
      <c r="BW173">
        <v>3.3997100000000002E-2</v>
      </c>
      <c r="BX173">
        <v>2.2000599999999999E-2</v>
      </c>
      <c r="BY173">
        <v>3.4000799999999998E-2</v>
      </c>
      <c r="BZ173">
        <v>25</v>
      </c>
      <c r="CA173">
        <v>33528.300000000003</v>
      </c>
      <c r="CB173">
        <v>1690200769.5</v>
      </c>
      <c r="CC173" t="s">
        <v>332</v>
      </c>
      <c r="CD173">
        <v>1690200769.5</v>
      </c>
      <c r="CE173">
        <v>1690200753</v>
      </c>
      <c r="CF173">
        <v>2</v>
      </c>
      <c r="CG173">
        <v>-0.245</v>
      </c>
      <c r="CH173">
        <v>3.0000000000000001E-3</v>
      </c>
      <c r="CI173">
        <v>-1.5169999999999999</v>
      </c>
      <c r="CJ173">
        <v>-1.6E-2</v>
      </c>
      <c r="CK173">
        <v>778</v>
      </c>
      <c r="CL173">
        <v>12</v>
      </c>
      <c r="CM173">
        <v>0.01</v>
      </c>
      <c r="CN173">
        <v>0.03</v>
      </c>
      <c r="CO173">
        <v>-460.4113414634146</v>
      </c>
      <c r="CP173">
        <v>-4.0863763066209167</v>
      </c>
      <c r="CQ173">
        <v>0.40558795682294441</v>
      </c>
      <c r="CR173">
        <v>-1</v>
      </c>
      <c r="CS173">
        <v>18.73779268292683</v>
      </c>
      <c r="CT173">
        <v>0.1239951219512644</v>
      </c>
      <c r="CU173">
        <v>1.225798674919199E-2</v>
      </c>
      <c r="CV173">
        <v>-1</v>
      </c>
      <c r="CW173">
        <v>0</v>
      </c>
      <c r="CX173">
        <v>0</v>
      </c>
      <c r="CY173" t="s">
        <v>333</v>
      </c>
      <c r="CZ173">
        <v>2.36504</v>
      </c>
      <c r="DA173">
        <v>2.7138300000000002</v>
      </c>
      <c r="DB173">
        <v>7.8977900000000004E-2</v>
      </c>
      <c r="DC173">
        <v>0.146313</v>
      </c>
      <c r="DD173">
        <v>0.12865199999999999</v>
      </c>
      <c r="DE173">
        <v>5.8083999999999997E-2</v>
      </c>
      <c r="DF173">
        <v>33604.1</v>
      </c>
      <c r="DG173">
        <v>27447.5</v>
      </c>
      <c r="DH173">
        <v>31145</v>
      </c>
      <c r="DI173">
        <v>28013</v>
      </c>
      <c r="DJ173">
        <v>36819.599999999999</v>
      </c>
      <c r="DK173">
        <v>37490.199999999997</v>
      </c>
      <c r="DL173">
        <v>44313</v>
      </c>
      <c r="DM173">
        <v>42422.2</v>
      </c>
      <c r="DN173">
        <v>1.4428799999999999</v>
      </c>
      <c r="DO173">
        <v>2.0729500000000001</v>
      </c>
      <c r="DP173">
        <v>0.137016</v>
      </c>
      <c r="DQ173">
        <v>0.17352400000000001</v>
      </c>
      <c r="DR173">
        <v>24.722000000000001</v>
      </c>
      <c r="DS173">
        <v>24.618099999999998</v>
      </c>
      <c r="DT173">
        <v>37.299999999999997</v>
      </c>
      <c r="DU173">
        <v>25.9</v>
      </c>
      <c r="DV173">
        <v>12.637600000000001</v>
      </c>
      <c r="DW173">
        <v>61.505400000000002</v>
      </c>
      <c r="DX173">
        <v>36.542499999999997</v>
      </c>
      <c r="DY173">
        <v>1</v>
      </c>
      <c r="DZ173">
        <v>-0.15529999999999999</v>
      </c>
      <c r="EA173">
        <v>-4.8379600000000002E-2</v>
      </c>
      <c r="EB173">
        <v>20.1921</v>
      </c>
      <c r="EC173">
        <v>5.2418500000000003</v>
      </c>
      <c r="ED173">
        <v>12.039899999999999</v>
      </c>
      <c r="EE173">
        <v>5.0171999999999999</v>
      </c>
      <c r="EF173">
        <v>3.2879999999999998</v>
      </c>
      <c r="EG173">
        <v>9999</v>
      </c>
      <c r="EH173">
        <v>9999</v>
      </c>
      <c r="EI173">
        <v>9999</v>
      </c>
      <c r="EJ173">
        <v>999.9</v>
      </c>
      <c r="EK173">
        <v>1.8688</v>
      </c>
      <c r="EL173">
        <v>1.8645099999999999</v>
      </c>
      <c r="EM173">
        <v>1.8690500000000001</v>
      </c>
      <c r="EN173">
        <v>1.8671</v>
      </c>
      <c r="EO173">
        <v>1.8632899999999999</v>
      </c>
      <c r="EP173">
        <v>1.86443</v>
      </c>
      <c r="EQ173">
        <v>1.87012</v>
      </c>
      <c r="ER173">
        <v>1.8693500000000001</v>
      </c>
      <c r="ES173">
        <v>0</v>
      </c>
      <c r="ET173">
        <v>0</v>
      </c>
      <c r="EU173">
        <v>0</v>
      </c>
      <c r="EV173">
        <v>0</v>
      </c>
      <c r="EW173" t="s">
        <v>334</v>
      </c>
      <c r="EX173" t="s">
        <v>335</v>
      </c>
      <c r="EY173" t="s">
        <v>336</v>
      </c>
      <c r="EZ173" t="s">
        <v>336</v>
      </c>
      <c r="FA173" t="s">
        <v>336</v>
      </c>
      <c r="FB173" t="s">
        <v>336</v>
      </c>
      <c r="FC173">
        <v>0</v>
      </c>
      <c r="FD173">
        <v>100</v>
      </c>
      <c r="FE173">
        <v>100</v>
      </c>
      <c r="FF173">
        <v>-1.206</v>
      </c>
      <c r="FG173">
        <v>0.1782</v>
      </c>
      <c r="FH173">
        <v>-0.98020551812546231</v>
      </c>
      <c r="FI173">
        <v>-6.1462078757559423E-4</v>
      </c>
      <c r="FJ173">
        <v>-1.8861989874597051E-7</v>
      </c>
      <c r="FK173">
        <v>1.1980462299894961E-10</v>
      </c>
      <c r="FL173">
        <v>0.1782306200647516</v>
      </c>
      <c r="FM173">
        <v>0</v>
      </c>
      <c r="FN173">
        <v>0</v>
      </c>
      <c r="FO173">
        <v>0</v>
      </c>
      <c r="FP173">
        <v>3</v>
      </c>
      <c r="FQ173">
        <v>2158</v>
      </c>
      <c r="FR173">
        <v>1</v>
      </c>
      <c r="FS173">
        <v>19</v>
      </c>
      <c r="FT173">
        <v>28.1</v>
      </c>
      <c r="FU173">
        <v>28.4</v>
      </c>
      <c r="FV173">
        <v>1.7773399999999999</v>
      </c>
      <c r="FW173">
        <v>2.5476100000000002</v>
      </c>
      <c r="FX173">
        <v>1.5490699999999999</v>
      </c>
      <c r="FY173">
        <v>2.34131</v>
      </c>
      <c r="FZ173">
        <v>1.50146</v>
      </c>
      <c r="GA173">
        <v>2.2534200000000002</v>
      </c>
      <c r="GB173">
        <v>31.1722</v>
      </c>
      <c r="GC173">
        <v>23.982399999999998</v>
      </c>
      <c r="GD173">
        <v>19</v>
      </c>
      <c r="GE173">
        <v>265.75400000000002</v>
      </c>
      <c r="GF173">
        <v>604.58600000000001</v>
      </c>
      <c r="GG173">
        <v>24.217400000000001</v>
      </c>
      <c r="GH173">
        <v>25.468800000000002</v>
      </c>
      <c r="GI173">
        <v>30.000399999999999</v>
      </c>
      <c r="GJ173">
        <v>25.584</v>
      </c>
      <c r="GK173">
        <v>25.5488</v>
      </c>
      <c r="GL173">
        <v>35.531599999999997</v>
      </c>
      <c r="GM173">
        <v>-30</v>
      </c>
      <c r="GN173">
        <v>-30</v>
      </c>
      <c r="GO173">
        <v>24.23</v>
      </c>
      <c r="GP173">
        <v>800</v>
      </c>
      <c r="GQ173">
        <v>12.5298</v>
      </c>
      <c r="GR173">
        <v>99.638499999999993</v>
      </c>
      <c r="GS173">
        <v>99.273499999999999</v>
      </c>
    </row>
    <row r="174" spans="1:201" x14ac:dyDescent="0.25">
      <c r="A174">
        <v>158</v>
      </c>
      <c r="B174">
        <v>1690202465.5999999</v>
      </c>
      <c r="C174">
        <v>1618.599999904633</v>
      </c>
      <c r="D174" t="s">
        <v>649</v>
      </c>
      <c r="E174" t="s">
        <v>650</v>
      </c>
      <c r="F174" t="s">
        <v>330</v>
      </c>
      <c r="H174">
        <v>1690202465.5999999</v>
      </c>
      <c r="I174">
        <f t="shared" si="60"/>
        <v>1.7437573778523534E-3</v>
      </c>
      <c r="J174">
        <f t="shared" si="61"/>
        <v>1.7437573778523534</v>
      </c>
      <c r="K174">
        <f t="shared" si="62"/>
        <v>41.015531882391933</v>
      </c>
      <c r="L174">
        <f t="shared" si="63"/>
        <v>338.45299999999997</v>
      </c>
      <c r="M174">
        <f t="shared" si="64"/>
        <v>7.3827189403837661</v>
      </c>
      <c r="N174">
        <f t="shared" si="65"/>
        <v>0.73164488497416835</v>
      </c>
      <c r="O174">
        <f t="shared" si="66"/>
        <v>33.541491725985992</v>
      </c>
      <c r="P174">
        <f t="shared" si="67"/>
        <v>0.20920974845188017</v>
      </c>
      <c r="Q174">
        <f t="shared" si="68"/>
        <v>2.0770103308361012</v>
      </c>
      <c r="R174">
        <f t="shared" si="69"/>
        <v>0.19816796329910955</v>
      </c>
      <c r="S174">
        <f t="shared" si="70"/>
        <v>0.1247984522904534</v>
      </c>
      <c r="T174">
        <f t="shared" si="71"/>
        <v>276.11511343200004</v>
      </c>
      <c r="U174">
        <f t="shared" si="72"/>
        <v>27.428728734244324</v>
      </c>
      <c r="V174">
        <f t="shared" si="73"/>
        <v>27.428728734244324</v>
      </c>
      <c r="W174">
        <f t="shared" si="74"/>
        <v>3.6702806407857924</v>
      </c>
      <c r="X174">
        <f t="shared" si="75"/>
        <v>84.69747867007068</v>
      </c>
      <c r="Y174">
        <f t="shared" si="76"/>
        <v>2.8268255043966</v>
      </c>
      <c r="Z174">
        <f t="shared" si="77"/>
        <v>3.3375556731838203</v>
      </c>
      <c r="AA174">
        <f t="shared" si="78"/>
        <v>0.84345513638919245</v>
      </c>
      <c r="AB174">
        <f t="shared" si="79"/>
        <v>-76.899700363288787</v>
      </c>
      <c r="AC174">
        <f t="shared" si="80"/>
        <v>-180.66494253391656</v>
      </c>
      <c r="AD174">
        <f t="shared" si="81"/>
        <v>-18.701254699034955</v>
      </c>
      <c r="AE174">
        <f t="shared" si="82"/>
        <v>-0.15078416424026386</v>
      </c>
      <c r="AF174">
        <v>13</v>
      </c>
      <c r="AG174">
        <v>4</v>
      </c>
      <c r="AH174">
        <f t="shared" si="83"/>
        <v>1</v>
      </c>
      <c r="AI174">
        <f t="shared" si="84"/>
        <v>0</v>
      </c>
      <c r="AJ174">
        <f t="shared" si="85"/>
        <v>52408.998901314902</v>
      </c>
      <c r="AK174">
        <f t="shared" si="86"/>
        <v>1800</v>
      </c>
      <c r="AL174">
        <f t="shared" si="87"/>
        <v>1499.1127362</v>
      </c>
      <c r="AM174">
        <f t="shared" si="88"/>
        <v>0.832840409</v>
      </c>
      <c r="AN174">
        <f t="shared" si="89"/>
        <v>0.15339728524000001</v>
      </c>
      <c r="AO174">
        <v>33.299999999999997</v>
      </c>
      <c r="AP174">
        <v>0.5</v>
      </c>
      <c r="AQ174" t="s">
        <v>331</v>
      </c>
      <c r="AR174">
        <v>2</v>
      </c>
      <c r="AS174">
        <v>1690202465.5999999</v>
      </c>
      <c r="AT174">
        <v>338.45299999999997</v>
      </c>
      <c r="AU174">
        <v>800.02099999999996</v>
      </c>
      <c r="AV174">
        <v>28.5243</v>
      </c>
      <c r="AW174">
        <v>9.7310999999999996</v>
      </c>
      <c r="AX174">
        <v>339.65899999999999</v>
      </c>
      <c r="AY174">
        <v>28.346</v>
      </c>
      <c r="AZ174">
        <v>300.166</v>
      </c>
      <c r="BA174">
        <v>99.002300000000005</v>
      </c>
      <c r="BB174">
        <v>0.100062</v>
      </c>
      <c r="BC174">
        <v>25.815300000000001</v>
      </c>
      <c r="BD174">
        <v>26.990100000000002</v>
      </c>
      <c r="BE174">
        <v>27.45</v>
      </c>
      <c r="BF174">
        <v>0</v>
      </c>
      <c r="BG174">
        <v>0</v>
      </c>
      <c r="BH174">
        <v>9970.6200000000008</v>
      </c>
      <c r="BI174">
        <v>1073.22</v>
      </c>
      <c r="BJ174">
        <v>1.4409000000000001</v>
      </c>
      <c r="BK174">
        <v>-461.56900000000002</v>
      </c>
      <c r="BL174">
        <v>348.39</v>
      </c>
      <c r="BM174">
        <v>807.88300000000004</v>
      </c>
      <c r="BN174">
        <v>18.793099999999999</v>
      </c>
      <c r="BO174">
        <v>800.02099999999996</v>
      </c>
      <c r="BP174">
        <v>9.7310999999999996</v>
      </c>
      <c r="BQ174">
        <v>2.8239700000000001</v>
      </c>
      <c r="BR174">
        <v>0.96340099999999995</v>
      </c>
      <c r="BS174">
        <v>23.024799999999999</v>
      </c>
      <c r="BT174">
        <v>6.3743299999999996</v>
      </c>
      <c r="BU174">
        <v>1800</v>
      </c>
      <c r="BV174">
        <v>0.91000499999999995</v>
      </c>
      <c r="BW174">
        <v>3.3995600000000001E-2</v>
      </c>
      <c r="BX174">
        <v>2.1999700000000001E-2</v>
      </c>
      <c r="BY174">
        <v>3.3999399999999999E-2</v>
      </c>
      <c r="BZ174">
        <v>25</v>
      </c>
      <c r="CA174">
        <v>33528.5</v>
      </c>
      <c r="CB174">
        <v>1690200769.5</v>
      </c>
      <c r="CC174" t="s">
        <v>332</v>
      </c>
      <c r="CD174">
        <v>1690200769.5</v>
      </c>
      <c r="CE174">
        <v>1690200753</v>
      </c>
      <c r="CF174">
        <v>2</v>
      </c>
      <c r="CG174">
        <v>-0.245</v>
      </c>
      <c r="CH174">
        <v>3.0000000000000001E-3</v>
      </c>
      <c r="CI174">
        <v>-1.5169999999999999</v>
      </c>
      <c r="CJ174">
        <v>-1.6E-2</v>
      </c>
      <c r="CK174">
        <v>778</v>
      </c>
      <c r="CL174">
        <v>12</v>
      </c>
      <c r="CM174">
        <v>0.01</v>
      </c>
      <c r="CN174">
        <v>0.03</v>
      </c>
      <c r="CO174">
        <v>-461.04470731707312</v>
      </c>
      <c r="CP174">
        <v>-3.7766132404192541</v>
      </c>
      <c r="CQ174">
        <v>0.37696511088496187</v>
      </c>
      <c r="CR174">
        <v>-1</v>
      </c>
      <c r="CS174">
        <v>18.761790243902439</v>
      </c>
      <c r="CT174">
        <v>0.16336724738679509</v>
      </c>
      <c r="CU174">
        <v>1.6166282358859359E-2</v>
      </c>
      <c r="CV174">
        <v>-1</v>
      </c>
      <c r="CW174">
        <v>0</v>
      </c>
      <c r="CX174">
        <v>0</v>
      </c>
      <c r="CY174" t="s">
        <v>333</v>
      </c>
      <c r="CZ174">
        <v>2.3653400000000002</v>
      </c>
      <c r="DA174">
        <v>2.7138300000000002</v>
      </c>
      <c r="DB174">
        <v>7.8895000000000007E-2</v>
      </c>
      <c r="DC174">
        <v>0.146314</v>
      </c>
      <c r="DD174">
        <v>0.12868199999999999</v>
      </c>
      <c r="DE174">
        <v>5.7996800000000001E-2</v>
      </c>
      <c r="DF174">
        <v>33607.1</v>
      </c>
      <c r="DG174">
        <v>27447.4</v>
      </c>
      <c r="DH174">
        <v>31145</v>
      </c>
      <c r="DI174">
        <v>28013</v>
      </c>
      <c r="DJ174">
        <v>36818.300000000003</v>
      </c>
      <c r="DK174">
        <v>37494</v>
      </c>
      <c r="DL174">
        <v>44313</v>
      </c>
      <c r="DM174">
        <v>42422.5</v>
      </c>
      <c r="DN174">
        <v>1.44292</v>
      </c>
      <c r="DO174">
        <v>2.0727000000000002</v>
      </c>
      <c r="DP174">
        <v>0.138432</v>
      </c>
      <c r="DQ174">
        <v>0.17289099999999999</v>
      </c>
      <c r="DR174">
        <v>24.722000000000001</v>
      </c>
      <c r="DS174">
        <v>24.618099999999998</v>
      </c>
      <c r="DT174">
        <v>36.9</v>
      </c>
      <c r="DU174">
        <v>25.9</v>
      </c>
      <c r="DV174">
        <v>12.5009</v>
      </c>
      <c r="DW174">
        <v>61.795400000000001</v>
      </c>
      <c r="DX174">
        <v>35.997599999999998</v>
      </c>
      <c r="DY174">
        <v>1</v>
      </c>
      <c r="DZ174">
        <v>-0.15576999999999999</v>
      </c>
      <c r="EA174">
        <v>-6.1348E-2</v>
      </c>
      <c r="EB174">
        <v>20.1922</v>
      </c>
      <c r="EC174">
        <v>5.2413999999999996</v>
      </c>
      <c r="ED174">
        <v>12.039899999999999</v>
      </c>
      <c r="EE174">
        <v>5.0173500000000004</v>
      </c>
      <c r="EF174">
        <v>3.2879999999999998</v>
      </c>
      <c r="EG174">
        <v>9999</v>
      </c>
      <c r="EH174">
        <v>9999</v>
      </c>
      <c r="EI174">
        <v>9999</v>
      </c>
      <c r="EJ174">
        <v>999.9</v>
      </c>
      <c r="EK174">
        <v>1.8688</v>
      </c>
      <c r="EL174">
        <v>1.8644799999999999</v>
      </c>
      <c r="EM174">
        <v>1.8690500000000001</v>
      </c>
      <c r="EN174">
        <v>1.86713</v>
      </c>
      <c r="EO174">
        <v>1.8632899999999999</v>
      </c>
      <c r="EP174">
        <v>1.86443</v>
      </c>
      <c r="EQ174">
        <v>1.87012</v>
      </c>
      <c r="ER174">
        <v>1.8693500000000001</v>
      </c>
      <c r="ES174">
        <v>0</v>
      </c>
      <c r="ET174">
        <v>0</v>
      </c>
      <c r="EU174">
        <v>0</v>
      </c>
      <c r="EV174">
        <v>0</v>
      </c>
      <c r="EW174" t="s">
        <v>334</v>
      </c>
      <c r="EX174" t="s">
        <v>335</v>
      </c>
      <c r="EY174" t="s">
        <v>336</v>
      </c>
      <c r="EZ174" t="s">
        <v>336</v>
      </c>
      <c r="FA174" t="s">
        <v>336</v>
      </c>
      <c r="FB174" t="s">
        <v>336</v>
      </c>
      <c r="FC174">
        <v>0</v>
      </c>
      <c r="FD174">
        <v>100</v>
      </c>
      <c r="FE174">
        <v>100</v>
      </c>
      <c r="FF174">
        <v>-1.206</v>
      </c>
      <c r="FG174">
        <v>0.17829999999999999</v>
      </c>
      <c r="FH174">
        <v>-0.98020551812546231</v>
      </c>
      <c r="FI174">
        <v>-6.1462078757559423E-4</v>
      </c>
      <c r="FJ174">
        <v>-1.8861989874597051E-7</v>
      </c>
      <c r="FK174">
        <v>1.1980462299894961E-10</v>
      </c>
      <c r="FL174">
        <v>0.1782306200647516</v>
      </c>
      <c r="FM174">
        <v>0</v>
      </c>
      <c r="FN174">
        <v>0</v>
      </c>
      <c r="FO174">
        <v>0</v>
      </c>
      <c r="FP174">
        <v>3</v>
      </c>
      <c r="FQ174">
        <v>2158</v>
      </c>
      <c r="FR174">
        <v>1</v>
      </c>
      <c r="FS174">
        <v>19</v>
      </c>
      <c r="FT174">
        <v>28.3</v>
      </c>
      <c r="FU174">
        <v>28.5</v>
      </c>
      <c r="FV174">
        <v>1.7773399999999999</v>
      </c>
      <c r="FW174">
        <v>2.5500500000000001</v>
      </c>
      <c r="FX174">
        <v>1.5490699999999999</v>
      </c>
      <c r="FY174">
        <v>2.34131</v>
      </c>
      <c r="FZ174">
        <v>1.50146</v>
      </c>
      <c r="GA174">
        <v>2.34131</v>
      </c>
      <c r="GB174">
        <v>31.193899999999999</v>
      </c>
      <c r="GC174">
        <v>23.982399999999998</v>
      </c>
      <c r="GD174">
        <v>19</v>
      </c>
      <c r="GE174">
        <v>265.78399999999999</v>
      </c>
      <c r="GF174">
        <v>604.37400000000002</v>
      </c>
      <c r="GG174">
        <v>24.242999999999999</v>
      </c>
      <c r="GH174">
        <v>25.468800000000002</v>
      </c>
      <c r="GI174">
        <v>30.0001</v>
      </c>
      <c r="GJ174">
        <v>25.586200000000002</v>
      </c>
      <c r="GK174">
        <v>25.5488</v>
      </c>
      <c r="GL174">
        <v>35.531999999999996</v>
      </c>
      <c r="GM174">
        <v>-30</v>
      </c>
      <c r="GN174">
        <v>-30</v>
      </c>
      <c r="GO174">
        <v>24.246500000000001</v>
      </c>
      <c r="GP174">
        <v>800</v>
      </c>
      <c r="GQ174">
        <v>12.5298</v>
      </c>
      <c r="GR174">
        <v>99.638400000000004</v>
      </c>
      <c r="GS174">
        <v>99.273899999999998</v>
      </c>
    </row>
    <row r="175" spans="1:201" x14ac:dyDescent="0.25">
      <c r="A175">
        <v>159</v>
      </c>
      <c r="B175">
        <v>1690202475.5999999</v>
      </c>
      <c r="C175">
        <v>1628.599999904633</v>
      </c>
      <c r="D175" t="s">
        <v>651</v>
      </c>
      <c r="E175" t="s">
        <v>652</v>
      </c>
      <c r="F175" t="s">
        <v>330</v>
      </c>
      <c r="H175">
        <v>1690202475.5999999</v>
      </c>
      <c r="I175">
        <f t="shared" si="60"/>
        <v>1.7451230334451172E-3</v>
      </c>
      <c r="J175">
        <f t="shared" si="61"/>
        <v>1.7451230334451173</v>
      </c>
      <c r="K175">
        <f t="shared" si="62"/>
        <v>41.078850091920231</v>
      </c>
      <c r="L175">
        <f t="shared" si="63"/>
        <v>337.726</v>
      </c>
      <c r="M175">
        <f t="shared" si="64"/>
        <v>7.1467714465907992</v>
      </c>
      <c r="N175">
        <f t="shared" si="65"/>
        <v>0.7082573499508078</v>
      </c>
      <c r="O175">
        <f t="shared" si="66"/>
        <v>33.469227826445994</v>
      </c>
      <c r="P175">
        <f t="shared" si="67"/>
        <v>0.20986015508817546</v>
      </c>
      <c r="Q175">
        <f t="shared" si="68"/>
        <v>2.0787512193964899</v>
      </c>
      <c r="R175">
        <f t="shared" si="69"/>
        <v>0.19876034030409112</v>
      </c>
      <c r="S175">
        <f t="shared" si="70"/>
        <v>0.12517354154864743</v>
      </c>
      <c r="T175">
        <f t="shared" si="71"/>
        <v>276.11491622400001</v>
      </c>
      <c r="U175">
        <f t="shared" si="72"/>
        <v>27.419425719516404</v>
      </c>
      <c r="V175">
        <f t="shared" si="73"/>
        <v>27.419425719516404</v>
      </c>
      <c r="W175">
        <f t="shared" si="74"/>
        <v>3.668282116103597</v>
      </c>
      <c r="X175">
        <f t="shared" si="75"/>
        <v>84.731221112311204</v>
      </c>
      <c r="Y175">
        <f t="shared" si="76"/>
        <v>2.8266783880829998</v>
      </c>
      <c r="Z175">
        <f t="shared" si="77"/>
        <v>3.3360529341790537</v>
      </c>
      <c r="AA175">
        <f t="shared" si="78"/>
        <v>0.84160372802059724</v>
      </c>
      <c r="AB175">
        <f t="shared" si="79"/>
        <v>-76.959925774929673</v>
      </c>
      <c r="AC175">
        <f t="shared" si="80"/>
        <v>-180.62551429915968</v>
      </c>
      <c r="AD175">
        <f t="shared" si="81"/>
        <v>-18.679933958028361</v>
      </c>
      <c r="AE175">
        <f t="shared" si="82"/>
        <v>-0.15045780811769305</v>
      </c>
      <c r="AF175">
        <v>13</v>
      </c>
      <c r="AG175">
        <v>4</v>
      </c>
      <c r="AH175">
        <f t="shared" si="83"/>
        <v>1</v>
      </c>
      <c r="AI175">
        <f t="shared" si="84"/>
        <v>0</v>
      </c>
      <c r="AJ175">
        <f t="shared" si="85"/>
        <v>52488.854695634276</v>
      </c>
      <c r="AK175">
        <f t="shared" si="86"/>
        <v>1800</v>
      </c>
      <c r="AL175">
        <f t="shared" si="87"/>
        <v>1499.1128873999999</v>
      </c>
      <c r="AM175">
        <f t="shared" si="88"/>
        <v>0.83284049299999996</v>
      </c>
      <c r="AN175">
        <f t="shared" si="89"/>
        <v>0.15339717568</v>
      </c>
      <c r="AO175">
        <v>33.299999999999997</v>
      </c>
      <c r="AP175">
        <v>0.5</v>
      </c>
      <c r="AQ175" t="s">
        <v>331</v>
      </c>
      <c r="AR175">
        <v>2</v>
      </c>
      <c r="AS175">
        <v>1690202475.5999999</v>
      </c>
      <c r="AT175">
        <v>337.726</v>
      </c>
      <c r="AU175">
        <v>800.02599999999995</v>
      </c>
      <c r="AV175">
        <v>28.523</v>
      </c>
      <c r="AW175">
        <v>9.7134900000000002</v>
      </c>
      <c r="AX175">
        <v>338.93099999999998</v>
      </c>
      <c r="AY175">
        <v>28.344799999999999</v>
      </c>
      <c r="AZ175">
        <v>300.14100000000002</v>
      </c>
      <c r="BA175">
        <v>99.0017</v>
      </c>
      <c r="BB175">
        <v>0.100021</v>
      </c>
      <c r="BC175">
        <v>25.807700000000001</v>
      </c>
      <c r="BD175">
        <v>26.995000000000001</v>
      </c>
      <c r="BE175">
        <v>27.4558</v>
      </c>
      <c r="BF175">
        <v>0</v>
      </c>
      <c r="BG175">
        <v>0</v>
      </c>
      <c r="BH175">
        <v>9986.25</v>
      </c>
      <c r="BI175">
        <v>1073.21</v>
      </c>
      <c r="BJ175">
        <v>1.4577199999999999</v>
      </c>
      <c r="BK175">
        <v>-462.3</v>
      </c>
      <c r="BL175">
        <v>347.64100000000002</v>
      </c>
      <c r="BM175">
        <v>807.87300000000005</v>
      </c>
      <c r="BN175">
        <v>18.8095</v>
      </c>
      <c r="BO175">
        <v>800.02599999999995</v>
      </c>
      <c r="BP175">
        <v>9.7134900000000002</v>
      </c>
      <c r="BQ175">
        <v>2.8238300000000001</v>
      </c>
      <c r="BR175">
        <v>0.96165299999999998</v>
      </c>
      <c r="BS175">
        <v>23.024100000000001</v>
      </c>
      <c r="BT175">
        <v>6.3479700000000001</v>
      </c>
      <c r="BU175">
        <v>1800</v>
      </c>
      <c r="BV175">
        <v>0.91000800000000004</v>
      </c>
      <c r="BW175">
        <v>3.3994400000000001E-2</v>
      </c>
      <c r="BX175">
        <v>2.1998899999999998E-2</v>
      </c>
      <c r="BY175">
        <v>3.3998199999999999E-2</v>
      </c>
      <c r="BZ175">
        <v>25</v>
      </c>
      <c r="CA175">
        <v>33528.400000000001</v>
      </c>
      <c r="CB175">
        <v>1690200769.5</v>
      </c>
      <c r="CC175" t="s">
        <v>332</v>
      </c>
      <c r="CD175">
        <v>1690200769.5</v>
      </c>
      <c r="CE175">
        <v>1690200753</v>
      </c>
      <c r="CF175">
        <v>2</v>
      </c>
      <c r="CG175">
        <v>-0.245</v>
      </c>
      <c r="CH175">
        <v>3.0000000000000001E-3</v>
      </c>
      <c r="CI175">
        <v>-1.5169999999999999</v>
      </c>
      <c r="CJ175">
        <v>-1.6E-2</v>
      </c>
      <c r="CK175">
        <v>778</v>
      </c>
      <c r="CL175">
        <v>12</v>
      </c>
      <c r="CM175">
        <v>0.01</v>
      </c>
      <c r="CN175">
        <v>0.03</v>
      </c>
      <c r="CO175">
        <v>-461.5634</v>
      </c>
      <c r="CP175">
        <v>-3.0482701688560661</v>
      </c>
      <c r="CQ175">
        <v>0.29885898012273321</v>
      </c>
      <c r="CR175">
        <v>-1</v>
      </c>
      <c r="CS175">
        <v>18.78633</v>
      </c>
      <c r="CT175">
        <v>0.1394251407128797</v>
      </c>
      <c r="CU175">
        <v>1.3619676941836649E-2</v>
      </c>
      <c r="CV175">
        <v>-1</v>
      </c>
      <c r="CW175">
        <v>0</v>
      </c>
      <c r="CX175">
        <v>0</v>
      </c>
      <c r="CY175" t="s">
        <v>333</v>
      </c>
      <c r="CZ175">
        <v>2.3652299999999999</v>
      </c>
      <c r="DA175">
        <v>2.7138</v>
      </c>
      <c r="DB175">
        <v>7.87606E-2</v>
      </c>
      <c r="DC175">
        <v>0.146313</v>
      </c>
      <c r="DD175">
        <v>0.12867799999999999</v>
      </c>
      <c r="DE175">
        <v>5.79152E-2</v>
      </c>
      <c r="DF175">
        <v>33611.599999999999</v>
      </c>
      <c r="DG175">
        <v>27447.8</v>
      </c>
      <c r="DH175">
        <v>31144.6</v>
      </c>
      <c r="DI175">
        <v>28013.3</v>
      </c>
      <c r="DJ175">
        <v>36818.1</v>
      </c>
      <c r="DK175">
        <v>37497.699999999997</v>
      </c>
      <c r="DL175">
        <v>44312.6</v>
      </c>
      <c r="DM175">
        <v>42423</v>
      </c>
      <c r="DN175">
        <v>1.44302</v>
      </c>
      <c r="DO175">
        <v>2.0728499999999999</v>
      </c>
      <c r="DP175">
        <v>0.13872999999999999</v>
      </c>
      <c r="DQ175">
        <v>0.173151</v>
      </c>
      <c r="DR175">
        <v>24.722000000000001</v>
      </c>
      <c r="DS175">
        <v>24.619599999999998</v>
      </c>
      <c r="DT175">
        <v>36.5</v>
      </c>
      <c r="DU175">
        <v>25.9</v>
      </c>
      <c r="DV175">
        <v>12.3666</v>
      </c>
      <c r="DW175">
        <v>61.965400000000002</v>
      </c>
      <c r="DX175">
        <v>35.929499999999997</v>
      </c>
      <c r="DY175">
        <v>1</v>
      </c>
      <c r="DZ175">
        <v>-0.15540399999999999</v>
      </c>
      <c r="EA175">
        <v>-1.43328E-2</v>
      </c>
      <c r="EB175">
        <v>20.192399999999999</v>
      </c>
      <c r="EC175">
        <v>5.2416999999999998</v>
      </c>
      <c r="ED175">
        <v>12.039899999999999</v>
      </c>
      <c r="EE175">
        <v>5.0170000000000003</v>
      </c>
      <c r="EF175">
        <v>3.2879999999999998</v>
      </c>
      <c r="EG175">
        <v>9999</v>
      </c>
      <c r="EH175">
        <v>9999</v>
      </c>
      <c r="EI175">
        <v>9999</v>
      </c>
      <c r="EJ175">
        <v>999.9</v>
      </c>
      <c r="EK175">
        <v>1.8688400000000001</v>
      </c>
      <c r="EL175">
        <v>1.86449</v>
      </c>
      <c r="EM175">
        <v>1.8690500000000001</v>
      </c>
      <c r="EN175">
        <v>1.86711</v>
      </c>
      <c r="EO175">
        <v>1.8633</v>
      </c>
      <c r="EP175">
        <v>1.8644000000000001</v>
      </c>
      <c r="EQ175">
        <v>1.87012</v>
      </c>
      <c r="ER175">
        <v>1.8693500000000001</v>
      </c>
      <c r="ES175">
        <v>0</v>
      </c>
      <c r="ET175">
        <v>0</v>
      </c>
      <c r="EU175">
        <v>0</v>
      </c>
      <c r="EV175">
        <v>0</v>
      </c>
      <c r="EW175" t="s">
        <v>334</v>
      </c>
      <c r="EX175" t="s">
        <v>335</v>
      </c>
      <c r="EY175" t="s">
        <v>336</v>
      </c>
      <c r="EZ175" t="s">
        <v>336</v>
      </c>
      <c r="FA175" t="s">
        <v>336</v>
      </c>
      <c r="FB175" t="s">
        <v>336</v>
      </c>
      <c r="FC175">
        <v>0</v>
      </c>
      <c r="FD175">
        <v>100</v>
      </c>
      <c r="FE175">
        <v>100</v>
      </c>
      <c r="FF175">
        <v>-1.2050000000000001</v>
      </c>
      <c r="FG175">
        <v>0.1782</v>
      </c>
      <c r="FH175">
        <v>-0.98020551812546231</v>
      </c>
      <c r="FI175">
        <v>-6.1462078757559423E-4</v>
      </c>
      <c r="FJ175">
        <v>-1.8861989874597051E-7</v>
      </c>
      <c r="FK175">
        <v>1.1980462299894961E-10</v>
      </c>
      <c r="FL175">
        <v>0.1782306200647516</v>
      </c>
      <c r="FM175">
        <v>0</v>
      </c>
      <c r="FN175">
        <v>0</v>
      </c>
      <c r="FO175">
        <v>0</v>
      </c>
      <c r="FP175">
        <v>3</v>
      </c>
      <c r="FQ175">
        <v>2158</v>
      </c>
      <c r="FR175">
        <v>1</v>
      </c>
      <c r="FS175">
        <v>19</v>
      </c>
      <c r="FT175">
        <v>28.4</v>
      </c>
      <c r="FU175">
        <v>28.7</v>
      </c>
      <c r="FV175">
        <v>1.7773399999999999</v>
      </c>
      <c r="FW175">
        <v>2.5427200000000001</v>
      </c>
      <c r="FX175">
        <v>1.5490699999999999</v>
      </c>
      <c r="FY175">
        <v>2.34131</v>
      </c>
      <c r="FZ175">
        <v>1.50146</v>
      </c>
      <c r="GA175">
        <v>2.3645</v>
      </c>
      <c r="GB175">
        <v>31.193899999999999</v>
      </c>
      <c r="GC175">
        <v>23.982399999999998</v>
      </c>
      <c r="GD175">
        <v>19</v>
      </c>
      <c r="GE175">
        <v>265.82400000000001</v>
      </c>
      <c r="GF175">
        <v>604.52599999999995</v>
      </c>
      <c r="GG175">
        <v>24.2546</v>
      </c>
      <c r="GH175">
        <v>25.471</v>
      </c>
      <c r="GI175">
        <v>30.000299999999999</v>
      </c>
      <c r="GJ175">
        <v>25.586200000000002</v>
      </c>
      <c r="GK175">
        <v>25.550899999999999</v>
      </c>
      <c r="GL175">
        <v>35.532899999999998</v>
      </c>
      <c r="GM175">
        <v>-30</v>
      </c>
      <c r="GN175">
        <v>-30</v>
      </c>
      <c r="GO175">
        <v>24.215499999999999</v>
      </c>
      <c r="GP175">
        <v>800</v>
      </c>
      <c r="GQ175">
        <v>12.5298</v>
      </c>
      <c r="GR175">
        <v>99.637500000000003</v>
      </c>
      <c r="GS175">
        <v>99.275099999999995</v>
      </c>
    </row>
    <row r="176" spans="1:201" x14ac:dyDescent="0.25">
      <c r="A176">
        <v>160</v>
      </c>
      <c r="B176">
        <v>1690202485.5999999</v>
      </c>
      <c r="C176">
        <v>1638.599999904633</v>
      </c>
      <c r="D176" t="s">
        <v>653</v>
      </c>
      <c r="E176" t="s">
        <v>654</v>
      </c>
      <c r="F176" t="s">
        <v>330</v>
      </c>
      <c r="H176">
        <v>1690202485.5999999</v>
      </c>
      <c r="I176">
        <f t="shared" si="60"/>
        <v>1.7477393600171195E-3</v>
      </c>
      <c r="J176">
        <f t="shared" si="61"/>
        <v>1.7477393600171196</v>
      </c>
      <c r="K176">
        <f t="shared" si="62"/>
        <v>41.139070728446832</v>
      </c>
      <c r="L176">
        <f t="shared" si="63"/>
        <v>337.10500000000002</v>
      </c>
      <c r="M176">
        <f t="shared" si="64"/>
        <v>6.8300790572218153</v>
      </c>
      <c r="N176">
        <f t="shared" si="65"/>
        <v>0.67686875063230922</v>
      </c>
      <c r="O176">
        <f t="shared" si="66"/>
        <v>33.407496204695001</v>
      </c>
      <c r="P176">
        <f t="shared" si="67"/>
        <v>0.21035727687189806</v>
      </c>
      <c r="Q176">
        <f t="shared" si="68"/>
        <v>2.0836891823447363</v>
      </c>
      <c r="R176">
        <f t="shared" si="69"/>
        <v>0.19923123791493197</v>
      </c>
      <c r="S176">
        <f t="shared" si="70"/>
        <v>0.12547009336232923</v>
      </c>
      <c r="T176">
        <f t="shared" si="71"/>
        <v>276.11496394199997</v>
      </c>
      <c r="U176">
        <f t="shared" si="72"/>
        <v>27.41992212926046</v>
      </c>
      <c r="V176">
        <f t="shared" si="73"/>
        <v>27.41992212926046</v>
      </c>
      <c r="W176">
        <f t="shared" si="74"/>
        <v>3.668388733577673</v>
      </c>
      <c r="X176">
        <f t="shared" si="75"/>
        <v>84.731978408037975</v>
      </c>
      <c r="Y176">
        <f t="shared" si="76"/>
        <v>2.8275245382402998</v>
      </c>
      <c r="Z176">
        <f t="shared" si="77"/>
        <v>3.3370217376773428</v>
      </c>
      <c r="AA176">
        <f t="shared" si="78"/>
        <v>0.84086419533737322</v>
      </c>
      <c r="AB176">
        <f t="shared" si="79"/>
        <v>-77.075305776754973</v>
      </c>
      <c r="AC176">
        <f t="shared" si="80"/>
        <v>-180.55989954077083</v>
      </c>
      <c r="AD176">
        <f t="shared" si="81"/>
        <v>-18.629398817926795</v>
      </c>
      <c r="AE176">
        <f t="shared" si="82"/>
        <v>-0.14964019345265456</v>
      </c>
      <c r="AF176">
        <v>13</v>
      </c>
      <c r="AG176">
        <v>4</v>
      </c>
      <c r="AH176">
        <f t="shared" si="83"/>
        <v>1</v>
      </c>
      <c r="AI176">
        <f t="shared" si="84"/>
        <v>0</v>
      </c>
      <c r="AJ176">
        <f t="shared" si="85"/>
        <v>52711.184187903775</v>
      </c>
      <c r="AK176">
        <f t="shared" si="86"/>
        <v>1800</v>
      </c>
      <c r="AL176">
        <f t="shared" si="87"/>
        <v>1499.1134291999997</v>
      </c>
      <c r="AM176">
        <f t="shared" si="88"/>
        <v>0.83284079399999988</v>
      </c>
      <c r="AN176">
        <f t="shared" si="89"/>
        <v>0.15339720218999997</v>
      </c>
      <c r="AO176">
        <v>33.299999999999997</v>
      </c>
      <c r="AP176">
        <v>0.5</v>
      </c>
      <c r="AQ176" t="s">
        <v>331</v>
      </c>
      <c r="AR176">
        <v>2</v>
      </c>
      <c r="AS176">
        <v>1690202485.5999999</v>
      </c>
      <c r="AT176">
        <v>337.10500000000002</v>
      </c>
      <c r="AU176">
        <v>800.02</v>
      </c>
      <c r="AV176">
        <v>28.531700000000001</v>
      </c>
      <c r="AW176">
        <v>9.6962299999999999</v>
      </c>
      <c r="AX176">
        <v>338.31</v>
      </c>
      <c r="AY176">
        <v>28.3535</v>
      </c>
      <c r="AZ176">
        <v>300.17399999999998</v>
      </c>
      <c r="BA176">
        <v>99.001099999999994</v>
      </c>
      <c r="BB176">
        <v>0.100059</v>
      </c>
      <c r="BC176">
        <v>25.8126</v>
      </c>
      <c r="BD176">
        <v>26.974299999999999</v>
      </c>
      <c r="BE176">
        <v>27.460899999999999</v>
      </c>
      <c r="BF176">
        <v>0</v>
      </c>
      <c r="BG176">
        <v>0</v>
      </c>
      <c r="BH176">
        <v>10030.6</v>
      </c>
      <c r="BI176">
        <v>1073.29</v>
      </c>
      <c r="BJ176">
        <v>1.4577199999999999</v>
      </c>
      <c r="BK176">
        <v>-462.91500000000002</v>
      </c>
      <c r="BL176">
        <v>347.00599999999997</v>
      </c>
      <c r="BM176">
        <v>807.85299999999995</v>
      </c>
      <c r="BN176">
        <v>18.8355</v>
      </c>
      <c r="BO176">
        <v>800.02</v>
      </c>
      <c r="BP176">
        <v>9.6962299999999999</v>
      </c>
      <c r="BQ176">
        <v>2.8246699999999998</v>
      </c>
      <c r="BR176">
        <v>0.95993799999999996</v>
      </c>
      <c r="BS176">
        <v>23.029</v>
      </c>
      <c r="BT176">
        <v>6.3220900000000002</v>
      </c>
      <c r="BU176">
        <v>1800</v>
      </c>
      <c r="BV176">
        <v>0.91000899999999996</v>
      </c>
      <c r="BW176">
        <v>3.3994200000000002E-2</v>
      </c>
      <c r="BX176">
        <v>2.19987E-2</v>
      </c>
      <c r="BY176">
        <v>3.3997899999999998E-2</v>
      </c>
      <c r="BZ176">
        <v>25</v>
      </c>
      <c r="CA176">
        <v>33528.5</v>
      </c>
      <c r="CB176">
        <v>1690200769.5</v>
      </c>
      <c r="CC176" t="s">
        <v>332</v>
      </c>
      <c r="CD176">
        <v>1690200769.5</v>
      </c>
      <c r="CE176">
        <v>1690200753</v>
      </c>
      <c r="CF176">
        <v>2</v>
      </c>
      <c r="CG176">
        <v>-0.245</v>
      </c>
      <c r="CH176">
        <v>3.0000000000000001E-3</v>
      </c>
      <c r="CI176">
        <v>-1.5169999999999999</v>
      </c>
      <c r="CJ176">
        <v>-1.6E-2</v>
      </c>
      <c r="CK176">
        <v>778</v>
      </c>
      <c r="CL176">
        <v>12</v>
      </c>
      <c r="CM176">
        <v>0.01</v>
      </c>
      <c r="CN176">
        <v>0.03</v>
      </c>
      <c r="CO176">
        <v>-462.16300000000001</v>
      </c>
      <c r="CP176">
        <v>-3.9939512195128821</v>
      </c>
      <c r="CQ176">
        <v>0.39686281957494479</v>
      </c>
      <c r="CR176">
        <v>-1</v>
      </c>
      <c r="CS176">
        <v>18.80906097560975</v>
      </c>
      <c r="CT176">
        <v>0.1261275261324307</v>
      </c>
      <c r="CU176">
        <v>1.254840147333483E-2</v>
      </c>
      <c r="CV176">
        <v>-1</v>
      </c>
      <c r="CW176">
        <v>0</v>
      </c>
      <c r="CX176">
        <v>0</v>
      </c>
      <c r="CY176" t="s">
        <v>333</v>
      </c>
      <c r="CZ176">
        <v>2.36531</v>
      </c>
      <c r="DA176">
        <v>2.7138800000000001</v>
      </c>
      <c r="DB176">
        <v>7.8645400000000004E-2</v>
      </c>
      <c r="DC176">
        <v>0.146311</v>
      </c>
      <c r="DD176">
        <v>0.12870400000000001</v>
      </c>
      <c r="DE176">
        <v>5.7835400000000002E-2</v>
      </c>
      <c r="DF176">
        <v>33615.9</v>
      </c>
      <c r="DG176">
        <v>27447.7</v>
      </c>
      <c r="DH176">
        <v>31144.7</v>
      </c>
      <c r="DI176">
        <v>28013.1</v>
      </c>
      <c r="DJ176">
        <v>36817.1</v>
      </c>
      <c r="DK176">
        <v>37500.699999999997</v>
      </c>
      <c r="DL176">
        <v>44312.7</v>
      </c>
      <c r="DM176">
        <v>42422.8</v>
      </c>
      <c r="DN176">
        <v>1.44248</v>
      </c>
      <c r="DO176">
        <v>2.0727000000000002</v>
      </c>
      <c r="DP176">
        <v>0.137463</v>
      </c>
      <c r="DQ176">
        <v>0.17344999999999999</v>
      </c>
      <c r="DR176">
        <v>24.722000000000001</v>
      </c>
      <c r="DS176">
        <v>24.619800000000001</v>
      </c>
      <c r="DT176">
        <v>36.200000000000003</v>
      </c>
      <c r="DU176">
        <v>25.9</v>
      </c>
      <c r="DV176">
        <v>12.2652</v>
      </c>
      <c r="DW176">
        <v>61.355400000000003</v>
      </c>
      <c r="DX176">
        <v>35.705100000000002</v>
      </c>
      <c r="DY176">
        <v>1</v>
      </c>
      <c r="DZ176">
        <v>-0.15538099999999999</v>
      </c>
      <c r="EA176">
        <v>1.1228200000000001E-2</v>
      </c>
      <c r="EB176">
        <v>20.1922</v>
      </c>
      <c r="EC176">
        <v>5.2416999999999998</v>
      </c>
      <c r="ED176">
        <v>12.039899999999999</v>
      </c>
      <c r="EE176">
        <v>5.0174000000000003</v>
      </c>
      <c r="EF176">
        <v>3.2879999999999998</v>
      </c>
      <c r="EG176">
        <v>9999</v>
      </c>
      <c r="EH176">
        <v>9999</v>
      </c>
      <c r="EI176">
        <v>9999</v>
      </c>
      <c r="EJ176">
        <v>999.9</v>
      </c>
      <c r="EK176">
        <v>1.86879</v>
      </c>
      <c r="EL176">
        <v>1.86449</v>
      </c>
      <c r="EM176">
        <v>1.8690599999999999</v>
      </c>
      <c r="EN176">
        <v>1.86714</v>
      </c>
      <c r="EO176">
        <v>1.8633</v>
      </c>
      <c r="EP176">
        <v>1.86439</v>
      </c>
      <c r="EQ176">
        <v>1.87012</v>
      </c>
      <c r="ER176">
        <v>1.8693500000000001</v>
      </c>
      <c r="ES176">
        <v>0</v>
      </c>
      <c r="ET176">
        <v>0</v>
      </c>
      <c r="EU176">
        <v>0</v>
      </c>
      <c r="EV176">
        <v>0</v>
      </c>
      <c r="EW176" t="s">
        <v>334</v>
      </c>
      <c r="EX176" t="s">
        <v>335</v>
      </c>
      <c r="EY176" t="s">
        <v>336</v>
      </c>
      <c r="EZ176" t="s">
        <v>336</v>
      </c>
      <c r="FA176" t="s">
        <v>336</v>
      </c>
      <c r="FB176" t="s">
        <v>336</v>
      </c>
      <c r="FC176">
        <v>0</v>
      </c>
      <c r="FD176">
        <v>100</v>
      </c>
      <c r="FE176">
        <v>100</v>
      </c>
      <c r="FF176">
        <v>-1.2050000000000001</v>
      </c>
      <c r="FG176">
        <v>0.1782</v>
      </c>
      <c r="FH176">
        <v>-0.98020551812546231</v>
      </c>
      <c r="FI176">
        <v>-6.1462078757559423E-4</v>
      </c>
      <c r="FJ176">
        <v>-1.8861989874597051E-7</v>
      </c>
      <c r="FK176">
        <v>1.1980462299894961E-10</v>
      </c>
      <c r="FL176">
        <v>0.1782306200647516</v>
      </c>
      <c r="FM176">
        <v>0</v>
      </c>
      <c r="FN176">
        <v>0</v>
      </c>
      <c r="FO176">
        <v>0</v>
      </c>
      <c r="FP176">
        <v>3</v>
      </c>
      <c r="FQ176">
        <v>2158</v>
      </c>
      <c r="FR176">
        <v>1</v>
      </c>
      <c r="FS176">
        <v>19</v>
      </c>
      <c r="FT176">
        <v>28.6</v>
      </c>
      <c r="FU176">
        <v>28.9</v>
      </c>
      <c r="FV176">
        <v>1.7773399999999999</v>
      </c>
      <c r="FW176">
        <v>2.5463900000000002</v>
      </c>
      <c r="FX176">
        <v>1.5490699999999999</v>
      </c>
      <c r="FY176">
        <v>2.34131</v>
      </c>
      <c r="FZ176">
        <v>1.50146</v>
      </c>
      <c r="GA176">
        <v>2.36206</v>
      </c>
      <c r="GB176">
        <v>31.193899999999999</v>
      </c>
      <c r="GC176">
        <v>23.991199999999999</v>
      </c>
      <c r="GD176">
        <v>19</v>
      </c>
      <c r="GE176">
        <v>265.61</v>
      </c>
      <c r="GF176">
        <v>604.399</v>
      </c>
      <c r="GG176">
        <v>24.219899999999999</v>
      </c>
      <c r="GH176">
        <v>25.471</v>
      </c>
      <c r="GI176">
        <v>30.0001</v>
      </c>
      <c r="GJ176">
        <v>25.5883</v>
      </c>
      <c r="GK176">
        <v>25.550899999999999</v>
      </c>
      <c r="GL176">
        <v>35.533299999999997</v>
      </c>
      <c r="GM176">
        <v>-30</v>
      </c>
      <c r="GN176">
        <v>-30</v>
      </c>
      <c r="GO176">
        <v>24.239699999999999</v>
      </c>
      <c r="GP176">
        <v>800</v>
      </c>
      <c r="GQ176">
        <v>12.5298</v>
      </c>
      <c r="GR176">
        <v>99.637699999999995</v>
      </c>
      <c r="GS176">
        <v>99.274699999999996</v>
      </c>
    </row>
    <row r="177" spans="1:201" x14ac:dyDescent="0.25">
      <c r="A177">
        <v>161</v>
      </c>
      <c r="B177">
        <v>1690202495.5999999</v>
      </c>
      <c r="C177">
        <v>1648.599999904633</v>
      </c>
      <c r="D177" t="s">
        <v>655</v>
      </c>
      <c r="E177" t="s">
        <v>656</v>
      </c>
      <c r="F177" t="s">
        <v>330</v>
      </c>
      <c r="H177">
        <v>1690202495.5999999</v>
      </c>
      <c r="I177">
        <f t="shared" si="60"/>
        <v>1.7493505555015029E-3</v>
      </c>
      <c r="J177">
        <f t="shared" si="61"/>
        <v>1.7493505555015028</v>
      </c>
      <c r="K177">
        <f t="shared" si="62"/>
        <v>41.188565460144012</v>
      </c>
      <c r="L177">
        <f t="shared" si="63"/>
        <v>336.54300000000001</v>
      </c>
      <c r="M177">
        <f t="shared" si="64"/>
        <v>6.1747887671081028</v>
      </c>
      <c r="N177">
        <f t="shared" si="65"/>
        <v>0.61194065556240762</v>
      </c>
      <c r="O177">
        <f t="shared" si="66"/>
        <v>33.352451689030197</v>
      </c>
      <c r="P177">
        <f t="shared" si="67"/>
        <v>0.21056363114749763</v>
      </c>
      <c r="Q177">
        <f t="shared" si="68"/>
        <v>2.0816962368017959</v>
      </c>
      <c r="R177">
        <f t="shared" si="69"/>
        <v>0.19940630924108424</v>
      </c>
      <c r="S177">
        <f t="shared" si="70"/>
        <v>0.1255820954516019</v>
      </c>
      <c r="T177">
        <f t="shared" si="71"/>
        <v>276.11492535000002</v>
      </c>
      <c r="U177">
        <f t="shared" si="72"/>
        <v>27.420743335686126</v>
      </c>
      <c r="V177">
        <f t="shared" si="73"/>
        <v>27.420743335686126</v>
      </c>
      <c r="W177">
        <f t="shared" si="74"/>
        <v>3.6685651158974615</v>
      </c>
      <c r="X177">
        <f t="shared" si="75"/>
        <v>84.735709484154569</v>
      </c>
      <c r="Y177">
        <f t="shared" si="76"/>
        <v>2.8276490450613596</v>
      </c>
      <c r="Z177">
        <f t="shared" si="77"/>
        <v>3.3370217376773428</v>
      </c>
      <c r="AA177">
        <f t="shared" si="78"/>
        <v>0.84091607083610187</v>
      </c>
      <c r="AB177">
        <f t="shared" si="79"/>
        <v>-77.146359497616274</v>
      </c>
      <c r="AC177">
        <f t="shared" si="80"/>
        <v>-180.47936562547565</v>
      </c>
      <c r="AD177">
        <f t="shared" si="81"/>
        <v>-18.638993640726579</v>
      </c>
      <c r="AE177">
        <f t="shared" si="82"/>
        <v>-0.14979341381851441</v>
      </c>
      <c r="AF177">
        <v>13</v>
      </c>
      <c r="AG177">
        <v>4</v>
      </c>
      <c r="AH177">
        <f t="shared" si="83"/>
        <v>1</v>
      </c>
      <c r="AI177">
        <f t="shared" si="84"/>
        <v>0</v>
      </c>
      <c r="AJ177">
        <f t="shared" si="85"/>
        <v>52621.064547731607</v>
      </c>
      <c r="AK177">
        <f t="shared" si="86"/>
        <v>1800</v>
      </c>
      <c r="AL177">
        <f t="shared" si="87"/>
        <v>1499.1135839999999</v>
      </c>
      <c r="AM177">
        <f t="shared" si="88"/>
        <v>0.83284088000000001</v>
      </c>
      <c r="AN177">
        <f t="shared" si="89"/>
        <v>0.15339718075</v>
      </c>
      <c r="AO177">
        <v>33.299999999999997</v>
      </c>
      <c r="AP177">
        <v>0.5</v>
      </c>
      <c r="AQ177" t="s">
        <v>331</v>
      </c>
      <c r="AR177">
        <v>2</v>
      </c>
      <c r="AS177">
        <v>1690202495.5999999</v>
      </c>
      <c r="AT177">
        <v>336.54300000000001</v>
      </c>
      <c r="AU177">
        <v>800.01300000000003</v>
      </c>
      <c r="AV177">
        <v>28.532399999999999</v>
      </c>
      <c r="AW177">
        <v>9.6791400000000003</v>
      </c>
      <c r="AX177">
        <v>337.74799999999999</v>
      </c>
      <c r="AY177">
        <v>28.354099999999999</v>
      </c>
      <c r="AZ177">
        <v>300.16699999999997</v>
      </c>
      <c r="BA177">
        <v>99.003100000000003</v>
      </c>
      <c r="BB177">
        <v>9.9991399999999994E-2</v>
      </c>
      <c r="BC177">
        <v>25.8126</v>
      </c>
      <c r="BD177">
        <v>26.992000000000001</v>
      </c>
      <c r="BE177">
        <v>27.456499999999998</v>
      </c>
      <c r="BF177">
        <v>0</v>
      </c>
      <c r="BG177">
        <v>0</v>
      </c>
      <c r="BH177">
        <v>10012.5</v>
      </c>
      <c r="BI177">
        <v>1073.3599999999999</v>
      </c>
      <c r="BJ177">
        <v>1.4577199999999999</v>
      </c>
      <c r="BK177">
        <v>-463.47</v>
      </c>
      <c r="BL177">
        <v>346.42700000000002</v>
      </c>
      <c r="BM177">
        <v>807.83199999999999</v>
      </c>
      <c r="BN177">
        <v>18.853200000000001</v>
      </c>
      <c r="BO177">
        <v>800.01300000000003</v>
      </c>
      <c r="BP177">
        <v>9.6791400000000003</v>
      </c>
      <c r="BQ177">
        <v>2.8247900000000001</v>
      </c>
      <c r="BR177">
        <v>0.95826500000000003</v>
      </c>
      <c r="BS177">
        <v>23.029699999999998</v>
      </c>
      <c r="BT177">
        <v>6.2968099999999998</v>
      </c>
      <c r="BU177">
        <v>1800</v>
      </c>
      <c r="BV177">
        <v>0.91000999999999999</v>
      </c>
      <c r="BW177">
        <v>3.3993799999999998E-2</v>
      </c>
      <c r="BX177">
        <v>2.1998500000000001E-2</v>
      </c>
      <c r="BY177">
        <v>3.39975E-2</v>
      </c>
      <c r="BZ177">
        <v>25</v>
      </c>
      <c r="CA177">
        <v>33528.400000000001</v>
      </c>
      <c r="CB177">
        <v>1690200769.5</v>
      </c>
      <c r="CC177" t="s">
        <v>332</v>
      </c>
      <c r="CD177">
        <v>1690200769.5</v>
      </c>
      <c r="CE177">
        <v>1690200753</v>
      </c>
      <c r="CF177">
        <v>2</v>
      </c>
      <c r="CG177">
        <v>-0.245</v>
      </c>
      <c r="CH177">
        <v>3.0000000000000001E-3</v>
      </c>
      <c r="CI177">
        <v>-1.5169999999999999</v>
      </c>
      <c r="CJ177">
        <v>-1.6E-2</v>
      </c>
      <c r="CK177">
        <v>778</v>
      </c>
      <c r="CL177">
        <v>12</v>
      </c>
      <c r="CM177">
        <v>0.01</v>
      </c>
      <c r="CN177">
        <v>0.03</v>
      </c>
      <c r="CO177">
        <v>-462.80060975609751</v>
      </c>
      <c r="CP177">
        <v>-3.3022160278756219</v>
      </c>
      <c r="CQ177">
        <v>0.32852574447502081</v>
      </c>
      <c r="CR177">
        <v>-1</v>
      </c>
      <c r="CS177">
        <v>18.830692682926831</v>
      </c>
      <c r="CT177">
        <v>0.13197909407668451</v>
      </c>
      <c r="CU177">
        <v>1.308598934708991E-2</v>
      </c>
      <c r="CV177">
        <v>-1</v>
      </c>
      <c r="CW177">
        <v>0</v>
      </c>
      <c r="CX177">
        <v>0</v>
      </c>
      <c r="CY177" t="s">
        <v>333</v>
      </c>
      <c r="CZ177">
        <v>2.3653400000000002</v>
      </c>
      <c r="DA177">
        <v>2.7137899999999999</v>
      </c>
      <c r="DB177">
        <v>7.8543299999999996E-2</v>
      </c>
      <c r="DC177">
        <v>0.146312</v>
      </c>
      <c r="DD177">
        <v>0.12870799999999999</v>
      </c>
      <c r="DE177">
        <v>5.7757500000000003E-2</v>
      </c>
      <c r="DF177">
        <v>33620</v>
      </c>
      <c r="DG177">
        <v>27448.400000000001</v>
      </c>
      <c r="DH177">
        <v>31145</v>
      </c>
      <c r="DI177">
        <v>28013.9</v>
      </c>
      <c r="DJ177">
        <v>36817.300000000003</v>
      </c>
      <c r="DK177">
        <v>37504.9</v>
      </c>
      <c r="DL177">
        <v>44313.2</v>
      </c>
      <c r="DM177">
        <v>42424</v>
      </c>
      <c r="DN177">
        <v>1.44292</v>
      </c>
      <c r="DO177">
        <v>2.0726200000000001</v>
      </c>
      <c r="DP177">
        <v>0.13880400000000001</v>
      </c>
      <c r="DQ177">
        <v>0.173375</v>
      </c>
      <c r="DR177">
        <v>24.7178</v>
      </c>
      <c r="DS177">
        <v>24.616700000000002</v>
      </c>
      <c r="DT177">
        <v>35.9</v>
      </c>
      <c r="DU177">
        <v>25.9</v>
      </c>
      <c r="DV177">
        <v>12.1637</v>
      </c>
      <c r="DW177">
        <v>61.915399999999998</v>
      </c>
      <c r="DX177">
        <v>36.005600000000001</v>
      </c>
      <c r="DY177">
        <v>1</v>
      </c>
      <c r="DZ177">
        <v>-0.155277</v>
      </c>
      <c r="EA177">
        <v>-8.86874E-2</v>
      </c>
      <c r="EB177">
        <v>20.1922</v>
      </c>
      <c r="EC177">
        <v>5.242</v>
      </c>
      <c r="ED177">
        <v>12.039899999999999</v>
      </c>
      <c r="EE177">
        <v>5.0173500000000004</v>
      </c>
      <c r="EF177">
        <v>3.2879999999999998</v>
      </c>
      <c r="EG177">
        <v>9999</v>
      </c>
      <c r="EH177">
        <v>9999</v>
      </c>
      <c r="EI177">
        <v>9999</v>
      </c>
      <c r="EJ177">
        <v>999.9</v>
      </c>
      <c r="EK177">
        <v>1.8688400000000001</v>
      </c>
      <c r="EL177">
        <v>1.86449</v>
      </c>
      <c r="EM177">
        <v>1.8690500000000001</v>
      </c>
      <c r="EN177">
        <v>1.86713</v>
      </c>
      <c r="EO177">
        <v>1.86331</v>
      </c>
      <c r="EP177">
        <v>1.86439</v>
      </c>
      <c r="EQ177">
        <v>1.8701099999999999</v>
      </c>
      <c r="ER177">
        <v>1.8693500000000001</v>
      </c>
      <c r="ES177">
        <v>0</v>
      </c>
      <c r="ET177">
        <v>0</v>
      </c>
      <c r="EU177">
        <v>0</v>
      </c>
      <c r="EV177">
        <v>0</v>
      </c>
      <c r="EW177" t="s">
        <v>334</v>
      </c>
      <c r="EX177" t="s">
        <v>335</v>
      </c>
      <c r="EY177" t="s">
        <v>336</v>
      </c>
      <c r="EZ177" t="s">
        <v>336</v>
      </c>
      <c r="FA177" t="s">
        <v>336</v>
      </c>
      <c r="FB177" t="s">
        <v>336</v>
      </c>
      <c r="FC177">
        <v>0</v>
      </c>
      <c r="FD177">
        <v>100</v>
      </c>
      <c r="FE177">
        <v>100</v>
      </c>
      <c r="FF177">
        <v>-1.2050000000000001</v>
      </c>
      <c r="FG177">
        <v>0.17829999999999999</v>
      </c>
      <c r="FH177">
        <v>-0.98020551812546231</v>
      </c>
      <c r="FI177">
        <v>-6.1462078757559423E-4</v>
      </c>
      <c r="FJ177">
        <v>-1.8861989874597051E-7</v>
      </c>
      <c r="FK177">
        <v>1.1980462299894961E-10</v>
      </c>
      <c r="FL177">
        <v>0.1782306200647516</v>
      </c>
      <c r="FM177">
        <v>0</v>
      </c>
      <c r="FN177">
        <v>0</v>
      </c>
      <c r="FO177">
        <v>0</v>
      </c>
      <c r="FP177">
        <v>3</v>
      </c>
      <c r="FQ177">
        <v>2158</v>
      </c>
      <c r="FR177">
        <v>1</v>
      </c>
      <c r="FS177">
        <v>19</v>
      </c>
      <c r="FT177">
        <v>28.8</v>
      </c>
      <c r="FU177">
        <v>29</v>
      </c>
      <c r="FV177">
        <v>1.7773399999999999</v>
      </c>
      <c r="FW177">
        <v>2.5439500000000002</v>
      </c>
      <c r="FX177">
        <v>1.5490699999999999</v>
      </c>
      <c r="FY177">
        <v>2.34131</v>
      </c>
      <c r="FZ177">
        <v>1.50146</v>
      </c>
      <c r="GA177">
        <v>2.3779300000000001</v>
      </c>
      <c r="GB177">
        <v>31.215599999999998</v>
      </c>
      <c r="GC177">
        <v>23.991199999999999</v>
      </c>
      <c r="GD177">
        <v>19</v>
      </c>
      <c r="GE177">
        <v>265.79199999999997</v>
      </c>
      <c r="GF177">
        <v>604.35900000000004</v>
      </c>
      <c r="GG177">
        <v>24.252500000000001</v>
      </c>
      <c r="GH177">
        <v>25.473099999999999</v>
      </c>
      <c r="GI177">
        <v>30.0002</v>
      </c>
      <c r="GJ177">
        <v>25.5883</v>
      </c>
      <c r="GK177">
        <v>25.552900000000001</v>
      </c>
      <c r="GL177">
        <v>35.532899999999998</v>
      </c>
      <c r="GM177">
        <v>-30</v>
      </c>
      <c r="GN177">
        <v>-30</v>
      </c>
      <c r="GO177">
        <v>24.2639</v>
      </c>
      <c r="GP177">
        <v>800</v>
      </c>
      <c r="GQ177">
        <v>12.5298</v>
      </c>
      <c r="GR177">
        <v>99.6387</v>
      </c>
      <c r="GS177">
        <v>99.277500000000003</v>
      </c>
    </row>
    <row r="178" spans="1:201" x14ac:dyDescent="0.25">
      <c r="A178">
        <v>162</v>
      </c>
      <c r="B178">
        <v>1690202505.5999999</v>
      </c>
      <c r="C178">
        <v>1658.599999904633</v>
      </c>
      <c r="D178" t="s">
        <v>657</v>
      </c>
      <c r="E178" t="s">
        <v>658</v>
      </c>
      <c r="F178" t="s">
        <v>330</v>
      </c>
      <c r="H178">
        <v>1690202505.5999999</v>
      </c>
      <c r="I178">
        <f t="shared" si="60"/>
        <v>1.7508774858296695E-3</v>
      </c>
      <c r="J178">
        <f t="shared" si="61"/>
        <v>1.7508774858296696</v>
      </c>
      <c r="K178">
        <f t="shared" si="62"/>
        <v>41.238791418148544</v>
      </c>
      <c r="L178">
        <f t="shared" si="63"/>
        <v>336.01</v>
      </c>
      <c r="M178">
        <f t="shared" si="64"/>
        <v>5.2555976888059499</v>
      </c>
      <c r="N178">
        <f t="shared" si="65"/>
        <v>0.52083658426005586</v>
      </c>
      <c r="O178">
        <f t="shared" si="66"/>
        <v>33.299029157040003</v>
      </c>
      <c r="P178">
        <f t="shared" si="67"/>
        <v>0.21057325424930537</v>
      </c>
      <c r="Q178">
        <f t="shared" si="68"/>
        <v>2.0804939811277281</v>
      </c>
      <c r="R178">
        <f t="shared" si="69"/>
        <v>0.19940886059772253</v>
      </c>
      <c r="S178">
        <f t="shared" si="70"/>
        <v>0.12558426510347165</v>
      </c>
      <c r="T178">
        <f t="shared" si="71"/>
        <v>276.11485453799997</v>
      </c>
      <c r="U178">
        <f t="shared" si="72"/>
        <v>27.424336171392717</v>
      </c>
      <c r="V178">
        <f t="shared" si="73"/>
        <v>27.424336171392717</v>
      </c>
      <c r="W178">
        <f t="shared" si="74"/>
        <v>3.6693368879461814</v>
      </c>
      <c r="X178">
        <f t="shared" si="75"/>
        <v>84.721176587227873</v>
      </c>
      <c r="Y178">
        <f t="shared" si="76"/>
        <v>2.8277169678143999</v>
      </c>
      <c r="Z178">
        <f t="shared" si="77"/>
        <v>3.3376743356520993</v>
      </c>
      <c r="AA178">
        <f t="shared" si="78"/>
        <v>0.84161992013178155</v>
      </c>
      <c r="AB178">
        <f t="shared" si="79"/>
        <v>-77.21369712508843</v>
      </c>
      <c r="AC178">
        <f t="shared" si="80"/>
        <v>-180.4079776988988</v>
      </c>
      <c r="AD178">
        <f t="shared" si="81"/>
        <v>-18.643031087874778</v>
      </c>
      <c r="AE178">
        <f t="shared" si="82"/>
        <v>-0.14985137386202041</v>
      </c>
      <c r="AF178">
        <v>13</v>
      </c>
      <c r="AG178">
        <v>4</v>
      </c>
      <c r="AH178">
        <f t="shared" si="83"/>
        <v>1</v>
      </c>
      <c r="AI178">
        <f t="shared" si="84"/>
        <v>0</v>
      </c>
      <c r="AJ178">
        <f t="shared" si="85"/>
        <v>52566.105040964496</v>
      </c>
      <c r="AK178">
        <f t="shared" si="86"/>
        <v>1800</v>
      </c>
      <c r="AL178">
        <f t="shared" si="87"/>
        <v>1499.1142878000001</v>
      </c>
      <c r="AM178">
        <f t="shared" si="88"/>
        <v>0.83284127100000005</v>
      </c>
      <c r="AN178">
        <f t="shared" si="89"/>
        <v>0.15339714140999999</v>
      </c>
      <c r="AO178">
        <v>33.299999999999997</v>
      </c>
      <c r="AP178">
        <v>0.5</v>
      </c>
      <c r="AQ178" t="s">
        <v>331</v>
      </c>
      <c r="AR178">
        <v>2</v>
      </c>
      <c r="AS178">
        <v>1690202505.5999999</v>
      </c>
      <c r="AT178">
        <v>336.01</v>
      </c>
      <c r="AU178">
        <v>800.03099999999995</v>
      </c>
      <c r="AV178">
        <v>28.5336</v>
      </c>
      <c r="AW178">
        <v>9.6639700000000008</v>
      </c>
      <c r="AX178">
        <v>337.21499999999997</v>
      </c>
      <c r="AY178">
        <v>28.355399999999999</v>
      </c>
      <c r="AZ178">
        <v>300.16800000000001</v>
      </c>
      <c r="BA178">
        <v>99.001300000000001</v>
      </c>
      <c r="BB178">
        <v>0.100004</v>
      </c>
      <c r="BC178">
        <v>25.815899999999999</v>
      </c>
      <c r="BD178">
        <v>26.991499999999998</v>
      </c>
      <c r="BE178">
        <v>27.467300000000002</v>
      </c>
      <c r="BF178">
        <v>0</v>
      </c>
      <c r="BG178">
        <v>0</v>
      </c>
      <c r="BH178">
        <v>10001.9</v>
      </c>
      <c r="BI178">
        <v>1073.47</v>
      </c>
      <c r="BJ178">
        <v>1.4577199999999999</v>
      </c>
      <c r="BK178">
        <v>-464.02100000000002</v>
      </c>
      <c r="BL178">
        <v>345.88</v>
      </c>
      <c r="BM178">
        <v>807.83799999999997</v>
      </c>
      <c r="BN178">
        <v>18.869700000000002</v>
      </c>
      <c r="BO178">
        <v>800.03099999999995</v>
      </c>
      <c r="BP178">
        <v>9.6639700000000008</v>
      </c>
      <c r="BQ178">
        <v>2.8248700000000002</v>
      </c>
      <c r="BR178">
        <v>0.95674599999999999</v>
      </c>
      <c r="BS178">
        <v>23.030100000000001</v>
      </c>
      <c r="BT178">
        <v>6.2738100000000001</v>
      </c>
      <c r="BU178">
        <v>1800</v>
      </c>
      <c r="BV178">
        <v>0.91001299999999996</v>
      </c>
      <c r="BW178">
        <v>3.3992700000000001E-2</v>
      </c>
      <c r="BX178">
        <v>2.1997800000000001E-2</v>
      </c>
      <c r="BY178">
        <v>3.3996499999999999E-2</v>
      </c>
      <c r="BZ178">
        <v>25</v>
      </c>
      <c r="CA178">
        <v>33528.400000000001</v>
      </c>
      <c r="CB178">
        <v>1690200769.5</v>
      </c>
      <c r="CC178" t="s">
        <v>332</v>
      </c>
      <c r="CD178">
        <v>1690200769.5</v>
      </c>
      <c r="CE178">
        <v>1690200753</v>
      </c>
      <c r="CF178">
        <v>2</v>
      </c>
      <c r="CG178">
        <v>-0.245</v>
      </c>
      <c r="CH178">
        <v>3.0000000000000001E-3</v>
      </c>
      <c r="CI178">
        <v>-1.5169999999999999</v>
      </c>
      <c r="CJ178">
        <v>-1.6E-2</v>
      </c>
      <c r="CK178">
        <v>778</v>
      </c>
      <c r="CL178">
        <v>12</v>
      </c>
      <c r="CM178">
        <v>0.01</v>
      </c>
      <c r="CN178">
        <v>0.03</v>
      </c>
      <c r="CO178">
        <v>-463.33940000000001</v>
      </c>
      <c r="CP178">
        <v>-3.121508442775573</v>
      </c>
      <c r="CQ178">
        <v>0.30604123905120539</v>
      </c>
      <c r="CR178">
        <v>-1</v>
      </c>
      <c r="CS178">
        <v>18.851162500000001</v>
      </c>
      <c r="CT178">
        <v>0.11238461538459429</v>
      </c>
      <c r="CU178">
        <v>1.0871837183751469E-2</v>
      </c>
      <c r="CV178">
        <v>-1</v>
      </c>
      <c r="CW178">
        <v>0</v>
      </c>
      <c r="CX178">
        <v>0</v>
      </c>
      <c r="CY178" t="s">
        <v>333</v>
      </c>
      <c r="CZ178">
        <v>2.3653</v>
      </c>
      <c r="DA178">
        <v>2.7138</v>
      </c>
      <c r="DB178">
        <v>7.8443600000000002E-2</v>
      </c>
      <c r="DC178">
        <v>0.146311</v>
      </c>
      <c r="DD178">
        <v>0.12870999999999999</v>
      </c>
      <c r="DE178">
        <v>5.7686599999999998E-2</v>
      </c>
      <c r="DF178">
        <v>33623.699999999997</v>
      </c>
      <c r="DG178">
        <v>27448.3</v>
      </c>
      <c r="DH178">
        <v>31145.1</v>
      </c>
      <c r="DI178">
        <v>28013.8</v>
      </c>
      <c r="DJ178">
        <v>36817.300000000003</v>
      </c>
      <c r="DK178">
        <v>37507.5</v>
      </c>
      <c r="DL178">
        <v>44313.3</v>
      </c>
      <c r="DM178">
        <v>42423.8</v>
      </c>
      <c r="DN178">
        <v>1.4428000000000001</v>
      </c>
      <c r="DO178">
        <v>2.0724499999999999</v>
      </c>
      <c r="DP178">
        <v>0.13895299999999999</v>
      </c>
      <c r="DQ178">
        <v>0.17419499999999999</v>
      </c>
      <c r="DR178">
        <v>24.7148</v>
      </c>
      <c r="DS178">
        <v>24.614000000000001</v>
      </c>
      <c r="DT178">
        <v>35.6</v>
      </c>
      <c r="DU178">
        <v>25.9</v>
      </c>
      <c r="DV178">
        <v>12.062099999999999</v>
      </c>
      <c r="DW178">
        <v>61.575400000000002</v>
      </c>
      <c r="DX178">
        <v>36.666699999999999</v>
      </c>
      <c r="DY178">
        <v>1</v>
      </c>
      <c r="DZ178">
        <v>-0.15514500000000001</v>
      </c>
      <c r="EA178">
        <v>-5.7690600000000002E-2</v>
      </c>
      <c r="EB178">
        <v>20.1922</v>
      </c>
      <c r="EC178">
        <v>5.2416999999999998</v>
      </c>
      <c r="ED178">
        <v>12.039899999999999</v>
      </c>
      <c r="EE178">
        <v>5.0170500000000002</v>
      </c>
      <c r="EF178">
        <v>3.2879999999999998</v>
      </c>
      <c r="EG178">
        <v>9999</v>
      </c>
      <c r="EH178">
        <v>9999</v>
      </c>
      <c r="EI178">
        <v>9999</v>
      </c>
      <c r="EJ178">
        <v>999.9</v>
      </c>
      <c r="EK178">
        <v>1.8688400000000001</v>
      </c>
      <c r="EL178">
        <v>1.86449</v>
      </c>
      <c r="EM178">
        <v>1.8690500000000001</v>
      </c>
      <c r="EN178">
        <v>1.86714</v>
      </c>
      <c r="EO178">
        <v>1.8633200000000001</v>
      </c>
      <c r="EP178">
        <v>1.86442</v>
      </c>
      <c r="EQ178">
        <v>1.8701000000000001</v>
      </c>
      <c r="ER178">
        <v>1.8693500000000001</v>
      </c>
      <c r="ES178">
        <v>0</v>
      </c>
      <c r="ET178">
        <v>0</v>
      </c>
      <c r="EU178">
        <v>0</v>
      </c>
      <c r="EV178">
        <v>0</v>
      </c>
      <c r="EW178" t="s">
        <v>334</v>
      </c>
      <c r="EX178" t="s">
        <v>335</v>
      </c>
      <c r="EY178" t="s">
        <v>336</v>
      </c>
      <c r="EZ178" t="s">
        <v>336</v>
      </c>
      <c r="FA178" t="s">
        <v>336</v>
      </c>
      <c r="FB178" t="s">
        <v>336</v>
      </c>
      <c r="FC178">
        <v>0</v>
      </c>
      <c r="FD178">
        <v>100</v>
      </c>
      <c r="FE178">
        <v>100</v>
      </c>
      <c r="FF178">
        <v>-1.2050000000000001</v>
      </c>
      <c r="FG178">
        <v>0.1782</v>
      </c>
      <c r="FH178">
        <v>-0.98020551812546231</v>
      </c>
      <c r="FI178">
        <v>-6.1462078757559423E-4</v>
      </c>
      <c r="FJ178">
        <v>-1.8861989874597051E-7</v>
      </c>
      <c r="FK178">
        <v>1.1980462299894961E-10</v>
      </c>
      <c r="FL178">
        <v>0.1782306200647516</v>
      </c>
      <c r="FM178">
        <v>0</v>
      </c>
      <c r="FN178">
        <v>0</v>
      </c>
      <c r="FO178">
        <v>0</v>
      </c>
      <c r="FP178">
        <v>3</v>
      </c>
      <c r="FQ178">
        <v>2158</v>
      </c>
      <c r="FR178">
        <v>1</v>
      </c>
      <c r="FS178">
        <v>19</v>
      </c>
      <c r="FT178">
        <v>28.9</v>
      </c>
      <c r="FU178">
        <v>29.2</v>
      </c>
      <c r="FV178">
        <v>1.7773399999999999</v>
      </c>
      <c r="FW178">
        <v>2.5488300000000002</v>
      </c>
      <c r="FX178">
        <v>1.5490699999999999</v>
      </c>
      <c r="FY178">
        <v>2.34131</v>
      </c>
      <c r="FZ178">
        <v>1.50146</v>
      </c>
      <c r="GA178">
        <v>2.3132299999999999</v>
      </c>
      <c r="GB178">
        <v>31.215599999999998</v>
      </c>
      <c r="GC178">
        <v>23.982399999999998</v>
      </c>
      <c r="GD178">
        <v>19</v>
      </c>
      <c r="GE178">
        <v>265.74200000000002</v>
      </c>
      <c r="GF178">
        <v>604.21299999999997</v>
      </c>
      <c r="GG178">
        <v>24.272300000000001</v>
      </c>
      <c r="GH178">
        <v>25.473099999999999</v>
      </c>
      <c r="GI178">
        <v>30.0002</v>
      </c>
      <c r="GJ178">
        <v>25.5883</v>
      </c>
      <c r="GK178">
        <v>25.553000000000001</v>
      </c>
      <c r="GL178">
        <v>35.533799999999999</v>
      </c>
      <c r="GM178">
        <v>-30</v>
      </c>
      <c r="GN178">
        <v>-30</v>
      </c>
      <c r="GO178">
        <v>24.279499999999999</v>
      </c>
      <c r="GP178">
        <v>800</v>
      </c>
      <c r="GQ178">
        <v>12.5298</v>
      </c>
      <c r="GR178">
        <v>99.638900000000007</v>
      </c>
      <c r="GS178">
        <v>99.276899999999998</v>
      </c>
    </row>
    <row r="179" spans="1:201" x14ac:dyDescent="0.25">
      <c r="A179">
        <v>163</v>
      </c>
      <c r="B179">
        <v>1690202515.5999999</v>
      </c>
      <c r="C179">
        <v>1668.599999904633</v>
      </c>
      <c r="D179" t="s">
        <v>659</v>
      </c>
      <c r="E179" t="s">
        <v>660</v>
      </c>
      <c r="F179" t="s">
        <v>330</v>
      </c>
      <c r="H179">
        <v>1690202515.5999999</v>
      </c>
      <c r="I179">
        <f t="shared" si="60"/>
        <v>1.7518435236509966E-3</v>
      </c>
      <c r="J179">
        <f t="shared" si="61"/>
        <v>1.7518435236509966</v>
      </c>
      <c r="K179">
        <f t="shared" si="62"/>
        <v>41.278874183024932</v>
      </c>
      <c r="L179">
        <f t="shared" si="63"/>
        <v>335.52699999999999</v>
      </c>
      <c r="M179">
        <f t="shared" si="64"/>
        <v>4.0035706227939798</v>
      </c>
      <c r="N179">
        <f t="shared" si="65"/>
        <v>0.39677399868982788</v>
      </c>
      <c r="O179">
        <f t="shared" si="66"/>
        <v>33.252414407391001</v>
      </c>
      <c r="P179">
        <f t="shared" si="67"/>
        <v>0.2102874522799236</v>
      </c>
      <c r="Q179">
        <f t="shared" si="68"/>
        <v>2.0762012253304349</v>
      </c>
      <c r="R179">
        <f t="shared" si="69"/>
        <v>0.19913077251157224</v>
      </c>
      <c r="S179">
        <f t="shared" si="70"/>
        <v>0.1254097681021909</v>
      </c>
      <c r="T179">
        <f t="shared" si="71"/>
        <v>276.11492099399993</v>
      </c>
      <c r="U179">
        <f t="shared" si="72"/>
        <v>27.43020255510687</v>
      </c>
      <c r="V179">
        <f t="shared" si="73"/>
        <v>27.43020255510687</v>
      </c>
      <c r="W179">
        <f t="shared" si="74"/>
        <v>3.6705973422511491</v>
      </c>
      <c r="X179">
        <f t="shared" si="75"/>
        <v>84.692863763522411</v>
      </c>
      <c r="Y179">
        <f t="shared" si="76"/>
        <v>2.8273080234372001</v>
      </c>
      <c r="Z179">
        <f t="shared" si="77"/>
        <v>3.3383072643895342</v>
      </c>
      <c r="AA179">
        <f t="shared" si="78"/>
        <v>0.84328931881394897</v>
      </c>
      <c r="AB179">
        <f t="shared" si="79"/>
        <v>-77.256299393008945</v>
      </c>
      <c r="AC179">
        <f t="shared" si="80"/>
        <v>-180.33418971576154</v>
      </c>
      <c r="AD179">
        <f t="shared" si="81"/>
        <v>-18.674784610871018</v>
      </c>
      <c r="AE179">
        <f t="shared" si="82"/>
        <v>-0.15035272564156799</v>
      </c>
      <c r="AF179">
        <v>13</v>
      </c>
      <c r="AG179">
        <v>4</v>
      </c>
      <c r="AH179">
        <f t="shared" si="83"/>
        <v>1</v>
      </c>
      <c r="AI179">
        <f t="shared" si="84"/>
        <v>0</v>
      </c>
      <c r="AJ179">
        <f t="shared" si="85"/>
        <v>52371.917817477159</v>
      </c>
      <c r="AK179">
        <f t="shared" si="86"/>
        <v>1800</v>
      </c>
      <c r="AL179">
        <f t="shared" si="87"/>
        <v>1499.1152454</v>
      </c>
      <c r="AM179">
        <f t="shared" si="88"/>
        <v>0.83284180299999999</v>
      </c>
      <c r="AN179">
        <f t="shared" si="89"/>
        <v>0.15339717832999997</v>
      </c>
      <c r="AO179">
        <v>33.299999999999997</v>
      </c>
      <c r="AP179">
        <v>0.5</v>
      </c>
      <c r="AQ179" t="s">
        <v>331</v>
      </c>
      <c r="AR179">
        <v>2</v>
      </c>
      <c r="AS179">
        <v>1690202515.5999999</v>
      </c>
      <c r="AT179">
        <v>335.52699999999999</v>
      </c>
      <c r="AU179">
        <v>800.00699999999995</v>
      </c>
      <c r="AV179">
        <v>28.528400000000001</v>
      </c>
      <c r="AW179">
        <v>9.6474399999999996</v>
      </c>
      <c r="AX179">
        <v>336.73099999999999</v>
      </c>
      <c r="AY179">
        <v>28.350200000000001</v>
      </c>
      <c r="AZ179">
        <v>300.15499999999997</v>
      </c>
      <c r="BA179">
        <v>99.004999999999995</v>
      </c>
      <c r="BB179">
        <v>0.100033</v>
      </c>
      <c r="BC179">
        <v>25.819099999999999</v>
      </c>
      <c r="BD179">
        <v>26.989100000000001</v>
      </c>
      <c r="BE179">
        <v>27.472799999999999</v>
      </c>
      <c r="BF179">
        <v>0</v>
      </c>
      <c r="BG179">
        <v>0</v>
      </c>
      <c r="BH179">
        <v>9963.1200000000008</v>
      </c>
      <c r="BI179">
        <v>1073.6199999999999</v>
      </c>
      <c r="BJ179">
        <v>1.25308</v>
      </c>
      <c r="BK179">
        <v>-464.47899999999998</v>
      </c>
      <c r="BL179">
        <v>345.38</v>
      </c>
      <c r="BM179">
        <v>807.8</v>
      </c>
      <c r="BN179">
        <v>18.8809</v>
      </c>
      <c r="BO179">
        <v>800.00699999999995</v>
      </c>
      <c r="BP179">
        <v>9.6474399999999996</v>
      </c>
      <c r="BQ179">
        <v>2.8244500000000001</v>
      </c>
      <c r="BR179">
        <v>0.95514500000000002</v>
      </c>
      <c r="BS179">
        <v>23.027699999999999</v>
      </c>
      <c r="BT179">
        <v>6.2495399999999997</v>
      </c>
      <c r="BU179">
        <v>1800</v>
      </c>
      <c r="BV179">
        <v>0.91001500000000002</v>
      </c>
      <c r="BW179">
        <v>3.39922E-2</v>
      </c>
      <c r="BX179">
        <v>2.19974E-2</v>
      </c>
      <c r="BY179">
        <v>3.3995900000000003E-2</v>
      </c>
      <c r="BZ179">
        <v>25</v>
      </c>
      <c r="CA179">
        <v>33528.5</v>
      </c>
      <c r="CB179">
        <v>1690200769.5</v>
      </c>
      <c r="CC179" t="s">
        <v>332</v>
      </c>
      <c r="CD179">
        <v>1690200769.5</v>
      </c>
      <c r="CE179">
        <v>1690200753</v>
      </c>
      <c r="CF179">
        <v>2</v>
      </c>
      <c r="CG179">
        <v>-0.245</v>
      </c>
      <c r="CH179">
        <v>3.0000000000000001E-3</v>
      </c>
      <c r="CI179">
        <v>-1.5169999999999999</v>
      </c>
      <c r="CJ179">
        <v>-1.6E-2</v>
      </c>
      <c r="CK179">
        <v>778</v>
      </c>
      <c r="CL179">
        <v>12</v>
      </c>
      <c r="CM179">
        <v>0.01</v>
      </c>
      <c r="CN179">
        <v>0.03</v>
      </c>
      <c r="CO179">
        <v>-463.88368292682918</v>
      </c>
      <c r="CP179">
        <v>-3.088557491290095</v>
      </c>
      <c r="CQ179">
        <v>0.31094619086096648</v>
      </c>
      <c r="CR179">
        <v>-1</v>
      </c>
      <c r="CS179">
        <v>18.86709512195122</v>
      </c>
      <c r="CT179">
        <v>7.2512195121961248E-2</v>
      </c>
      <c r="CU179">
        <v>7.2860023238521011E-3</v>
      </c>
      <c r="CV179">
        <v>-1</v>
      </c>
      <c r="CW179">
        <v>0</v>
      </c>
      <c r="CX179">
        <v>0</v>
      </c>
      <c r="CY179" t="s">
        <v>333</v>
      </c>
      <c r="CZ179">
        <v>2.3652799999999998</v>
      </c>
      <c r="DA179">
        <v>2.7137899999999999</v>
      </c>
      <c r="DB179">
        <v>7.8356899999999993E-2</v>
      </c>
      <c r="DC179">
        <v>0.146313</v>
      </c>
      <c r="DD179">
        <v>0.12869800000000001</v>
      </c>
      <c r="DE179">
        <v>5.7612200000000002E-2</v>
      </c>
      <c r="DF179">
        <v>33626.9</v>
      </c>
      <c r="DG179">
        <v>27448.5</v>
      </c>
      <c r="DH179">
        <v>31145.1</v>
      </c>
      <c r="DI179">
        <v>28014</v>
      </c>
      <c r="DJ179">
        <v>36817.800000000003</v>
      </c>
      <c r="DK179">
        <v>37510.9</v>
      </c>
      <c r="DL179">
        <v>44313.3</v>
      </c>
      <c r="DM179">
        <v>42424.3</v>
      </c>
      <c r="DN179">
        <v>1.44313</v>
      </c>
      <c r="DO179">
        <v>2.0725799999999999</v>
      </c>
      <c r="DP179">
        <v>0.138879</v>
      </c>
      <c r="DQ179">
        <v>0.17452999999999999</v>
      </c>
      <c r="DR179">
        <v>24.7136</v>
      </c>
      <c r="DS179">
        <v>24.614000000000001</v>
      </c>
      <c r="DT179">
        <v>35.299999999999997</v>
      </c>
      <c r="DU179">
        <v>26</v>
      </c>
      <c r="DV179">
        <v>12.030200000000001</v>
      </c>
      <c r="DW179">
        <v>62.0154</v>
      </c>
      <c r="DX179">
        <v>36.883000000000003</v>
      </c>
      <c r="DY179">
        <v>1</v>
      </c>
      <c r="DZ179">
        <v>-0.15512999999999999</v>
      </c>
      <c r="EA179">
        <v>-5.7371999999999999E-2</v>
      </c>
      <c r="EB179">
        <v>20.192299999999999</v>
      </c>
      <c r="EC179">
        <v>5.242</v>
      </c>
      <c r="ED179">
        <v>12.039899999999999</v>
      </c>
      <c r="EE179">
        <v>5.0171999999999999</v>
      </c>
      <c r="EF179">
        <v>3.2879999999999998</v>
      </c>
      <c r="EG179">
        <v>9999</v>
      </c>
      <c r="EH179">
        <v>9999</v>
      </c>
      <c r="EI179">
        <v>9999</v>
      </c>
      <c r="EJ179">
        <v>999.9</v>
      </c>
      <c r="EK179">
        <v>1.8688499999999999</v>
      </c>
      <c r="EL179">
        <v>1.8645099999999999</v>
      </c>
      <c r="EM179">
        <v>1.8690500000000001</v>
      </c>
      <c r="EN179">
        <v>1.86713</v>
      </c>
      <c r="EO179">
        <v>1.8633200000000001</v>
      </c>
      <c r="EP179">
        <v>1.8644499999999999</v>
      </c>
      <c r="EQ179">
        <v>1.87012</v>
      </c>
      <c r="ER179">
        <v>1.8693500000000001</v>
      </c>
      <c r="ES179">
        <v>0</v>
      </c>
      <c r="ET179">
        <v>0</v>
      </c>
      <c r="EU179">
        <v>0</v>
      </c>
      <c r="EV179">
        <v>0</v>
      </c>
      <c r="EW179" t="s">
        <v>334</v>
      </c>
      <c r="EX179" t="s">
        <v>335</v>
      </c>
      <c r="EY179" t="s">
        <v>336</v>
      </c>
      <c r="EZ179" t="s">
        <v>336</v>
      </c>
      <c r="FA179" t="s">
        <v>336</v>
      </c>
      <c r="FB179" t="s">
        <v>336</v>
      </c>
      <c r="FC179">
        <v>0</v>
      </c>
      <c r="FD179">
        <v>100</v>
      </c>
      <c r="FE179">
        <v>100</v>
      </c>
      <c r="FF179">
        <v>-1.204</v>
      </c>
      <c r="FG179">
        <v>0.1782</v>
      </c>
      <c r="FH179">
        <v>-0.98020551812546231</v>
      </c>
      <c r="FI179">
        <v>-6.1462078757559423E-4</v>
      </c>
      <c r="FJ179">
        <v>-1.8861989874597051E-7</v>
      </c>
      <c r="FK179">
        <v>1.1980462299894961E-10</v>
      </c>
      <c r="FL179">
        <v>0.1782306200647516</v>
      </c>
      <c r="FM179">
        <v>0</v>
      </c>
      <c r="FN179">
        <v>0</v>
      </c>
      <c r="FO179">
        <v>0</v>
      </c>
      <c r="FP179">
        <v>3</v>
      </c>
      <c r="FQ179">
        <v>2158</v>
      </c>
      <c r="FR179">
        <v>1</v>
      </c>
      <c r="FS179">
        <v>19</v>
      </c>
      <c r="FT179">
        <v>29.1</v>
      </c>
      <c r="FU179">
        <v>29.4</v>
      </c>
      <c r="FV179">
        <v>1.7773399999999999</v>
      </c>
      <c r="FW179">
        <v>2.5476100000000002</v>
      </c>
      <c r="FX179">
        <v>1.5490699999999999</v>
      </c>
      <c r="FY179">
        <v>2.34131</v>
      </c>
      <c r="FZ179">
        <v>1.50146</v>
      </c>
      <c r="GA179">
        <v>2.3339799999999999</v>
      </c>
      <c r="GB179">
        <v>31.237400000000001</v>
      </c>
      <c r="GC179">
        <v>23.982399999999998</v>
      </c>
      <c r="GD179">
        <v>19</v>
      </c>
      <c r="GE179">
        <v>265.87799999999999</v>
      </c>
      <c r="GF179">
        <v>604.33600000000001</v>
      </c>
      <c r="GG179">
        <v>24.285399999999999</v>
      </c>
      <c r="GH179">
        <v>25.473099999999999</v>
      </c>
      <c r="GI179">
        <v>30.0002</v>
      </c>
      <c r="GJ179">
        <v>25.589300000000001</v>
      </c>
      <c r="GK179">
        <v>25.554500000000001</v>
      </c>
      <c r="GL179">
        <v>35.534500000000001</v>
      </c>
      <c r="GM179">
        <v>-30</v>
      </c>
      <c r="GN179">
        <v>-30</v>
      </c>
      <c r="GO179">
        <v>24.291899999999998</v>
      </c>
      <c r="GP179">
        <v>800</v>
      </c>
      <c r="GQ179">
        <v>12.5298</v>
      </c>
      <c r="GR179">
        <v>99.639099999999999</v>
      </c>
      <c r="GS179">
        <v>99.278000000000006</v>
      </c>
    </row>
    <row r="180" spans="1:201" x14ac:dyDescent="0.25">
      <c r="A180">
        <v>164</v>
      </c>
      <c r="B180">
        <v>1690202525.5999999</v>
      </c>
      <c r="C180">
        <v>1678.599999904633</v>
      </c>
      <c r="D180" t="s">
        <v>661</v>
      </c>
      <c r="E180" t="s">
        <v>662</v>
      </c>
      <c r="F180" t="s">
        <v>330</v>
      </c>
      <c r="H180">
        <v>1690202525.5999999</v>
      </c>
      <c r="I180">
        <f t="shared" si="60"/>
        <v>1.7532383427445153E-3</v>
      </c>
      <c r="J180">
        <f t="shared" si="61"/>
        <v>1.7532383427445153</v>
      </c>
      <c r="K180">
        <f t="shared" si="62"/>
        <v>41.323507422694888</v>
      </c>
      <c r="L180">
        <f t="shared" si="63"/>
        <v>334.983</v>
      </c>
      <c r="M180">
        <f t="shared" si="64"/>
        <v>3.1681316400133483</v>
      </c>
      <c r="N180">
        <f t="shared" si="65"/>
        <v>0.31397329071768554</v>
      </c>
      <c r="O180">
        <f t="shared" si="66"/>
        <v>33.1980254595858</v>
      </c>
      <c r="P180">
        <f t="shared" si="67"/>
        <v>0.21027846387120944</v>
      </c>
      <c r="Q180">
        <f t="shared" si="68"/>
        <v>2.0858748508439193</v>
      </c>
      <c r="R180">
        <f t="shared" si="69"/>
        <v>0.19917151279266671</v>
      </c>
      <c r="S180">
        <f t="shared" si="70"/>
        <v>0.1254312002148083</v>
      </c>
      <c r="T180">
        <f t="shared" si="71"/>
        <v>276.1163183270242</v>
      </c>
      <c r="U180">
        <f t="shared" si="72"/>
        <v>27.433822607179629</v>
      </c>
      <c r="V180">
        <f t="shared" si="73"/>
        <v>27.433822607179629</v>
      </c>
      <c r="W180">
        <f t="shared" si="74"/>
        <v>3.6713753370715918</v>
      </c>
      <c r="X180">
        <f t="shared" si="75"/>
        <v>84.647057529870338</v>
      </c>
      <c r="Y180">
        <f t="shared" si="76"/>
        <v>2.8276044539806797</v>
      </c>
      <c r="Z180">
        <f t="shared" si="77"/>
        <v>3.3404639647194729</v>
      </c>
      <c r="AA180">
        <f t="shared" si="78"/>
        <v>0.84377088309091208</v>
      </c>
      <c r="AB180">
        <f t="shared" si="79"/>
        <v>-77.317810915033121</v>
      </c>
      <c r="AC180">
        <f t="shared" si="80"/>
        <v>-180.35576219741483</v>
      </c>
      <c r="AD180">
        <f t="shared" si="81"/>
        <v>-18.591750671469345</v>
      </c>
      <c r="AE180">
        <f t="shared" si="82"/>
        <v>-0.14900545689312139</v>
      </c>
      <c r="AF180">
        <v>13</v>
      </c>
      <c r="AG180">
        <v>4</v>
      </c>
      <c r="AH180">
        <f t="shared" si="83"/>
        <v>1</v>
      </c>
      <c r="AI180">
        <f t="shared" si="84"/>
        <v>0</v>
      </c>
      <c r="AJ180">
        <f t="shared" si="85"/>
        <v>52807.174321429389</v>
      </c>
      <c r="AK180">
        <f t="shared" si="86"/>
        <v>1800.01</v>
      </c>
      <c r="AL180">
        <f t="shared" si="87"/>
        <v>1499.1233110165699</v>
      </c>
      <c r="AM180">
        <f t="shared" si="88"/>
        <v>0.83284165700000001</v>
      </c>
      <c r="AN180">
        <f t="shared" si="89"/>
        <v>0.15339710242000001</v>
      </c>
      <c r="AO180">
        <v>33.299999999999997</v>
      </c>
      <c r="AP180">
        <v>0.5</v>
      </c>
      <c r="AQ180" t="s">
        <v>331</v>
      </c>
      <c r="AR180">
        <v>2</v>
      </c>
      <c r="AS180">
        <v>1690202525.5999999</v>
      </c>
      <c r="AT180">
        <v>334.983</v>
      </c>
      <c r="AU180">
        <v>800.03800000000001</v>
      </c>
      <c r="AV180">
        <v>28.5318</v>
      </c>
      <c r="AW180">
        <v>9.6324100000000001</v>
      </c>
      <c r="AX180">
        <v>336.18599999999998</v>
      </c>
      <c r="AY180">
        <v>28.3536</v>
      </c>
      <c r="AZ180">
        <v>300.10000000000002</v>
      </c>
      <c r="BA180">
        <v>99.003699999999995</v>
      </c>
      <c r="BB180">
        <v>9.9912600000000004E-2</v>
      </c>
      <c r="BC180">
        <v>25.83</v>
      </c>
      <c r="BD180">
        <v>27.004000000000001</v>
      </c>
      <c r="BE180">
        <v>27.431000000000001</v>
      </c>
      <c r="BF180">
        <v>0</v>
      </c>
      <c r="BG180">
        <v>0</v>
      </c>
      <c r="BH180">
        <v>10050</v>
      </c>
      <c r="BI180">
        <v>1073.71</v>
      </c>
      <c r="BJ180">
        <v>1.2446699999999999</v>
      </c>
      <c r="BK180">
        <v>-465.05500000000001</v>
      </c>
      <c r="BL180">
        <v>344.82100000000003</v>
      </c>
      <c r="BM180">
        <v>807.81899999999996</v>
      </c>
      <c r="BN180">
        <v>18.8994</v>
      </c>
      <c r="BO180">
        <v>800.03800000000001</v>
      </c>
      <c r="BP180">
        <v>9.6324100000000001</v>
      </c>
      <c r="BQ180">
        <v>2.8247599999999999</v>
      </c>
      <c r="BR180">
        <v>0.95364400000000005</v>
      </c>
      <c r="BS180">
        <v>23.029499999999999</v>
      </c>
      <c r="BT180">
        <v>6.22675</v>
      </c>
      <c r="BU180">
        <v>1800.01</v>
      </c>
      <c r="BV180">
        <v>0.91001600000000005</v>
      </c>
      <c r="BW180">
        <v>3.39917E-2</v>
      </c>
      <c r="BX180">
        <v>2.1997099999999999E-2</v>
      </c>
      <c r="BY180">
        <v>3.3995400000000002E-2</v>
      </c>
      <c r="BZ180">
        <v>25</v>
      </c>
      <c r="CA180">
        <v>33528.699999999997</v>
      </c>
      <c r="CB180">
        <v>1690200769.5</v>
      </c>
      <c r="CC180" t="s">
        <v>332</v>
      </c>
      <c r="CD180">
        <v>1690200769.5</v>
      </c>
      <c r="CE180">
        <v>1690200753</v>
      </c>
      <c r="CF180">
        <v>2</v>
      </c>
      <c r="CG180">
        <v>-0.245</v>
      </c>
      <c r="CH180">
        <v>3.0000000000000001E-3</v>
      </c>
      <c r="CI180">
        <v>-1.5169999999999999</v>
      </c>
      <c r="CJ180">
        <v>-1.6E-2</v>
      </c>
      <c r="CK180">
        <v>778</v>
      </c>
      <c r="CL180">
        <v>12</v>
      </c>
      <c r="CM180">
        <v>0.01</v>
      </c>
      <c r="CN180">
        <v>0.03</v>
      </c>
      <c r="CO180">
        <v>-464.48225000000002</v>
      </c>
      <c r="CP180">
        <v>-3.5091106941828532</v>
      </c>
      <c r="CQ180">
        <v>0.34148036180723851</v>
      </c>
      <c r="CR180">
        <v>-1</v>
      </c>
      <c r="CS180">
        <v>18.881752500000001</v>
      </c>
      <c r="CT180">
        <v>9.4589493433350338E-2</v>
      </c>
      <c r="CU180">
        <v>9.2081482258920735E-3</v>
      </c>
      <c r="CV180">
        <v>-1</v>
      </c>
      <c r="CW180">
        <v>0</v>
      </c>
      <c r="CX180">
        <v>0</v>
      </c>
      <c r="CY180" t="s">
        <v>333</v>
      </c>
      <c r="CZ180">
        <v>2.3651</v>
      </c>
      <c r="DA180">
        <v>2.7137500000000001</v>
      </c>
      <c r="DB180">
        <v>7.8255099999999994E-2</v>
      </c>
      <c r="DC180">
        <v>0.146314</v>
      </c>
      <c r="DD180">
        <v>0.12870699999999999</v>
      </c>
      <c r="DE180">
        <v>5.7542099999999999E-2</v>
      </c>
      <c r="DF180">
        <v>33630.199999999997</v>
      </c>
      <c r="DG180">
        <v>27448.2</v>
      </c>
      <c r="DH180">
        <v>31144.7</v>
      </c>
      <c r="DI180">
        <v>28013.8</v>
      </c>
      <c r="DJ180">
        <v>36817.1</v>
      </c>
      <c r="DK180">
        <v>37513.4</v>
      </c>
      <c r="DL180">
        <v>44312.9</v>
      </c>
      <c r="DM180">
        <v>42424</v>
      </c>
      <c r="DN180">
        <v>1.4428300000000001</v>
      </c>
      <c r="DO180">
        <v>2.0721500000000002</v>
      </c>
      <c r="DP180">
        <v>0.13966100000000001</v>
      </c>
      <c r="DQ180">
        <v>0.171848</v>
      </c>
      <c r="DR180">
        <v>24.715699999999998</v>
      </c>
      <c r="DS180">
        <v>24.616099999999999</v>
      </c>
      <c r="DT180">
        <v>35.1</v>
      </c>
      <c r="DU180">
        <v>26</v>
      </c>
      <c r="DV180">
        <v>11.962199999999999</v>
      </c>
      <c r="DW180">
        <v>61.4054</v>
      </c>
      <c r="DX180">
        <v>36.814900000000002</v>
      </c>
      <c r="DY180">
        <v>1</v>
      </c>
      <c r="DZ180">
        <v>-0.15512400000000001</v>
      </c>
      <c r="EA180">
        <v>-2.89733E-2</v>
      </c>
      <c r="EB180">
        <v>20.1922</v>
      </c>
      <c r="EC180">
        <v>5.242</v>
      </c>
      <c r="ED180">
        <v>12.039899999999999</v>
      </c>
      <c r="EE180">
        <v>5.0169499999999996</v>
      </c>
      <c r="EF180">
        <v>3.2879999999999998</v>
      </c>
      <c r="EG180">
        <v>9999</v>
      </c>
      <c r="EH180">
        <v>9999</v>
      </c>
      <c r="EI180">
        <v>9999</v>
      </c>
      <c r="EJ180">
        <v>999.9</v>
      </c>
      <c r="EK180">
        <v>1.8688400000000001</v>
      </c>
      <c r="EL180">
        <v>1.8644799999999999</v>
      </c>
      <c r="EM180">
        <v>1.8690599999999999</v>
      </c>
      <c r="EN180">
        <v>1.86713</v>
      </c>
      <c r="EO180">
        <v>1.86331</v>
      </c>
      <c r="EP180">
        <v>1.86443</v>
      </c>
      <c r="EQ180">
        <v>1.87012</v>
      </c>
      <c r="ER180">
        <v>1.8693500000000001</v>
      </c>
      <c r="ES180">
        <v>0</v>
      </c>
      <c r="ET180">
        <v>0</v>
      </c>
      <c r="EU180">
        <v>0</v>
      </c>
      <c r="EV180">
        <v>0</v>
      </c>
      <c r="EW180" t="s">
        <v>334</v>
      </c>
      <c r="EX180" t="s">
        <v>335</v>
      </c>
      <c r="EY180" t="s">
        <v>336</v>
      </c>
      <c r="EZ180" t="s">
        <v>336</v>
      </c>
      <c r="FA180" t="s">
        <v>336</v>
      </c>
      <c r="FB180" t="s">
        <v>336</v>
      </c>
      <c r="FC180">
        <v>0</v>
      </c>
      <c r="FD180">
        <v>100</v>
      </c>
      <c r="FE180">
        <v>100</v>
      </c>
      <c r="FF180">
        <v>-1.2030000000000001</v>
      </c>
      <c r="FG180">
        <v>0.1782</v>
      </c>
      <c r="FH180">
        <v>-0.98020551812546231</v>
      </c>
      <c r="FI180">
        <v>-6.1462078757559423E-4</v>
      </c>
      <c r="FJ180">
        <v>-1.8861989874597051E-7</v>
      </c>
      <c r="FK180">
        <v>1.1980462299894961E-10</v>
      </c>
      <c r="FL180">
        <v>0.1782306200647516</v>
      </c>
      <c r="FM180">
        <v>0</v>
      </c>
      <c r="FN180">
        <v>0</v>
      </c>
      <c r="FO180">
        <v>0</v>
      </c>
      <c r="FP180">
        <v>3</v>
      </c>
      <c r="FQ180">
        <v>2158</v>
      </c>
      <c r="FR180">
        <v>1</v>
      </c>
      <c r="FS180">
        <v>19</v>
      </c>
      <c r="FT180">
        <v>29.3</v>
      </c>
      <c r="FU180">
        <v>29.5</v>
      </c>
      <c r="FV180">
        <v>1.7773399999999999</v>
      </c>
      <c r="FW180">
        <v>2.5512700000000001</v>
      </c>
      <c r="FX180">
        <v>1.5490699999999999</v>
      </c>
      <c r="FY180">
        <v>2.34131</v>
      </c>
      <c r="FZ180">
        <v>1.50146</v>
      </c>
      <c r="GA180">
        <v>2.2692899999999998</v>
      </c>
      <c r="GB180">
        <v>31.215599999999998</v>
      </c>
      <c r="GC180">
        <v>23.982399999999998</v>
      </c>
      <c r="GD180">
        <v>19</v>
      </c>
      <c r="GE180">
        <v>265.762</v>
      </c>
      <c r="GF180">
        <v>603.98400000000004</v>
      </c>
      <c r="GG180">
        <v>24.295300000000001</v>
      </c>
      <c r="GH180">
        <v>25.475300000000001</v>
      </c>
      <c r="GI180">
        <v>30.0002</v>
      </c>
      <c r="GJ180">
        <v>25.590399999999999</v>
      </c>
      <c r="GK180">
        <v>25.555199999999999</v>
      </c>
      <c r="GL180">
        <v>35.533099999999997</v>
      </c>
      <c r="GM180">
        <v>-30</v>
      </c>
      <c r="GN180">
        <v>-30</v>
      </c>
      <c r="GO180">
        <v>24.259599999999999</v>
      </c>
      <c r="GP180">
        <v>800</v>
      </c>
      <c r="GQ180">
        <v>12.5298</v>
      </c>
      <c r="GR180">
        <v>99.637900000000002</v>
      </c>
      <c r="GS180">
        <v>99.277199999999993</v>
      </c>
    </row>
    <row r="181" spans="1:201" x14ac:dyDescent="0.25">
      <c r="A181">
        <v>165</v>
      </c>
      <c r="B181">
        <v>1690202535.5999999</v>
      </c>
      <c r="C181">
        <v>1688.599999904633</v>
      </c>
      <c r="D181" t="s">
        <v>663</v>
      </c>
      <c r="E181" t="s">
        <v>664</v>
      </c>
      <c r="F181" t="s">
        <v>330</v>
      </c>
      <c r="H181">
        <v>1690202535.5999999</v>
      </c>
      <c r="I181">
        <f t="shared" si="60"/>
        <v>1.7546113088462683E-3</v>
      </c>
      <c r="J181">
        <f t="shared" si="61"/>
        <v>1.7546113088462683</v>
      </c>
      <c r="K181">
        <f t="shared" si="62"/>
        <v>41.370749176036973</v>
      </c>
      <c r="L181">
        <f t="shared" si="63"/>
        <v>334.375</v>
      </c>
      <c r="M181">
        <f t="shared" si="64"/>
        <v>2.8812232926100174</v>
      </c>
      <c r="N181">
        <f t="shared" si="65"/>
        <v>0.28553723694591687</v>
      </c>
      <c r="O181">
        <f t="shared" si="66"/>
        <v>33.137491928749995</v>
      </c>
      <c r="P181">
        <f t="shared" si="67"/>
        <v>0.21075943736526037</v>
      </c>
      <c r="Q181">
        <f t="shared" si="68"/>
        <v>2.0816928554154406</v>
      </c>
      <c r="R181">
        <f t="shared" si="69"/>
        <v>0.19958192943454617</v>
      </c>
      <c r="S181">
        <f t="shared" si="70"/>
        <v>0.12569353905096131</v>
      </c>
      <c r="T181">
        <f t="shared" si="71"/>
        <v>276.11474653800002</v>
      </c>
      <c r="U181">
        <f t="shared" si="72"/>
        <v>27.428055359766397</v>
      </c>
      <c r="V181">
        <f t="shared" si="73"/>
        <v>27.428055359766397</v>
      </c>
      <c r="W181">
        <f t="shared" si="74"/>
        <v>3.670135950890582</v>
      </c>
      <c r="X181">
        <f t="shared" si="75"/>
        <v>84.68332639018503</v>
      </c>
      <c r="Y181">
        <f t="shared" si="76"/>
        <v>2.8274419430998394</v>
      </c>
      <c r="Z181">
        <f t="shared" si="77"/>
        <v>3.3388413795558529</v>
      </c>
      <c r="AA181">
        <f t="shared" si="78"/>
        <v>0.84269400779074255</v>
      </c>
      <c r="AB181">
        <f t="shared" si="79"/>
        <v>-77.378358720120431</v>
      </c>
      <c r="AC181">
        <f t="shared" si="80"/>
        <v>-180.26718827855419</v>
      </c>
      <c r="AD181">
        <f t="shared" si="81"/>
        <v>-18.61864999866664</v>
      </c>
      <c r="AE181">
        <f t="shared" si="82"/>
        <v>-0.14945045934123868</v>
      </c>
      <c r="AF181">
        <v>13</v>
      </c>
      <c r="AG181">
        <v>4</v>
      </c>
      <c r="AH181">
        <f t="shared" si="83"/>
        <v>1</v>
      </c>
      <c r="AI181">
        <f t="shared" si="84"/>
        <v>0</v>
      </c>
      <c r="AJ181">
        <f t="shared" si="85"/>
        <v>52619.28502464082</v>
      </c>
      <c r="AK181">
        <f t="shared" si="86"/>
        <v>1800</v>
      </c>
      <c r="AL181">
        <f t="shared" si="87"/>
        <v>1499.1128567999999</v>
      </c>
      <c r="AM181">
        <f t="shared" si="88"/>
        <v>0.832840476</v>
      </c>
      <c r="AN181">
        <f t="shared" si="89"/>
        <v>0.15339708141</v>
      </c>
      <c r="AO181">
        <v>33.299999999999997</v>
      </c>
      <c r="AP181">
        <v>0.5</v>
      </c>
      <c r="AQ181" t="s">
        <v>331</v>
      </c>
      <c r="AR181">
        <v>2</v>
      </c>
      <c r="AS181">
        <v>1690202535.5999999</v>
      </c>
      <c r="AT181">
        <v>334.375</v>
      </c>
      <c r="AU181">
        <v>799.91800000000001</v>
      </c>
      <c r="AV181">
        <v>28.5304</v>
      </c>
      <c r="AW181">
        <v>9.6173800000000007</v>
      </c>
      <c r="AX181">
        <v>335.57900000000001</v>
      </c>
      <c r="AY181">
        <v>28.3521</v>
      </c>
      <c r="AZ181">
        <v>300.11900000000003</v>
      </c>
      <c r="BA181">
        <v>99.002799999999993</v>
      </c>
      <c r="BB181">
        <v>9.9979600000000002E-2</v>
      </c>
      <c r="BC181">
        <v>25.8218</v>
      </c>
      <c r="BD181">
        <v>27.001000000000001</v>
      </c>
      <c r="BE181">
        <v>27.486599999999999</v>
      </c>
      <c r="BF181">
        <v>0</v>
      </c>
      <c r="BG181">
        <v>0</v>
      </c>
      <c r="BH181">
        <v>10012.5</v>
      </c>
      <c r="BI181">
        <v>1073.6300000000001</v>
      </c>
      <c r="BJ181">
        <v>1.2474700000000001</v>
      </c>
      <c r="BK181">
        <v>-465.54199999999997</v>
      </c>
      <c r="BL181">
        <v>344.19499999999999</v>
      </c>
      <c r="BM181">
        <v>807.68499999999995</v>
      </c>
      <c r="BN181">
        <v>18.913</v>
      </c>
      <c r="BO181">
        <v>799.91800000000001</v>
      </c>
      <c r="BP181">
        <v>9.6173800000000007</v>
      </c>
      <c r="BQ181">
        <v>2.8245900000000002</v>
      </c>
      <c r="BR181">
        <v>0.95214799999999999</v>
      </c>
      <c r="BS181">
        <v>23.028500000000001</v>
      </c>
      <c r="BT181">
        <v>6.2039999999999997</v>
      </c>
      <c r="BU181">
        <v>1800</v>
      </c>
      <c r="BV181">
        <v>0.91000999999999999</v>
      </c>
      <c r="BW181">
        <v>3.3999599999999998E-2</v>
      </c>
      <c r="BX181">
        <v>2.19963E-2</v>
      </c>
      <c r="BY181">
        <v>3.3994099999999999E-2</v>
      </c>
      <c r="BZ181">
        <v>25</v>
      </c>
      <c r="CA181">
        <v>33528.5</v>
      </c>
      <c r="CB181">
        <v>1690200769.5</v>
      </c>
      <c r="CC181" t="s">
        <v>332</v>
      </c>
      <c r="CD181">
        <v>1690200769.5</v>
      </c>
      <c r="CE181">
        <v>1690200753</v>
      </c>
      <c r="CF181">
        <v>2</v>
      </c>
      <c r="CG181">
        <v>-0.245</v>
      </c>
      <c r="CH181">
        <v>3.0000000000000001E-3</v>
      </c>
      <c r="CI181">
        <v>-1.5169999999999999</v>
      </c>
      <c r="CJ181">
        <v>-1.6E-2</v>
      </c>
      <c r="CK181">
        <v>778</v>
      </c>
      <c r="CL181">
        <v>12</v>
      </c>
      <c r="CM181">
        <v>0.01</v>
      </c>
      <c r="CN181">
        <v>0.03</v>
      </c>
      <c r="CO181">
        <v>-464.9477</v>
      </c>
      <c r="CP181">
        <v>-2.8282401500940559</v>
      </c>
      <c r="CQ181">
        <v>0.27815258402539111</v>
      </c>
      <c r="CR181">
        <v>-1</v>
      </c>
      <c r="CS181">
        <v>18.895634999999999</v>
      </c>
      <c r="CT181">
        <v>9.4329455909926724E-2</v>
      </c>
      <c r="CU181">
        <v>9.1435099934324068E-3</v>
      </c>
      <c r="CV181">
        <v>-1</v>
      </c>
      <c r="CW181">
        <v>0</v>
      </c>
      <c r="CX181">
        <v>0</v>
      </c>
      <c r="CY181" t="s">
        <v>333</v>
      </c>
      <c r="CZ181">
        <v>2.36517</v>
      </c>
      <c r="DA181">
        <v>2.7137799999999999</v>
      </c>
      <c r="DB181">
        <v>7.8142100000000006E-2</v>
      </c>
      <c r="DC181">
        <v>0.14629700000000001</v>
      </c>
      <c r="DD181">
        <v>0.12870100000000001</v>
      </c>
      <c r="DE181">
        <v>5.7471899999999999E-2</v>
      </c>
      <c r="DF181">
        <v>33634.1</v>
      </c>
      <c r="DG181">
        <v>27448.7</v>
      </c>
      <c r="DH181">
        <v>31144.6</v>
      </c>
      <c r="DI181">
        <v>28013.7</v>
      </c>
      <c r="DJ181">
        <v>36817.300000000003</v>
      </c>
      <c r="DK181">
        <v>37516.1</v>
      </c>
      <c r="DL181">
        <v>44312.9</v>
      </c>
      <c r="DM181">
        <v>42423.9</v>
      </c>
      <c r="DN181">
        <v>1.4425699999999999</v>
      </c>
      <c r="DO181">
        <v>2.0721500000000002</v>
      </c>
      <c r="DP181">
        <v>0.13932600000000001</v>
      </c>
      <c r="DQ181">
        <v>0.175126</v>
      </c>
      <c r="DR181">
        <v>24.7182</v>
      </c>
      <c r="DS181">
        <v>24.618099999999998</v>
      </c>
      <c r="DT181">
        <v>34.9</v>
      </c>
      <c r="DU181">
        <v>26</v>
      </c>
      <c r="DV181">
        <v>11.894500000000001</v>
      </c>
      <c r="DW181">
        <v>61.815399999999997</v>
      </c>
      <c r="DX181">
        <v>36.189900000000002</v>
      </c>
      <c r="DY181">
        <v>1</v>
      </c>
      <c r="DZ181">
        <v>-0.15510699999999999</v>
      </c>
      <c r="EA181">
        <v>-1.19472E-2</v>
      </c>
      <c r="EB181">
        <v>20.1921</v>
      </c>
      <c r="EC181">
        <v>5.242</v>
      </c>
      <c r="ED181">
        <v>12.039899999999999</v>
      </c>
      <c r="EE181">
        <v>5.0172999999999996</v>
      </c>
      <c r="EF181">
        <v>3.2879999999999998</v>
      </c>
      <c r="EG181">
        <v>9999</v>
      </c>
      <c r="EH181">
        <v>9999</v>
      </c>
      <c r="EI181">
        <v>9999</v>
      </c>
      <c r="EJ181">
        <v>999.9</v>
      </c>
      <c r="EK181">
        <v>1.8688199999999999</v>
      </c>
      <c r="EL181">
        <v>1.86449</v>
      </c>
      <c r="EM181">
        <v>1.8690599999999999</v>
      </c>
      <c r="EN181">
        <v>1.86714</v>
      </c>
      <c r="EO181">
        <v>1.8632899999999999</v>
      </c>
      <c r="EP181">
        <v>1.8644400000000001</v>
      </c>
      <c r="EQ181">
        <v>1.87012</v>
      </c>
      <c r="ER181">
        <v>1.8693500000000001</v>
      </c>
      <c r="ES181">
        <v>0</v>
      </c>
      <c r="ET181">
        <v>0</v>
      </c>
      <c r="EU181">
        <v>0</v>
      </c>
      <c r="EV181">
        <v>0</v>
      </c>
      <c r="EW181" t="s">
        <v>334</v>
      </c>
      <c r="EX181" t="s">
        <v>335</v>
      </c>
      <c r="EY181" t="s">
        <v>336</v>
      </c>
      <c r="EZ181" t="s">
        <v>336</v>
      </c>
      <c r="FA181" t="s">
        <v>336</v>
      </c>
      <c r="FB181" t="s">
        <v>336</v>
      </c>
      <c r="FC181">
        <v>0</v>
      </c>
      <c r="FD181">
        <v>100</v>
      </c>
      <c r="FE181">
        <v>100</v>
      </c>
      <c r="FF181">
        <v>-1.204</v>
      </c>
      <c r="FG181">
        <v>0.17829999999999999</v>
      </c>
      <c r="FH181">
        <v>-0.98020551812546231</v>
      </c>
      <c r="FI181">
        <v>-6.1462078757559423E-4</v>
      </c>
      <c r="FJ181">
        <v>-1.8861989874597051E-7</v>
      </c>
      <c r="FK181">
        <v>1.1980462299894961E-10</v>
      </c>
      <c r="FL181">
        <v>0.1782306200647516</v>
      </c>
      <c r="FM181">
        <v>0</v>
      </c>
      <c r="FN181">
        <v>0</v>
      </c>
      <c r="FO181">
        <v>0</v>
      </c>
      <c r="FP181">
        <v>3</v>
      </c>
      <c r="FQ181">
        <v>2158</v>
      </c>
      <c r="FR181">
        <v>1</v>
      </c>
      <c r="FS181">
        <v>19</v>
      </c>
      <c r="FT181">
        <v>29.4</v>
      </c>
      <c r="FU181">
        <v>29.7</v>
      </c>
      <c r="FV181">
        <v>1.7773399999999999</v>
      </c>
      <c r="FW181">
        <v>2.5451700000000002</v>
      </c>
      <c r="FX181">
        <v>1.5490699999999999</v>
      </c>
      <c r="FY181">
        <v>2.34131</v>
      </c>
      <c r="FZ181">
        <v>1.50146</v>
      </c>
      <c r="GA181">
        <v>2.4182100000000002</v>
      </c>
      <c r="GB181">
        <v>31.237400000000001</v>
      </c>
      <c r="GC181">
        <v>23.991199999999999</v>
      </c>
      <c r="GD181">
        <v>19</v>
      </c>
      <c r="GE181">
        <v>265.66000000000003</v>
      </c>
      <c r="GF181">
        <v>604.00900000000001</v>
      </c>
      <c r="GG181">
        <v>24.2621</v>
      </c>
      <c r="GH181">
        <v>25.475300000000001</v>
      </c>
      <c r="GI181">
        <v>30</v>
      </c>
      <c r="GJ181">
        <v>25.590399999999999</v>
      </c>
      <c r="GK181">
        <v>25.557300000000001</v>
      </c>
      <c r="GL181">
        <v>35.537300000000002</v>
      </c>
      <c r="GM181">
        <v>-30</v>
      </c>
      <c r="GN181">
        <v>-30</v>
      </c>
      <c r="GO181">
        <v>24.272500000000001</v>
      </c>
      <c r="GP181">
        <v>800</v>
      </c>
      <c r="GQ181">
        <v>12.5298</v>
      </c>
      <c r="GR181">
        <v>99.637699999999995</v>
      </c>
      <c r="GS181">
        <v>99.276899999999998</v>
      </c>
    </row>
    <row r="182" spans="1:201" x14ac:dyDescent="0.25">
      <c r="A182">
        <v>166</v>
      </c>
      <c r="B182">
        <v>1690202545.5999999</v>
      </c>
      <c r="C182">
        <v>1698.599999904633</v>
      </c>
      <c r="D182" t="s">
        <v>665</v>
      </c>
      <c r="E182" t="s">
        <v>666</v>
      </c>
      <c r="F182" t="s">
        <v>330</v>
      </c>
      <c r="H182">
        <v>1690202545.5999999</v>
      </c>
      <c r="I182">
        <f t="shared" si="60"/>
        <v>1.7571846374957499E-3</v>
      </c>
      <c r="J182">
        <f t="shared" si="61"/>
        <v>1.75718463749575</v>
      </c>
      <c r="K182">
        <f t="shared" si="62"/>
        <v>41.434737889540919</v>
      </c>
      <c r="L182">
        <f t="shared" si="63"/>
        <v>333.916</v>
      </c>
      <c r="M182">
        <f t="shared" si="64"/>
        <v>2.2823497644602693</v>
      </c>
      <c r="N182">
        <f t="shared" si="65"/>
        <v>0.22618998284061137</v>
      </c>
      <c r="O182">
        <f t="shared" si="66"/>
        <v>33.092410061902406</v>
      </c>
      <c r="P182">
        <f t="shared" si="67"/>
        <v>0.21100873295227662</v>
      </c>
      <c r="Q182">
        <f t="shared" si="68"/>
        <v>2.080446315579878</v>
      </c>
      <c r="R182">
        <f t="shared" si="69"/>
        <v>0.19979919192892778</v>
      </c>
      <c r="S182">
        <f t="shared" si="70"/>
        <v>0.12583198100548981</v>
      </c>
      <c r="T182">
        <f t="shared" si="71"/>
        <v>276.11311529572629</v>
      </c>
      <c r="U182">
        <f t="shared" si="72"/>
        <v>27.432390787575713</v>
      </c>
      <c r="V182">
        <f t="shared" si="73"/>
        <v>27.432390787575713</v>
      </c>
      <c r="W182">
        <f t="shared" si="74"/>
        <v>3.6710676037893006</v>
      </c>
      <c r="X182">
        <f t="shared" si="75"/>
        <v>84.679502451760087</v>
      </c>
      <c r="Y182">
        <f t="shared" si="76"/>
        <v>2.8280514620696797</v>
      </c>
      <c r="Z182">
        <f t="shared" si="77"/>
        <v>3.3397119493950194</v>
      </c>
      <c r="AA182">
        <f t="shared" si="78"/>
        <v>0.84301614171962092</v>
      </c>
      <c r="AB182">
        <f t="shared" si="79"/>
        <v>-77.491842513562574</v>
      </c>
      <c r="AC182">
        <f t="shared" si="80"/>
        <v>-180.1519998848932</v>
      </c>
      <c r="AD182">
        <f t="shared" si="81"/>
        <v>-18.618715712358259</v>
      </c>
      <c r="AE182">
        <f t="shared" si="82"/>
        <v>-0.14944281508775248</v>
      </c>
      <c r="AF182">
        <v>13</v>
      </c>
      <c r="AG182">
        <v>4</v>
      </c>
      <c r="AH182">
        <f t="shared" si="83"/>
        <v>1</v>
      </c>
      <c r="AI182">
        <f t="shared" si="84"/>
        <v>0</v>
      </c>
      <c r="AJ182">
        <f t="shared" si="85"/>
        <v>52562.198332041924</v>
      </c>
      <c r="AK182">
        <f t="shared" si="86"/>
        <v>1799.99</v>
      </c>
      <c r="AL182">
        <f t="shared" si="87"/>
        <v>1499.1018302102298</v>
      </c>
      <c r="AM182">
        <f t="shared" si="88"/>
        <v>0.83283897699999987</v>
      </c>
      <c r="AN182">
        <f t="shared" si="89"/>
        <v>0.15339702736999999</v>
      </c>
      <c r="AO182">
        <v>33.299999999999997</v>
      </c>
      <c r="AP182">
        <v>0.5</v>
      </c>
      <c r="AQ182" t="s">
        <v>331</v>
      </c>
      <c r="AR182">
        <v>2</v>
      </c>
      <c r="AS182">
        <v>1690202545.5999999</v>
      </c>
      <c r="AT182">
        <v>333.916</v>
      </c>
      <c r="AU182">
        <v>799.99099999999999</v>
      </c>
      <c r="AV182">
        <v>28.536200000000001</v>
      </c>
      <c r="AW182">
        <v>9.6028099999999998</v>
      </c>
      <c r="AX182">
        <v>335.11900000000003</v>
      </c>
      <c r="AY182">
        <v>28.358000000000001</v>
      </c>
      <c r="AZ182">
        <v>300.23399999999998</v>
      </c>
      <c r="BA182">
        <v>99.004000000000005</v>
      </c>
      <c r="BB182">
        <v>9.9996399999999999E-2</v>
      </c>
      <c r="BC182">
        <v>25.8262</v>
      </c>
      <c r="BD182">
        <v>27.009</v>
      </c>
      <c r="BE182">
        <v>27.453399999999998</v>
      </c>
      <c r="BF182">
        <v>0</v>
      </c>
      <c r="BG182">
        <v>0</v>
      </c>
      <c r="BH182">
        <v>10001.200000000001</v>
      </c>
      <c r="BI182">
        <v>1073.56</v>
      </c>
      <c r="BJ182">
        <v>1.48295</v>
      </c>
      <c r="BK182">
        <v>-466.07499999999999</v>
      </c>
      <c r="BL182">
        <v>343.72500000000002</v>
      </c>
      <c r="BM182">
        <v>807.74800000000005</v>
      </c>
      <c r="BN182">
        <v>18.933399999999999</v>
      </c>
      <c r="BO182">
        <v>799.99099999999999</v>
      </c>
      <c r="BP182">
        <v>9.6028099999999998</v>
      </c>
      <c r="BQ182">
        <v>2.8252000000000002</v>
      </c>
      <c r="BR182">
        <v>0.95071600000000001</v>
      </c>
      <c r="BS182">
        <v>23.0321</v>
      </c>
      <c r="BT182">
        <v>6.1822100000000004</v>
      </c>
      <c r="BU182">
        <v>1799.99</v>
      </c>
      <c r="BV182">
        <v>0.91000300000000001</v>
      </c>
      <c r="BW182">
        <v>3.4007799999999998E-2</v>
      </c>
      <c r="BX182">
        <v>2.1995600000000001E-2</v>
      </c>
      <c r="BY182">
        <v>3.3993099999999998E-2</v>
      </c>
      <c r="BZ182">
        <v>25</v>
      </c>
      <c r="CA182">
        <v>33528.199999999997</v>
      </c>
      <c r="CB182">
        <v>1690200769.5</v>
      </c>
      <c r="CC182" t="s">
        <v>332</v>
      </c>
      <c r="CD182">
        <v>1690200769.5</v>
      </c>
      <c r="CE182">
        <v>1690200753</v>
      </c>
      <c r="CF182">
        <v>2</v>
      </c>
      <c r="CG182">
        <v>-0.245</v>
      </c>
      <c r="CH182">
        <v>3.0000000000000001E-3</v>
      </c>
      <c r="CI182">
        <v>-1.5169999999999999</v>
      </c>
      <c r="CJ182">
        <v>-1.6E-2</v>
      </c>
      <c r="CK182">
        <v>778</v>
      </c>
      <c r="CL182">
        <v>12</v>
      </c>
      <c r="CM182">
        <v>0.01</v>
      </c>
      <c r="CN182">
        <v>0.03</v>
      </c>
      <c r="CO182">
        <v>-465.4712195121952</v>
      </c>
      <c r="CP182">
        <v>-3.285282229965738</v>
      </c>
      <c r="CQ182">
        <v>0.32887417062925239</v>
      </c>
      <c r="CR182">
        <v>-1</v>
      </c>
      <c r="CS182">
        <v>18.91224390243902</v>
      </c>
      <c r="CT182">
        <v>0.10111149825785749</v>
      </c>
      <c r="CU182">
        <v>1.0051478444353701E-2</v>
      </c>
      <c r="CV182">
        <v>-1</v>
      </c>
      <c r="CW182">
        <v>0</v>
      </c>
      <c r="CX182">
        <v>0</v>
      </c>
      <c r="CY182" t="s">
        <v>333</v>
      </c>
      <c r="CZ182">
        <v>2.3655400000000002</v>
      </c>
      <c r="DA182">
        <v>2.7137899999999999</v>
      </c>
      <c r="DB182">
        <v>7.8057600000000005E-2</v>
      </c>
      <c r="DC182">
        <v>0.14630699999999999</v>
      </c>
      <c r="DD182">
        <v>0.12872</v>
      </c>
      <c r="DE182">
        <v>5.7405299999999999E-2</v>
      </c>
      <c r="DF182">
        <v>33637.5</v>
      </c>
      <c r="DG182">
        <v>27448.5</v>
      </c>
      <c r="DH182">
        <v>31144.799999999999</v>
      </c>
      <c r="DI182">
        <v>28013.9</v>
      </c>
      <c r="DJ182">
        <v>36816.800000000003</v>
      </c>
      <c r="DK182">
        <v>37519.1</v>
      </c>
      <c r="DL182">
        <v>44313.3</v>
      </c>
      <c r="DM182">
        <v>42424.2</v>
      </c>
      <c r="DN182">
        <v>1.44333</v>
      </c>
      <c r="DO182">
        <v>2.0720800000000001</v>
      </c>
      <c r="DP182">
        <v>0.13958699999999999</v>
      </c>
      <c r="DQ182">
        <v>0.17296500000000001</v>
      </c>
      <c r="DR182">
        <v>24.722000000000001</v>
      </c>
      <c r="DS182">
        <v>24.620200000000001</v>
      </c>
      <c r="DT182">
        <v>34.700000000000003</v>
      </c>
      <c r="DU182">
        <v>26</v>
      </c>
      <c r="DV182">
        <v>11.8253</v>
      </c>
      <c r="DW182">
        <v>61.535400000000003</v>
      </c>
      <c r="DX182">
        <v>35.749200000000002</v>
      </c>
      <c r="DY182">
        <v>1</v>
      </c>
      <c r="DZ182">
        <v>-0.154784</v>
      </c>
      <c r="EA182">
        <v>-4.5258699999999999E-2</v>
      </c>
      <c r="EB182">
        <v>20.1921</v>
      </c>
      <c r="EC182">
        <v>5.2416999999999998</v>
      </c>
      <c r="ED182">
        <v>12.039899999999999</v>
      </c>
      <c r="EE182">
        <v>5.0174000000000003</v>
      </c>
      <c r="EF182">
        <v>3.2879999999999998</v>
      </c>
      <c r="EG182">
        <v>9999</v>
      </c>
      <c r="EH182">
        <v>9999</v>
      </c>
      <c r="EI182">
        <v>9999</v>
      </c>
      <c r="EJ182">
        <v>999.9</v>
      </c>
      <c r="EK182">
        <v>1.86879</v>
      </c>
      <c r="EL182">
        <v>1.86449</v>
      </c>
      <c r="EM182">
        <v>1.8690500000000001</v>
      </c>
      <c r="EN182">
        <v>1.8671199999999999</v>
      </c>
      <c r="EO182">
        <v>1.8633</v>
      </c>
      <c r="EP182">
        <v>1.86442</v>
      </c>
      <c r="EQ182">
        <v>1.8701099999999999</v>
      </c>
      <c r="ER182">
        <v>1.8693500000000001</v>
      </c>
      <c r="ES182">
        <v>0</v>
      </c>
      <c r="ET182">
        <v>0</v>
      </c>
      <c r="EU182">
        <v>0</v>
      </c>
      <c r="EV182">
        <v>0</v>
      </c>
      <c r="EW182" t="s">
        <v>334</v>
      </c>
      <c r="EX182" t="s">
        <v>335</v>
      </c>
      <c r="EY182" t="s">
        <v>336</v>
      </c>
      <c r="EZ182" t="s">
        <v>336</v>
      </c>
      <c r="FA182" t="s">
        <v>336</v>
      </c>
      <c r="FB182" t="s">
        <v>336</v>
      </c>
      <c r="FC182">
        <v>0</v>
      </c>
      <c r="FD182">
        <v>100</v>
      </c>
      <c r="FE182">
        <v>100</v>
      </c>
      <c r="FF182">
        <v>-1.2030000000000001</v>
      </c>
      <c r="FG182">
        <v>0.1782</v>
      </c>
      <c r="FH182">
        <v>-0.98020551812546231</v>
      </c>
      <c r="FI182">
        <v>-6.1462078757559423E-4</v>
      </c>
      <c r="FJ182">
        <v>-1.8861989874597051E-7</v>
      </c>
      <c r="FK182">
        <v>1.1980462299894961E-10</v>
      </c>
      <c r="FL182">
        <v>0.1782306200647516</v>
      </c>
      <c r="FM182">
        <v>0</v>
      </c>
      <c r="FN182">
        <v>0</v>
      </c>
      <c r="FO182">
        <v>0</v>
      </c>
      <c r="FP182">
        <v>3</v>
      </c>
      <c r="FQ182">
        <v>2158</v>
      </c>
      <c r="FR182">
        <v>1</v>
      </c>
      <c r="FS182">
        <v>19</v>
      </c>
      <c r="FT182">
        <v>29.6</v>
      </c>
      <c r="FU182">
        <v>29.9</v>
      </c>
      <c r="FV182">
        <v>1.7773399999999999</v>
      </c>
      <c r="FW182">
        <v>2.5500500000000001</v>
      </c>
      <c r="FX182">
        <v>1.5490699999999999</v>
      </c>
      <c r="FY182">
        <v>2.34131</v>
      </c>
      <c r="FZ182">
        <v>1.50146</v>
      </c>
      <c r="GA182">
        <v>2.3596200000000001</v>
      </c>
      <c r="GB182">
        <v>31.237400000000001</v>
      </c>
      <c r="GC182">
        <v>23.982399999999998</v>
      </c>
      <c r="GD182">
        <v>19</v>
      </c>
      <c r="GE182">
        <v>265.97300000000001</v>
      </c>
      <c r="GF182">
        <v>603.94600000000003</v>
      </c>
      <c r="GG182">
        <v>24.275500000000001</v>
      </c>
      <c r="GH182">
        <v>25.476299999999998</v>
      </c>
      <c r="GI182">
        <v>30.0002</v>
      </c>
      <c r="GJ182">
        <v>25.592600000000001</v>
      </c>
      <c r="GK182">
        <v>25.557300000000001</v>
      </c>
      <c r="GL182">
        <v>35.537100000000002</v>
      </c>
      <c r="GM182">
        <v>-30</v>
      </c>
      <c r="GN182">
        <v>-30</v>
      </c>
      <c r="GO182">
        <v>24.270700000000001</v>
      </c>
      <c r="GP182">
        <v>800</v>
      </c>
      <c r="GQ182">
        <v>12.5298</v>
      </c>
      <c r="GR182">
        <v>99.638599999999997</v>
      </c>
      <c r="GS182">
        <v>99.277600000000007</v>
      </c>
    </row>
    <row r="183" spans="1:201" x14ac:dyDescent="0.25">
      <c r="A183">
        <v>167</v>
      </c>
      <c r="B183">
        <v>1690202555.5999999</v>
      </c>
      <c r="C183">
        <v>1708.599999904633</v>
      </c>
      <c r="D183" t="s">
        <v>667</v>
      </c>
      <c r="E183" t="s">
        <v>668</v>
      </c>
      <c r="F183" t="s">
        <v>330</v>
      </c>
      <c r="H183">
        <v>1690202555.5999999</v>
      </c>
      <c r="I183">
        <f t="shared" si="60"/>
        <v>1.7587874297111787E-3</v>
      </c>
      <c r="J183">
        <f t="shared" si="61"/>
        <v>1.7587874297111787</v>
      </c>
      <c r="K183">
        <f t="shared" si="62"/>
        <v>41.463433560162777</v>
      </c>
      <c r="L183">
        <f t="shared" si="63"/>
        <v>333.45100000000002</v>
      </c>
      <c r="M183">
        <f t="shared" si="64"/>
        <v>2.0765368617103506</v>
      </c>
      <c r="N183">
        <f t="shared" si="65"/>
        <v>0.20579225298679452</v>
      </c>
      <c r="O183">
        <f t="shared" si="66"/>
        <v>33.046190422152705</v>
      </c>
      <c r="P183">
        <f t="shared" si="67"/>
        <v>0.21134442195578096</v>
      </c>
      <c r="Q183">
        <f t="shared" si="68"/>
        <v>2.077934353966866</v>
      </c>
      <c r="R183">
        <f t="shared" si="69"/>
        <v>0.20008739169077167</v>
      </c>
      <c r="S183">
        <f t="shared" si="70"/>
        <v>0.12601603023891805</v>
      </c>
      <c r="T183">
        <f t="shared" si="71"/>
        <v>276.11472288599998</v>
      </c>
      <c r="U183">
        <f t="shared" si="72"/>
        <v>27.434091763737825</v>
      </c>
      <c r="V183">
        <f t="shared" si="73"/>
        <v>27.434091763737825</v>
      </c>
      <c r="W183">
        <f t="shared" si="74"/>
        <v>3.6714331879559188</v>
      </c>
      <c r="X183">
        <f t="shared" si="75"/>
        <v>84.701570309016901</v>
      </c>
      <c r="Y183">
        <f t="shared" si="76"/>
        <v>2.8288722694614203</v>
      </c>
      <c r="Z183">
        <f t="shared" si="77"/>
        <v>3.3398108903304156</v>
      </c>
      <c r="AA183">
        <f t="shared" si="78"/>
        <v>0.84256091849449843</v>
      </c>
      <c r="AB183">
        <f t="shared" si="79"/>
        <v>-77.562525650262984</v>
      </c>
      <c r="AC183">
        <f t="shared" si="80"/>
        <v>-180.06902177050642</v>
      </c>
      <c r="AD183">
        <f t="shared" si="81"/>
        <v>-18.632842746332145</v>
      </c>
      <c r="AE183">
        <f t="shared" si="82"/>
        <v>-0.14966728110155714</v>
      </c>
      <c r="AF183">
        <v>13</v>
      </c>
      <c r="AG183">
        <v>4</v>
      </c>
      <c r="AH183">
        <f t="shared" si="83"/>
        <v>1</v>
      </c>
      <c r="AI183">
        <f t="shared" si="84"/>
        <v>0</v>
      </c>
      <c r="AJ183">
        <f t="shared" si="85"/>
        <v>52448.699497603644</v>
      </c>
      <c r="AK183">
        <f t="shared" si="86"/>
        <v>1800</v>
      </c>
      <c r="AL183">
        <f t="shared" si="87"/>
        <v>1499.1108156</v>
      </c>
      <c r="AM183">
        <f t="shared" si="88"/>
        <v>0.83283934199999998</v>
      </c>
      <c r="AN183">
        <f t="shared" si="89"/>
        <v>0.15339706826999999</v>
      </c>
      <c r="AO183">
        <v>33.299999999999997</v>
      </c>
      <c r="AP183">
        <v>0.5</v>
      </c>
      <c r="AQ183" t="s">
        <v>331</v>
      </c>
      <c r="AR183">
        <v>2</v>
      </c>
      <c r="AS183">
        <v>1690202555.5999999</v>
      </c>
      <c r="AT183">
        <v>333.45100000000002</v>
      </c>
      <c r="AU183">
        <v>799.96699999999998</v>
      </c>
      <c r="AV183">
        <v>28.544599999999999</v>
      </c>
      <c r="AW183">
        <v>9.5889900000000008</v>
      </c>
      <c r="AX183">
        <v>334.654</v>
      </c>
      <c r="AY183">
        <v>28.366299999999999</v>
      </c>
      <c r="AZ183">
        <v>300.15300000000002</v>
      </c>
      <c r="BA183">
        <v>99.003600000000006</v>
      </c>
      <c r="BB183">
        <v>9.9987699999999999E-2</v>
      </c>
      <c r="BC183">
        <v>25.826699999999999</v>
      </c>
      <c r="BD183">
        <v>26.995799999999999</v>
      </c>
      <c r="BE183">
        <v>27.446899999999999</v>
      </c>
      <c r="BF183">
        <v>0</v>
      </c>
      <c r="BG183">
        <v>0</v>
      </c>
      <c r="BH183">
        <v>9978.75</v>
      </c>
      <c r="BI183">
        <v>1073.52</v>
      </c>
      <c r="BJ183">
        <v>1.5137799999999999</v>
      </c>
      <c r="BK183">
        <v>-466.51600000000002</v>
      </c>
      <c r="BL183">
        <v>343.24900000000002</v>
      </c>
      <c r="BM183">
        <v>807.71199999999999</v>
      </c>
      <c r="BN183">
        <v>18.9556</v>
      </c>
      <c r="BO183">
        <v>799.96699999999998</v>
      </c>
      <c r="BP183">
        <v>9.5889900000000008</v>
      </c>
      <c r="BQ183">
        <v>2.8260100000000001</v>
      </c>
      <c r="BR183">
        <v>0.94934499999999999</v>
      </c>
      <c r="BS183">
        <v>23.036799999999999</v>
      </c>
      <c r="BT183">
        <v>6.1612999999999998</v>
      </c>
      <c r="BU183">
        <v>1800</v>
      </c>
      <c r="BV183">
        <v>0.91000400000000004</v>
      </c>
      <c r="BW183">
        <v>3.40086E-2</v>
      </c>
      <c r="BX183">
        <v>2.19951E-2</v>
      </c>
      <c r="BY183">
        <v>3.3992300000000003E-2</v>
      </c>
      <c r="BZ183">
        <v>25</v>
      </c>
      <c r="CA183">
        <v>33528.300000000003</v>
      </c>
      <c r="CB183">
        <v>1690200769.5</v>
      </c>
      <c r="CC183" t="s">
        <v>332</v>
      </c>
      <c r="CD183">
        <v>1690200769.5</v>
      </c>
      <c r="CE183">
        <v>1690200753</v>
      </c>
      <c r="CF183">
        <v>2</v>
      </c>
      <c r="CG183">
        <v>-0.245</v>
      </c>
      <c r="CH183">
        <v>3.0000000000000001E-3</v>
      </c>
      <c r="CI183">
        <v>-1.5169999999999999</v>
      </c>
      <c r="CJ183">
        <v>-1.6E-2</v>
      </c>
      <c r="CK183">
        <v>778</v>
      </c>
      <c r="CL183">
        <v>12</v>
      </c>
      <c r="CM183">
        <v>0.01</v>
      </c>
      <c r="CN183">
        <v>0.03</v>
      </c>
      <c r="CO183">
        <v>-465.98904878048779</v>
      </c>
      <c r="CP183">
        <v>-2.9369686411147642</v>
      </c>
      <c r="CQ183">
        <v>0.29421710510698851</v>
      </c>
      <c r="CR183">
        <v>-1</v>
      </c>
      <c r="CS183">
        <v>18.931046341463411</v>
      </c>
      <c r="CT183">
        <v>0.1249421602787652</v>
      </c>
      <c r="CU183">
        <v>1.233345831193304E-2</v>
      </c>
      <c r="CV183">
        <v>-1</v>
      </c>
      <c r="CW183">
        <v>0</v>
      </c>
      <c r="CX183">
        <v>0</v>
      </c>
      <c r="CY183" t="s">
        <v>333</v>
      </c>
      <c r="CZ183">
        <v>2.3652700000000002</v>
      </c>
      <c r="DA183">
        <v>2.7137600000000002</v>
      </c>
      <c r="DB183">
        <v>7.7970999999999999E-2</v>
      </c>
      <c r="DC183">
        <v>0.14630299999999999</v>
      </c>
      <c r="DD183">
        <v>0.128745</v>
      </c>
      <c r="DE183">
        <v>5.73409E-2</v>
      </c>
      <c r="DF183">
        <v>33641.1</v>
      </c>
      <c r="DG183">
        <v>27448.7</v>
      </c>
      <c r="DH183">
        <v>31145.3</v>
      </c>
      <c r="DI183">
        <v>28013.9</v>
      </c>
      <c r="DJ183">
        <v>36816.199999999997</v>
      </c>
      <c r="DK183">
        <v>37521.800000000003</v>
      </c>
      <c r="DL183">
        <v>44313.9</v>
      </c>
      <c r="DM183">
        <v>42424.3</v>
      </c>
      <c r="DN183">
        <v>1.4425300000000001</v>
      </c>
      <c r="DO183">
        <v>2.0721500000000002</v>
      </c>
      <c r="DP183">
        <v>0.138655</v>
      </c>
      <c r="DQ183">
        <v>0.17244399999999999</v>
      </c>
      <c r="DR183">
        <v>24.724</v>
      </c>
      <c r="DS183">
        <v>24.622299999999999</v>
      </c>
      <c r="DT183">
        <v>34.5</v>
      </c>
      <c r="DU183">
        <v>26</v>
      </c>
      <c r="DV183">
        <v>11.758100000000001</v>
      </c>
      <c r="DW183">
        <v>61.345399999999998</v>
      </c>
      <c r="DX183">
        <v>35.861400000000003</v>
      </c>
      <c r="DY183">
        <v>1</v>
      </c>
      <c r="DZ183">
        <v>-0.15473799999999999</v>
      </c>
      <c r="EA183">
        <v>3.5566500000000002E-3</v>
      </c>
      <c r="EB183">
        <v>20.1921</v>
      </c>
      <c r="EC183">
        <v>5.2413999999999996</v>
      </c>
      <c r="ED183">
        <v>12.039899999999999</v>
      </c>
      <c r="EE183">
        <v>5.0170500000000002</v>
      </c>
      <c r="EF183">
        <v>3.2879999999999998</v>
      </c>
      <c r="EG183">
        <v>9999</v>
      </c>
      <c r="EH183">
        <v>9999</v>
      </c>
      <c r="EI183">
        <v>9999</v>
      </c>
      <c r="EJ183">
        <v>999.9</v>
      </c>
      <c r="EK183">
        <v>1.8688</v>
      </c>
      <c r="EL183">
        <v>1.86449</v>
      </c>
      <c r="EM183">
        <v>1.8690500000000001</v>
      </c>
      <c r="EN183">
        <v>1.86714</v>
      </c>
      <c r="EO183">
        <v>1.8633</v>
      </c>
      <c r="EP183">
        <v>1.86442</v>
      </c>
      <c r="EQ183">
        <v>1.8701099999999999</v>
      </c>
      <c r="ER183">
        <v>1.8693599999999999</v>
      </c>
      <c r="ES183">
        <v>0</v>
      </c>
      <c r="ET183">
        <v>0</v>
      </c>
      <c r="EU183">
        <v>0</v>
      </c>
      <c r="EV183">
        <v>0</v>
      </c>
      <c r="EW183" t="s">
        <v>334</v>
      </c>
      <c r="EX183" t="s">
        <v>335</v>
      </c>
      <c r="EY183" t="s">
        <v>336</v>
      </c>
      <c r="EZ183" t="s">
        <v>336</v>
      </c>
      <c r="FA183" t="s">
        <v>336</v>
      </c>
      <c r="FB183" t="s">
        <v>336</v>
      </c>
      <c r="FC183">
        <v>0</v>
      </c>
      <c r="FD183">
        <v>100</v>
      </c>
      <c r="FE183">
        <v>100</v>
      </c>
      <c r="FF183">
        <v>-1.2030000000000001</v>
      </c>
      <c r="FG183">
        <v>0.17829999999999999</v>
      </c>
      <c r="FH183">
        <v>-0.98020551812546231</v>
      </c>
      <c r="FI183">
        <v>-6.1462078757559423E-4</v>
      </c>
      <c r="FJ183">
        <v>-1.8861989874597051E-7</v>
      </c>
      <c r="FK183">
        <v>1.1980462299894961E-10</v>
      </c>
      <c r="FL183">
        <v>0.1782306200647516</v>
      </c>
      <c r="FM183">
        <v>0</v>
      </c>
      <c r="FN183">
        <v>0</v>
      </c>
      <c r="FO183">
        <v>0</v>
      </c>
      <c r="FP183">
        <v>3</v>
      </c>
      <c r="FQ183">
        <v>2158</v>
      </c>
      <c r="FR183">
        <v>1</v>
      </c>
      <c r="FS183">
        <v>19</v>
      </c>
      <c r="FT183">
        <v>29.8</v>
      </c>
      <c r="FU183">
        <v>30</v>
      </c>
      <c r="FV183">
        <v>1.7773399999999999</v>
      </c>
      <c r="FW183">
        <v>2.5439500000000002</v>
      </c>
      <c r="FX183">
        <v>1.5490699999999999</v>
      </c>
      <c r="FY183">
        <v>2.34131</v>
      </c>
      <c r="FZ183">
        <v>1.50146</v>
      </c>
      <c r="GA183">
        <v>2.3938000000000001</v>
      </c>
      <c r="GB183">
        <v>31.237400000000001</v>
      </c>
      <c r="GC183">
        <v>23.991199999999999</v>
      </c>
      <c r="GD183">
        <v>19</v>
      </c>
      <c r="GE183">
        <v>265.65300000000002</v>
      </c>
      <c r="GF183">
        <v>604.03499999999997</v>
      </c>
      <c r="GG183">
        <v>24.264299999999999</v>
      </c>
      <c r="GH183">
        <v>25.477399999999999</v>
      </c>
      <c r="GI183">
        <v>30.0001</v>
      </c>
      <c r="GJ183">
        <v>25.593699999999998</v>
      </c>
      <c r="GK183">
        <v>25.5594</v>
      </c>
      <c r="GL183">
        <v>35.536999999999999</v>
      </c>
      <c r="GM183">
        <v>-30</v>
      </c>
      <c r="GN183">
        <v>-30</v>
      </c>
      <c r="GO183">
        <v>24.268000000000001</v>
      </c>
      <c r="GP183">
        <v>800</v>
      </c>
      <c r="GQ183">
        <v>12.5298</v>
      </c>
      <c r="GR183">
        <v>99.64</v>
      </c>
      <c r="GS183">
        <v>99.277900000000002</v>
      </c>
    </row>
    <row r="184" spans="1:201" x14ac:dyDescent="0.25">
      <c r="A184">
        <v>168</v>
      </c>
      <c r="B184">
        <v>1690202565.5999999</v>
      </c>
      <c r="C184">
        <v>1718.599999904633</v>
      </c>
      <c r="D184" t="s">
        <v>669</v>
      </c>
      <c r="E184" t="s">
        <v>670</v>
      </c>
      <c r="F184" t="s">
        <v>330</v>
      </c>
      <c r="H184">
        <v>1690202565.5999999</v>
      </c>
      <c r="I184">
        <f t="shared" si="60"/>
        <v>1.7617028863092963E-3</v>
      </c>
      <c r="J184">
        <f t="shared" si="61"/>
        <v>1.7617028863092963</v>
      </c>
      <c r="K184">
        <f t="shared" si="62"/>
        <v>41.522518515682691</v>
      </c>
      <c r="L184">
        <f t="shared" si="63"/>
        <v>333.02800000000002</v>
      </c>
      <c r="M184">
        <f t="shared" si="64"/>
        <v>3.6444858691949933</v>
      </c>
      <c r="N184">
        <f t="shared" si="65"/>
        <v>0.36118363416423638</v>
      </c>
      <c r="O184">
        <f t="shared" si="66"/>
        <v>33.004453202892002</v>
      </c>
      <c r="P184">
        <f t="shared" si="67"/>
        <v>0.21300846860480568</v>
      </c>
      <c r="Q184">
        <f t="shared" si="68"/>
        <v>2.0776604288731528</v>
      </c>
      <c r="R184">
        <f t="shared" si="69"/>
        <v>0.20157720052608963</v>
      </c>
      <c r="S184">
        <f t="shared" si="70"/>
        <v>0.12696165766245304</v>
      </c>
      <c r="T184">
        <f t="shared" si="71"/>
        <v>276.11454553199997</v>
      </c>
      <c r="U184">
        <f t="shared" si="72"/>
        <v>27.415867663112284</v>
      </c>
      <c r="V184">
        <f t="shared" si="73"/>
        <v>27.415867663112284</v>
      </c>
      <c r="W184">
        <f t="shared" si="74"/>
        <v>3.6675180060155603</v>
      </c>
      <c r="X184">
        <f t="shared" si="75"/>
        <v>84.816149842087796</v>
      </c>
      <c r="Y184">
        <f t="shared" si="76"/>
        <v>2.8297799433503998</v>
      </c>
      <c r="Z184">
        <f t="shared" si="77"/>
        <v>3.3363692511614049</v>
      </c>
      <c r="AA184">
        <f t="shared" si="78"/>
        <v>0.83773806266516049</v>
      </c>
      <c r="AB184">
        <f t="shared" si="79"/>
        <v>-77.691097286239966</v>
      </c>
      <c r="AC184">
        <f t="shared" si="80"/>
        <v>-179.95297585632662</v>
      </c>
      <c r="AD184">
        <f t="shared" si="81"/>
        <v>-18.619968588116979</v>
      </c>
      <c r="AE184">
        <f t="shared" si="82"/>
        <v>-0.14949619868360742</v>
      </c>
      <c r="AF184">
        <v>13</v>
      </c>
      <c r="AG184">
        <v>4</v>
      </c>
      <c r="AH184">
        <f t="shared" si="83"/>
        <v>1</v>
      </c>
      <c r="AI184">
        <f t="shared" si="84"/>
        <v>0</v>
      </c>
      <c r="AJ184">
        <f t="shared" si="85"/>
        <v>52439.407526042065</v>
      </c>
      <c r="AK184">
        <f t="shared" si="86"/>
        <v>1800</v>
      </c>
      <c r="AL184">
        <f t="shared" si="87"/>
        <v>1499.1103962</v>
      </c>
      <c r="AM184">
        <f t="shared" si="88"/>
        <v>0.83283910900000002</v>
      </c>
      <c r="AN184">
        <f t="shared" si="89"/>
        <v>0.15339696973999997</v>
      </c>
      <c r="AO184">
        <v>33.299999999999997</v>
      </c>
      <c r="AP184">
        <v>0.5</v>
      </c>
      <c r="AQ184" t="s">
        <v>331</v>
      </c>
      <c r="AR184">
        <v>2</v>
      </c>
      <c r="AS184">
        <v>1690202565.5999999</v>
      </c>
      <c r="AT184">
        <v>333.02800000000002</v>
      </c>
      <c r="AU184">
        <v>799.99199999999996</v>
      </c>
      <c r="AV184">
        <v>28.553599999999999</v>
      </c>
      <c r="AW184">
        <v>9.5752799999999993</v>
      </c>
      <c r="AX184">
        <v>334.23</v>
      </c>
      <c r="AY184">
        <v>28.375399999999999</v>
      </c>
      <c r="AZ184">
        <v>300.28800000000001</v>
      </c>
      <c r="BA184">
        <v>99.004099999999994</v>
      </c>
      <c r="BB184">
        <v>0.100039</v>
      </c>
      <c r="BC184">
        <v>25.8093</v>
      </c>
      <c r="BD184">
        <v>26.983599999999999</v>
      </c>
      <c r="BE184">
        <v>27.4724</v>
      </c>
      <c r="BF184">
        <v>0</v>
      </c>
      <c r="BG184">
        <v>0</v>
      </c>
      <c r="BH184">
        <v>9976.25</v>
      </c>
      <c r="BI184">
        <v>1073.53</v>
      </c>
      <c r="BJ184">
        <v>1.5137799999999999</v>
      </c>
      <c r="BK184">
        <v>-466.964</v>
      </c>
      <c r="BL184">
        <v>342.81700000000001</v>
      </c>
      <c r="BM184">
        <v>807.726</v>
      </c>
      <c r="BN184">
        <v>18.978300000000001</v>
      </c>
      <c r="BO184">
        <v>799.99199999999996</v>
      </c>
      <c r="BP184">
        <v>9.5752799999999993</v>
      </c>
      <c r="BQ184">
        <v>2.8269199999999999</v>
      </c>
      <c r="BR184">
        <v>0.94799199999999995</v>
      </c>
      <c r="BS184">
        <v>23.042100000000001</v>
      </c>
      <c r="BT184">
        <v>6.1406499999999999</v>
      </c>
      <c r="BU184">
        <v>1800</v>
      </c>
      <c r="BV184">
        <v>0.91000499999999995</v>
      </c>
      <c r="BW184">
        <v>3.4008099999999999E-2</v>
      </c>
      <c r="BX184">
        <v>2.1994699999999999E-2</v>
      </c>
      <c r="BY184">
        <v>3.3991800000000003E-2</v>
      </c>
      <c r="BZ184">
        <v>25</v>
      </c>
      <c r="CA184">
        <v>33528.400000000001</v>
      </c>
      <c r="CB184">
        <v>1690200769.5</v>
      </c>
      <c r="CC184" t="s">
        <v>332</v>
      </c>
      <c r="CD184">
        <v>1690200769.5</v>
      </c>
      <c r="CE184">
        <v>1690200753</v>
      </c>
      <c r="CF184">
        <v>2</v>
      </c>
      <c r="CG184">
        <v>-0.245</v>
      </c>
      <c r="CH184">
        <v>3.0000000000000001E-3</v>
      </c>
      <c r="CI184">
        <v>-1.5169999999999999</v>
      </c>
      <c r="CJ184">
        <v>-1.6E-2</v>
      </c>
      <c r="CK184">
        <v>778</v>
      </c>
      <c r="CL184">
        <v>12</v>
      </c>
      <c r="CM184">
        <v>0.01</v>
      </c>
      <c r="CN184">
        <v>0.03</v>
      </c>
      <c r="CO184">
        <v>-466.49799999999999</v>
      </c>
      <c r="CP184">
        <v>-3.348157598497707</v>
      </c>
      <c r="CQ184">
        <v>0.32654930714977681</v>
      </c>
      <c r="CR184">
        <v>-1</v>
      </c>
      <c r="CS184">
        <v>18.952089999999998</v>
      </c>
      <c r="CT184">
        <v>0.1324187617260395</v>
      </c>
      <c r="CU184">
        <v>1.2749760782069561E-2</v>
      </c>
      <c r="CV184">
        <v>-1</v>
      </c>
      <c r="CW184">
        <v>0</v>
      </c>
      <c r="CX184">
        <v>0</v>
      </c>
      <c r="CY184" t="s">
        <v>333</v>
      </c>
      <c r="CZ184">
        <v>2.36571</v>
      </c>
      <c r="DA184">
        <v>2.7138100000000001</v>
      </c>
      <c r="DB184">
        <v>7.7892799999999998E-2</v>
      </c>
      <c r="DC184">
        <v>0.14630599999999999</v>
      </c>
      <c r="DD184">
        <v>0.128774</v>
      </c>
      <c r="DE184">
        <v>5.7277799999999997E-2</v>
      </c>
      <c r="DF184">
        <v>33643.9</v>
      </c>
      <c r="DG184">
        <v>27448.799999999999</v>
      </c>
      <c r="DH184">
        <v>31145.200000000001</v>
      </c>
      <c r="DI184">
        <v>28014.2</v>
      </c>
      <c r="DJ184">
        <v>36815</v>
      </c>
      <c r="DK184">
        <v>37524.699999999997</v>
      </c>
      <c r="DL184">
        <v>44313.9</v>
      </c>
      <c r="DM184">
        <v>42424.800000000003</v>
      </c>
      <c r="DN184">
        <v>1.4429000000000001</v>
      </c>
      <c r="DO184">
        <v>2.0720800000000001</v>
      </c>
      <c r="DP184">
        <v>0.13783599999999999</v>
      </c>
      <c r="DQ184">
        <v>0.174008</v>
      </c>
      <c r="DR184">
        <v>24.725200000000001</v>
      </c>
      <c r="DS184">
        <v>24.622299999999999</v>
      </c>
      <c r="DT184">
        <v>34.299999999999997</v>
      </c>
      <c r="DU184">
        <v>26</v>
      </c>
      <c r="DV184">
        <v>11.6905</v>
      </c>
      <c r="DW184">
        <v>61.7254</v>
      </c>
      <c r="DX184">
        <v>36.125799999999998</v>
      </c>
      <c r="DY184">
        <v>1</v>
      </c>
      <c r="DZ184">
        <v>-0.154637</v>
      </c>
      <c r="EA184">
        <v>-1.7083299999999999E-2</v>
      </c>
      <c r="EB184">
        <v>20.1919</v>
      </c>
      <c r="EC184">
        <v>5.2415500000000002</v>
      </c>
      <c r="ED184">
        <v>12.039899999999999</v>
      </c>
      <c r="EE184">
        <v>5.0175000000000001</v>
      </c>
      <c r="EF184">
        <v>3.2879999999999998</v>
      </c>
      <c r="EG184">
        <v>9999</v>
      </c>
      <c r="EH184">
        <v>9999</v>
      </c>
      <c r="EI184">
        <v>9999</v>
      </c>
      <c r="EJ184">
        <v>999.9</v>
      </c>
      <c r="EK184">
        <v>1.8688199999999999</v>
      </c>
      <c r="EL184">
        <v>1.8645</v>
      </c>
      <c r="EM184">
        <v>1.86907</v>
      </c>
      <c r="EN184">
        <v>1.8671500000000001</v>
      </c>
      <c r="EO184">
        <v>1.8633200000000001</v>
      </c>
      <c r="EP184">
        <v>1.86443</v>
      </c>
      <c r="EQ184">
        <v>1.87012</v>
      </c>
      <c r="ER184">
        <v>1.8693500000000001</v>
      </c>
      <c r="ES184">
        <v>0</v>
      </c>
      <c r="ET184">
        <v>0</v>
      </c>
      <c r="EU184">
        <v>0</v>
      </c>
      <c r="EV184">
        <v>0</v>
      </c>
      <c r="EW184" t="s">
        <v>334</v>
      </c>
      <c r="EX184" t="s">
        <v>335</v>
      </c>
      <c r="EY184" t="s">
        <v>336</v>
      </c>
      <c r="EZ184" t="s">
        <v>336</v>
      </c>
      <c r="FA184" t="s">
        <v>336</v>
      </c>
      <c r="FB184" t="s">
        <v>336</v>
      </c>
      <c r="FC184">
        <v>0</v>
      </c>
      <c r="FD184">
        <v>100</v>
      </c>
      <c r="FE184">
        <v>100</v>
      </c>
      <c r="FF184">
        <v>-1.202</v>
      </c>
      <c r="FG184">
        <v>0.1782</v>
      </c>
      <c r="FH184">
        <v>-0.98020551812546231</v>
      </c>
      <c r="FI184">
        <v>-6.1462078757559423E-4</v>
      </c>
      <c r="FJ184">
        <v>-1.8861989874597051E-7</v>
      </c>
      <c r="FK184">
        <v>1.1980462299894961E-10</v>
      </c>
      <c r="FL184">
        <v>0.1782306200647516</v>
      </c>
      <c r="FM184">
        <v>0</v>
      </c>
      <c r="FN184">
        <v>0</v>
      </c>
      <c r="FO184">
        <v>0</v>
      </c>
      <c r="FP184">
        <v>3</v>
      </c>
      <c r="FQ184">
        <v>2158</v>
      </c>
      <c r="FR184">
        <v>1</v>
      </c>
      <c r="FS184">
        <v>19</v>
      </c>
      <c r="FT184">
        <v>29.9</v>
      </c>
      <c r="FU184">
        <v>30.2</v>
      </c>
      <c r="FV184">
        <v>1.7773399999999999</v>
      </c>
      <c r="FW184">
        <v>2.5537100000000001</v>
      </c>
      <c r="FX184">
        <v>1.5490699999999999</v>
      </c>
      <c r="FY184">
        <v>2.34131</v>
      </c>
      <c r="FZ184">
        <v>1.50146</v>
      </c>
      <c r="GA184">
        <v>2.2790499999999998</v>
      </c>
      <c r="GB184">
        <v>31.2591</v>
      </c>
      <c r="GC184">
        <v>23.973700000000001</v>
      </c>
      <c r="GD184">
        <v>19</v>
      </c>
      <c r="GE184">
        <v>265.80900000000003</v>
      </c>
      <c r="GF184">
        <v>603.971</v>
      </c>
      <c r="GG184">
        <v>24.266200000000001</v>
      </c>
      <c r="GH184">
        <v>25.477399999999999</v>
      </c>
      <c r="GI184">
        <v>30.0002</v>
      </c>
      <c r="GJ184">
        <v>25.5947</v>
      </c>
      <c r="GK184">
        <v>25.5594</v>
      </c>
      <c r="GL184">
        <v>35.5396</v>
      </c>
      <c r="GM184">
        <v>-30</v>
      </c>
      <c r="GN184">
        <v>-30</v>
      </c>
      <c r="GO184">
        <v>24.262</v>
      </c>
      <c r="GP184">
        <v>800</v>
      </c>
      <c r="GQ184">
        <v>12.5298</v>
      </c>
      <c r="GR184">
        <v>99.639899999999997</v>
      </c>
      <c r="GS184">
        <v>99.278899999999993</v>
      </c>
    </row>
    <row r="185" spans="1:201" x14ac:dyDescent="0.25">
      <c r="A185">
        <v>169</v>
      </c>
      <c r="B185">
        <v>1690202575.5999999</v>
      </c>
      <c r="C185">
        <v>1728.599999904633</v>
      </c>
      <c r="D185" t="s">
        <v>671</v>
      </c>
      <c r="E185" t="s">
        <v>672</v>
      </c>
      <c r="F185" t="s">
        <v>330</v>
      </c>
      <c r="H185">
        <v>1690202575.5999999</v>
      </c>
      <c r="I185">
        <f t="shared" si="60"/>
        <v>1.7633809056440237E-3</v>
      </c>
      <c r="J185">
        <f t="shared" si="61"/>
        <v>1.7633809056440237</v>
      </c>
      <c r="K185">
        <f t="shared" si="62"/>
        <v>41.574005253560429</v>
      </c>
      <c r="L185">
        <f t="shared" si="63"/>
        <v>332.404</v>
      </c>
      <c r="M185">
        <f t="shared" si="64"/>
        <v>2.6960319209022869</v>
      </c>
      <c r="N185">
        <f t="shared" si="65"/>
        <v>0.26719221432035534</v>
      </c>
      <c r="O185">
        <f t="shared" si="66"/>
        <v>32.943141407323999</v>
      </c>
      <c r="P185">
        <f t="shared" si="67"/>
        <v>0.21304840323641802</v>
      </c>
      <c r="Q185">
        <f t="shared" si="68"/>
        <v>2.0794932790398244</v>
      </c>
      <c r="R185">
        <f t="shared" si="69"/>
        <v>0.20162247070764039</v>
      </c>
      <c r="S185">
        <f t="shared" si="70"/>
        <v>0.12698952954149068</v>
      </c>
      <c r="T185">
        <f t="shared" si="71"/>
        <v>276.11468105399996</v>
      </c>
      <c r="U185">
        <f t="shared" si="72"/>
        <v>27.423771083797192</v>
      </c>
      <c r="V185">
        <f t="shared" si="73"/>
        <v>27.423771083797192</v>
      </c>
      <c r="W185">
        <f t="shared" si="74"/>
        <v>3.6692154928748422</v>
      </c>
      <c r="X185">
        <f t="shared" si="75"/>
        <v>84.799444348774529</v>
      </c>
      <c r="Y185">
        <f t="shared" si="76"/>
        <v>2.8308660108571004</v>
      </c>
      <c r="Z185">
        <f t="shared" si="77"/>
        <v>3.3383072643895342</v>
      </c>
      <c r="AA185">
        <f t="shared" si="78"/>
        <v>0.83834948201774173</v>
      </c>
      <c r="AB185">
        <f t="shared" si="79"/>
        <v>-77.765097938901448</v>
      </c>
      <c r="AC185">
        <f t="shared" si="80"/>
        <v>-179.89910018601728</v>
      </c>
      <c r="AD185">
        <f t="shared" si="81"/>
        <v>-18.599635505674637</v>
      </c>
      <c r="AE185">
        <f t="shared" si="82"/>
        <v>-0.14915257659342274</v>
      </c>
      <c r="AF185">
        <v>13</v>
      </c>
      <c r="AG185">
        <v>4</v>
      </c>
      <c r="AH185">
        <f t="shared" si="83"/>
        <v>1</v>
      </c>
      <c r="AI185">
        <f t="shared" si="84"/>
        <v>0</v>
      </c>
      <c r="AJ185">
        <f t="shared" si="85"/>
        <v>52520.435920113625</v>
      </c>
      <c r="AK185">
        <f t="shared" si="86"/>
        <v>1800</v>
      </c>
      <c r="AL185">
        <f t="shared" si="87"/>
        <v>1499.1116453999998</v>
      </c>
      <c r="AM185">
        <f t="shared" si="88"/>
        <v>0.83283980299999993</v>
      </c>
      <c r="AN185">
        <f t="shared" si="89"/>
        <v>0.15339704502999998</v>
      </c>
      <c r="AO185">
        <v>33.299999999999997</v>
      </c>
      <c r="AP185">
        <v>0.5</v>
      </c>
      <c r="AQ185" t="s">
        <v>331</v>
      </c>
      <c r="AR185">
        <v>2</v>
      </c>
      <c r="AS185">
        <v>1690202575.5999999</v>
      </c>
      <c r="AT185">
        <v>332.404</v>
      </c>
      <c r="AU185">
        <v>800.07</v>
      </c>
      <c r="AV185">
        <v>28.5641</v>
      </c>
      <c r="AW185">
        <v>9.5623400000000007</v>
      </c>
      <c r="AX185">
        <v>333.60599999999999</v>
      </c>
      <c r="AY185">
        <v>28.3858</v>
      </c>
      <c r="AZ185">
        <v>300.2</v>
      </c>
      <c r="BA185">
        <v>99.005600000000001</v>
      </c>
      <c r="BB185">
        <v>0.100131</v>
      </c>
      <c r="BC185">
        <v>25.819099999999999</v>
      </c>
      <c r="BD185">
        <v>26.977499999999999</v>
      </c>
      <c r="BE185">
        <v>27.469799999999999</v>
      </c>
      <c r="BF185">
        <v>0</v>
      </c>
      <c r="BG185">
        <v>0</v>
      </c>
      <c r="BH185">
        <v>9992.5</v>
      </c>
      <c r="BI185">
        <v>1073.6099999999999</v>
      </c>
      <c r="BJ185">
        <v>1.5137799999999999</v>
      </c>
      <c r="BK185">
        <v>-467.666</v>
      </c>
      <c r="BL185">
        <v>342.178</v>
      </c>
      <c r="BM185">
        <v>807.79499999999996</v>
      </c>
      <c r="BN185">
        <v>19.0017</v>
      </c>
      <c r="BO185">
        <v>800.07</v>
      </c>
      <c r="BP185">
        <v>9.5623400000000007</v>
      </c>
      <c r="BQ185">
        <v>2.8279999999999998</v>
      </c>
      <c r="BR185">
        <v>0.94672500000000004</v>
      </c>
      <c r="BS185">
        <v>23.048500000000001</v>
      </c>
      <c r="BT185">
        <v>6.1212900000000001</v>
      </c>
      <c r="BU185">
        <v>1800</v>
      </c>
      <c r="BV185">
        <v>0.91000700000000001</v>
      </c>
      <c r="BW185">
        <v>3.4007599999999999E-2</v>
      </c>
      <c r="BX185">
        <v>2.1994400000000001E-2</v>
      </c>
      <c r="BY185">
        <v>3.3991300000000002E-2</v>
      </c>
      <c r="BZ185">
        <v>25</v>
      </c>
      <c r="CA185">
        <v>33528.5</v>
      </c>
      <c r="CB185">
        <v>1690200769.5</v>
      </c>
      <c r="CC185" t="s">
        <v>332</v>
      </c>
      <c r="CD185">
        <v>1690200769.5</v>
      </c>
      <c r="CE185">
        <v>1690200753</v>
      </c>
      <c r="CF185">
        <v>2</v>
      </c>
      <c r="CG185">
        <v>-0.245</v>
      </c>
      <c r="CH185">
        <v>3.0000000000000001E-3</v>
      </c>
      <c r="CI185">
        <v>-1.5169999999999999</v>
      </c>
      <c r="CJ185">
        <v>-1.6E-2</v>
      </c>
      <c r="CK185">
        <v>778</v>
      </c>
      <c r="CL185">
        <v>12</v>
      </c>
      <c r="CM185">
        <v>0.01</v>
      </c>
      <c r="CN185">
        <v>0.03</v>
      </c>
      <c r="CO185">
        <v>-467.00282926829271</v>
      </c>
      <c r="CP185">
        <v>-2.7911916376312851</v>
      </c>
      <c r="CQ185">
        <v>0.2819746487860193</v>
      </c>
      <c r="CR185">
        <v>-1</v>
      </c>
      <c r="CS185">
        <v>18.97642926829268</v>
      </c>
      <c r="CT185">
        <v>0.1475017421602634</v>
      </c>
      <c r="CU185">
        <v>1.457706591478921E-2</v>
      </c>
      <c r="CV185">
        <v>-1</v>
      </c>
      <c r="CW185">
        <v>0</v>
      </c>
      <c r="CX185">
        <v>0</v>
      </c>
      <c r="CY185" t="s">
        <v>333</v>
      </c>
      <c r="CZ185">
        <v>2.3654099999999998</v>
      </c>
      <c r="DA185">
        <v>2.7139199999999999</v>
      </c>
      <c r="DB185">
        <v>7.7778100000000003E-2</v>
      </c>
      <c r="DC185">
        <v>0.146317</v>
      </c>
      <c r="DD185">
        <v>0.12880800000000001</v>
      </c>
      <c r="DE185">
        <v>5.7218499999999999E-2</v>
      </c>
      <c r="DF185">
        <v>33648.5</v>
      </c>
      <c r="DG185">
        <v>27448.799999999999</v>
      </c>
      <c r="DH185">
        <v>31145.599999999999</v>
      </c>
      <c r="DI185">
        <v>28014.6</v>
      </c>
      <c r="DJ185">
        <v>36814</v>
      </c>
      <c r="DK185">
        <v>37527.599999999999</v>
      </c>
      <c r="DL185">
        <v>44314.400000000001</v>
      </c>
      <c r="DM185">
        <v>42425.4</v>
      </c>
      <c r="DN185">
        <v>1.4432700000000001</v>
      </c>
      <c r="DO185">
        <v>2.0717500000000002</v>
      </c>
      <c r="DP185">
        <v>0.13753799999999999</v>
      </c>
      <c r="DQ185">
        <v>0.17397099999999999</v>
      </c>
      <c r="DR185">
        <v>24.724</v>
      </c>
      <c r="DS185">
        <v>24.620200000000001</v>
      </c>
      <c r="DT185">
        <v>34.200000000000003</v>
      </c>
      <c r="DU185">
        <v>26</v>
      </c>
      <c r="DV185">
        <v>11.6564</v>
      </c>
      <c r="DW185">
        <v>61.385399999999997</v>
      </c>
      <c r="DX185">
        <v>36.875</v>
      </c>
      <c r="DY185">
        <v>1</v>
      </c>
      <c r="DZ185">
        <v>-0.15459600000000001</v>
      </c>
      <c r="EA185">
        <v>-2.8630200000000001E-2</v>
      </c>
      <c r="EB185">
        <v>20.192</v>
      </c>
      <c r="EC185">
        <v>5.2416999999999998</v>
      </c>
      <c r="ED185">
        <v>12.039899999999999</v>
      </c>
      <c r="EE185">
        <v>5.0175000000000001</v>
      </c>
      <c r="EF185">
        <v>3.2879999999999998</v>
      </c>
      <c r="EG185">
        <v>9999</v>
      </c>
      <c r="EH185">
        <v>9999</v>
      </c>
      <c r="EI185">
        <v>9999</v>
      </c>
      <c r="EJ185">
        <v>999.9</v>
      </c>
      <c r="EK185">
        <v>1.8688100000000001</v>
      </c>
      <c r="EL185">
        <v>1.8644799999999999</v>
      </c>
      <c r="EM185">
        <v>1.8690599999999999</v>
      </c>
      <c r="EN185">
        <v>1.8671199999999999</v>
      </c>
      <c r="EO185">
        <v>1.8633</v>
      </c>
      <c r="EP185">
        <v>1.86443</v>
      </c>
      <c r="EQ185">
        <v>1.8701099999999999</v>
      </c>
      <c r="ER185">
        <v>1.8693500000000001</v>
      </c>
      <c r="ES185">
        <v>0</v>
      </c>
      <c r="ET185">
        <v>0</v>
      </c>
      <c r="EU185">
        <v>0</v>
      </c>
      <c r="EV185">
        <v>0</v>
      </c>
      <c r="EW185" t="s">
        <v>334</v>
      </c>
      <c r="EX185" t="s">
        <v>335</v>
      </c>
      <c r="EY185" t="s">
        <v>336</v>
      </c>
      <c r="EZ185" t="s">
        <v>336</v>
      </c>
      <c r="FA185" t="s">
        <v>336</v>
      </c>
      <c r="FB185" t="s">
        <v>336</v>
      </c>
      <c r="FC185">
        <v>0</v>
      </c>
      <c r="FD185">
        <v>100</v>
      </c>
      <c r="FE185">
        <v>100</v>
      </c>
      <c r="FF185">
        <v>-1.202</v>
      </c>
      <c r="FG185">
        <v>0.17829999999999999</v>
      </c>
      <c r="FH185">
        <v>-0.98020551812546231</v>
      </c>
      <c r="FI185">
        <v>-6.1462078757559423E-4</v>
      </c>
      <c r="FJ185">
        <v>-1.8861989874597051E-7</v>
      </c>
      <c r="FK185">
        <v>1.1980462299894961E-10</v>
      </c>
      <c r="FL185">
        <v>0.1782306200647516</v>
      </c>
      <c r="FM185">
        <v>0</v>
      </c>
      <c r="FN185">
        <v>0</v>
      </c>
      <c r="FO185">
        <v>0</v>
      </c>
      <c r="FP185">
        <v>3</v>
      </c>
      <c r="FQ185">
        <v>2158</v>
      </c>
      <c r="FR185">
        <v>1</v>
      </c>
      <c r="FS185">
        <v>19</v>
      </c>
      <c r="FT185">
        <v>30.1</v>
      </c>
      <c r="FU185">
        <v>30.4</v>
      </c>
      <c r="FV185">
        <v>1.7773399999999999</v>
      </c>
      <c r="FW185">
        <v>2.5415000000000001</v>
      </c>
      <c r="FX185">
        <v>1.5490699999999999</v>
      </c>
      <c r="FY185">
        <v>2.34131</v>
      </c>
      <c r="FZ185">
        <v>1.50146</v>
      </c>
      <c r="GA185">
        <v>2.3022499999999999</v>
      </c>
      <c r="GB185">
        <v>31.2591</v>
      </c>
      <c r="GC185">
        <v>23.982399999999998</v>
      </c>
      <c r="GD185">
        <v>19</v>
      </c>
      <c r="GE185">
        <v>265.964</v>
      </c>
      <c r="GF185">
        <v>603.72199999999998</v>
      </c>
      <c r="GG185">
        <v>24.2637</v>
      </c>
      <c r="GH185">
        <v>25.479500000000002</v>
      </c>
      <c r="GI185">
        <v>30.0001</v>
      </c>
      <c r="GJ185">
        <v>25.595800000000001</v>
      </c>
      <c r="GK185">
        <v>25.561599999999999</v>
      </c>
      <c r="GL185">
        <v>35.537100000000002</v>
      </c>
      <c r="GM185">
        <v>-30</v>
      </c>
      <c r="GN185">
        <v>-30</v>
      </c>
      <c r="GO185">
        <v>24.275300000000001</v>
      </c>
      <c r="GP185">
        <v>800</v>
      </c>
      <c r="GQ185">
        <v>12.5298</v>
      </c>
      <c r="GR185">
        <v>99.641199999999998</v>
      </c>
      <c r="GS185">
        <v>99.280299999999997</v>
      </c>
    </row>
    <row r="186" spans="1:201" x14ac:dyDescent="0.25">
      <c r="A186">
        <v>170</v>
      </c>
      <c r="B186">
        <v>1690202585.5999999</v>
      </c>
      <c r="C186">
        <v>1738.599999904633</v>
      </c>
      <c r="D186" t="s">
        <v>673</v>
      </c>
      <c r="E186" t="s">
        <v>674</v>
      </c>
      <c r="F186" t="s">
        <v>330</v>
      </c>
      <c r="H186">
        <v>1690202585.5999999</v>
      </c>
      <c r="I186">
        <f t="shared" si="60"/>
        <v>1.7636949268228833E-3</v>
      </c>
      <c r="J186">
        <f t="shared" si="61"/>
        <v>1.7636949268228832</v>
      </c>
      <c r="K186">
        <f t="shared" si="62"/>
        <v>41.589210436307546</v>
      </c>
      <c r="L186">
        <f t="shared" si="63"/>
        <v>331.90199999999999</v>
      </c>
      <c r="M186">
        <f t="shared" si="64"/>
        <v>1.6838428807036523</v>
      </c>
      <c r="N186">
        <f t="shared" si="65"/>
        <v>0.16687817110126552</v>
      </c>
      <c r="O186">
        <f t="shared" si="66"/>
        <v>32.893329525915597</v>
      </c>
      <c r="P186">
        <f t="shared" si="67"/>
        <v>0.21278612744823372</v>
      </c>
      <c r="Q186">
        <f t="shared" si="68"/>
        <v>2.0777477882879745</v>
      </c>
      <c r="R186">
        <f t="shared" si="69"/>
        <v>0.20137847696022262</v>
      </c>
      <c r="S186">
        <f t="shared" si="70"/>
        <v>0.12683549151584311</v>
      </c>
      <c r="T186">
        <f t="shared" si="71"/>
        <v>276.11454441600006</v>
      </c>
      <c r="U186">
        <f t="shared" si="72"/>
        <v>27.427676227637512</v>
      </c>
      <c r="V186">
        <f t="shared" si="73"/>
        <v>27.427676227637512</v>
      </c>
      <c r="W186">
        <f t="shared" si="74"/>
        <v>3.6700544878788084</v>
      </c>
      <c r="X186">
        <f t="shared" si="75"/>
        <v>84.775721479542526</v>
      </c>
      <c r="Y186">
        <f t="shared" si="76"/>
        <v>2.8305436401610198</v>
      </c>
      <c r="Z186">
        <f t="shared" si="77"/>
        <v>3.338861163032468</v>
      </c>
      <c r="AA186">
        <f t="shared" si="78"/>
        <v>0.83951084771778861</v>
      </c>
      <c r="AB186">
        <f t="shared" si="79"/>
        <v>-77.778946272889158</v>
      </c>
      <c r="AC186">
        <f t="shared" si="80"/>
        <v>-179.87188927031906</v>
      </c>
      <c r="AD186">
        <f t="shared" si="81"/>
        <v>-18.613070126136016</v>
      </c>
      <c r="AE186">
        <f t="shared" si="82"/>
        <v>-0.14936125334415351</v>
      </c>
      <c r="AF186">
        <v>13</v>
      </c>
      <c r="AG186">
        <v>4</v>
      </c>
      <c r="AH186">
        <f t="shared" si="83"/>
        <v>1</v>
      </c>
      <c r="AI186">
        <f t="shared" si="84"/>
        <v>0</v>
      </c>
      <c r="AJ186">
        <f t="shared" si="85"/>
        <v>52441.168834867145</v>
      </c>
      <c r="AK186">
        <f t="shared" si="86"/>
        <v>1800</v>
      </c>
      <c r="AL186">
        <f t="shared" si="87"/>
        <v>1499.1113826000001</v>
      </c>
      <c r="AM186">
        <f t="shared" si="88"/>
        <v>0.83283965700000007</v>
      </c>
      <c r="AN186">
        <f t="shared" si="89"/>
        <v>0.15339696912000003</v>
      </c>
      <c r="AO186">
        <v>33.299999999999997</v>
      </c>
      <c r="AP186">
        <v>0.5</v>
      </c>
      <c r="AQ186" t="s">
        <v>331</v>
      </c>
      <c r="AR186">
        <v>2</v>
      </c>
      <c r="AS186">
        <v>1690202585.5999999</v>
      </c>
      <c r="AT186">
        <v>331.90199999999999</v>
      </c>
      <c r="AU186">
        <v>799.92600000000004</v>
      </c>
      <c r="AV186">
        <v>28.5609</v>
      </c>
      <c r="AW186">
        <v>9.5476500000000009</v>
      </c>
      <c r="AX186">
        <v>333.10399999999998</v>
      </c>
      <c r="AY186">
        <v>28.3826</v>
      </c>
      <c r="AZ186">
        <v>300.07299999999998</v>
      </c>
      <c r="BA186">
        <v>99.005600000000001</v>
      </c>
      <c r="BB186">
        <v>9.9947800000000003E-2</v>
      </c>
      <c r="BC186">
        <v>25.821899999999999</v>
      </c>
      <c r="BD186">
        <v>26.9694</v>
      </c>
      <c r="BE186">
        <v>27.476199999999999</v>
      </c>
      <c r="BF186">
        <v>0</v>
      </c>
      <c r="BG186">
        <v>0</v>
      </c>
      <c r="BH186">
        <v>9976.8799999999992</v>
      </c>
      <c r="BI186">
        <v>1073.72</v>
      </c>
      <c r="BJ186">
        <v>1.5137799999999999</v>
      </c>
      <c r="BK186">
        <v>-468.02300000000002</v>
      </c>
      <c r="BL186">
        <v>341.661</v>
      </c>
      <c r="BM186">
        <v>807.63699999999994</v>
      </c>
      <c r="BN186">
        <v>19.013200000000001</v>
      </c>
      <c r="BO186">
        <v>799.92600000000004</v>
      </c>
      <c r="BP186">
        <v>9.5476500000000009</v>
      </c>
      <c r="BQ186">
        <v>2.82768</v>
      </c>
      <c r="BR186">
        <v>0.94527000000000005</v>
      </c>
      <c r="BS186">
        <v>23.046600000000002</v>
      </c>
      <c r="BT186">
        <v>6.09903</v>
      </c>
      <c r="BU186">
        <v>1800</v>
      </c>
      <c r="BV186">
        <v>0.91000800000000004</v>
      </c>
      <c r="BW186">
        <v>3.4007099999999998E-2</v>
      </c>
      <c r="BX186">
        <v>2.1994099999999999E-2</v>
      </c>
      <c r="BY186">
        <v>3.3990800000000002E-2</v>
      </c>
      <c r="BZ186">
        <v>25</v>
      </c>
      <c r="CA186">
        <v>33528.400000000001</v>
      </c>
      <c r="CB186">
        <v>1690200769.5</v>
      </c>
      <c r="CC186" t="s">
        <v>332</v>
      </c>
      <c r="CD186">
        <v>1690200769.5</v>
      </c>
      <c r="CE186">
        <v>1690200753</v>
      </c>
      <c r="CF186">
        <v>2</v>
      </c>
      <c r="CG186">
        <v>-0.245</v>
      </c>
      <c r="CH186">
        <v>3.0000000000000001E-3</v>
      </c>
      <c r="CI186">
        <v>-1.5169999999999999</v>
      </c>
      <c r="CJ186">
        <v>-1.6E-2</v>
      </c>
      <c r="CK186">
        <v>778</v>
      </c>
      <c r="CL186">
        <v>12</v>
      </c>
      <c r="CM186">
        <v>0.01</v>
      </c>
      <c r="CN186">
        <v>0.03</v>
      </c>
      <c r="CO186">
        <v>-467.53399999999999</v>
      </c>
      <c r="CP186">
        <v>-3.588397212543033</v>
      </c>
      <c r="CQ186">
        <v>0.35989422565323048</v>
      </c>
      <c r="CR186">
        <v>-1</v>
      </c>
      <c r="CS186">
        <v>18.997853658536581</v>
      </c>
      <c r="CT186">
        <v>0.1091331010452916</v>
      </c>
      <c r="CU186">
        <v>1.096662559126595E-2</v>
      </c>
      <c r="CV186">
        <v>-1</v>
      </c>
      <c r="CW186">
        <v>0</v>
      </c>
      <c r="CX186">
        <v>0</v>
      </c>
      <c r="CY186" t="s">
        <v>333</v>
      </c>
      <c r="CZ186">
        <v>2.3650000000000002</v>
      </c>
      <c r="DA186">
        <v>2.7137199999999999</v>
      </c>
      <c r="DB186">
        <v>7.7684799999999998E-2</v>
      </c>
      <c r="DC186">
        <v>0.14629900000000001</v>
      </c>
      <c r="DD186">
        <v>0.128798</v>
      </c>
      <c r="DE186">
        <v>5.7150399999999997E-2</v>
      </c>
      <c r="DF186">
        <v>33651.9</v>
      </c>
      <c r="DG186">
        <v>27449.3</v>
      </c>
      <c r="DH186">
        <v>31145.599999999999</v>
      </c>
      <c r="DI186">
        <v>28014.5</v>
      </c>
      <c r="DJ186">
        <v>36814.400000000001</v>
      </c>
      <c r="DK186">
        <v>37530.300000000003</v>
      </c>
      <c r="DL186">
        <v>44314.400000000001</v>
      </c>
      <c r="DM186">
        <v>42425.3</v>
      </c>
      <c r="DN186">
        <v>1.44265</v>
      </c>
      <c r="DO186">
        <v>2.0717500000000002</v>
      </c>
      <c r="DP186">
        <v>0.137016</v>
      </c>
      <c r="DQ186">
        <v>0.17449300000000001</v>
      </c>
      <c r="DR186">
        <v>24.724499999999999</v>
      </c>
      <c r="DS186">
        <v>24.618099999999998</v>
      </c>
      <c r="DT186">
        <v>34</v>
      </c>
      <c r="DU186">
        <v>26</v>
      </c>
      <c r="DV186">
        <v>11.5891</v>
      </c>
      <c r="DW186">
        <v>62.035400000000003</v>
      </c>
      <c r="DX186">
        <v>36.654600000000002</v>
      </c>
      <c r="DY186">
        <v>1</v>
      </c>
      <c r="DZ186">
        <v>-0.15451699999999999</v>
      </c>
      <c r="EA186">
        <v>-0.108194</v>
      </c>
      <c r="EB186">
        <v>20.191700000000001</v>
      </c>
      <c r="EC186">
        <v>5.2409499999999998</v>
      </c>
      <c r="ED186">
        <v>12.039899999999999</v>
      </c>
      <c r="EE186">
        <v>5.0171999999999999</v>
      </c>
      <c r="EF186">
        <v>3.2879999999999998</v>
      </c>
      <c r="EG186">
        <v>9999</v>
      </c>
      <c r="EH186">
        <v>9999</v>
      </c>
      <c r="EI186">
        <v>9999</v>
      </c>
      <c r="EJ186">
        <v>999.9</v>
      </c>
      <c r="EK186">
        <v>1.86879</v>
      </c>
      <c r="EL186">
        <v>1.8644799999999999</v>
      </c>
      <c r="EM186">
        <v>1.8690500000000001</v>
      </c>
      <c r="EN186">
        <v>1.8671199999999999</v>
      </c>
      <c r="EO186">
        <v>1.8633200000000001</v>
      </c>
      <c r="EP186">
        <v>1.8644000000000001</v>
      </c>
      <c r="EQ186">
        <v>1.8701000000000001</v>
      </c>
      <c r="ER186">
        <v>1.8693500000000001</v>
      </c>
      <c r="ES186">
        <v>0</v>
      </c>
      <c r="ET186">
        <v>0</v>
      </c>
      <c r="EU186">
        <v>0</v>
      </c>
      <c r="EV186">
        <v>0</v>
      </c>
      <c r="EW186" t="s">
        <v>334</v>
      </c>
      <c r="EX186" t="s">
        <v>335</v>
      </c>
      <c r="EY186" t="s">
        <v>336</v>
      </c>
      <c r="EZ186" t="s">
        <v>336</v>
      </c>
      <c r="FA186" t="s">
        <v>336</v>
      </c>
      <c r="FB186" t="s">
        <v>336</v>
      </c>
      <c r="FC186">
        <v>0</v>
      </c>
      <c r="FD186">
        <v>100</v>
      </c>
      <c r="FE186">
        <v>100</v>
      </c>
      <c r="FF186">
        <v>-1.202</v>
      </c>
      <c r="FG186">
        <v>0.17829999999999999</v>
      </c>
      <c r="FH186">
        <v>-0.98020551812546231</v>
      </c>
      <c r="FI186">
        <v>-6.1462078757559423E-4</v>
      </c>
      <c r="FJ186">
        <v>-1.8861989874597051E-7</v>
      </c>
      <c r="FK186">
        <v>1.1980462299894961E-10</v>
      </c>
      <c r="FL186">
        <v>0.1782306200647516</v>
      </c>
      <c r="FM186">
        <v>0</v>
      </c>
      <c r="FN186">
        <v>0</v>
      </c>
      <c r="FO186">
        <v>0</v>
      </c>
      <c r="FP186">
        <v>3</v>
      </c>
      <c r="FQ186">
        <v>2158</v>
      </c>
      <c r="FR186">
        <v>1</v>
      </c>
      <c r="FS186">
        <v>19</v>
      </c>
      <c r="FT186">
        <v>30.3</v>
      </c>
      <c r="FU186">
        <v>30.5</v>
      </c>
      <c r="FV186">
        <v>1.7773399999999999</v>
      </c>
      <c r="FW186">
        <v>2.5512700000000001</v>
      </c>
      <c r="FX186">
        <v>1.5490699999999999</v>
      </c>
      <c r="FY186">
        <v>2.34131</v>
      </c>
      <c r="FZ186">
        <v>1.50146</v>
      </c>
      <c r="GA186">
        <v>2.2583000000000002</v>
      </c>
      <c r="GB186">
        <v>31.280899999999999</v>
      </c>
      <c r="GC186">
        <v>23.982399999999998</v>
      </c>
      <c r="GD186">
        <v>19</v>
      </c>
      <c r="GE186">
        <v>265.71699999999998</v>
      </c>
      <c r="GF186">
        <v>603.726</v>
      </c>
      <c r="GG186">
        <v>24.291599999999999</v>
      </c>
      <c r="GH186">
        <v>25.48</v>
      </c>
      <c r="GI186">
        <v>30.0002</v>
      </c>
      <c r="GJ186">
        <v>25.596900000000002</v>
      </c>
      <c r="GK186">
        <v>25.562000000000001</v>
      </c>
      <c r="GL186">
        <v>35.540999999999997</v>
      </c>
      <c r="GM186">
        <v>-30</v>
      </c>
      <c r="GN186">
        <v>-30</v>
      </c>
      <c r="GO186">
        <v>24.316299999999998</v>
      </c>
      <c r="GP186">
        <v>800</v>
      </c>
      <c r="GQ186">
        <v>12.5298</v>
      </c>
      <c r="GR186">
        <v>99.641099999999994</v>
      </c>
      <c r="GS186">
        <v>99.280100000000004</v>
      </c>
    </row>
    <row r="187" spans="1:201" x14ac:dyDescent="0.25">
      <c r="A187">
        <v>171</v>
      </c>
      <c r="B187">
        <v>1690202595.5999999</v>
      </c>
      <c r="C187">
        <v>1748.599999904633</v>
      </c>
      <c r="D187" t="s">
        <v>675</v>
      </c>
      <c r="E187" t="s">
        <v>676</v>
      </c>
      <c r="F187" t="s">
        <v>330</v>
      </c>
      <c r="H187">
        <v>1690202595.5999999</v>
      </c>
      <c r="I187">
        <f t="shared" si="60"/>
        <v>1.7645920005691692E-3</v>
      </c>
      <c r="J187">
        <f t="shared" si="61"/>
        <v>1.7645920005691693</v>
      </c>
      <c r="K187">
        <f t="shared" si="62"/>
        <v>41.633844902964654</v>
      </c>
      <c r="L187">
        <f t="shared" si="63"/>
        <v>331.55099999999999</v>
      </c>
      <c r="M187">
        <f t="shared" si="64"/>
        <v>0.91396933410589332</v>
      </c>
      <c r="N187">
        <f t="shared" si="65"/>
        <v>9.0581127124874414E-2</v>
      </c>
      <c r="O187">
        <f t="shared" si="66"/>
        <v>32.859158572052998</v>
      </c>
      <c r="P187">
        <f t="shared" si="67"/>
        <v>0.21271641149155657</v>
      </c>
      <c r="Q187">
        <f t="shared" si="68"/>
        <v>2.0818115703107134</v>
      </c>
      <c r="R187">
        <f t="shared" si="69"/>
        <v>0.20133699545607794</v>
      </c>
      <c r="S187">
        <f t="shared" si="70"/>
        <v>0.12680726454384939</v>
      </c>
      <c r="T187">
        <f t="shared" si="71"/>
        <v>276.1146612</v>
      </c>
      <c r="U187">
        <f t="shared" si="72"/>
        <v>27.427210152586007</v>
      </c>
      <c r="V187">
        <f t="shared" si="73"/>
        <v>27.427210152586007</v>
      </c>
      <c r="W187">
        <f t="shared" si="74"/>
        <v>3.6699543458578479</v>
      </c>
      <c r="X187">
        <f t="shared" si="75"/>
        <v>84.740597840515008</v>
      </c>
      <c r="Y187">
        <f t="shared" si="76"/>
        <v>2.8298235885993002</v>
      </c>
      <c r="Z187">
        <f t="shared" si="77"/>
        <v>3.3393953556064528</v>
      </c>
      <c r="AA187">
        <f t="shared" si="78"/>
        <v>0.84013075725854769</v>
      </c>
      <c r="AB187">
        <f t="shared" si="79"/>
        <v>-77.818507225100362</v>
      </c>
      <c r="AC187">
        <f t="shared" si="80"/>
        <v>-179.8683501034173</v>
      </c>
      <c r="AD187">
        <f t="shared" si="81"/>
        <v>-18.576578354373286</v>
      </c>
      <c r="AE187">
        <f t="shared" si="82"/>
        <v>-0.14877448289092854</v>
      </c>
      <c r="AF187">
        <v>13</v>
      </c>
      <c r="AG187">
        <v>4</v>
      </c>
      <c r="AH187">
        <f t="shared" si="83"/>
        <v>1</v>
      </c>
      <c r="AI187">
        <f t="shared" si="84"/>
        <v>0</v>
      </c>
      <c r="AJ187">
        <f t="shared" si="85"/>
        <v>52624.260296431647</v>
      </c>
      <c r="AK187">
        <f t="shared" si="86"/>
        <v>1800</v>
      </c>
      <c r="AL187">
        <f t="shared" si="87"/>
        <v>1499.112216</v>
      </c>
      <c r="AM187">
        <f t="shared" si="88"/>
        <v>0.83284011999999996</v>
      </c>
      <c r="AN187">
        <f t="shared" si="89"/>
        <v>0.15339703399999999</v>
      </c>
      <c r="AO187">
        <v>33.299999999999997</v>
      </c>
      <c r="AP187">
        <v>0.5</v>
      </c>
      <c r="AQ187" t="s">
        <v>331</v>
      </c>
      <c r="AR187">
        <v>2</v>
      </c>
      <c r="AS187">
        <v>1690202595.5999999</v>
      </c>
      <c r="AT187">
        <v>331.55099999999999</v>
      </c>
      <c r="AU187">
        <v>799.94500000000005</v>
      </c>
      <c r="AV187">
        <v>28.553100000000001</v>
      </c>
      <c r="AW187">
        <v>9.5349699999999995</v>
      </c>
      <c r="AX187">
        <v>332.75299999999999</v>
      </c>
      <c r="AY187">
        <v>28.3749</v>
      </c>
      <c r="AZ187">
        <v>300.15100000000001</v>
      </c>
      <c r="BA187">
        <v>99.007400000000004</v>
      </c>
      <c r="BB187">
        <v>0.10000299999999999</v>
      </c>
      <c r="BC187">
        <v>25.8246</v>
      </c>
      <c r="BD187">
        <v>26.9801</v>
      </c>
      <c r="BE187">
        <v>27.4893</v>
      </c>
      <c r="BF187">
        <v>0</v>
      </c>
      <c r="BG187">
        <v>0</v>
      </c>
      <c r="BH187">
        <v>10013.1</v>
      </c>
      <c r="BI187">
        <v>1073.8699999999999</v>
      </c>
      <c r="BJ187">
        <v>1.5137799999999999</v>
      </c>
      <c r="BK187">
        <v>-468.39400000000001</v>
      </c>
      <c r="BL187">
        <v>341.29599999999999</v>
      </c>
      <c r="BM187">
        <v>807.64599999999996</v>
      </c>
      <c r="BN187">
        <v>19.0182</v>
      </c>
      <c r="BO187">
        <v>799.94500000000005</v>
      </c>
      <c r="BP187">
        <v>9.5349699999999995</v>
      </c>
      <c r="BQ187">
        <v>2.8269700000000002</v>
      </c>
      <c r="BR187">
        <v>0.94403199999999998</v>
      </c>
      <c r="BS187">
        <v>23.042400000000001</v>
      </c>
      <c r="BT187">
        <v>6.0800599999999996</v>
      </c>
      <c r="BU187">
        <v>1800</v>
      </c>
      <c r="BV187">
        <v>0.91000899999999996</v>
      </c>
      <c r="BW187">
        <v>3.40069E-2</v>
      </c>
      <c r="BX187">
        <v>2.1994E-2</v>
      </c>
      <c r="BY187">
        <v>3.3990600000000003E-2</v>
      </c>
      <c r="BZ187">
        <v>25</v>
      </c>
      <c r="CA187">
        <v>33528.400000000001</v>
      </c>
      <c r="CB187">
        <v>1690200769.5</v>
      </c>
      <c r="CC187" t="s">
        <v>332</v>
      </c>
      <c r="CD187">
        <v>1690200769.5</v>
      </c>
      <c r="CE187">
        <v>1690200753</v>
      </c>
      <c r="CF187">
        <v>2</v>
      </c>
      <c r="CG187">
        <v>-0.245</v>
      </c>
      <c r="CH187">
        <v>3.0000000000000001E-3</v>
      </c>
      <c r="CI187">
        <v>-1.5169999999999999</v>
      </c>
      <c r="CJ187">
        <v>-1.6E-2</v>
      </c>
      <c r="CK187">
        <v>778</v>
      </c>
      <c r="CL187">
        <v>12</v>
      </c>
      <c r="CM187">
        <v>0.01</v>
      </c>
      <c r="CN187">
        <v>0.03</v>
      </c>
      <c r="CO187">
        <v>-468.06000000000012</v>
      </c>
      <c r="CP187">
        <v>-2.6782063789858999</v>
      </c>
      <c r="CQ187">
        <v>0.2637008722018197</v>
      </c>
      <c r="CR187">
        <v>-1</v>
      </c>
      <c r="CS187">
        <v>19.010807499999999</v>
      </c>
      <c r="CT187">
        <v>5.1220637898696873E-2</v>
      </c>
      <c r="CU187">
        <v>5.0362876953167291E-3</v>
      </c>
      <c r="CV187">
        <v>-1</v>
      </c>
      <c r="CW187">
        <v>0</v>
      </c>
      <c r="CX187">
        <v>0</v>
      </c>
      <c r="CY187" t="s">
        <v>333</v>
      </c>
      <c r="CZ187">
        <v>2.3652500000000001</v>
      </c>
      <c r="DA187">
        <v>2.7138100000000001</v>
      </c>
      <c r="DB187">
        <v>7.7620999999999996E-2</v>
      </c>
      <c r="DC187">
        <v>0.14630299999999999</v>
      </c>
      <c r="DD187">
        <v>0.128776</v>
      </c>
      <c r="DE187">
        <v>5.7092499999999997E-2</v>
      </c>
      <c r="DF187">
        <v>33654</v>
      </c>
      <c r="DG187">
        <v>27449.1</v>
      </c>
      <c r="DH187">
        <v>31145.4</v>
      </c>
      <c r="DI187">
        <v>28014.400000000001</v>
      </c>
      <c r="DJ187">
        <v>36815.1</v>
      </c>
      <c r="DK187">
        <v>37532.6</v>
      </c>
      <c r="DL187">
        <v>44314.1</v>
      </c>
      <c r="DM187">
        <v>42425.3</v>
      </c>
      <c r="DN187">
        <v>1.4432</v>
      </c>
      <c r="DO187">
        <v>2.0714999999999999</v>
      </c>
      <c r="DP187">
        <v>0.13753799999999999</v>
      </c>
      <c r="DQ187">
        <v>0.17516300000000001</v>
      </c>
      <c r="DR187">
        <v>24.726600000000001</v>
      </c>
      <c r="DS187">
        <v>24.620200000000001</v>
      </c>
      <c r="DT187">
        <v>33.9</v>
      </c>
      <c r="DU187">
        <v>26</v>
      </c>
      <c r="DV187">
        <v>11.553699999999999</v>
      </c>
      <c r="DW187">
        <v>61.635399999999997</v>
      </c>
      <c r="DX187">
        <v>36.061700000000002</v>
      </c>
      <c r="DY187">
        <v>1</v>
      </c>
      <c r="DZ187">
        <v>-0.15415100000000001</v>
      </c>
      <c r="EA187">
        <v>-0.17608399999999999</v>
      </c>
      <c r="EB187">
        <v>20.191800000000001</v>
      </c>
      <c r="EC187">
        <v>5.2421499999999996</v>
      </c>
      <c r="ED187">
        <v>12.039899999999999</v>
      </c>
      <c r="EE187">
        <v>5.01715</v>
      </c>
      <c r="EF187">
        <v>3.2879999999999998</v>
      </c>
      <c r="EG187">
        <v>9999</v>
      </c>
      <c r="EH187">
        <v>9999</v>
      </c>
      <c r="EI187">
        <v>9999</v>
      </c>
      <c r="EJ187">
        <v>999.9</v>
      </c>
      <c r="EK187">
        <v>1.86879</v>
      </c>
      <c r="EL187">
        <v>1.8645</v>
      </c>
      <c r="EM187">
        <v>1.8690599999999999</v>
      </c>
      <c r="EN187">
        <v>1.8671500000000001</v>
      </c>
      <c r="EO187">
        <v>1.8633</v>
      </c>
      <c r="EP187">
        <v>1.86443</v>
      </c>
      <c r="EQ187">
        <v>1.8701099999999999</v>
      </c>
      <c r="ER187">
        <v>1.8693500000000001</v>
      </c>
      <c r="ES187">
        <v>0</v>
      </c>
      <c r="ET187">
        <v>0</v>
      </c>
      <c r="EU187">
        <v>0</v>
      </c>
      <c r="EV187">
        <v>0</v>
      </c>
      <c r="EW187" t="s">
        <v>334</v>
      </c>
      <c r="EX187" t="s">
        <v>335</v>
      </c>
      <c r="EY187" t="s">
        <v>336</v>
      </c>
      <c r="EZ187" t="s">
        <v>336</v>
      </c>
      <c r="FA187" t="s">
        <v>336</v>
      </c>
      <c r="FB187" t="s">
        <v>336</v>
      </c>
      <c r="FC187">
        <v>0</v>
      </c>
      <c r="FD187">
        <v>100</v>
      </c>
      <c r="FE187">
        <v>100</v>
      </c>
      <c r="FF187">
        <v>-1.202</v>
      </c>
      <c r="FG187">
        <v>0.1782</v>
      </c>
      <c r="FH187">
        <v>-0.98020551812546231</v>
      </c>
      <c r="FI187">
        <v>-6.1462078757559423E-4</v>
      </c>
      <c r="FJ187">
        <v>-1.8861989874597051E-7</v>
      </c>
      <c r="FK187">
        <v>1.1980462299894961E-10</v>
      </c>
      <c r="FL187">
        <v>0.1782306200647516</v>
      </c>
      <c r="FM187">
        <v>0</v>
      </c>
      <c r="FN187">
        <v>0</v>
      </c>
      <c r="FO187">
        <v>0</v>
      </c>
      <c r="FP187">
        <v>3</v>
      </c>
      <c r="FQ187">
        <v>2158</v>
      </c>
      <c r="FR187">
        <v>1</v>
      </c>
      <c r="FS187">
        <v>19</v>
      </c>
      <c r="FT187">
        <v>30.4</v>
      </c>
      <c r="FU187">
        <v>30.7</v>
      </c>
      <c r="FV187">
        <v>1.7773399999999999</v>
      </c>
      <c r="FW187">
        <v>2.5451700000000002</v>
      </c>
      <c r="FX187">
        <v>1.5490699999999999</v>
      </c>
      <c r="FY187">
        <v>2.34131</v>
      </c>
      <c r="FZ187">
        <v>1.50146</v>
      </c>
      <c r="GA187">
        <v>2.3742700000000001</v>
      </c>
      <c r="GB187">
        <v>31.280899999999999</v>
      </c>
      <c r="GC187">
        <v>23.991199999999999</v>
      </c>
      <c r="GD187">
        <v>19</v>
      </c>
      <c r="GE187">
        <v>265.93900000000002</v>
      </c>
      <c r="GF187">
        <v>603.53599999999994</v>
      </c>
      <c r="GG187">
        <v>24.340900000000001</v>
      </c>
      <c r="GH187">
        <v>25.4817</v>
      </c>
      <c r="GI187">
        <v>30.000299999999999</v>
      </c>
      <c r="GJ187">
        <v>25.596900000000002</v>
      </c>
      <c r="GK187">
        <v>25.563700000000001</v>
      </c>
      <c r="GL187">
        <v>35.540900000000001</v>
      </c>
      <c r="GM187">
        <v>-30</v>
      </c>
      <c r="GN187">
        <v>-30</v>
      </c>
      <c r="GO187">
        <v>24.365100000000002</v>
      </c>
      <c r="GP187">
        <v>800</v>
      </c>
      <c r="GQ187">
        <v>12.5298</v>
      </c>
      <c r="GR187">
        <v>99.640500000000003</v>
      </c>
      <c r="GS187">
        <v>99.28</v>
      </c>
    </row>
    <row r="188" spans="1:201" x14ac:dyDescent="0.25">
      <c r="A188">
        <v>172</v>
      </c>
      <c r="B188">
        <v>1690202605.5999999</v>
      </c>
      <c r="C188">
        <v>1758.599999904633</v>
      </c>
      <c r="D188" t="s">
        <v>677</v>
      </c>
      <c r="E188" t="s">
        <v>678</v>
      </c>
      <c r="F188" t="s">
        <v>330</v>
      </c>
      <c r="H188">
        <v>1690202605.5999999</v>
      </c>
      <c r="I188">
        <f t="shared" si="60"/>
        <v>1.767049391721034E-3</v>
      </c>
      <c r="J188">
        <f t="shared" si="61"/>
        <v>1.7670493917210339</v>
      </c>
      <c r="K188">
        <f t="shared" si="62"/>
        <v>41.687437246160208</v>
      </c>
      <c r="L188">
        <f t="shared" si="63"/>
        <v>331.14299999999997</v>
      </c>
      <c r="M188">
        <f t="shared" si="64"/>
        <v>-0.10757630687039527</v>
      </c>
      <c r="N188">
        <f t="shared" si="65"/>
        <v>-1.0661415503180085E-2</v>
      </c>
      <c r="O188">
        <f t="shared" si="66"/>
        <v>32.818128979115698</v>
      </c>
      <c r="P188">
        <f t="shared" si="67"/>
        <v>0.21256770561120289</v>
      </c>
      <c r="Q188">
        <f t="shared" si="68"/>
        <v>2.0849975483928005</v>
      </c>
      <c r="R188">
        <f t="shared" si="69"/>
        <v>0.20122010715169991</v>
      </c>
      <c r="S188">
        <f t="shared" si="70"/>
        <v>0.12673159903971778</v>
      </c>
      <c r="T188">
        <f t="shared" si="71"/>
        <v>276.11442651599998</v>
      </c>
      <c r="U188">
        <f t="shared" si="72"/>
        <v>27.438790115138183</v>
      </c>
      <c r="V188">
        <f t="shared" si="73"/>
        <v>27.438790115138183</v>
      </c>
      <c r="W188">
        <f t="shared" si="74"/>
        <v>3.6724431513727054</v>
      </c>
      <c r="X188">
        <f t="shared" si="75"/>
        <v>84.692573586714147</v>
      </c>
      <c r="Y188">
        <f t="shared" si="76"/>
        <v>2.8306841616467699</v>
      </c>
      <c r="Z188">
        <f t="shared" si="77"/>
        <v>3.3423050472642899</v>
      </c>
      <c r="AA188">
        <f t="shared" si="78"/>
        <v>0.84175898972593544</v>
      </c>
      <c r="AB188">
        <f t="shared" si="79"/>
        <v>-77.926878174897595</v>
      </c>
      <c r="AC188">
        <f t="shared" si="80"/>
        <v>-179.79290621079852</v>
      </c>
      <c r="AD188">
        <f t="shared" si="81"/>
        <v>-18.542851418602133</v>
      </c>
      <c r="AE188">
        <f t="shared" si="82"/>
        <v>-0.1482092882982613</v>
      </c>
      <c r="AF188">
        <v>13</v>
      </c>
      <c r="AG188">
        <v>4</v>
      </c>
      <c r="AH188">
        <f t="shared" si="83"/>
        <v>1</v>
      </c>
      <c r="AI188">
        <f t="shared" si="84"/>
        <v>0</v>
      </c>
      <c r="AJ188">
        <f t="shared" si="85"/>
        <v>52765.822969134046</v>
      </c>
      <c r="AK188">
        <f t="shared" si="86"/>
        <v>1800</v>
      </c>
      <c r="AL188">
        <f t="shared" si="87"/>
        <v>1499.1115356</v>
      </c>
      <c r="AM188">
        <f t="shared" si="88"/>
        <v>0.83283974199999999</v>
      </c>
      <c r="AN188">
        <f t="shared" si="89"/>
        <v>0.15339690362</v>
      </c>
      <c r="AO188">
        <v>33.299999999999997</v>
      </c>
      <c r="AP188">
        <v>0.5</v>
      </c>
      <c r="AQ188" t="s">
        <v>331</v>
      </c>
      <c r="AR188">
        <v>2</v>
      </c>
      <c r="AS188">
        <v>1690202605.5999999</v>
      </c>
      <c r="AT188">
        <v>331.14299999999997</v>
      </c>
      <c r="AU188">
        <v>800.06700000000001</v>
      </c>
      <c r="AV188">
        <v>28.5623</v>
      </c>
      <c r="AW188">
        <v>9.5205300000000008</v>
      </c>
      <c r="AX188">
        <v>332.34399999999999</v>
      </c>
      <c r="AY188">
        <v>28.384</v>
      </c>
      <c r="AZ188">
        <v>300.19299999999998</v>
      </c>
      <c r="BA188">
        <v>99.005700000000004</v>
      </c>
      <c r="BB188">
        <v>9.9909899999999996E-2</v>
      </c>
      <c r="BC188">
        <v>25.839300000000001</v>
      </c>
      <c r="BD188">
        <v>26.991599999999998</v>
      </c>
      <c r="BE188">
        <v>27.487100000000002</v>
      </c>
      <c r="BF188">
        <v>0</v>
      </c>
      <c r="BG188">
        <v>0</v>
      </c>
      <c r="BH188">
        <v>10041.9</v>
      </c>
      <c r="BI188">
        <v>1073.92</v>
      </c>
      <c r="BJ188">
        <v>1.5137799999999999</v>
      </c>
      <c r="BK188">
        <v>-468.92399999999998</v>
      </c>
      <c r="BL188">
        <v>340.88</v>
      </c>
      <c r="BM188">
        <v>807.75699999999995</v>
      </c>
      <c r="BN188">
        <v>19.041699999999999</v>
      </c>
      <c r="BO188">
        <v>800.06700000000001</v>
      </c>
      <c r="BP188">
        <v>9.5205300000000008</v>
      </c>
      <c r="BQ188">
        <v>2.8278300000000001</v>
      </c>
      <c r="BR188">
        <v>0.94258699999999995</v>
      </c>
      <c r="BS188">
        <v>23.0474</v>
      </c>
      <c r="BT188">
        <v>6.0578900000000004</v>
      </c>
      <c r="BU188">
        <v>1800</v>
      </c>
      <c r="BV188">
        <v>0.91000999999999999</v>
      </c>
      <c r="BW188">
        <v>3.4006300000000003E-2</v>
      </c>
      <c r="BX188">
        <v>2.1993599999999999E-2</v>
      </c>
      <c r="BY188">
        <v>3.3989999999999999E-2</v>
      </c>
      <c r="BZ188">
        <v>25</v>
      </c>
      <c r="CA188">
        <v>33528.5</v>
      </c>
      <c r="CB188">
        <v>1690200769.5</v>
      </c>
      <c r="CC188" t="s">
        <v>332</v>
      </c>
      <c r="CD188">
        <v>1690200769.5</v>
      </c>
      <c r="CE188">
        <v>1690200753</v>
      </c>
      <c r="CF188">
        <v>2</v>
      </c>
      <c r="CG188">
        <v>-0.245</v>
      </c>
      <c r="CH188">
        <v>3.0000000000000001E-3</v>
      </c>
      <c r="CI188">
        <v>-1.5169999999999999</v>
      </c>
      <c r="CJ188">
        <v>-1.6E-2</v>
      </c>
      <c r="CK188">
        <v>778</v>
      </c>
      <c r="CL188">
        <v>12</v>
      </c>
      <c r="CM188">
        <v>0.01</v>
      </c>
      <c r="CN188">
        <v>0.03</v>
      </c>
      <c r="CO188">
        <v>-468.47585365853661</v>
      </c>
      <c r="CP188">
        <v>-2.7789198606276488</v>
      </c>
      <c r="CQ188">
        <v>0.29241597175153222</v>
      </c>
      <c r="CR188">
        <v>-1</v>
      </c>
      <c r="CS188">
        <v>19.021148780487799</v>
      </c>
      <c r="CT188">
        <v>7.4514982578423705E-2</v>
      </c>
      <c r="CU188">
        <v>7.8162782594956483E-3</v>
      </c>
      <c r="CV188">
        <v>-1</v>
      </c>
      <c r="CW188">
        <v>0</v>
      </c>
      <c r="CX188">
        <v>0</v>
      </c>
      <c r="CY188" t="s">
        <v>333</v>
      </c>
      <c r="CZ188">
        <v>2.3654099999999998</v>
      </c>
      <c r="DA188">
        <v>2.71374</v>
      </c>
      <c r="DB188">
        <v>7.7543500000000001E-2</v>
      </c>
      <c r="DC188">
        <v>0.146315</v>
      </c>
      <c r="DD188">
        <v>0.128802</v>
      </c>
      <c r="DE188">
        <v>5.7024400000000003E-2</v>
      </c>
      <c r="DF188">
        <v>33656.800000000003</v>
      </c>
      <c r="DG188">
        <v>27448.799999999999</v>
      </c>
      <c r="DH188">
        <v>31145.4</v>
      </c>
      <c r="DI188">
        <v>28014.5</v>
      </c>
      <c r="DJ188">
        <v>36814</v>
      </c>
      <c r="DK188">
        <v>37535.300000000003</v>
      </c>
      <c r="DL188">
        <v>44314.1</v>
      </c>
      <c r="DM188">
        <v>42425.4</v>
      </c>
      <c r="DN188">
        <v>1.44292</v>
      </c>
      <c r="DO188">
        <v>2.0714800000000002</v>
      </c>
      <c r="DP188">
        <v>0.13802200000000001</v>
      </c>
      <c r="DQ188">
        <v>0.174902</v>
      </c>
      <c r="DR188">
        <v>24.7302</v>
      </c>
      <c r="DS188">
        <v>24.622299999999999</v>
      </c>
      <c r="DT188">
        <v>33.799999999999997</v>
      </c>
      <c r="DU188">
        <v>26.1</v>
      </c>
      <c r="DV188">
        <v>11.5871</v>
      </c>
      <c r="DW188">
        <v>61.415399999999998</v>
      </c>
      <c r="DX188">
        <v>35.785299999999999</v>
      </c>
      <c r="DY188">
        <v>1</v>
      </c>
      <c r="DZ188">
        <v>-0.153867</v>
      </c>
      <c r="EA188">
        <v>-0.14300399999999999</v>
      </c>
      <c r="EB188">
        <v>20.191800000000001</v>
      </c>
      <c r="EC188">
        <v>5.2413999999999996</v>
      </c>
      <c r="ED188">
        <v>12.039899999999999</v>
      </c>
      <c r="EE188">
        <v>5.0174000000000003</v>
      </c>
      <c r="EF188">
        <v>3.2879999999999998</v>
      </c>
      <c r="EG188">
        <v>9999</v>
      </c>
      <c r="EH188">
        <v>9999</v>
      </c>
      <c r="EI188">
        <v>9999</v>
      </c>
      <c r="EJ188">
        <v>999.9</v>
      </c>
      <c r="EK188">
        <v>1.8688499999999999</v>
      </c>
      <c r="EL188">
        <v>1.8645</v>
      </c>
      <c r="EM188">
        <v>1.8690500000000001</v>
      </c>
      <c r="EN188">
        <v>1.8671599999999999</v>
      </c>
      <c r="EO188">
        <v>1.8633</v>
      </c>
      <c r="EP188">
        <v>1.8644099999999999</v>
      </c>
      <c r="EQ188">
        <v>1.8701099999999999</v>
      </c>
      <c r="ER188">
        <v>1.8693500000000001</v>
      </c>
      <c r="ES188">
        <v>0</v>
      </c>
      <c r="ET188">
        <v>0</v>
      </c>
      <c r="EU188">
        <v>0</v>
      </c>
      <c r="EV188">
        <v>0</v>
      </c>
      <c r="EW188" t="s">
        <v>334</v>
      </c>
      <c r="EX188" t="s">
        <v>335</v>
      </c>
      <c r="EY188" t="s">
        <v>336</v>
      </c>
      <c r="EZ188" t="s">
        <v>336</v>
      </c>
      <c r="FA188" t="s">
        <v>336</v>
      </c>
      <c r="FB188" t="s">
        <v>336</v>
      </c>
      <c r="FC188">
        <v>0</v>
      </c>
      <c r="FD188">
        <v>100</v>
      </c>
      <c r="FE188">
        <v>100</v>
      </c>
      <c r="FF188">
        <v>-1.2010000000000001</v>
      </c>
      <c r="FG188">
        <v>0.17829999999999999</v>
      </c>
      <c r="FH188">
        <v>-0.98020551812546231</v>
      </c>
      <c r="FI188">
        <v>-6.1462078757559423E-4</v>
      </c>
      <c r="FJ188">
        <v>-1.8861989874597051E-7</v>
      </c>
      <c r="FK188">
        <v>1.1980462299894961E-10</v>
      </c>
      <c r="FL188">
        <v>0.1782306200647516</v>
      </c>
      <c r="FM188">
        <v>0</v>
      </c>
      <c r="FN188">
        <v>0</v>
      </c>
      <c r="FO188">
        <v>0</v>
      </c>
      <c r="FP188">
        <v>3</v>
      </c>
      <c r="FQ188">
        <v>2158</v>
      </c>
      <c r="FR188">
        <v>1</v>
      </c>
      <c r="FS188">
        <v>19</v>
      </c>
      <c r="FT188">
        <v>30.6</v>
      </c>
      <c r="FU188">
        <v>30.9</v>
      </c>
      <c r="FV188">
        <v>1.7773399999999999</v>
      </c>
      <c r="FW188">
        <v>2.5512700000000001</v>
      </c>
      <c r="FX188">
        <v>1.5490699999999999</v>
      </c>
      <c r="FY188">
        <v>2.34131</v>
      </c>
      <c r="FZ188">
        <v>1.50146</v>
      </c>
      <c r="GA188">
        <v>2.3828100000000001</v>
      </c>
      <c r="GB188">
        <v>31.280899999999999</v>
      </c>
      <c r="GC188">
        <v>23.991199999999999</v>
      </c>
      <c r="GD188">
        <v>19</v>
      </c>
      <c r="GE188">
        <v>265.83600000000001</v>
      </c>
      <c r="GF188">
        <v>603.54</v>
      </c>
      <c r="GG188">
        <v>24.379799999999999</v>
      </c>
      <c r="GH188">
        <v>25.482199999999999</v>
      </c>
      <c r="GI188">
        <v>30.0002</v>
      </c>
      <c r="GJ188">
        <v>25.599</v>
      </c>
      <c r="GK188">
        <v>25.565899999999999</v>
      </c>
      <c r="GL188">
        <v>35.535200000000003</v>
      </c>
      <c r="GM188">
        <v>-30</v>
      </c>
      <c r="GN188">
        <v>-30</v>
      </c>
      <c r="GO188">
        <v>24.380800000000001</v>
      </c>
      <c r="GP188">
        <v>800</v>
      </c>
      <c r="GQ188">
        <v>12.5298</v>
      </c>
      <c r="GR188">
        <v>99.640500000000003</v>
      </c>
      <c r="GS188">
        <v>99.280100000000004</v>
      </c>
    </row>
    <row r="189" spans="1:201" x14ac:dyDescent="0.25">
      <c r="A189">
        <v>173</v>
      </c>
      <c r="B189">
        <v>1690202615.5999999</v>
      </c>
      <c r="C189">
        <v>1768.599999904633</v>
      </c>
      <c r="D189" t="s">
        <v>679</v>
      </c>
      <c r="E189" t="s">
        <v>680</v>
      </c>
      <c r="F189" t="s">
        <v>330</v>
      </c>
      <c r="H189">
        <v>1690202615.5999999</v>
      </c>
      <c r="I189">
        <f t="shared" si="60"/>
        <v>1.7686954489379368E-3</v>
      </c>
      <c r="J189">
        <f t="shared" si="61"/>
        <v>1.7686954489379367</v>
      </c>
      <c r="K189">
        <f t="shared" si="62"/>
        <v>41.738501417607928</v>
      </c>
      <c r="L189">
        <f t="shared" si="63"/>
        <v>330.51799999999997</v>
      </c>
      <c r="M189">
        <f t="shared" si="64"/>
        <v>-2.6460872744076314</v>
      </c>
      <c r="N189">
        <f t="shared" si="65"/>
        <v>-0.26224233952952219</v>
      </c>
      <c r="O189">
        <f t="shared" si="66"/>
        <v>32.756218744153998</v>
      </c>
      <c r="P189">
        <f t="shared" si="67"/>
        <v>0.21158492441132762</v>
      </c>
      <c r="Q189">
        <f t="shared" si="68"/>
        <v>2.0766994733444308</v>
      </c>
      <c r="R189">
        <f t="shared" si="69"/>
        <v>0.20029666940556404</v>
      </c>
      <c r="S189">
        <f t="shared" si="70"/>
        <v>0.12614941346582692</v>
      </c>
      <c r="T189">
        <f t="shared" si="71"/>
        <v>276.11449297200005</v>
      </c>
      <c r="U189">
        <f t="shared" si="72"/>
        <v>27.462970058665842</v>
      </c>
      <c r="V189">
        <f t="shared" si="73"/>
        <v>27.462970058665842</v>
      </c>
      <c r="W189">
        <f t="shared" si="74"/>
        <v>3.6776447377214474</v>
      </c>
      <c r="X189">
        <f t="shared" si="75"/>
        <v>84.613965894002192</v>
      </c>
      <c r="Y189">
        <f t="shared" si="76"/>
        <v>2.8312418127337007</v>
      </c>
      <c r="Z189">
        <f t="shared" si="77"/>
        <v>3.3460691539744878</v>
      </c>
      <c r="AA189">
        <f t="shared" si="78"/>
        <v>0.84640292498774672</v>
      </c>
      <c r="AB189">
        <f t="shared" si="79"/>
        <v>-77.999469298163007</v>
      </c>
      <c r="AC189">
        <f t="shared" si="80"/>
        <v>-179.65729041205472</v>
      </c>
      <c r="AD189">
        <f t="shared" si="81"/>
        <v>-18.606924712566872</v>
      </c>
      <c r="AE189">
        <f t="shared" si="82"/>
        <v>-0.14919145078454221</v>
      </c>
      <c r="AF189">
        <v>13</v>
      </c>
      <c r="AG189">
        <v>4</v>
      </c>
      <c r="AH189">
        <f t="shared" si="83"/>
        <v>1</v>
      </c>
      <c r="AI189">
        <f t="shared" si="84"/>
        <v>0</v>
      </c>
      <c r="AJ189">
        <f t="shared" si="85"/>
        <v>52387.517750692023</v>
      </c>
      <c r="AK189">
        <f t="shared" si="86"/>
        <v>1800</v>
      </c>
      <c r="AL189">
        <f t="shared" si="87"/>
        <v>1499.1124932</v>
      </c>
      <c r="AM189">
        <f t="shared" si="88"/>
        <v>0.83284027400000005</v>
      </c>
      <c r="AN189">
        <f t="shared" si="89"/>
        <v>0.15339694054000003</v>
      </c>
      <c r="AO189">
        <v>33.299999999999997</v>
      </c>
      <c r="AP189">
        <v>0.5</v>
      </c>
      <c r="AQ189" t="s">
        <v>331</v>
      </c>
      <c r="AR189">
        <v>2</v>
      </c>
      <c r="AS189">
        <v>1690202615.5999999</v>
      </c>
      <c r="AT189">
        <v>330.51799999999997</v>
      </c>
      <c r="AU189">
        <v>800.02099999999996</v>
      </c>
      <c r="AV189">
        <v>28.567900000000002</v>
      </c>
      <c r="AW189">
        <v>9.5077400000000001</v>
      </c>
      <c r="AX189">
        <v>331.71899999999999</v>
      </c>
      <c r="AY189">
        <v>28.389700000000001</v>
      </c>
      <c r="AZ189">
        <v>300.18099999999998</v>
      </c>
      <c r="BA189">
        <v>99.005700000000004</v>
      </c>
      <c r="BB189">
        <v>0.10000299999999999</v>
      </c>
      <c r="BC189">
        <v>25.8583</v>
      </c>
      <c r="BD189">
        <v>27.0534</v>
      </c>
      <c r="BE189">
        <v>27.4831</v>
      </c>
      <c r="BF189">
        <v>0</v>
      </c>
      <c r="BG189">
        <v>0</v>
      </c>
      <c r="BH189">
        <v>9967.5</v>
      </c>
      <c r="BI189">
        <v>1073.96</v>
      </c>
      <c r="BJ189">
        <v>1.5137799999999999</v>
      </c>
      <c r="BK189">
        <v>-469.50299999999999</v>
      </c>
      <c r="BL189">
        <v>340.238</v>
      </c>
      <c r="BM189">
        <v>807.70100000000002</v>
      </c>
      <c r="BN189">
        <v>19.060199999999998</v>
      </c>
      <c r="BO189">
        <v>800.02099999999996</v>
      </c>
      <c r="BP189">
        <v>9.5077400000000001</v>
      </c>
      <c r="BQ189">
        <v>2.8283900000000002</v>
      </c>
      <c r="BR189">
        <v>0.94132000000000005</v>
      </c>
      <c r="BS189">
        <v>23.050699999999999</v>
      </c>
      <c r="BT189">
        <v>6.0384399999999996</v>
      </c>
      <c r="BU189">
        <v>1800</v>
      </c>
      <c r="BV189">
        <v>0.91001200000000004</v>
      </c>
      <c r="BW189">
        <v>3.4005800000000003E-2</v>
      </c>
      <c r="BX189">
        <v>2.1993200000000001E-2</v>
      </c>
      <c r="BY189">
        <v>3.3989400000000003E-2</v>
      </c>
      <c r="BZ189">
        <v>25</v>
      </c>
      <c r="CA189">
        <v>33528.400000000001</v>
      </c>
      <c r="CB189">
        <v>1690200769.5</v>
      </c>
      <c r="CC189" t="s">
        <v>332</v>
      </c>
      <c r="CD189">
        <v>1690200769.5</v>
      </c>
      <c r="CE189">
        <v>1690200753</v>
      </c>
      <c r="CF189">
        <v>2</v>
      </c>
      <c r="CG189">
        <v>-0.245</v>
      </c>
      <c r="CH189">
        <v>3.0000000000000001E-3</v>
      </c>
      <c r="CI189">
        <v>-1.5169999999999999</v>
      </c>
      <c r="CJ189">
        <v>-1.6E-2</v>
      </c>
      <c r="CK189">
        <v>778</v>
      </c>
      <c r="CL189">
        <v>12</v>
      </c>
      <c r="CM189">
        <v>0.01</v>
      </c>
      <c r="CN189">
        <v>0.03</v>
      </c>
      <c r="CO189">
        <v>-468.90853658536588</v>
      </c>
      <c r="CP189">
        <v>-3.0545226480850709</v>
      </c>
      <c r="CQ189">
        <v>0.31585533100602631</v>
      </c>
      <c r="CR189">
        <v>-1</v>
      </c>
      <c r="CS189">
        <v>19.038</v>
      </c>
      <c r="CT189">
        <v>0.13005156794426709</v>
      </c>
      <c r="CU189">
        <v>1.285007355013606E-2</v>
      </c>
      <c r="CV189">
        <v>-1</v>
      </c>
      <c r="CW189">
        <v>0</v>
      </c>
      <c r="CX189">
        <v>0</v>
      </c>
      <c r="CY189" t="s">
        <v>333</v>
      </c>
      <c r="CZ189">
        <v>2.3653499999999998</v>
      </c>
      <c r="DA189">
        <v>2.7137600000000002</v>
      </c>
      <c r="DB189">
        <v>7.7426999999999996E-2</v>
      </c>
      <c r="DC189">
        <v>0.14630899999999999</v>
      </c>
      <c r="DD189">
        <v>0.12881899999999999</v>
      </c>
      <c r="DE189">
        <v>5.6965099999999998E-2</v>
      </c>
      <c r="DF189">
        <v>33661.300000000003</v>
      </c>
      <c r="DG189">
        <v>27449.1</v>
      </c>
      <c r="DH189">
        <v>31145.599999999999</v>
      </c>
      <c r="DI189">
        <v>28014.6</v>
      </c>
      <c r="DJ189">
        <v>36813.5</v>
      </c>
      <c r="DK189">
        <v>37538</v>
      </c>
      <c r="DL189">
        <v>44314.400000000001</v>
      </c>
      <c r="DM189">
        <v>42425.7</v>
      </c>
      <c r="DN189">
        <v>1.4426300000000001</v>
      </c>
      <c r="DO189">
        <v>2.0714800000000002</v>
      </c>
      <c r="DP189">
        <v>0.14167299999999999</v>
      </c>
      <c r="DQ189">
        <v>0.17452999999999999</v>
      </c>
      <c r="DR189">
        <v>24.732299999999999</v>
      </c>
      <c r="DS189">
        <v>24.624400000000001</v>
      </c>
      <c r="DT189">
        <v>33.6</v>
      </c>
      <c r="DU189">
        <v>26.1</v>
      </c>
      <c r="DV189">
        <v>11.5182</v>
      </c>
      <c r="DW189">
        <v>62.065399999999997</v>
      </c>
      <c r="DX189">
        <v>36.265999999999998</v>
      </c>
      <c r="DY189">
        <v>1</v>
      </c>
      <c r="DZ189">
        <v>-0.15362600000000001</v>
      </c>
      <c r="EA189">
        <v>0.10797900000000001</v>
      </c>
      <c r="EB189">
        <v>20.191700000000001</v>
      </c>
      <c r="EC189">
        <v>5.2415500000000002</v>
      </c>
      <c r="ED189">
        <v>12.039899999999999</v>
      </c>
      <c r="EE189">
        <v>5.0171000000000001</v>
      </c>
      <c r="EF189">
        <v>3.2879999999999998</v>
      </c>
      <c r="EG189">
        <v>9999</v>
      </c>
      <c r="EH189">
        <v>9999</v>
      </c>
      <c r="EI189">
        <v>9999</v>
      </c>
      <c r="EJ189">
        <v>999.9</v>
      </c>
      <c r="EK189">
        <v>1.86883</v>
      </c>
      <c r="EL189">
        <v>1.8645</v>
      </c>
      <c r="EM189">
        <v>1.86907</v>
      </c>
      <c r="EN189">
        <v>1.8671500000000001</v>
      </c>
      <c r="EO189">
        <v>1.86331</v>
      </c>
      <c r="EP189">
        <v>1.8644099999999999</v>
      </c>
      <c r="EQ189">
        <v>1.8701000000000001</v>
      </c>
      <c r="ER189">
        <v>1.8693599999999999</v>
      </c>
      <c r="ES189">
        <v>0</v>
      </c>
      <c r="ET189">
        <v>0</v>
      </c>
      <c r="EU189">
        <v>0</v>
      </c>
      <c r="EV189">
        <v>0</v>
      </c>
      <c r="EW189" t="s">
        <v>334</v>
      </c>
      <c r="EX189" t="s">
        <v>335</v>
      </c>
      <c r="EY189" t="s">
        <v>336</v>
      </c>
      <c r="EZ189" t="s">
        <v>336</v>
      </c>
      <c r="FA189" t="s">
        <v>336</v>
      </c>
      <c r="FB189" t="s">
        <v>336</v>
      </c>
      <c r="FC189">
        <v>0</v>
      </c>
      <c r="FD189">
        <v>100</v>
      </c>
      <c r="FE189">
        <v>100</v>
      </c>
      <c r="FF189">
        <v>-1.2010000000000001</v>
      </c>
      <c r="FG189">
        <v>0.1782</v>
      </c>
      <c r="FH189">
        <v>-0.98020551812546231</v>
      </c>
      <c r="FI189">
        <v>-6.1462078757559423E-4</v>
      </c>
      <c r="FJ189">
        <v>-1.8861989874597051E-7</v>
      </c>
      <c r="FK189">
        <v>1.1980462299894961E-10</v>
      </c>
      <c r="FL189">
        <v>0.1782306200647516</v>
      </c>
      <c r="FM189">
        <v>0</v>
      </c>
      <c r="FN189">
        <v>0</v>
      </c>
      <c r="FO189">
        <v>0</v>
      </c>
      <c r="FP189">
        <v>3</v>
      </c>
      <c r="FQ189">
        <v>2158</v>
      </c>
      <c r="FR189">
        <v>1</v>
      </c>
      <c r="FS189">
        <v>19</v>
      </c>
      <c r="FT189">
        <v>30.8</v>
      </c>
      <c r="FU189">
        <v>31</v>
      </c>
      <c r="FV189">
        <v>1.7773399999999999</v>
      </c>
      <c r="FW189">
        <v>2.5463900000000002</v>
      </c>
      <c r="FX189">
        <v>1.5490699999999999</v>
      </c>
      <c r="FY189">
        <v>2.34131</v>
      </c>
      <c r="FZ189">
        <v>1.50146</v>
      </c>
      <c r="GA189">
        <v>2.3877000000000002</v>
      </c>
      <c r="GB189">
        <v>31.280899999999999</v>
      </c>
      <c r="GC189">
        <v>23.991199999999999</v>
      </c>
      <c r="GD189">
        <v>19</v>
      </c>
      <c r="GE189">
        <v>265.72399999999999</v>
      </c>
      <c r="GF189">
        <v>603.54</v>
      </c>
      <c r="GG189">
        <v>24.345400000000001</v>
      </c>
      <c r="GH189">
        <v>25.483799999999999</v>
      </c>
      <c r="GI189">
        <v>30.0002</v>
      </c>
      <c r="GJ189">
        <v>25.601099999999999</v>
      </c>
      <c r="GK189">
        <v>25.565899999999999</v>
      </c>
      <c r="GL189">
        <v>35.538499999999999</v>
      </c>
      <c r="GM189">
        <v>-30</v>
      </c>
      <c r="GN189">
        <v>-30</v>
      </c>
      <c r="GO189">
        <v>24.2988</v>
      </c>
      <c r="GP189">
        <v>800</v>
      </c>
      <c r="GQ189">
        <v>12.5298</v>
      </c>
      <c r="GR189">
        <v>99.641099999999994</v>
      </c>
      <c r="GS189">
        <v>99.280799999999999</v>
      </c>
    </row>
    <row r="190" spans="1:201" x14ac:dyDescent="0.25">
      <c r="A190">
        <v>174</v>
      </c>
      <c r="B190">
        <v>1690202625.5999999</v>
      </c>
      <c r="C190">
        <v>1778.599999904633</v>
      </c>
      <c r="D190" t="s">
        <v>681</v>
      </c>
      <c r="E190" t="s">
        <v>682</v>
      </c>
      <c r="F190" t="s">
        <v>330</v>
      </c>
      <c r="H190">
        <v>1690202625.5999999</v>
      </c>
      <c r="I190">
        <f t="shared" si="60"/>
        <v>1.7691024653878433E-3</v>
      </c>
      <c r="J190">
        <f t="shared" si="61"/>
        <v>1.7691024653878433</v>
      </c>
      <c r="K190">
        <f t="shared" si="62"/>
        <v>41.770115075574353</v>
      </c>
      <c r="L190">
        <f t="shared" si="63"/>
        <v>330.11799999999999</v>
      </c>
      <c r="M190">
        <f t="shared" si="64"/>
        <v>-1.6626360163180607</v>
      </c>
      <c r="N190">
        <f t="shared" si="65"/>
        <v>-0.16477925556221668</v>
      </c>
      <c r="O190">
        <f t="shared" si="66"/>
        <v>32.717081642529401</v>
      </c>
      <c r="P190">
        <f t="shared" si="67"/>
        <v>0.21264975049518348</v>
      </c>
      <c r="Q190">
        <f t="shared" si="68"/>
        <v>2.0829243441387479</v>
      </c>
      <c r="R190">
        <f t="shared" si="69"/>
        <v>0.20128298762200833</v>
      </c>
      <c r="S190">
        <f t="shared" si="70"/>
        <v>0.1267724698393862</v>
      </c>
      <c r="T190">
        <f t="shared" si="71"/>
        <v>276.114190716</v>
      </c>
      <c r="U190">
        <f t="shared" si="72"/>
        <v>27.442196935602535</v>
      </c>
      <c r="V190">
        <f t="shared" si="73"/>
        <v>27.442196935602535</v>
      </c>
      <c r="W190">
        <f t="shared" si="74"/>
        <v>3.6731756373457896</v>
      </c>
      <c r="X190">
        <f t="shared" si="75"/>
        <v>84.679228529487901</v>
      </c>
      <c r="Y190">
        <f t="shared" si="76"/>
        <v>2.8306908867912703</v>
      </c>
      <c r="Z190">
        <f t="shared" si="77"/>
        <v>3.3428397210840637</v>
      </c>
      <c r="AA190">
        <f t="shared" si="78"/>
        <v>0.84248475055451921</v>
      </c>
      <c r="AB190">
        <f t="shared" si="79"/>
        <v>-78.017418723603896</v>
      </c>
      <c r="AC190">
        <f t="shared" si="80"/>
        <v>-179.69350239404108</v>
      </c>
      <c r="AD190">
        <f t="shared" si="81"/>
        <v>-18.551612813464015</v>
      </c>
      <c r="AE190">
        <f t="shared" si="82"/>
        <v>-0.1483432151090085</v>
      </c>
      <c r="AF190">
        <v>13</v>
      </c>
      <c r="AG190">
        <v>4</v>
      </c>
      <c r="AH190">
        <f t="shared" si="83"/>
        <v>1</v>
      </c>
      <c r="AI190">
        <f t="shared" si="84"/>
        <v>0</v>
      </c>
      <c r="AJ190">
        <f t="shared" si="85"/>
        <v>52671.523542872099</v>
      </c>
      <c r="AK190">
        <f t="shared" si="86"/>
        <v>1800</v>
      </c>
      <c r="AL190">
        <f t="shared" si="87"/>
        <v>1499.1118416000002</v>
      </c>
      <c r="AM190">
        <f t="shared" si="88"/>
        <v>0.83283991200000007</v>
      </c>
      <c r="AN190">
        <f t="shared" si="89"/>
        <v>0.15339677261999998</v>
      </c>
      <c r="AO190">
        <v>33.299999999999997</v>
      </c>
      <c r="AP190">
        <v>0.5</v>
      </c>
      <c r="AQ190" t="s">
        <v>331</v>
      </c>
      <c r="AR190">
        <v>2</v>
      </c>
      <c r="AS190">
        <v>1690202625.5999999</v>
      </c>
      <c r="AT190">
        <v>330.11799999999999</v>
      </c>
      <c r="AU190">
        <v>800.01700000000005</v>
      </c>
      <c r="AV190">
        <v>28.561900000000001</v>
      </c>
      <c r="AW190">
        <v>9.4951399999999992</v>
      </c>
      <c r="AX190">
        <v>331.31799999999998</v>
      </c>
      <c r="AY190">
        <v>28.383700000000001</v>
      </c>
      <c r="AZ190">
        <v>300.14800000000002</v>
      </c>
      <c r="BA190">
        <v>99.007300000000001</v>
      </c>
      <c r="BB190">
        <v>9.9933300000000003E-2</v>
      </c>
      <c r="BC190">
        <v>25.841999999999999</v>
      </c>
      <c r="BD190">
        <v>27.009499999999999</v>
      </c>
      <c r="BE190">
        <v>27.473700000000001</v>
      </c>
      <c r="BF190">
        <v>0</v>
      </c>
      <c r="BG190">
        <v>0</v>
      </c>
      <c r="BH190">
        <v>10023.1</v>
      </c>
      <c r="BI190">
        <v>1074.04</v>
      </c>
      <c r="BJ190">
        <v>1.5137799999999999</v>
      </c>
      <c r="BK190">
        <v>-469.899</v>
      </c>
      <c r="BL190">
        <v>339.82400000000001</v>
      </c>
      <c r="BM190">
        <v>807.68600000000004</v>
      </c>
      <c r="BN190">
        <v>19.066800000000001</v>
      </c>
      <c r="BO190">
        <v>800.01700000000005</v>
      </c>
      <c r="BP190">
        <v>9.4951399999999992</v>
      </c>
      <c r="BQ190">
        <v>2.8278400000000001</v>
      </c>
      <c r="BR190">
        <v>0.94008800000000003</v>
      </c>
      <c r="BS190">
        <v>23.047499999999999</v>
      </c>
      <c r="BT190">
        <v>6.0194900000000002</v>
      </c>
      <c r="BU190">
        <v>1800</v>
      </c>
      <c r="BV190">
        <v>0.91001399999999999</v>
      </c>
      <c r="BW190">
        <v>3.4004699999999999E-2</v>
      </c>
      <c r="BX190">
        <v>2.1992600000000001E-2</v>
      </c>
      <c r="BY190">
        <v>3.3988400000000002E-2</v>
      </c>
      <c r="BZ190">
        <v>25</v>
      </c>
      <c r="CA190">
        <v>33528.5</v>
      </c>
      <c r="CB190">
        <v>1690200769.5</v>
      </c>
      <c r="CC190" t="s">
        <v>332</v>
      </c>
      <c r="CD190">
        <v>1690200769.5</v>
      </c>
      <c r="CE190">
        <v>1690200753</v>
      </c>
      <c r="CF190">
        <v>2</v>
      </c>
      <c r="CG190">
        <v>-0.245</v>
      </c>
      <c r="CH190">
        <v>3.0000000000000001E-3</v>
      </c>
      <c r="CI190">
        <v>-1.5169999999999999</v>
      </c>
      <c r="CJ190">
        <v>-1.6E-2</v>
      </c>
      <c r="CK190">
        <v>778</v>
      </c>
      <c r="CL190">
        <v>12</v>
      </c>
      <c r="CM190">
        <v>0.01</v>
      </c>
      <c r="CN190">
        <v>0.03</v>
      </c>
      <c r="CO190">
        <v>-469.40910000000002</v>
      </c>
      <c r="CP190">
        <v>-3.1906266416506028</v>
      </c>
      <c r="CQ190">
        <v>0.31310308206722831</v>
      </c>
      <c r="CR190">
        <v>-1</v>
      </c>
      <c r="CS190">
        <v>19.05546</v>
      </c>
      <c r="CT190">
        <v>7.9314821763562957E-2</v>
      </c>
      <c r="CU190">
        <v>7.9276352085601871E-3</v>
      </c>
      <c r="CV190">
        <v>-1</v>
      </c>
      <c r="CW190">
        <v>0</v>
      </c>
      <c r="CX190">
        <v>0</v>
      </c>
      <c r="CY190" t="s">
        <v>333</v>
      </c>
      <c r="CZ190">
        <v>2.3652600000000001</v>
      </c>
      <c r="DA190">
        <v>2.7137500000000001</v>
      </c>
      <c r="DB190">
        <v>7.7353699999999997E-2</v>
      </c>
      <c r="DC190">
        <v>0.14631</v>
      </c>
      <c r="DD190">
        <v>0.128802</v>
      </c>
      <c r="DE190">
        <v>5.6907300000000001E-2</v>
      </c>
      <c r="DF190">
        <v>33664.1</v>
      </c>
      <c r="DG190">
        <v>27449</v>
      </c>
      <c r="DH190">
        <v>31145.7</v>
      </c>
      <c r="DI190">
        <v>28014.5</v>
      </c>
      <c r="DJ190">
        <v>36814.400000000001</v>
      </c>
      <c r="DK190">
        <v>37540.300000000003</v>
      </c>
      <c r="DL190">
        <v>44314.7</v>
      </c>
      <c r="DM190">
        <v>42425.8</v>
      </c>
      <c r="DN190">
        <v>1.4426000000000001</v>
      </c>
      <c r="DO190">
        <v>2.0714000000000001</v>
      </c>
      <c r="DP190">
        <v>0.138767</v>
      </c>
      <c r="DQ190">
        <v>0.17371</v>
      </c>
      <c r="DR190">
        <v>24.735900000000001</v>
      </c>
      <c r="DS190">
        <v>24.628399999999999</v>
      </c>
      <c r="DT190">
        <v>33.5</v>
      </c>
      <c r="DU190">
        <v>26.1</v>
      </c>
      <c r="DV190">
        <v>11.484299999999999</v>
      </c>
      <c r="DW190">
        <v>61.815399999999997</v>
      </c>
      <c r="DX190">
        <v>36.863</v>
      </c>
      <c r="DY190">
        <v>1</v>
      </c>
      <c r="DZ190">
        <v>-0.15365899999999999</v>
      </c>
      <c r="EA190">
        <v>9.6176499999999998E-2</v>
      </c>
      <c r="EB190">
        <v>20.191800000000001</v>
      </c>
      <c r="EC190">
        <v>5.2415500000000002</v>
      </c>
      <c r="ED190">
        <v>12.039899999999999</v>
      </c>
      <c r="EE190">
        <v>5.0171000000000001</v>
      </c>
      <c r="EF190">
        <v>3.2879999999999998</v>
      </c>
      <c r="EG190">
        <v>9999</v>
      </c>
      <c r="EH190">
        <v>9999</v>
      </c>
      <c r="EI190">
        <v>9999</v>
      </c>
      <c r="EJ190">
        <v>999.9</v>
      </c>
      <c r="EK190">
        <v>1.86883</v>
      </c>
      <c r="EL190">
        <v>1.8644799999999999</v>
      </c>
      <c r="EM190">
        <v>1.8690599999999999</v>
      </c>
      <c r="EN190">
        <v>1.8671800000000001</v>
      </c>
      <c r="EO190">
        <v>1.8633599999999999</v>
      </c>
      <c r="EP190">
        <v>1.86443</v>
      </c>
      <c r="EQ190">
        <v>1.87012</v>
      </c>
      <c r="ER190">
        <v>1.8693500000000001</v>
      </c>
      <c r="ES190">
        <v>0</v>
      </c>
      <c r="ET190">
        <v>0</v>
      </c>
      <c r="EU190">
        <v>0</v>
      </c>
      <c r="EV190">
        <v>0</v>
      </c>
      <c r="EW190" t="s">
        <v>334</v>
      </c>
      <c r="EX190" t="s">
        <v>335</v>
      </c>
      <c r="EY190" t="s">
        <v>336</v>
      </c>
      <c r="EZ190" t="s">
        <v>336</v>
      </c>
      <c r="FA190" t="s">
        <v>336</v>
      </c>
      <c r="FB190" t="s">
        <v>336</v>
      </c>
      <c r="FC190">
        <v>0</v>
      </c>
      <c r="FD190">
        <v>100</v>
      </c>
      <c r="FE190">
        <v>100</v>
      </c>
      <c r="FF190">
        <v>-1.2</v>
      </c>
      <c r="FG190">
        <v>0.1782</v>
      </c>
      <c r="FH190">
        <v>-0.98020551812546231</v>
      </c>
      <c r="FI190">
        <v>-6.1462078757559423E-4</v>
      </c>
      <c r="FJ190">
        <v>-1.8861989874597051E-7</v>
      </c>
      <c r="FK190">
        <v>1.1980462299894961E-10</v>
      </c>
      <c r="FL190">
        <v>0.1782306200647516</v>
      </c>
      <c r="FM190">
        <v>0</v>
      </c>
      <c r="FN190">
        <v>0</v>
      </c>
      <c r="FO190">
        <v>0</v>
      </c>
      <c r="FP190">
        <v>3</v>
      </c>
      <c r="FQ190">
        <v>2158</v>
      </c>
      <c r="FR190">
        <v>1</v>
      </c>
      <c r="FS190">
        <v>19</v>
      </c>
      <c r="FT190">
        <v>30.9</v>
      </c>
      <c r="FU190">
        <v>31.2</v>
      </c>
      <c r="FV190">
        <v>1.7773399999999999</v>
      </c>
      <c r="FW190">
        <v>2.5488300000000002</v>
      </c>
      <c r="FX190">
        <v>1.5490699999999999</v>
      </c>
      <c r="FY190">
        <v>2.34131</v>
      </c>
      <c r="FZ190">
        <v>1.50146</v>
      </c>
      <c r="GA190">
        <v>2.3278799999999999</v>
      </c>
      <c r="GB190">
        <v>31.302600000000002</v>
      </c>
      <c r="GC190">
        <v>23.982399999999998</v>
      </c>
      <c r="GD190">
        <v>19</v>
      </c>
      <c r="GE190">
        <v>265.71300000000002</v>
      </c>
      <c r="GF190">
        <v>603.50199999999995</v>
      </c>
      <c r="GG190">
        <v>24.2714</v>
      </c>
      <c r="GH190">
        <v>25.4849</v>
      </c>
      <c r="GI190">
        <v>30</v>
      </c>
      <c r="GJ190">
        <v>25.601099999999999</v>
      </c>
      <c r="GK190">
        <v>25.568000000000001</v>
      </c>
      <c r="GL190">
        <v>35.537799999999997</v>
      </c>
      <c r="GM190">
        <v>-30</v>
      </c>
      <c r="GN190">
        <v>-30</v>
      </c>
      <c r="GO190">
        <v>24.273</v>
      </c>
      <c r="GP190">
        <v>800</v>
      </c>
      <c r="GQ190">
        <v>12.5298</v>
      </c>
      <c r="GR190">
        <v>99.6417</v>
      </c>
      <c r="GS190">
        <v>99.280699999999996</v>
      </c>
    </row>
    <row r="191" spans="1:201" x14ac:dyDescent="0.25">
      <c r="A191">
        <v>175</v>
      </c>
      <c r="B191">
        <v>1690202635.5999999</v>
      </c>
      <c r="C191">
        <v>1788.599999904633</v>
      </c>
      <c r="D191" t="s">
        <v>683</v>
      </c>
      <c r="E191" t="s">
        <v>684</v>
      </c>
      <c r="F191" t="s">
        <v>330</v>
      </c>
      <c r="H191">
        <v>1690202635.5999999</v>
      </c>
      <c r="I191">
        <f t="shared" si="60"/>
        <v>1.7693527695557864E-3</v>
      </c>
      <c r="J191">
        <f t="shared" si="61"/>
        <v>1.7693527695557865</v>
      </c>
      <c r="K191">
        <f t="shared" si="62"/>
        <v>41.803525855693529</v>
      </c>
      <c r="L191">
        <f t="shared" si="63"/>
        <v>329.673</v>
      </c>
      <c r="M191">
        <f t="shared" si="64"/>
        <v>-2.3416174453569352</v>
      </c>
      <c r="N191">
        <f t="shared" si="65"/>
        <v>-0.23206566675403928</v>
      </c>
      <c r="O191">
        <f t="shared" si="66"/>
        <v>32.672196181107005</v>
      </c>
      <c r="P191">
        <f t="shared" si="67"/>
        <v>0.2126967206898934</v>
      </c>
      <c r="Q191">
        <f t="shared" si="68"/>
        <v>2.0764094708021172</v>
      </c>
      <c r="R191">
        <f t="shared" si="69"/>
        <v>0.20129145522625227</v>
      </c>
      <c r="S191">
        <f t="shared" si="70"/>
        <v>0.1267808885154402</v>
      </c>
      <c r="T191">
        <f t="shared" si="71"/>
        <v>276.11440342200001</v>
      </c>
      <c r="U191">
        <f t="shared" si="72"/>
        <v>27.438474514652555</v>
      </c>
      <c r="V191">
        <f t="shared" si="73"/>
        <v>27.438474514652555</v>
      </c>
      <c r="W191">
        <f t="shared" si="74"/>
        <v>3.6723753019070751</v>
      </c>
      <c r="X191">
        <f t="shared" si="75"/>
        <v>84.69432130542792</v>
      </c>
      <c r="Y191">
        <f t="shared" si="76"/>
        <v>2.8298203229142</v>
      </c>
      <c r="Z191">
        <f t="shared" si="77"/>
        <v>3.34121612794935</v>
      </c>
      <c r="AA191">
        <f t="shared" si="78"/>
        <v>0.84255497899287501</v>
      </c>
      <c r="AB191">
        <f t="shared" si="79"/>
        <v>-78.028457137410172</v>
      </c>
      <c r="AC191">
        <f t="shared" si="80"/>
        <v>-179.63270082842459</v>
      </c>
      <c r="AD191">
        <f t="shared" si="81"/>
        <v>-18.602413320584617</v>
      </c>
      <c r="AE191">
        <f t="shared" si="82"/>
        <v>-0.14916786441935415</v>
      </c>
      <c r="AF191">
        <v>13</v>
      </c>
      <c r="AG191">
        <v>4</v>
      </c>
      <c r="AH191">
        <f t="shared" si="83"/>
        <v>1</v>
      </c>
      <c r="AI191">
        <f t="shared" si="84"/>
        <v>0</v>
      </c>
      <c r="AJ191">
        <f t="shared" si="85"/>
        <v>52378.722283954725</v>
      </c>
      <c r="AK191">
        <f t="shared" si="86"/>
        <v>1800</v>
      </c>
      <c r="AL191">
        <f t="shared" si="87"/>
        <v>1499.1127812</v>
      </c>
      <c r="AM191">
        <f t="shared" si="88"/>
        <v>0.83284043399999996</v>
      </c>
      <c r="AN191">
        <f t="shared" si="89"/>
        <v>0.15339689079000002</v>
      </c>
      <c r="AO191">
        <v>33.299999999999997</v>
      </c>
      <c r="AP191">
        <v>0.5</v>
      </c>
      <c r="AQ191" t="s">
        <v>331</v>
      </c>
      <c r="AR191">
        <v>2</v>
      </c>
      <c r="AS191">
        <v>1690202635.5999999</v>
      </c>
      <c r="AT191">
        <v>329.673</v>
      </c>
      <c r="AU191">
        <v>799.98500000000001</v>
      </c>
      <c r="AV191">
        <v>28.553799999999999</v>
      </c>
      <c r="AW191">
        <v>9.4821500000000007</v>
      </c>
      <c r="AX191">
        <v>330.87299999999999</v>
      </c>
      <c r="AY191">
        <v>28.375499999999999</v>
      </c>
      <c r="AZ191">
        <v>300.11599999999999</v>
      </c>
      <c r="BA191">
        <v>99.004800000000003</v>
      </c>
      <c r="BB191">
        <v>0.100059</v>
      </c>
      <c r="BC191">
        <v>25.8338</v>
      </c>
      <c r="BD191">
        <v>27.012799999999999</v>
      </c>
      <c r="BE191">
        <v>27.4498</v>
      </c>
      <c r="BF191">
        <v>0</v>
      </c>
      <c r="BG191">
        <v>0</v>
      </c>
      <c r="BH191">
        <v>9965</v>
      </c>
      <c r="BI191">
        <v>1074.0899999999999</v>
      </c>
      <c r="BJ191">
        <v>1.5137799999999999</v>
      </c>
      <c r="BK191">
        <v>-470.31200000000001</v>
      </c>
      <c r="BL191">
        <v>339.363</v>
      </c>
      <c r="BM191">
        <v>807.64300000000003</v>
      </c>
      <c r="BN191">
        <v>19.0716</v>
      </c>
      <c r="BO191">
        <v>799.98500000000001</v>
      </c>
      <c r="BP191">
        <v>9.4821500000000007</v>
      </c>
      <c r="BQ191">
        <v>2.8269600000000001</v>
      </c>
      <c r="BR191">
        <v>0.938778</v>
      </c>
      <c r="BS191">
        <v>23.042300000000001</v>
      </c>
      <c r="BT191">
        <v>5.9993100000000004</v>
      </c>
      <c r="BU191">
        <v>1800</v>
      </c>
      <c r="BV191">
        <v>0.91001399999999999</v>
      </c>
      <c r="BW191">
        <v>3.4005000000000001E-2</v>
      </c>
      <c r="BX191">
        <v>2.19927E-2</v>
      </c>
      <c r="BY191">
        <v>3.3988699999999997E-2</v>
      </c>
      <c r="BZ191">
        <v>25</v>
      </c>
      <c r="CA191">
        <v>33528.5</v>
      </c>
      <c r="CB191">
        <v>1690200769.5</v>
      </c>
      <c r="CC191" t="s">
        <v>332</v>
      </c>
      <c r="CD191">
        <v>1690200769.5</v>
      </c>
      <c r="CE191">
        <v>1690200753</v>
      </c>
      <c r="CF191">
        <v>2</v>
      </c>
      <c r="CG191">
        <v>-0.245</v>
      </c>
      <c r="CH191">
        <v>3.0000000000000001E-3</v>
      </c>
      <c r="CI191">
        <v>-1.5169999999999999</v>
      </c>
      <c r="CJ191">
        <v>-1.6E-2</v>
      </c>
      <c r="CK191">
        <v>778</v>
      </c>
      <c r="CL191">
        <v>12</v>
      </c>
      <c r="CM191">
        <v>0.01</v>
      </c>
      <c r="CN191">
        <v>0.03</v>
      </c>
      <c r="CO191">
        <v>-469.91363414634151</v>
      </c>
      <c r="CP191">
        <v>-2.8345087108012992</v>
      </c>
      <c r="CQ191">
        <v>0.286772090700537</v>
      </c>
      <c r="CR191">
        <v>-1</v>
      </c>
      <c r="CS191">
        <v>19.065256097560979</v>
      </c>
      <c r="CT191">
        <v>3.1726829268299117E-2</v>
      </c>
      <c r="CU191">
        <v>3.2146804097489012E-3</v>
      </c>
      <c r="CV191">
        <v>-1</v>
      </c>
      <c r="CW191">
        <v>0</v>
      </c>
      <c r="CX191">
        <v>0</v>
      </c>
      <c r="CY191" t="s">
        <v>333</v>
      </c>
      <c r="CZ191">
        <v>2.3651200000000001</v>
      </c>
      <c r="DA191">
        <v>2.7138200000000001</v>
      </c>
      <c r="DB191">
        <v>7.7268900000000001E-2</v>
      </c>
      <c r="DC191">
        <v>0.14630199999999999</v>
      </c>
      <c r="DD191">
        <v>0.128773</v>
      </c>
      <c r="DE191">
        <v>5.68455E-2</v>
      </c>
      <c r="DF191">
        <v>33667.300000000003</v>
      </c>
      <c r="DG191">
        <v>27449.599999999999</v>
      </c>
      <c r="DH191">
        <v>31145.8</v>
      </c>
      <c r="DI191">
        <v>28014.799999999999</v>
      </c>
      <c r="DJ191">
        <v>36815.699999999997</v>
      </c>
      <c r="DK191">
        <v>37543.4</v>
      </c>
      <c r="DL191">
        <v>44314.7</v>
      </c>
      <c r="DM191">
        <v>42426.400000000001</v>
      </c>
      <c r="DN191">
        <v>1.4426300000000001</v>
      </c>
      <c r="DO191">
        <v>2.0710700000000002</v>
      </c>
      <c r="DP191">
        <v>0.13880400000000001</v>
      </c>
      <c r="DQ191">
        <v>0.17199700000000001</v>
      </c>
      <c r="DR191">
        <v>24.738600000000002</v>
      </c>
      <c r="DS191">
        <v>24.6326</v>
      </c>
      <c r="DT191">
        <v>33.4</v>
      </c>
      <c r="DU191">
        <v>26.1</v>
      </c>
      <c r="DV191">
        <v>11.449400000000001</v>
      </c>
      <c r="DW191">
        <v>61.715400000000002</v>
      </c>
      <c r="DX191">
        <v>36.694699999999997</v>
      </c>
      <c r="DY191">
        <v>1</v>
      </c>
      <c r="DZ191">
        <v>-0.15406500000000001</v>
      </c>
      <c r="EA191">
        <v>4.9428099999999997E-3</v>
      </c>
      <c r="EB191">
        <v>20.192</v>
      </c>
      <c r="EC191">
        <v>5.2415500000000002</v>
      </c>
      <c r="ED191">
        <v>12.039899999999999</v>
      </c>
      <c r="EE191">
        <v>5.0168499999999998</v>
      </c>
      <c r="EF191">
        <v>3.2879999999999998</v>
      </c>
      <c r="EG191">
        <v>9999</v>
      </c>
      <c r="EH191">
        <v>9999</v>
      </c>
      <c r="EI191">
        <v>9999</v>
      </c>
      <c r="EJ191">
        <v>999.9</v>
      </c>
      <c r="EK191">
        <v>1.86886</v>
      </c>
      <c r="EL191">
        <v>1.86449</v>
      </c>
      <c r="EM191">
        <v>1.8690500000000001</v>
      </c>
      <c r="EN191">
        <v>1.86717</v>
      </c>
      <c r="EO191">
        <v>1.86331</v>
      </c>
      <c r="EP191">
        <v>1.86442</v>
      </c>
      <c r="EQ191">
        <v>1.8701099999999999</v>
      </c>
      <c r="ER191">
        <v>1.8693500000000001</v>
      </c>
      <c r="ES191">
        <v>0</v>
      </c>
      <c r="ET191">
        <v>0</v>
      </c>
      <c r="EU191">
        <v>0</v>
      </c>
      <c r="EV191">
        <v>0</v>
      </c>
      <c r="EW191" t="s">
        <v>334</v>
      </c>
      <c r="EX191" t="s">
        <v>335</v>
      </c>
      <c r="EY191" t="s">
        <v>336</v>
      </c>
      <c r="EZ191" t="s">
        <v>336</v>
      </c>
      <c r="FA191" t="s">
        <v>336</v>
      </c>
      <c r="FB191" t="s">
        <v>336</v>
      </c>
      <c r="FC191">
        <v>0</v>
      </c>
      <c r="FD191">
        <v>100</v>
      </c>
      <c r="FE191">
        <v>100</v>
      </c>
      <c r="FF191">
        <v>-1.2</v>
      </c>
      <c r="FG191">
        <v>0.17829999999999999</v>
      </c>
      <c r="FH191">
        <v>-0.98020551812546231</v>
      </c>
      <c r="FI191">
        <v>-6.1462078757559423E-4</v>
      </c>
      <c r="FJ191">
        <v>-1.8861989874597051E-7</v>
      </c>
      <c r="FK191">
        <v>1.1980462299894961E-10</v>
      </c>
      <c r="FL191">
        <v>0.1782306200647516</v>
      </c>
      <c r="FM191">
        <v>0</v>
      </c>
      <c r="FN191">
        <v>0</v>
      </c>
      <c r="FO191">
        <v>0</v>
      </c>
      <c r="FP191">
        <v>3</v>
      </c>
      <c r="FQ191">
        <v>2158</v>
      </c>
      <c r="FR191">
        <v>1</v>
      </c>
      <c r="FS191">
        <v>19</v>
      </c>
      <c r="FT191">
        <v>31.1</v>
      </c>
      <c r="FU191">
        <v>31.4</v>
      </c>
      <c r="FV191">
        <v>1.7773399999999999</v>
      </c>
      <c r="FW191">
        <v>2.5524900000000001</v>
      </c>
      <c r="FX191">
        <v>1.5490699999999999</v>
      </c>
      <c r="FY191">
        <v>2.34131</v>
      </c>
      <c r="FZ191">
        <v>1.50146</v>
      </c>
      <c r="GA191">
        <v>2.2949199999999998</v>
      </c>
      <c r="GB191">
        <v>31.302600000000002</v>
      </c>
      <c r="GC191">
        <v>23.982399999999998</v>
      </c>
      <c r="GD191">
        <v>19</v>
      </c>
      <c r="GE191">
        <v>265.72300000000001</v>
      </c>
      <c r="GF191">
        <v>603.23099999999999</v>
      </c>
      <c r="GG191">
        <v>24.260300000000001</v>
      </c>
      <c r="GH191">
        <v>25.486000000000001</v>
      </c>
      <c r="GI191">
        <v>30.0001</v>
      </c>
      <c r="GJ191">
        <v>25.601099999999999</v>
      </c>
      <c r="GK191">
        <v>25.5684</v>
      </c>
      <c r="GL191">
        <v>35.538200000000003</v>
      </c>
      <c r="GM191">
        <v>-30</v>
      </c>
      <c r="GN191">
        <v>-30</v>
      </c>
      <c r="GO191">
        <v>24.257899999999999</v>
      </c>
      <c r="GP191">
        <v>800</v>
      </c>
      <c r="GQ191">
        <v>12.5298</v>
      </c>
      <c r="GR191">
        <v>99.641800000000003</v>
      </c>
      <c r="GS191">
        <v>99.2821</v>
      </c>
    </row>
    <row r="192" spans="1:201" x14ac:dyDescent="0.25">
      <c r="A192">
        <v>176</v>
      </c>
      <c r="B192">
        <v>1690202645.5999999</v>
      </c>
      <c r="C192">
        <v>1798.599999904633</v>
      </c>
      <c r="D192" t="s">
        <v>685</v>
      </c>
      <c r="E192" t="s">
        <v>686</v>
      </c>
      <c r="F192" t="s">
        <v>330</v>
      </c>
      <c r="H192">
        <v>1690202645.5999999</v>
      </c>
      <c r="I192">
        <f t="shared" si="60"/>
        <v>1.7704612409435829E-3</v>
      </c>
      <c r="J192">
        <f t="shared" si="61"/>
        <v>1.7704612409435829</v>
      </c>
      <c r="K192">
        <f t="shared" si="62"/>
        <v>41.866084349584909</v>
      </c>
      <c r="L192">
        <f t="shared" si="63"/>
        <v>329.09300000000002</v>
      </c>
      <c r="M192">
        <f t="shared" si="64"/>
        <v>-3.4569404900452469</v>
      </c>
      <c r="N192">
        <f t="shared" si="65"/>
        <v>-0.34261675663297719</v>
      </c>
      <c r="O192">
        <f t="shared" si="66"/>
        <v>32.616348651445996</v>
      </c>
      <c r="P192">
        <f t="shared" si="67"/>
        <v>0.21266068627229634</v>
      </c>
      <c r="Q192">
        <f t="shared" si="68"/>
        <v>2.0766057520580397</v>
      </c>
      <c r="R192">
        <f t="shared" si="69"/>
        <v>0.20126018938224766</v>
      </c>
      <c r="S192">
        <f t="shared" si="70"/>
        <v>0.12676095295183121</v>
      </c>
      <c r="T192">
        <f t="shared" si="71"/>
        <v>276.11555645479166</v>
      </c>
      <c r="U192">
        <f t="shared" si="72"/>
        <v>27.439547941375803</v>
      </c>
      <c r="V192">
        <f t="shared" si="73"/>
        <v>27.439547941375803</v>
      </c>
      <c r="W192">
        <f t="shared" si="74"/>
        <v>3.6726060773424858</v>
      </c>
      <c r="X192">
        <f t="shared" si="75"/>
        <v>84.672144865084576</v>
      </c>
      <c r="Y192">
        <f t="shared" si="76"/>
        <v>2.8293475545272</v>
      </c>
      <c r="Z192">
        <f t="shared" si="77"/>
        <v>3.341532872511312</v>
      </c>
      <c r="AA192">
        <f t="shared" si="78"/>
        <v>0.84325852281528579</v>
      </c>
      <c r="AB192">
        <f t="shared" si="79"/>
        <v>-78.077340725612004</v>
      </c>
      <c r="AC192">
        <f t="shared" si="80"/>
        <v>-179.59072938939028</v>
      </c>
      <c r="AD192">
        <f t="shared" si="81"/>
        <v>-18.596557739999298</v>
      </c>
      <c r="AE192">
        <f t="shared" si="82"/>
        <v>-0.1490714002099196</v>
      </c>
      <c r="AF192">
        <v>13</v>
      </c>
      <c r="AG192">
        <v>4</v>
      </c>
      <c r="AH192">
        <f t="shared" si="83"/>
        <v>1</v>
      </c>
      <c r="AI192">
        <f t="shared" si="84"/>
        <v>0</v>
      </c>
      <c r="AJ192">
        <f t="shared" si="85"/>
        <v>52387.394597095255</v>
      </c>
      <c r="AK192">
        <f t="shared" si="86"/>
        <v>1800.01</v>
      </c>
      <c r="AL192">
        <f t="shared" si="87"/>
        <v>1499.1204472006598</v>
      </c>
      <c r="AM192">
        <f t="shared" si="88"/>
        <v>0.83284006599999993</v>
      </c>
      <c r="AN192">
        <f t="shared" si="89"/>
        <v>0.15339667916000002</v>
      </c>
      <c r="AO192">
        <v>33.299999999999997</v>
      </c>
      <c r="AP192">
        <v>0.5</v>
      </c>
      <c r="AQ192" t="s">
        <v>331</v>
      </c>
      <c r="AR192">
        <v>2</v>
      </c>
      <c r="AS192">
        <v>1690202645.5999999</v>
      </c>
      <c r="AT192">
        <v>329.09300000000002</v>
      </c>
      <c r="AU192">
        <v>799.96</v>
      </c>
      <c r="AV192">
        <v>28.547599999999999</v>
      </c>
      <c r="AW192">
        <v>9.46922</v>
      </c>
      <c r="AX192">
        <v>330.29300000000001</v>
      </c>
      <c r="AY192">
        <v>28.369299999999999</v>
      </c>
      <c r="AZ192">
        <v>300.2</v>
      </c>
      <c r="BA192">
        <v>99.009799999999998</v>
      </c>
      <c r="BB192">
        <v>0.100022</v>
      </c>
      <c r="BC192">
        <v>25.8354</v>
      </c>
      <c r="BD192">
        <v>26.972200000000001</v>
      </c>
      <c r="BE192">
        <v>27.442799999999998</v>
      </c>
      <c r="BF192">
        <v>0</v>
      </c>
      <c r="BG192">
        <v>0</v>
      </c>
      <c r="BH192">
        <v>9966.25</v>
      </c>
      <c r="BI192">
        <v>1074.19</v>
      </c>
      <c r="BJ192">
        <v>1.3399799999999999</v>
      </c>
      <c r="BK192">
        <v>-470.86700000000002</v>
      </c>
      <c r="BL192">
        <v>338.76400000000001</v>
      </c>
      <c r="BM192">
        <v>807.60699999999997</v>
      </c>
      <c r="BN192">
        <v>19.078399999999998</v>
      </c>
      <c r="BO192">
        <v>799.96</v>
      </c>
      <c r="BP192">
        <v>9.46922</v>
      </c>
      <c r="BQ192">
        <v>2.8264900000000002</v>
      </c>
      <c r="BR192">
        <v>0.93754499999999996</v>
      </c>
      <c r="BS192">
        <v>23.0396</v>
      </c>
      <c r="BT192">
        <v>5.9803199999999999</v>
      </c>
      <c r="BU192">
        <v>1800.01</v>
      </c>
      <c r="BV192">
        <v>0.91001699999999996</v>
      </c>
      <c r="BW192">
        <v>3.4003600000000002E-2</v>
      </c>
      <c r="BX192">
        <v>2.1991799999999999E-2</v>
      </c>
      <c r="BY192">
        <v>3.3987200000000002E-2</v>
      </c>
      <c r="BZ192">
        <v>25</v>
      </c>
      <c r="CA192">
        <v>33528.6</v>
      </c>
      <c r="CB192">
        <v>1690200769.5</v>
      </c>
      <c r="CC192" t="s">
        <v>332</v>
      </c>
      <c r="CD192">
        <v>1690200769.5</v>
      </c>
      <c r="CE192">
        <v>1690200753</v>
      </c>
      <c r="CF192">
        <v>2</v>
      </c>
      <c r="CG192">
        <v>-0.245</v>
      </c>
      <c r="CH192">
        <v>3.0000000000000001E-3</v>
      </c>
      <c r="CI192">
        <v>-1.5169999999999999</v>
      </c>
      <c r="CJ192">
        <v>-1.6E-2</v>
      </c>
      <c r="CK192">
        <v>778</v>
      </c>
      <c r="CL192">
        <v>12</v>
      </c>
      <c r="CM192">
        <v>0.01</v>
      </c>
      <c r="CN192">
        <v>0.03</v>
      </c>
      <c r="CO192">
        <v>-470.35292682926831</v>
      </c>
      <c r="CP192">
        <v>-2.7964181184668542</v>
      </c>
      <c r="CQ192">
        <v>0.28316834519277567</v>
      </c>
      <c r="CR192">
        <v>-1</v>
      </c>
      <c r="CS192">
        <v>19.07130731707317</v>
      </c>
      <c r="CT192">
        <v>3.9859233449455897E-2</v>
      </c>
      <c r="CU192">
        <v>4.1004098690969821E-3</v>
      </c>
      <c r="CV192">
        <v>-1</v>
      </c>
      <c r="CW192">
        <v>0</v>
      </c>
      <c r="CX192">
        <v>0</v>
      </c>
      <c r="CY192" t="s">
        <v>333</v>
      </c>
      <c r="CZ192">
        <v>2.3654199999999999</v>
      </c>
      <c r="DA192">
        <v>2.7137799999999999</v>
      </c>
      <c r="DB192">
        <v>7.7164300000000005E-2</v>
      </c>
      <c r="DC192">
        <v>0.14630499999999999</v>
      </c>
      <c r="DD192">
        <v>0.12876000000000001</v>
      </c>
      <c r="DE192">
        <v>5.6788100000000001E-2</v>
      </c>
      <c r="DF192">
        <v>33670.400000000001</v>
      </c>
      <c r="DG192">
        <v>27449.5</v>
      </c>
      <c r="DH192">
        <v>31145.200000000001</v>
      </c>
      <c r="DI192">
        <v>28014.799999999999</v>
      </c>
      <c r="DJ192">
        <v>36815.699999999997</v>
      </c>
      <c r="DK192">
        <v>37545.599999999999</v>
      </c>
      <c r="DL192">
        <v>44314.1</v>
      </c>
      <c r="DM192">
        <v>42426.400000000001</v>
      </c>
      <c r="DN192">
        <v>1.44275</v>
      </c>
      <c r="DO192">
        <v>2.0710999999999999</v>
      </c>
      <c r="DP192">
        <v>0.13619700000000001</v>
      </c>
      <c r="DQ192">
        <v>0.17143800000000001</v>
      </c>
      <c r="DR192">
        <v>24.7407</v>
      </c>
      <c r="DS192">
        <v>24.634699999999999</v>
      </c>
      <c r="DT192">
        <v>33.200000000000003</v>
      </c>
      <c r="DU192">
        <v>26.1</v>
      </c>
      <c r="DV192">
        <v>11.3825</v>
      </c>
      <c r="DW192">
        <v>61.645400000000002</v>
      </c>
      <c r="DX192">
        <v>35.785299999999999</v>
      </c>
      <c r="DY192">
        <v>1</v>
      </c>
      <c r="DZ192">
        <v>-0.153755</v>
      </c>
      <c r="EA192">
        <v>-2.4727699999999998E-2</v>
      </c>
      <c r="EB192">
        <v>20.191700000000001</v>
      </c>
      <c r="EC192">
        <v>5.2418500000000003</v>
      </c>
      <c r="ED192">
        <v>12.039899999999999</v>
      </c>
      <c r="EE192">
        <v>5.0170000000000003</v>
      </c>
      <c r="EF192">
        <v>3.2879999999999998</v>
      </c>
      <c r="EG192">
        <v>9999</v>
      </c>
      <c r="EH192">
        <v>9999</v>
      </c>
      <c r="EI192">
        <v>9999</v>
      </c>
      <c r="EJ192">
        <v>999.9</v>
      </c>
      <c r="EK192">
        <v>1.86887</v>
      </c>
      <c r="EL192">
        <v>1.86449</v>
      </c>
      <c r="EM192">
        <v>1.8690599999999999</v>
      </c>
      <c r="EN192">
        <v>1.86717</v>
      </c>
      <c r="EO192">
        <v>1.8633500000000001</v>
      </c>
      <c r="EP192">
        <v>1.8644400000000001</v>
      </c>
      <c r="EQ192">
        <v>1.87012</v>
      </c>
      <c r="ER192">
        <v>1.8693500000000001</v>
      </c>
      <c r="ES192">
        <v>0</v>
      </c>
      <c r="ET192">
        <v>0</v>
      </c>
      <c r="EU192">
        <v>0</v>
      </c>
      <c r="EV192">
        <v>0</v>
      </c>
      <c r="EW192" t="s">
        <v>334</v>
      </c>
      <c r="EX192" t="s">
        <v>335</v>
      </c>
      <c r="EY192" t="s">
        <v>336</v>
      </c>
      <c r="EZ192" t="s">
        <v>336</v>
      </c>
      <c r="FA192" t="s">
        <v>336</v>
      </c>
      <c r="FB192" t="s">
        <v>336</v>
      </c>
      <c r="FC192">
        <v>0</v>
      </c>
      <c r="FD192">
        <v>100</v>
      </c>
      <c r="FE192">
        <v>100</v>
      </c>
      <c r="FF192">
        <v>-1.2</v>
      </c>
      <c r="FG192">
        <v>0.17829999999999999</v>
      </c>
      <c r="FH192">
        <v>-0.98020551812546231</v>
      </c>
      <c r="FI192">
        <v>-6.1462078757559423E-4</v>
      </c>
      <c r="FJ192">
        <v>-1.8861989874597051E-7</v>
      </c>
      <c r="FK192">
        <v>1.1980462299894961E-10</v>
      </c>
      <c r="FL192">
        <v>0.1782306200647516</v>
      </c>
      <c r="FM192">
        <v>0</v>
      </c>
      <c r="FN192">
        <v>0</v>
      </c>
      <c r="FO192">
        <v>0</v>
      </c>
      <c r="FP192">
        <v>3</v>
      </c>
      <c r="FQ192">
        <v>2158</v>
      </c>
      <c r="FR192">
        <v>1</v>
      </c>
      <c r="FS192">
        <v>19</v>
      </c>
      <c r="FT192">
        <v>31.3</v>
      </c>
      <c r="FU192">
        <v>31.5</v>
      </c>
      <c r="FV192">
        <v>1.7773399999999999</v>
      </c>
      <c r="FW192">
        <v>2.5512700000000001</v>
      </c>
      <c r="FX192">
        <v>1.5490699999999999</v>
      </c>
      <c r="FY192">
        <v>2.34131</v>
      </c>
      <c r="FZ192">
        <v>1.50146</v>
      </c>
      <c r="GA192">
        <v>2.34253</v>
      </c>
      <c r="GB192">
        <v>31.324400000000001</v>
      </c>
      <c r="GC192">
        <v>23.982399999999998</v>
      </c>
      <c r="GD192">
        <v>19</v>
      </c>
      <c r="GE192">
        <v>265.78399999999999</v>
      </c>
      <c r="GF192">
        <v>603.27300000000002</v>
      </c>
      <c r="GG192">
        <v>24.253499999999999</v>
      </c>
      <c r="GH192">
        <v>25.488099999999999</v>
      </c>
      <c r="GI192">
        <v>30.0001</v>
      </c>
      <c r="GJ192">
        <v>25.603300000000001</v>
      </c>
      <c r="GK192">
        <v>25.5701</v>
      </c>
      <c r="GL192">
        <v>35.5411</v>
      </c>
      <c r="GM192">
        <v>-30</v>
      </c>
      <c r="GN192">
        <v>-30</v>
      </c>
      <c r="GO192">
        <v>24.2895</v>
      </c>
      <c r="GP192">
        <v>800</v>
      </c>
      <c r="GQ192">
        <v>12.5298</v>
      </c>
      <c r="GR192">
        <v>99.640100000000004</v>
      </c>
      <c r="GS192">
        <v>99.2821</v>
      </c>
    </row>
    <row r="193" spans="1:201" x14ac:dyDescent="0.25">
      <c r="A193">
        <v>177</v>
      </c>
      <c r="B193">
        <v>1690202655.5999999</v>
      </c>
      <c r="C193">
        <v>1808.599999904633</v>
      </c>
      <c r="D193" t="s">
        <v>687</v>
      </c>
      <c r="E193" t="s">
        <v>688</v>
      </c>
      <c r="F193" t="s">
        <v>330</v>
      </c>
      <c r="H193">
        <v>1690202655.5999999</v>
      </c>
      <c r="I193">
        <f t="shared" si="60"/>
        <v>1.7714505679070284E-3</v>
      </c>
      <c r="J193">
        <f t="shared" si="61"/>
        <v>1.7714505679070285</v>
      </c>
      <c r="K193">
        <f t="shared" si="62"/>
        <v>41.892319246986773</v>
      </c>
      <c r="L193">
        <f t="shared" si="63"/>
        <v>328.80099999999999</v>
      </c>
      <c r="M193">
        <f t="shared" si="64"/>
        <v>-3.5137889562080646</v>
      </c>
      <c r="N193">
        <f t="shared" si="65"/>
        <v>-0.34826317046304922</v>
      </c>
      <c r="O193">
        <f t="shared" si="66"/>
        <v>32.588547615846203</v>
      </c>
      <c r="P193">
        <f t="shared" si="67"/>
        <v>0.2129342202581945</v>
      </c>
      <c r="Q193">
        <f t="shared" si="68"/>
        <v>2.0811088494993646</v>
      </c>
      <c r="R193">
        <f t="shared" si="69"/>
        <v>0.20152853066164331</v>
      </c>
      <c r="S193">
        <f t="shared" si="70"/>
        <v>0.12692915198520838</v>
      </c>
      <c r="T193">
        <f t="shared" si="71"/>
        <v>276.11253560894681</v>
      </c>
      <c r="U193">
        <f t="shared" si="72"/>
        <v>27.436621558292728</v>
      </c>
      <c r="V193">
        <f t="shared" si="73"/>
        <v>27.436621558292728</v>
      </c>
      <c r="W193">
        <f t="shared" si="74"/>
        <v>3.6719769655914063</v>
      </c>
      <c r="X193">
        <f t="shared" si="75"/>
        <v>84.668831873160528</v>
      </c>
      <c r="Y193">
        <f t="shared" si="76"/>
        <v>2.8293374245083003</v>
      </c>
      <c r="Z193">
        <f t="shared" si="77"/>
        <v>3.3416516584837659</v>
      </c>
      <c r="AA193">
        <f t="shared" si="78"/>
        <v>0.84263954108310601</v>
      </c>
      <c r="AB193">
        <f t="shared" si="79"/>
        <v>-78.120970044699959</v>
      </c>
      <c r="AC193">
        <f t="shared" si="80"/>
        <v>-179.58452128508273</v>
      </c>
      <c r="AD193">
        <f t="shared" si="81"/>
        <v>-18.555460423667139</v>
      </c>
      <c r="AE193">
        <f t="shared" si="82"/>
        <v>-0.14841614450298835</v>
      </c>
      <c r="AF193">
        <v>13</v>
      </c>
      <c r="AG193">
        <v>4</v>
      </c>
      <c r="AH193">
        <f t="shared" si="83"/>
        <v>1</v>
      </c>
      <c r="AI193">
        <f t="shared" si="84"/>
        <v>0</v>
      </c>
      <c r="AJ193">
        <f t="shared" si="85"/>
        <v>52590.614749026281</v>
      </c>
      <c r="AK193">
        <f t="shared" si="86"/>
        <v>1799.99</v>
      </c>
      <c r="AL193">
        <f t="shared" si="87"/>
        <v>1499.1043411962801</v>
      </c>
      <c r="AM193">
        <f t="shared" si="88"/>
        <v>0.83284037200000005</v>
      </c>
      <c r="AN193">
        <f t="shared" si="89"/>
        <v>0.15339670531999999</v>
      </c>
      <c r="AO193">
        <v>33.299999999999997</v>
      </c>
      <c r="AP193">
        <v>0.5</v>
      </c>
      <c r="AQ193" t="s">
        <v>331</v>
      </c>
      <c r="AR193">
        <v>2</v>
      </c>
      <c r="AS193">
        <v>1690202655.5999999</v>
      </c>
      <c r="AT193">
        <v>328.80099999999999</v>
      </c>
      <c r="AU193">
        <v>799.98199999999997</v>
      </c>
      <c r="AV193">
        <v>28.546500000000002</v>
      </c>
      <c r="AW193">
        <v>9.4564199999999996</v>
      </c>
      <c r="AX193">
        <v>330.00099999999998</v>
      </c>
      <c r="AY193">
        <v>28.368300000000001</v>
      </c>
      <c r="AZ193">
        <v>300.18400000000003</v>
      </c>
      <c r="BA193">
        <v>99.013300000000001</v>
      </c>
      <c r="BB193">
        <v>9.9986199999999997E-2</v>
      </c>
      <c r="BC193">
        <v>25.835999999999999</v>
      </c>
      <c r="BD193">
        <v>26.975300000000001</v>
      </c>
      <c r="BE193">
        <v>27.429400000000001</v>
      </c>
      <c r="BF193">
        <v>0</v>
      </c>
      <c r="BG193">
        <v>0</v>
      </c>
      <c r="BH193">
        <v>10006.200000000001</v>
      </c>
      <c r="BI193">
        <v>1074.1600000000001</v>
      </c>
      <c r="BJ193">
        <v>1.3511899999999999</v>
      </c>
      <c r="BK193">
        <v>-471.18</v>
      </c>
      <c r="BL193">
        <v>338.46300000000002</v>
      </c>
      <c r="BM193">
        <v>807.61900000000003</v>
      </c>
      <c r="BN193">
        <v>19.0901</v>
      </c>
      <c r="BO193">
        <v>799.98199999999997</v>
      </c>
      <c r="BP193">
        <v>9.4564199999999996</v>
      </c>
      <c r="BQ193">
        <v>2.8264900000000002</v>
      </c>
      <c r="BR193">
        <v>0.936311</v>
      </c>
      <c r="BS193">
        <v>23.0396</v>
      </c>
      <c r="BT193">
        <v>5.9612800000000004</v>
      </c>
      <c r="BU193">
        <v>1799.99</v>
      </c>
      <c r="BV193">
        <v>0.91001799999999999</v>
      </c>
      <c r="BW193">
        <v>3.40033E-2</v>
      </c>
      <c r="BX193">
        <v>2.19916E-2</v>
      </c>
      <c r="BY193">
        <v>3.3987000000000003E-2</v>
      </c>
      <c r="BZ193">
        <v>25</v>
      </c>
      <c r="CA193">
        <v>33528.400000000001</v>
      </c>
      <c r="CB193">
        <v>1690200769.5</v>
      </c>
      <c r="CC193" t="s">
        <v>332</v>
      </c>
      <c r="CD193">
        <v>1690200769.5</v>
      </c>
      <c r="CE193">
        <v>1690200753</v>
      </c>
      <c r="CF193">
        <v>2</v>
      </c>
      <c r="CG193">
        <v>-0.245</v>
      </c>
      <c r="CH193">
        <v>3.0000000000000001E-3</v>
      </c>
      <c r="CI193">
        <v>-1.5169999999999999</v>
      </c>
      <c r="CJ193">
        <v>-1.6E-2</v>
      </c>
      <c r="CK193">
        <v>778</v>
      </c>
      <c r="CL193">
        <v>12</v>
      </c>
      <c r="CM193">
        <v>0.01</v>
      </c>
      <c r="CN193">
        <v>0.03</v>
      </c>
      <c r="CO193">
        <v>-470.83347500000002</v>
      </c>
      <c r="CP193">
        <v>-2.7732270168849178</v>
      </c>
      <c r="CQ193">
        <v>0.2742254535505434</v>
      </c>
      <c r="CR193">
        <v>-1</v>
      </c>
      <c r="CS193">
        <v>19.079205000000002</v>
      </c>
      <c r="CT193">
        <v>5.5004127579703327E-2</v>
      </c>
      <c r="CU193">
        <v>5.4694583826919146E-3</v>
      </c>
      <c r="CV193">
        <v>-1</v>
      </c>
      <c r="CW193">
        <v>0</v>
      </c>
      <c r="CX193">
        <v>0</v>
      </c>
      <c r="CY193" t="s">
        <v>333</v>
      </c>
      <c r="CZ193">
        <v>2.3653599999999999</v>
      </c>
      <c r="DA193">
        <v>2.7137799999999999</v>
      </c>
      <c r="DB193">
        <v>7.7112299999999995E-2</v>
      </c>
      <c r="DC193">
        <v>0.146312</v>
      </c>
      <c r="DD193">
        <v>0.12876000000000001</v>
      </c>
      <c r="DE193">
        <v>5.6730299999999997E-2</v>
      </c>
      <c r="DF193">
        <v>33672.1</v>
      </c>
      <c r="DG193">
        <v>27449.3</v>
      </c>
      <c r="DH193">
        <v>31144.9</v>
      </c>
      <c r="DI193">
        <v>28014.9</v>
      </c>
      <c r="DJ193">
        <v>36815.300000000003</v>
      </c>
      <c r="DK193">
        <v>37547.9</v>
      </c>
      <c r="DL193">
        <v>44313.599999999999</v>
      </c>
      <c r="DM193">
        <v>42426.3</v>
      </c>
      <c r="DN193">
        <v>1.44245</v>
      </c>
      <c r="DO193">
        <v>2.0709499999999998</v>
      </c>
      <c r="DP193">
        <v>0.136383</v>
      </c>
      <c r="DQ193">
        <v>0.17061799999999999</v>
      </c>
      <c r="DR193">
        <v>24.7407</v>
      </c>
      <c r="DS193">
        <v>24.634699999999999</v>
      </c>
      <c r="DT193">
        <v>33.200000000000003</v>
      </c>
      <c r="DU193">
        <v>26.1</v>
      </c>
      <c r="DV193">
        <v>11.3796</v>
      </c>
      <c r="DW193">
        <v>61.635399999999997</v>
      </c>
      <c r="DX193">
        <v>35.993600000000001</v>
      </c>
      <c r="DY193">
        <v>1</v>
      </c>
      <c r="DZ193">
        <v>-0.15331800000000001</v>
      </c>
      <c r="EA193">
        <v>-0.134295</v>
      </c>
      <c r="EB193">
        <v>20.191800000000001</v>
      </c>
      <c r="EC193">
        <v>5.2418500000000003</v>
      </c>
      <c r="ED193">
        <v>12.039899999999999</v>
      </c>
      <c r="EE193">
        <v>5.0172499999999998</v>
      </c>
      <c r="EF193">
        <v>3.2879999999999998</v>
      </c>
      <c r="EG193">
        <v>9999</v>
      </c>
      <c r="EH193">
        <v>9999</v>
      </c>
      <c r="EI193">
        <v>9999</v>
      </c>
      <c r="EJ193">
        <v>999.9</v>
      </c>
      <c r="EK193">
        <v>1.8688400000000001</v>
      </c>
      <c r="EL193">
        <v>1.8645</v>
      </c>
      <c r="EM193">
        <v>1.86907</v>
      </c>
      <c r="EN193">
        <v>1.8671899999999999</v>
      </c>
      <c r="EO193">
        <v>1.86334</v>
      </c>
      <c r="EP193">
        <v>1.86443</v>
      </c>
      <c r="EQ193">
        <v>1.87012</v>
      </c>
      <c r="ER193">
        <v>1.8693500000000001</v>
      </c>
      <c r="ES193">
        <v>0</v>
      </c>
      <c r="ET193">
        <v>0</v>
      </c>
      <c r="EU193">
        <v>0</v>
      </c>
      <c r="EV193">
        <v>0</v>
      </c>
      <c r="EW193" t="s">
        <v>334</v>
      </c>
      <c r="EX193" t="s">
        <v>335</v>
      </c>
      <c r="EY193" t="s">
        <v>336</v>
      </c>
      <c r="EZ193" t="s">
        <v>336</v>
      </c>
      <c r="FA193" t="s">
        <v>336</v>
      </c>
      <c r="FB193" t="s">
        <v>336</v>
      </c>
      <c r="FC193">
        <v>0</v>
      </c>
      <c r="FD193">
        <v>100</v>
      </c>
      <c r="FE193">
        <v>100</v>
      </c>
      <c r="FF193">
        <v>-1.2</v>
      </c>
      <c r="FG193">
        <v>0.1782</v>
      </c>
      <c r="FH193">
        <v>-0.98020551812546231</v>
      </c>
      <c r="FI193">
        <v>-6.1462078757559423E-4</v>
      </c>
      <c r="FJ193">
        <v>-1.8861989874597051E-7</v>
      </c>
      <c r="FK193">
        <v>1.1980462299894961E-10</v>
      </c>
      <c r="FL193">
        <v>0.1782306200647516</v>
      </c>
      <c r="FM193">
        <v>0</v>
      </c>
      <c r="FN193">
        <v>0</v>
      </c>
      <c r="FO193">
        <v>0</v>
      </c>
      <c r="FP193">
        <v>3</v>
      </c>
      <c r="FQ193">
        <v>2158</v>
      </c>
      <c r="FR193">
        <v>1</v>
      </c>
      <c r="FS193">
        <v>19</v>
      </c>
      <c r="FT193">
        <v>31.4</v>
      </c>
      <c r="FU193">
        <v>31.7</v>
      </c>
      <c r="FV193">
        <v>1.7773399999999999</v>
      </c>
      <c r="FW193">
        <v>2.5488300000000002</v>
      </c>
      <c r="FX193">
        <v>1.5490699999999999</v>
      </c>
      <c r="FY193">
        <v>2.34131</v>
      </c>
      <c r="FZ193">
        <v>1.50146</v>
      </c>
      <c r="GA193">
        <v>2.34009</v>
      </c>
      <c r="GB193">
        <v>31.324400000000001</v>
      </c>
      <c r="GC193">
        <v>23.982399999999998</v>
      </c>
      <c r="GD193">
        <v>19</v>
      </c>
      <c r="GE193">
        <v>265.66800000000001</v>
      </c>
      <c r="GF193">
        <v>603.17200000000003</v>
      </c>
      <c r="GG193">
        <v>24.3081</v>
      </c>
      <c r="GH193">
        <v>25.488099999999999</v>
      </c>
      <c r="GI193">
        <v>30.000299999999999</v>
      </c>
      <c r="GJ193">
        <v>25.604900000000001</v>
      </c>
      <c r="GK193">
        <v>25.572199999999999</v>
      </c>
      <c r="GL193">
        <v>35.540500000000002</v>
      </c>
      <c r="GM193">
        <v>-30</v>
      </c>
      <c r="GN193">
        <v>-30</v>
      </c>
      <c r="GO193">
        <v>24.322600000000001</v>
      </c>
      <c r="GP193">
        <v>800</v>
      </c>
      <c r="GQ193">
        <v>12.5298</v>
      </c>
      <c r="GR193">
        <v>99.639099999999999</v>
      </c>
      <c r="GS193">
        <v>99.281999999999996</v>
      </c>
    </row>
    <row r="194" spans="1:201" x14ac:dyDescent="0.25">
      <c r="A194">
        <v>178</v>
      </c>
      <c r="B194">
        <v>1690202665.5999999</v>
      </c>
      <c r="C194">
        <v>1818.599999904633</v>
      </c>
      <c r="D194" t="s">
        <v>689</v>
      </c>
      <c r="E194" t="s">
        <v>690</v>
      </c>
      <c r="F194" t="s">
        <v>330</v>
      </c>
      <c r="H194">
        <v>1690202665.5999999</v>
      </c>
      <c r="I194">
        <f t="shared" si="60"/>
        <v>1.773131860350437E-3</v>
      </c>
      <c r="J194">
        <f t="shared" si="61"/>
        <v>1.7731318603504369</v>
      </c>
      <c r="K194">
        <f t="shared" si="62"/>
        <v>41.931291249834182</v>
      </c>
      <c r="L194">
        <f t="shared" si="63"/>
        <v>328.30599999999998</v>
      </c>
      <c r="M194">
        <f t="shared" si="64"/>
        <v>-4.0305483229529546</v>
      </c>
      <c r="N194">
        <f t="shared" si="65"/>
        <v>-0.39949279893995088</v>
      </c>
      <c r="O194">
        <f t="shared" si="66"/>
        <v>32.540456617746003</v>
      </c>
      <c r="P194">
        <f t="shared" si="67"/>
        <v>0.21311477043066765</v>
      </c>
      <c r="Q194">
        <f t="shared" si="68"/>
        <v>2.0826794580029198</v>
      </c>
      <c r="R194">
        <f t="shared" si="69"/>
        <v>0.20169840763484187</v>
      </c>
      <c r="S194">
        <f t="shared" si="70"/>
        <v>0.12703623188701024</v>
      </c>
      <c r="T194">
        <f t="shared" si="71"/>
        <v>276.11412903000007</v>
      </c>
      <c r="U194">
        <f t="shared" si="72"/>
        <v>27.440332447164998</v>
      </c>
      <c r="V194">
        <f t="shared" si="73"/>
        <v>27.440332447164998</v>
      </c>
      <c r="W194">
        <f t="shared" si="74"/>
        <v>3.6727747458260729</v>
      </c>
      <c r="X194">
        <f t="shared" si="75"/>
        <v>84.662359465323419</v>
      </c>
      <c r="Y194">
        <f t="shared" si="76"/>
        <v>2.8300263827766003</v>
      </c>
      <c r="Z194">
        <f t="shared" si="77"/>
        <v>3.3427208982236571</v>
      </c>
      <c r="AA194">
        <f t="shared" si="78"/>
        <v>0.84274836304947254</v>
      </c>
      <c r="AB194">
        <f t="shared" si="79"/>
        <v>-78.195115041454272</v>
      </c>
      <c r="AC194">
        <f t="shared" si="80"/>
        <v>-179.53039756092838</v>
      </c>
      <c r="AD194">
        <f t="shared" si="81"/>
        <v>-18.536724280272352</v>
      </c>
      <c r="AE194">
        <f t="shared" si="82"/>
        <v>-0.14810785265490267</v>
      </c>
      <c r="AF194">
        <v>13</v>
      </c>
      <c r="AG194">
        <v>4</v>
      </c>
      <c r="AH194">
        <f t="shared" si="83"/>
        <v>1</v>
      </c>
      <c r="AI194">
        <f t="shared" si="84"/>
        <v>0</v>
      </c>
      <c r="AJ194">
        <f t="shared" si="85"/>
        <v>52660.746275608719</v>
      </c>
      <c r="AK194">
        <f t="shared" si="86"/>
        <v>1800</v>
      </c>
      <c r="AL194">
        <f t="shared" si="87"/>
        <v>1499.1132420000001</v>
      </c>
      <c r="AM194">
        <f t="shared" si="88"/>
        <v>0.83284069000000005</v>
      </c>
      <c r="AN194">
        <f t="shared" si="89"/>
        <v>0.15339673835000003</v>
      </c>
      <c r="AO194">
        <v>33.299999999999997</v>
      </c>
      <c r="AP194">
        <v>0.5</v>
      </c>
      <c r="AQ194" t="s">
        <v>331</v>
      </c>
      <c r="AR194">
        <v>2</v>
      </c>
      <c r="AS194">
        <v>1690202665.5999999</v>
      </c>
      <c r="AT194">
        <v>328.30599999999998</v>
      </c>
      <c r="AU194">
        <v>799.95500000000004</v>
      </c>
      <c r="AV194">
        <v>28.552600000000002</v>
      </c>
      <c r="AW194">
        <v>9.4429300000000005</v>
      </c>
      <c r="AX194">
        <v>329.505</v>
      </c>
      <c r="AY194">
        <v>28.374400000000001</v>
      </c>
      <c r="AZ194">
        <v>300.15899999999999</v>
      </c>
      <c r="BA194">
        <v>99.016199999999998</v>
      </c>
      <c r="BB194">
        <v>0.100041</v>
      </c>
      <c r="BC194">
        <v>25.8414</v>
      </c>
      <c r="BD194">
        <v>26.9773</v>
      </c>
      <c r="BE194">
        <v>27.462</v>
      </c>
      <c r="BF194">
        <v>0</v>
      </c>
      <c r="BG194">
        <v>0</v>
      </c>
      <c r="BH194">
        <v>10020</v>
      </c>
      <c r="BI194">
        <v>1074.25</v>
      </c>
      <c r="BJ194">
        <v>1.4969699999999999</v>
      </c>
      <c r="BK194">
        <v>-471.649</v>
      </c>
      <c r="BL194">
        <v>337.95600000000002</v>
      </c>
      <c r="BM194">
        <v>807.58100000000002</v>
      </c>
      <c r="BN194">
        <v>19.1097</v>
      </c>
      <c r="BO194">
        <v>799.95500000000004</v>
      </c>
      <c r="BP194">
        <v>9.4429300000000005</v>
      </c>
      <c r="BQ194">
        <v>2.8271700000000002</v>
      </c>
      <c r="BR194">
        <v>0.93500300000000003</v>
      </c>
      <c r="BS194">
        <v>23.043600000000001</v>
      </c>
      <c r="BT194">
        <v>5.9410499999999997</v>
      </c>
      <c r="BU194">
        <v>1800</v>
      </c>
      <c r="BV194">
        <v>0.91001900000000002</v>
      </c>
      <c r="BW194">
        <v>3.4002999999999999E-2</v>
      </c>
      <c r="BX194">
        <v>2.1991500000000001E-2</v>
      </c>
      <c r="BY194">
        <v>3.3986700000000002E-2</v>
      </c>
      <c r="BZ194">
        <v>25</v>
      </c>
      <c r="CA194">
        <v>33528.5</v>
      </c>
      <c r="CB194">
        <v>1690200769.5</v>
      </c>
      <c r="CC194" t="s">
        <v>332</v>
      </c>
      <c r="CD194">
        <v>1690200769.5</v>
      </c>
      <c r="CE194">
        <v>1690200753</v>
      </c>
      <c r="CF194">
        <v>2</v>
      </c>
      <c r="CG194">
        <v>-0.245</v>
      </c>
      <c r="CH194">
        <v>3.0000000000000001E-3</v>
      </c>
      <c r="CI194">
        <v>-1.5169999999999999</v>
      </c>
      <c r="CJ194">
        <v>-1.6E-2</v>
      </c>
      <c r="CK194">
        <v>778</v>
      </c>
      <c r="CL194">
        <v>12</v>
      </c>
      <c r="CM194">
        <v>0.01</v>
      </c>
      <c r="CN194">
        <v>0.03</v>
      </c>
      <c r="CO194">
        <v>-471.21825000000013</v>
      </c>
      <c r="CP194">
        <v>-2.4896960600352598</v>
      </c>
      <c r="CQ194">
        <v>0.24838123419453231</v>
      </c>
      <c r="CR194">
        <v>-1</v>
      </c>
      <c r="CS194">
        <v>19.089435000000002</v>
      </c>
      <c r="CT194">
        <v>8.7690056285145396E-2</v>
      </c>
      <c r="CU194">
        <v>8.5211076157975119E-3</v>
      </c>
      <c r="CV194">
        <v>-1</v>
      </c>
      <c r="CW194">
        <v>0</v>
      </c>
      <c r="CX194">
        <v>0</v>
      </c>
      <c r="CY194" t="s">
        <v>333</v>
      </c>
      <c r="CZ194">
        <v>2.3652700000000002</v>
      </c>
      <c r="DA194">
        <v>2.7138499999999999</v>
      </c>
      <c r="DB194">
        <v>7.7022199999999999E-2</v>
      </c>
      <c r="DC194">
        <v>0.146313</v>
      </c>
      <c r="DD194">
        <v>0.12878300000000001</v>
      </c>
      <c r="DE194">
        <v>5.6669200000000003E-2</v>
      </c>
      <c r="DF194">
        <v>33675.5</v>
      </c>
      <c r="DG194">
        <v>27449.1</v>
      </c>
      <c r="DH194">
        <v>31145.1</v>
      </c>
      <c r="DI194">
        <v>28014.7</v>
      </c>
      <c r="DJ194">
        <v>36814.5</v>
      </c>
      <c r="DK194">
        <v>37550.1</v>
      </c>
      <c r="DL194">
        <v>44313.9</v>
      </c>
      <c r="DM194">
        <v>42426.1</v>
      </c>
      <c r="DN194">
        <v>1.44292</v>
      </c>
      <c r="DO194">
        <v>2.0709499999999998</v>
      </c>
      <c r="DP194">
        <v>0.136383</v>
      </c>
      <c r="DQ194">
        <v>0.172481</v>
      </c>
      <c r="DR194">
        <v>24.742799999999999</v>
      </c>
      <c r="DS194">
        <v>24.636800000000001</v>
      </c>
      <c r="DT194">
        <v>33</v>
      </c>
      <c r="DU194">
        <v>26.1</v>
      </c>
      <c r="DV194">
        <v>11.314299999999999</v>
      </c>
      <c r="DW194">
        <v>61.2654</v>
      </c>
      <c r="DX194">
        <v>36.750799999999998</v>
      </c>
      <c r="DY194">
        <v>1</v>
      </c>
      <c r="DZ194">
        <v>-0.15287899999999999</v>
      </c>
      <c r="EA194">
        <v>-0.118298</v>
      </c>
      <c r="EB194">
        <v>20.191800000000001</v>
      </c>
      <c r="EC194">
        <v>5.2418500000000003</v>
      </c>
      <c r="ED194">
        <v>12.039899999999999</v>
      </c>
      <c r="EE194">
        <v>5.0171999999999999</v>
      </c>
      <c r="EF194">
        <v>3.2879999999999998</v>
      </c>
      <c r="EG194">
        <v>9999</v>
      </c>
      <c r="EH194">
        <v>9999</v>
      </c>
      <c r="EI194">
        <v>9999</v>
      </c>
      <c r="EJ194">
        <v>999.9</v>
      </c>
      <c r="EK194">
        <v>1.8688199999999999</v>
      </c>
      <c r="EL194">
        <v>1.8645099999999999</v>
      </c>
      <c r="EM194">
        <v>1.86907</v>
      </c>
      <c r="EN194">
        <v>1.8671599999999999</v>
      </c>
      <c r="EO194">
        <v>1.86334</v>
      </c>
      <c r="EP194">
        <v>1.86443</v>
      </c>
      <c r="EQ194">
        <v>1.87012</v>
      </c>
      <c r="ER194">
        <v>1.8693500000000001</v>
      </c>
      <c r="ES194">
        <v>0</v>
      </c>
      <c r="ET194">
        <v>0</v>
      </c>
      <c r="EU194">
        <v>0</v>
      </c>
      <c r="EV194">
        <v>0</v>
      </c>
      <c r="EW194" t="s">
        <v>334</v>
      </c>
      <c r="EX194" t="s">
        <v>335</v>
      </c>
      <c r="EY194" t="s">
        <v>336</v>
      </c>
      <c r="EZ194" t="s">
        <v>336</v>
      </c>
      <c r="FA194" t="s">
        <v>336</v>
      </c>
      <c r="FB194" t="s">
        <v>336</v>
      </c>
      <c r="FC194">
        <v>0</v>
      </c>
      <c r="FD194">
        <v>100</v>
      </c>
      <c r="FE194">
        <v>100</v>
      </c>
      <c r="FF194">
        <v>-1.1990000000000001</v>
      </c>
      <c r="FG194">
        <v>0.1782</v>
      </c>
      <c r="FH194">
        <v>-0.98020551812546231</v>
      </c>
      <c r="FI194">
        <v>-6.1462078757559423E-4</v>
      </c>
      <c r="FJ194">
        <v>-1.8861989874597051E-7</v>
      </c>
      <c r="FK194">
        <v>1.1980462299894961E-10</v>
      </c>
      <c r="FL194">
        <v>0.1782306200647516</v>
      </c>
      <c r="FM194">
        <v>0</v>
      </c>
      <c r="FN194">
        <v>0</v>
      </c>
      <c r="FO194">
        <v>0</v>
      </c>
      <c r="FP194">
        <v>3</v>
      </c>
      <c r="FQ194">
        <v>2158</v>
      </c>
      <c r="FR194">
        <v>1</v>
      </c>
      <c r="FS194">
        <v>19</v>
      </c>
      <c r="FT194">
        <v>31.6</v>
      </c>
      <c r="FU194">
        <v>31.9</v>
      </c>
      <c r="FV194">
        <v>1.7773399999999999</v>
      </c>
      <c r="FW194">
        <v>2.5439500000000002</v>
      </c>
      <c r="FX194">
        <v>1.5490699999999999</v>
      </c>
      <c r="FY194">
        <v>2.34009</v>
      </c>
      <c r="FZ194">
        <v>1.50146</v>
      </c>
      <c r="GA194">
        <v>2.36572</v>
      </c>
      <c r="GB194">
        <v>31.324400000000001</v>
      </c>
      <c r="GC194">
        <v>23.991199999999999</v>
      </c>
      <c r="GD194">
        <v>19</v>
      </c>
      <c r="GE194">
        <v>265.863</v>
      </c>
      <c r="GF194">
        <v>603.17200000000003</v>
      </c>
      <c r="GG194">
        <v>24.338100000000001</v>
      </c>
      <c r="GH194">
        <v>25.490200000000002</v>
      </c>
      <c r="GI194">
        <v>30.000299999999999</v>
      </c>
      <c r="GJ194">
        <v>25.605399999999999</v>
      </c>
      <c r="GK194">
        <v>25.572199999999999</v>
      </c>
      <c r="GL194">
        <v>35.54</v>
      </c>
      <c r="GM194">
        <v>-30</v>
      </c>
      <c r="GN194">
        <v>-30</v>
      </c>
      <c r="GO194">
        <v>24.343800000000002</v>
      </c>
      <c r="GP194">
        <v>800</v>
      </c>
      <c r="GQ194">
        <v>12.5298</v>
      </c>
      <c r="GR194">
        <v>99.639700000000005</v>
      </c>
      <c r="GS194">
        <v>99.281400000000005</v>
      </c>
    </row>
    <row r="195" spans="1:201" x14ac:dyDescent="0.25">
      <c r="A195">
        <v>179</v>
      </c>
      <c r="B195">
        <v>1690202675.5999999</v>
      </c>
      <c r="C195">
        <v>1828.599999904633</v>
      </c>
      <c r="D195" t="s">
        <v>691</v>
      </c>
      <c r="E195" t="s">
        <v>692</v>
      </c>
      <c r="F195" t="s">
        <v>330</v>
      </c>
      <c r="H195">
        <v>1690202675.5999999</v>
      </c>
      <c r="I195">
        <f t="shared" si="60"/>
        <v>1.7742672884904875E-3</v>
      </c>
      <c r="J195">
        <f t="shared" si="61"/>
        <v>1.7742672884904875</v>
      </c>
      <c r="K195">
        <f t="shared" si="62"/>
        <v>41.969415610628111</v>
      </c>
      <c r="L195">
        <f t="shared" si="63"/>
        <v>327.82400000000001</v>
      </c>
      <c r="M195">
        <f t="shared" si="64"/>
        <v>-4.2379351956029758</v>
      </c>
      <c r="N195">
        <f t="shared" si="65"/>
        <v>-0.42001171714393903</v>
      </c>
      <c r="O195">
        <f t="shared" si="66"/>
        <v>32.489859992161605</v>
      </c>
      <c r="P195">
        <f t="shared" si="67"/>
        <v>0.21350034630722819</v>
      </c>
      <c r="Q195">
        <f t="shared" si="68"/>
        <v>2.0824500061829485</v>
      </c>
      <c r="R195">
        <f t="shared" si="69"/>
        <v>0.20204263900655975</v>
      </c>
      <c r="S195">
        <f t="shared" si="70"/>
        <v>0.12725481368598782</v>
      </c>
      <c r="T195">
        <f t="shared" si="71"/>
        <v>276.113951676</v>
      </c>
      <c r="U195">
        <f t="shared" si="72"/>
        <v>27.437390285341515</v>
      </c>
      <c r="V195">
        <f t="shared" si="73"/>
        <v>27.437390285341515</v>
      </c>
      <c r="W195">
        <f t="shared" si="74"/>
        <v>3.6721422168763369</v>
      </c>
      <c r="X195">
        <f t="shared" si="75"/>
        <v>84.686042995821921</v>
      </c>
      <c r="Y195">
        <f t="shared" si="76"/>
        <v>2.8303652770576502</v>
      </c>
      <c r="Z195">
        <f t="shared" si="77"/>
        <v>3.3421862410046592</v>
      </c>
      <c r="AA195">
        <f t="shared" si="78"/>
        <v>0.84177693981868673</v>
      </c>
      <c r="AB195">
        <f t="shared" si="79"/>
        <v>-78.245187422430504</v>
      </c>
      <c r="AC195">
        <f t="shared" si="80"/>
        <v>-179.4834311597549</v>
      </c>
      <c r="AD195">
        <f t="shared" si="81"/>
        <v>-18.533393336746613</v>
      </c>
      <c r="AE195">
        <f t="shared" si="82"/>
        <v>-0.14806024293199016</v>
      </c>
      <c r="AF195">
        <v>13</v>
      </c>
      <c r="AG195">
        <v>4</v>
      </c>
      <c r="AH195">
        <f t="shared" si="83"/>
        <v>1</v>
      </c>
      <c r="AI195">
        <f t="shared" si="84"/>
        <v>0</v>
      </c>
      <c r="AJ195">
        <f t="shared" si="85"/>
        <v>52650.655872464558</v>
      </c>
      <c r="AK195">
        <f t="shared" si="86"/>
        <v>1800</v>
      </c>
      <c r="AL195">
        <f t="shared" si="87"/>
        <v>1499.1128226000001</v>
      </c>
      <c r="AM195">
        <f t="shared" si="88"/>
        <v>0.83284045699999998</v>
      </c>
      <c r="AN195">
        <f t="shared" si="89"/>
        <v>0.15339663982000001</v>
      </c>
      <c r="AO195">
        <v>33.299999999999997</v>
      </c>
      <c r="AP195">
        <v>0.5</v>
      </c>
      <c r="AQ195" t="s">
        <v>331</v>
      </c>
      <c r="AR195">
        <v>2</v>
      </c>
      <c r="AS195">
        <v>1690202675.5999999</v>
      </c>
      <c r="AT195">
        <v>327.82400000000001</v>
      </c>
      <c r="AU195">
        <v>799.99599999999998</v>
      </c>
      <c r="AV195">
        <v>28.558499999999999</v>
      </c>
      <c r="AW195">
        <v>9.4324399999999997</v>
      </c>
      <c r="AX195">
        <v>329.02199999999999</v>
      </c>
      <c r="AY195">
        <v>28.380299999999998</v>
      </c>
      <c r="AZ195">
        <v>300.09199999999998</v>
      </c>
      <c r="BA195">
        <v>99.0077</v>
      </c>
      <c r="BB195">
        <v>9.9930900000000003E-2</v>
      </c>
      <c r="BC195">
        <v>25.838699999999999</v>
      </c>
      <c r="BD195">
        <v>26.987300000000001</v>
      </c>
      <c r="BE195">
        <v>27.479299999999999</v>
      </c>
      <c r="BF195">
        <v>0</v>
      </c>
      <c r="BG195">
        <v>0</v>
      </c>
      <c r="BH195">
        <v>10018.799999999999</v>
      </c>
      <c r="BI195">
        <v>1074.24</v>
      </c>
      <c r="BJ195">
        <v>1.4885600000000001</v>
      </c>
      <c r="BK195">
        <v>-472.173</v>
      </c>
      <c r="BL195">
        <v>337.46100000000001</v>
      </c>
      <c r="BM195">
        <v>807.61400000000003</v>
      </c>
      <c r="BN195">
        <v>19.126100000000001</v>
      </c>
      <c r="BO195">
        <v>799.99599999999998</v>
      </c>
      <c r="BP195">
        <v>9.4324399999999997</v>
      </c>
      <c r="BQ195">
        <v>2.8275100000000002</v>
      </c>
      <c r="BR195">
        <v>0.93388499999999997</v>
      </c>
      <c r="BS195">
        <v>23.0456</v>
      </c>
      <c r="BT195">
        <v>5.9237599999999997</v>
      </c>
      <c r="BU195">
        <v>1800</v>
      </c>
      <c r="BV195">
        <v>0.91002000000000005</v>
      </c>
      <c r="BW195">
        <v>3.4002499999999998E-2</v>
      </c>
      <c r="BX195">
        <v>2.19911E-2</v>
      </c>
      <c r="BY195">
        <v>3.3986200000000001E-2</v>
      </c>
      <c r="BZ195">
        <v>25</v>
      </c>
      <c r="CA195">
        <v>33528.5</v>
      </c>
      <c r="CB195">
        <v>1690200769.5</v>
      </c>
      <c r="CC195" t="s">
        <v>332</v>
      </c>
      <c r="CD195">
        <v>1690200769.5</v>
      </c>
      <c r="CE195">
        <v>1690200753</v>
      </c>
      <c r="CF195">
        <v>2</v>
      </c>
      <c r="CG195">
        <v>-0.245</v>
      </c>
      <c r="CH195">
        <v>3.0000000000000001E-3</v>
      </c>
      <c r="CI195">
        <v>-1.5169999999999999</v>
      </c>
      <c r="CJ195">
        <v>-1.6E-2</v>
      </c>
      <c r="CK195">
        <v>778</v>
      </c>
      <c r="CL195">
        <v>12</v>
      </c>
      <c r="CM195">
        <v>0.01</v>
      </c>
      <c r="CN195">
        <v>0.03</v>
      </c>
      <c r="CO195">
        <v>-471.6576829268293</v>
      </c>
      <c r="CP195">
        <v>-2.7369825783972792</v>
      </c>
      <c r="CQ195">
        <v>0.27633255318982752</v>
      </c>
      <c r="CR195">
        <v>-1</v>
      </c>
      <c r="CS195">
        <v>19.10693902439024</v>
      </c>
      <c r="CT195">
        <v>0.11485296167247661</v>
      </c>
      <c r="CU195">
        <v>1.1343309579612011E-2</v>
      </c>
      <c r="CV195">
        <v>-1</v>
      </c>
      <c r="CW195">
        <v>0</v>
      </c>
      <c r="CX195">
        <v>0</v>
      </c>
      <c r="CY195" t="s">
        <v>333</v>
      </c>
      <c r="CZ195">
        <v>2.3650699999999998</v>
      </c>
      <c r="DA195">
        <v>2.71374</v>
      </c>
      <c r="DB195">
        <v>7.6925400000000005E-2</v>
      </c>
      <c r="DC195">
        <v>0.14630399999999999</v>
      </c>
      <c r="DD195">
        <v>0.12878999999999999</v>
      </c>
      <c r="DE195">
        <v>5.6615499999999999E-2</v>
      </c>
      <c r="DF195">
        <v>33679</v>
      </c>
      <c r="DG195">
        <v>27449.7</v>
      </c>
      <c r="DH195">
        <v>31145.1</v>
      </c>
      <c r="DI195">
        <v>28015.1</v>
      </c>
      <c r="DJ195">
        <v>36814.199999999997</v>
      </c>
      <c r="DK195">
        <v>37552.9</v>
      </c>
      <c r="DL195">
        <v>44313.9</v>
      </c>
      <c r="DM195">
        <v>42426.8</v>
      </c>
      <c r="DN195">
        <v>1.44265</v>
      </c>
      <c r="DO195">
        <v>2.0708000000000002</v>
      </c>
      <c r="DP195">
        <v>0.13686699999999999</v>
      </c>
      <c r="DQ195">
        <v>0.173263</v>
      </c>
      <c r="DR195">
        <v>24.744900000000001</v>
      </c>
      <c r="DS195">
        <v>24.641300000000001</v>
      </c>
      <c r="DT195">
        <v>32.9</v>
      </c>
      <c r="DU195">
        <v>26.1</v>
      </c>
      <c r="DV195">
        <v>11.2782</v>
      </c>
      <c r="DW195">
        <v>61.495399999999997</v>
      </c>
      <c r="DX195">
        <v>36.931100000000001</v>
      </c>
      <c r="DY195">
        <v>1</v>
      </c>
      <c r="DZ195">
        <v>-0.15288599999999999</v>
      </c>
      <c r="EA195">
        <v>-0.119031</v>
      </c>
      <c r="EB195">
        <v>20.191700000000001</v>
      </c>
      <c r="EC195">
        <v>5.2418500000000003</v>
      </c>
      <c r="ED195">
        <v>12.039899999999999</v>
      </c>
      <c r="EE195">
        <v>5.0171999999999999</v>
      </c>
      <c r="EF195">
        <v>3.2879999999999998</v>
      </c>
      <c r="EG195">
        <v>9999</v>
      </c>
      <c r="EH195">
        <v>9999</v>
      </c>
      <c r="EI195">
        <v>9999</v>
      </c>
      <c r="EJ195">
        <v>999.9</v>
      </c>
      <c r="EK195">
        <v>1.86883</v>
      </c>
      <c r="EL195">
        <v>1.86449</v>
      </c>
      <c r="EM195">
        <v>1.8690599999999999</v>
      </c>
      <c r="EN195">
        <v>1.86717</v>
      </c>
      <c r="EO195">
        <v>1.8633299999999999</v>
      </c>
      <c r="EP195">
        <v>1.86442</v>
      </c>
      <c r="EQ195">
        <v>1.87012</v>
      </c>
      <c r="ER195">
        <v>1.8693500000000001</v>
      </c>
      <c r="ES195">
        <v>0</v>
      </c>
      <c r="ET195">
        <v>0</v>
      </c>
      <c r="EU195">
        <v>0</v>
      </c>
      <c r="EV195">
        <v>0</v>
      </c>
      <c r="EW195" t="s">
        <v>334</v>
      </c>
      <c r="EX195" t="s">
        <v>335</v>
      </c>
      <c r="EY195" t="s">
        <v>336</v>
      </c>
      <c r="EZ195" t="s">
        <v>336</v>
      </c>
      <c r="FA195" t="s">
        <v>336</v>
      </c>
      <c r="FB195" t="s">
        <v>336</v>
      </c>
      <c r="FC195">
        <v>0</v>
      </c>
      <c r="FD195">
        <v>100</v>
      </c>
      <c r="FE195">
        <v>100</v>
      </c>
      <c r="FF195">
        <v>-1.198</v>
      </c>
      <c r="FG195">
        <v>0.1782</v>
      </c>
      <c r="FH195">
        <v>-0.98020551812546231</v>
      </c>
      <c r="FI195">
        <v>-6.1462078757559423E-4</v>
      </c>
      <c r="FJ195">
        <v>-1.8861989874597051E-7</v>
      </c>
      <c r="FK195">
        <v>1.1980462299894961E-10</v>
      </c>
      <c r="FL195">
        <v>0.1782306200647516</v>
      </c>
      <c r="FM195">
        <v>0</v>
      </c>
      <c r="FN195">
        <v>0</v>
      </c>
      <c r="FO195">
        <v>0</v>
      </c>
      <c r="FP195">
        <v>3</v>
      </c>
      <c r="FQ195">
        <v>2158</v>
      </c>
      <c r="FR195">
        <v>1</v>
      </c>
      <c r="FS195">
        <v>19</v>
      </c>
      <c r="FT195">
        <v>31.8</v>
      </c>
      <c r="FU195">
        <v>32</v>
      </c>
      <c r="FV195">
        <v>1.7773399999999999</v>
      </c>
      <c r="FW195">
        <v>2.5488300000000002</v>
      </c>
      <c r="FX195">
        <v>1.5490699999999999</v>
      </c>
      <c r="FY195">
        <v>2.34131</v>
      </c>
      <c r="FZ195">
        <v>1.50146</v>
      </c>
      <c r="GA195">
        <v>2.2668499999999998</v>
      </c>
      <c r="GB195">
        <v>31.324400000000001</v>
      </c>
      <c r="GC195">
        <v>23.982399999999998</v>
      </c>
      <c r="GD195">
        <v>19</v>
      </c>
      <c r="GE195">
        <v>265.76100000000002</v>
      </c>
      <c r="GF195">
        <v>603.07000000000005</v>
      </c>
      <c r="GG195">
        <v>24.359200000000001</v>
      </c>
      <c r="GH195">
        <v>25.4908</v>
      </c>
      <c r="GI195">
        <v>30.000299999999999</v>
      </c>
      <c r="GJ195">
        <v>25.607600000000001</v>
      </c>
      <c r="GK195">
        <v>25.574400000000001</v>
      </c>
      <c r="GL195">
        <v>35.5411</v>
      </c>
      <c r="GM195">
        <v>-30</v>
      </c>
      <c r="GN195">
        <v>-30</v>
      </c>
      <c r="GO195">
        <v>24.363900000000001</v>
      </c>
      <c r="GP195">
        <v>800</v>
      </c>
      <c r="GQ195">
        <v>12.5298</v>
      </c>
      <c r="GR195">
        <v>99.639700000000005</v>
      </c>
      <c r="GS195">
        <v>99.283000000000001</v>
      </c>
    </row>
    <row r="196" spans="1:201" x14ac:dyDescent="0.25">
      <c r="A196">
        <v>180</v>
      </c>
      <c r="B196">
        <v>1690202685.5999999</v>
      </c>
      <c r="C196">
        <v>1838.599999904633</v>
      </c>
      <c r="D196" t="s">
        <v>693</v>
      </c>
      <c r="E196" t="s">
        <v>694</v>
      </c>
      <c r="F196" t="s">
        <v>330</v>
      </c>
      <c r="H196">
        <v>1690202685.5999999</v>
      </c>
      <c r="I196">
        <f t="shared" si="60"/>
        <v>1.7765298465745737E-3</v>
      </c>
      <c r="J196">
        <f t="shared" si="61"/>
        <v>1.7765298465745736</v>
      </c>
      <c r="K196">
        <f t="shared" si="62"/>
        <v>42.01919789975657</v>
      </c>
      <c r="L196">
        <f t="shared" si="63"/>
        <v>327.41399999999999</v>
      </c>
      <c r="M196">
        <f t="shared" si="64"/>
        <v>-4.9704401979785215</v>
      </c>
      <c r="N196">
        <f t="shared" si="65"/>
        <v>-0.49260482372754172</v>
      </c>
      <c r="O196">
        <f t="shared" si="66"/>
        <v>32.448980237509801</v>
      </c>
      <c r="P196">
        <f t="shared" si="67"/>
        <v>0.21356929093324858</v>
      </c>
      <c r="Q196">
        <f t="shared" si="68"/>
        <v>2.0772031510055173</v>
      </c>
      <c r="R196">
        <f t="shared" si="69"/>
        <v>0.20207710971929649</v>
      </c>
      <c r="S196">
        <f t="shared" si="70"/>
        <v>0.12727916258194893</v>
      </c>
      <c r="T196">
        <f t="shared" si="71"/>
        <v>276.11263253840832</v>
      </c>
      <c r="U196">
        <f t="shared" si="72"/>
        <v>27.444627095604321</v>
      </c>
      <c r="V196">
        <f t="shared" si="73"/>
        <v>27.444627095604321</v>
      </c>
      <c r="W196">
        <f t="shared" si="74"/>
        <v>3.6736982136181386</v>
      </c>
      <c r="X196">
        <f t="shared" si="75"/>
        <v>84.683192170975772</v>
      </c>
      <c r="Y196">
        <f t="shared" si="76"/>
        <v>2.8310078685716404</v>
      </c>
      <c r="Z196">
        <f t="shared" si="77"/>
        <v>3.3430575725768836</v>
      </c>
      <c r="AA196">
        <f t="shared" si="78"/>
        <v>0.8426903450464982</v>
      </c>
      <c r="AB196">
        <f t="shared" si="79"/>
        <v>-78.344966233938706</v>
      </c>
      <c r="AC196">
        <f t="shared" si="80"/>
        <v>-179.34889564075254</v>
      </c>
      <c r="AD196">
        <f t="shared" si="81"/>
        <v>-18.567362133698218</v>
      </c>
      <c r="AE196">
        <f t="shared" si="82"/>
        <v>-0.1485914699811417</v>
      </c>
      <c r="AF196">
        <v>13</v>
      </c>
      <c r="AG196">
        <v>4</v>
      </c>
      <c r="AH196">
        <f t="shared" si="83"/>
        <v>1</v>
      </c>
      <c r="AI196">
        <f t="shared" si="84"/>
        <v>0</v>
      </c>
      <c r="AJ196">
        <f t="shared" si="85"/>
        <v>52412.914988647994</v>
      </c>
      <c r="AK196">
        <f t="shared" si="86"/>
        <v>1799.99</v>
      </c>
      <c r="AL196">
        <f t="shared" si="87"/>
        <v>1499.1057451884799</v>
      </c>
      <c r="AM196">
        <f t="shared" si="88"/>
        <v>0.83284115199999997</v>
      </c>
      <c r="AN196">
        <f t="shared" si="89"/>
        <v>0.15339675917000001</v>
      </c>
      <c r="AO196">
        <v>33.299999999999997</v>
      </c>
      <c r="AP196">
        <v>0.5</v>
      </c>
      <c r="AQ196" t="s">
        <v>331</v>
      </c>
      <c r="AR196">
        <v>2</v>
      </c>
      <c r="AS196">
        <v>1690202685.5999999</v>
      </c>
      <c r="AT196">
        <v>327.41399999999999</v>
      </c>
      <c r="AU196">
        <v>800.01099999999997</v>
      </c>
      <c r="AV196">
        <v>28.565200000000001</v>
      </c>
      <c r="AW196">
        <v>9.4200499999999998</v>
      </c>
      <c r="AX196">
        <v>328.61200000000002</v>
      </c>
      <c r="AY196">
        <v>28.386900000000001</v>
      </c>
      <c r="AZ196">
        <v>300.173</v>
      </c>
      <c r="BA196">
        <v>99.006900000000002</v>
      </c>
      <c r="BB196">
        <v>9.9980700000000006E-2</v>
      </c>
      <c r="BC196">
        <v>25.8431</v>
      </c>
      <c r="BD196">
        <v>27.002199999999998</v>
      </c>
      <c r="BE196">
        <v>27.4909</v>
      </c>
      <c r="BF196">
        <v>0</v>
      </c>
      <c r="BG196">
        <v>0</v>
      </c>
      <c r="BH196">
        <v>9971.8799999999992</v>
      </c>
      <c r="BI196">
        <v>1074.31</v>
      </c>
      <c r="BJ196">
        <v>1.51098</v>
      </c>
      <c r="BK196">
        <v>-472.59699999999998</v>
      </c>
      <c r="BL196">
        <v>337.04199999999997</v>
      </c>
      <c r="BM196">
        <v>807.61900000000003</v>
      </c>
      <c r="BN196">
        <v>19.145099999999999</v>
      </c>
      <c r="BO196">
        <v>800.01099999999997</v>
      </c>
      <c r="BP196">
        <v>9.4200499999999998</v>
      </c>
      <c r="BQ196">
        <v>2.8281499999999999</v>
      </c>
      <c r="BR196">
        <v>0.93264999999999998</v>
      </c>
      <c r="BS196">
        <v>23.049299999999999</v>
      </c>
      <c r="BT196">
        <v>5.9046399999999997</v>
      </c>
      <c r="BU196">
        <v>1799.99</v>
      </c>
      <c r="BV196">
        <v>0.91002099999999997</v>
      </c>
      <c r="BW196">
        <v>3.4002400000000002E-2</v>
      </c>
      <c r="BX196">
        <v>2.19911E-2</v>
      </c>
      <c r="BY196">
        <v>3.3986099999999998E-2</v>
      </c>
      <c r="BZ196">
        <v>25</v>
      </c>
      <c r="CA196">
        <v>33528.400000000001</v>
      </c>
      <c r="CB196">
        <v>1690200769.5</v>
      </c>
      <c r="CC196" t="s">
        <v>332</v>
      </c>
      <c r="CD196">
        <v>1690200769.5</v>
      </c>
      <c r="CE196">
        <v>1690200753</v>
      </c>
      <c r="CF196">
        <v>2</v>
      </c>
      <c r="CG196">
        <v>-0.245</v>
      </c>
      <c r="CH196">
        <v>3.0000000000000001E-3</v>
      </c>
      <c r="CI196">
        <v>-1.5169999999999999</v>
      </c>
      <c r="CJ196">
        <v>-1.6E-2</v>
      </c>
      <c r="CK196">
        <v>778</v>
      </c>
      <c r="CL196">
        <v>12</v>
      </c>
      <c r="CM196">
        <v>0.01</v>
      </c>
      <c r="CN196">
        <v>0.03</v>
      </c>
      <c r="CO196">
        <v>-472.09025000000003</v>
      </c>
      <c r="CP196">
        <v>-2.4264765478405161</v>
      </c>
      <c r="CQ196">
        <v>0.24654175609823109</v>
      </c>
      <c r="CR196">
        <v>-1</v>
      </c>
      <c r="CS196">
        <v>19.125084999999999</v>
      </c>
      <c r="CT196">
        <v>0.1077320825515421</v>
      </c>
      <c r="CU196">
        <v>1.0385459787606769E-2</v>
      </c>
      <c r="CV196">
        <v>-1</v>
      </c>
      <c r="CW196">
        <v>0</v>
      </c>
      <c r="CX196">
        <v>0</v>
      </c>
      <c r="CY196" t="s">
        <v>333</v>
      </c>
      <c r="CZ196">
        <v>2.36531</v>
      </c>
      <c r="DA196">
        <v>2.7137500000000001</v>
      </c>
      <c r="DB196">
        <v>7.6848100000000003E-2</v>
      </c>
      <c r="DC196">
        <v>0.14630499999999999</v>
      </c>
      <c r="DD196">
        <v>0.12880900000000001</v>
      </c>
      <c r="DE196">
        <v>5.6557299999999998E-2</v>
      </c>
      <c r="DF196">
        <v>33681.4</v>
      </c>
      <c r="DG196">
        <v>27450.1</v>
      </c>
      <c r="DH196">
        <v>31144.7</v>
      </c>
      <c r="DI196">
        <v>28015.5</v>
      </c>
      <c r="DJ196">
        <v>36812.9</v>
      </c>
      <c r="DK196">
        <v>37555.9</v>
      </c>
      <c r="DL196">
        <v>44313.3</v>
      </c>
      <c r="DM196">
        <v>42427.5</v>
      </c>
      <c r="DN196">
        <v>1.44278</v>
      </c>
      <c r="DO196">
        <v>2.0707200000000001</v>
      </c>
      <c r="DP196">
        <v>0.13764899999999999</v>
      </c>
      <c r="DQ196">
        <v>0.17374800000000001</v>
      </c>
      <c r="DR196">
        <v>24.7469</v>
      </c>
      <c r="DS196">
        <v>24.645099999999999</v>
      </c>
      <c r="DT196">
        <v>32.799999999999997</v>
      </c>
      <c r="DU196">
        <v>26.1</v>
      </c>
      <c r="DV196">
        <v>11.243600000000001</v>
      </c>
      <c r="DW196">
        <v>61.665399999999998</v>
      </c>
      <c r="DX196">
        <v>35.9696</v>
      </c>
      <c r="DY196">
        <v>1</v>
      </c>
      <c r="DZ196">
        <v>-0.15318899999999999</v>
      </c>
      <c r="EA196">
        <v>-6.5343100000000001E-2</v>
      </c>
      <c r="EB196">
        <v>20.191800000000001</v>
      </c>
      <c r="EC196">
        <v>5.242</v>
      </c>
      <c r="ED196">
        <v>12.039899999999999</v>
      </c>
      <c r="EE196">
        <v>5.0174000000000003</v>
      </c>
      <c r="EF196">
        <v>3.2879999999999998</v>
      </c>
      <c r="EG196">
        <v>9999</v>
      </c>
      <c r="EH196">
        <v>9999</v>
      </c>
      <c r="EI196">
        <v>9999</v>
      </c>
      <c r="EJ196">
        <v>999.9</v>
      </c>
      <c r="EK196">
        <v>1.86887</v>
      </c>
      <c r="EL196">
        <v>1.86449</v>
      </c>
      <c r="EM196">
        <v>1.8690599999999999</v>
      </c>
      <c r="EN196">
        <v>1.8671800000000001</v>
      </c>
      <c r="EO196">
        <v>1.8633200000000001</v>
      </c>
      <c r="EP196">
        <v>1.8644000000000001</v>
      </c>
      <c r="EQ196">
        <v>1.87012</v>
      </c>
      <c r="ER196">
        <v>1.8693500000000001</v>
      </c>
      <c r="ES196">
        <v>0</v>
      </c>
      <c r="ET196">
        <v>0</v>
      </c>
      <c r="EU196">
        <v>0</v>
      </c>
      <c r="EV196">
        <v>0</v>
      </c>
      <c r="EW196" t="s">
        <v>334</v>
      </c>
      <c r="EX196" t="s">
        <v>335</v>
      </c>
      <c r="EY196" t="s">
        <v>336</v>
      </c>
      <c r="EZ196" t="s">
        <v>336</v>
      </c>
      <c r="FA196" t="s">
        <v>336</v>
      </c>
      <c r="FB196" t="s">
        <v>336</v>
      </c>
      <c r="FC196">
        <v>0</v>
      </c>
      <c r="FD196">
        <v>100</v>
      </c>
      <c r="FE196">
        <v>100</v>
      </c>
      <c r="FF196">
        <v>-1.198</v>
      </c>
      <c r="FG196">
        <v>0.17829999999999999</v>
      </c>
      <c r="FH196">
        <v>-0.98020551812546231</v>
      </c>
      <c r="FI196">
        <v>-6.1462078757559423E-4</v>
      </c>
      <c r="FJ196">
        <v>-1.8861989874597051E-7</v>
      </c>
      <c r="FK196">
        <v>1.1980462299894961E-10</v>
      </c>
      <c r="FL196">
        <v>0.1782306200647516</v>
      </c>
      <c r="FM196">
        <v>0</v>
      </c>
      <c r="FN196">
        <v>0</v>
      </c>
      <c r="FO196">
        <v>0</v>
      </c>
      <c r="FP196">
        <v>3</v>
      </c>
      <c r="FQ196">
        <v>2158</v>
      </c>
      <c r="FR196">
        <v>1</v>
      </c>
      <c r="FS196">
        <v>19</v>
      </c>
      <c r="FT196">
        <v>31.9</v>
      </c>
      <c r="FU196">
        <v>32.200000000000003</v>
      </c>
      <c r="FV196">
        <v>1.7773399999999999</v>
      </c>
      <c r="FW196">
        <v>2.5463900000000002</v>
      </c>
      <c r="FX196">
        <v>1.5490699999999999</v>
      </c>
      <c r="FY196">
        <v>2.34131</v>
      </c>
      <c r="FZ196">
        <v>1.50024</v>
      </c>
      <c r="GA196">
        <v>2.3852500000000001</v>
      </c>
      <c r="GB196">
        <v>31.324400000000001</v>
      </c>
      <c r="GC196">
        <v>23.991199999999999</v>
      </c>
      <c r="GD196">
        <v>19</v>
      </c>
      <c r="GE196">
        <v>265.815</v>
      </c>
      <c r="GF196">
        <v>603.01300000000003</v>
      </c>
      <c r="GG196">
        <v>24.367999999999999</v>
      </c>
      <c r="GH196">
        <v>25.4924</v>
      </c>
      <c r="GI196">
        <v>29.9999</v>
      </c>
      <c r="GJ196">
        <v>25.608599999999999</v>
      </c>
      <c r="GK196">
        <v>25.5749</v>
      </c>
      <c r="GL196">
        <v>35.539000000000001</v>
      </c>
      <c r="GM196">
        <v>-30</v>
      </c>
      <c r="GN196">
        <v>-30</v>
      </c>
      <c r="GO196">
        <v>24.328700000000001</v>
      </c>
      <c r="GP196">
        <v>800</v>
      </c>
      <c r="GQ196">
        <v>12.5298</v>
      </c>
      <c r="GR196">
        <v>99.638499999999993</v>
      </c>
      <c r="GS196">
        <v>99.284599999999998</v>
      </c>
    </row>
    <row r="197" spans="1:201" x14ac:dyDescent="0.25">
      <c r="A197">
        <v>181</v>
      </c>
      <c r="B197">
        <v>1690202695.5999999</v>
      </c>
      <c r="C197">
        <v>1848.599999904633</v>
      </c>
      <c r="D197" t="s">
        <v>695</v>
      </c>
      <c r="E197" t="s">
        <v>696</v>
      </c>
      <c r="F197" t="s">
        <v>330</v>
      </c>
      <c r="H197">
        <v>1690202695.5999999</v>
      </c>
      <c r="I197">
        <f t="shared" si="60"/>
        <v>1.776778757934402E-3</v>
      </c>
      <c r="J197">
        <f t="shared" si="61"/>
        <v>1.7767787579344021</v>
      </c>
      <c r="K197">
        <f t="shared" si="62"/>
        <v>42.031253952997083</v>
      </c>
      <c r="L197">
        <f t="shared" si="63"/>
        <v>327.13400000000001</v>
      </c>
      <c r="M197">
        <f t="shared" si="64"/>
        <v>-6.0824027199957751</v>
      </c>
      <c r="N197">
        <f t="shared" si="65"/>
        <v>-0.60281327858467493</v>
      </c>
      <c r="O197">
        <f t="shared" si="66"/>
        <v>32.42151632417</v>
      </c>
      <c r="P197">
        <f t="shared" si="67"/>
        <v>0.21304642393426371</v>
      </c>
      <c r="Q197">
        <f t="shared" si="68"/>
        <v>2.0814694251501096</v>
      </c>
      <c r="R197">
        <f t="shared" si="69"/>
        <v>0.20163092102422669</v>
      </c>
      <c r="S197">
        <f t="shared" si="70"/>
        <v>0.12699396679364533</v>
      </c>
      <c r="T197">
        <f t="shared" si="71"/>
        <v>276.11396584199997</v>
      </c>
      <c r="U197">
        <f t="shared" si="72"/>
        <v>27.451856366346025</v>
      </c>
      <c r="V197">
        <f t="shared" si="73"/>
        <v>27.451856366346025</v>
      </c>
      <c r="W197">
        <f t="shared" si="74"/>
        <v>3.6752531637459822</v>
      </c>
      <c r="X197">
        <f t="shared" si="75"/>
        <v>84.618653911823685</v>
      </c>
      <c r="Y197">
        <f t="shared" si="76"/>
        <v>2.8305769474530003</v>
      </c>
      <c r="Z197">
        <f t="shared" si="77"/>
        <v>3.3450980565143289</v>
      </c>
      <c r="AA197">
        <f t="shared" si="78"/>
        <v>0.84467621629298195</v>
      </c>
      <c r="AB197">
        <f t="shared" si="79"/>
        <v>-78.355943224907122</v>
      </c>
      <c r="AC197">
        <f t="shared" si="80"/>
        <v>-179.37266676648204</v>
      </c>
      <c r="AD197">
        <f t="shared" si="81"/>
        <v>-18.533387227880912</v>
      </c>
      <c r="AE197">
        <f t="shared" si="82"/>
        <v>-0.14803137727008675</v>
      </c>
      <c r="AF197">
        <v>13</v>
      </c>
      <c r="AG197">
        <v>4</v>
      </c>
      <c r="AH197">
        <f t="shared" si="83"/>
        <v>1</v>
      </c>
      <c r="AI197">
        <f t="shared" si="84"/>
        <v>0</v>
      </c>
      <c r="AJ197">
        <f t="shared" si="85"/>
        <v>52603.72803894036</v>
      </c>
      <c r="AK197">
        <f t="shared" si="86"/>
        <v>1800</v>
      </c>
      <c r="AL197">
        <f t="shared" si="87"/>
        <v>1499.1118271999999</v>
      </c>
      <c r="AM197">
        <f t="shared" si="88"/>
        <v>0.83283990399999996</v>
      </c>
      <c r="AN197">
        <f t="shared" si="89"/>
        <v>0.15339664769</v>
      </c>
      <c r="AO197">
        <v>33.299999999999997</v>
      </c>
      <c r="AP197">
        <v>0.5</v>
      </c>
      <c r="AQ197" t="s">
        <v>331</v>
      </c>
      <c r="AR197">
        <v>2</v>
      </c>
      <c r="AS197">
        <v>1690202695.5999999</v>
      </c>
      <c r="AT197">
        <v>327.13400000000001</v>
      </c>
      <c r="AU197">
        <v>799.98299999999995</v>
      </c>
      <c r="AV197">
        <v>28.560600000000001</v>
      </c>
      <c r="AW197">
        <v>9.4077000000000002</v>
      </c>
      <c r="AX197">
        <v>328.33199999999999</v>
      </c>
      <c r="AY197">
        <v>28.382300000000001</v>
      </c>
      <c r="AZ197">
        <v>300.09500000000003</v>
      </c>
      <c r="BA197">
        <v>99.0077</v>
      </c>
      <c r="BB197">
        <v>0.10005500000000001</v>
      </c>
      <c r="BC197">
        <v>25.853400000000001</v>
      </c>
      <c r="BD197">
        <v>26.980599999999999</v>
      </c>
      <c r="BE197">
        <v>27.4681</v>
      </c>
      <c r="BF197">
        <v>0</v>
      </c>
      <c r="BG197">
        <v>0</v>
      </c>
      <c r="BH197">
        <v>10010</v>
      </c>
      <c r="BI197">
        <v>1074.45</v>
      </c>
      <c r="BJ197">
        <v>1.5137799999999999</v>
      </c>
      <c r="BK197">
        <v>-472.85</v>
      </c>
      <c r="BL197">
        <v>336.75200000000001</v>
      </c>
      <c r="BM197">
        <v>807.58100000000002</v>
      </c>
      <c r="BN197">
        <v>19.152899999999999</v>
      </c>
      <c r="BO197">
        <v>799.98299999999995</v>
      </c>
      <c r="BP197">
        <v>9.4077000000000002</v>
      </c>
      <c r="BQ197">
        <v>2.8277199999999998</v>
      </c>
      <c r="BR197">
        <v>0.93143399999999998</v>
      </c>
      <c r="BS197">
        <v>23.046800000000001</v>
      </c>
      <c r="BT197">
        <v>5.8857900000000001</v>
      </c>
      <c r="BU197">
        <v>1800</v>
      </c>
      <c r="BV197">
        <v>0.91001399999999999</v>
      </c>
      <c r="BW197">
        <v>3.4001799999999999E-2</v>
      </c>
      <c r="BX197">
        <v>2.1990699999999998E-2</v>
      </c>
      <c r="BY197">
        <v>3.3993299999999997E-2</v>
      </c>
      <c r="BZ197">
        <v>25</v>
      </c>
      <c r="CA197">
        <v>33528.5</v>
      </c>
      <c r="CB197">
        <v>1690200769.5</v>
      </c>
      <c r="CC197" t="s">
        <v>332</v>
      </c>
      <c r="CD197">
        <v>1690200769.5</v>
      </c>
      <c r="CE197">
        <v>1690200753</v>
      </c>
      <c r="CF197">
        <v>2</v>
      </c>
      <c r="CG197">
        <v>-0.245</v>
      </c>
      <c r="CH197">
        <v>3.0000000000000001E-3</v>
      </c>
      <c r="CI197">
        <v>-1.5169999999999999</v>
      </c>
      <c r="CJ197">
        <v>-1.6E-2</v>
      </c>
      <c r="CK197">
        <v>778</v>
      </c>
      <c r="CL197">
        <v>12</v>
      </c>
      <c r="CM197">
        <v>0.01</v>
      </c>
      <c r="CN197">
        <v>0.03</v>
      </c>
      <c r="CO197">
        <v>-472.48504878048789</v>
      </c>
      <c r="CP197">
        <v>-1.996327526131833</v>
      </c>
      <c r="CQ197">
        <v>0.21040796043777549</v>
      </c>
      <c r="CR197">
        <v>-1</v>
      </c>
      <c r="CS197">
        <v>19.141509756097559</v>
      </c>
      <c r="CT197">
        <v>8.6533797909437368E-2</v>
      </c>
      <c r="CU197">
        <v>8.7134548293122671E-3</v>
      </c>
      <c r="CV197">
        <v>-1</v>
      </c>
      <c r="CW197">
        <v>0</v>
      </c>
      <c r="CX197">
        <v>0</v>
      </c>
      <c r="CY197" t="s">
        <v>333</v>
      </c>
      <c r="CZ197">
        <v>2.3650500000000001</v>
      </c>
      <c r="DA197">
        <v>2.7138499999999999</v>
      </c>
      <c r="DB197">
        <v>7.6796199999999995E-2</v>
      </c>
      <c r="DC197">
        <v>0.14630199999999999</v>
      </c>
      <c r="DD197">
        <v>0.12879599999999999</v>
      </c>
      <c r="DE197">
        <v>5.6500099999999998E-2</v>
      </c>
      <c r="DF197">
        <v>33683.699999999997</v>
      </c>
      <c r="DG197">
        <v>27450</v>
      </c>
      <c r="DH197">
        <v>31145.1</v>
      </c>
      <c r="DI197">
        <v>28015.3</v>
      </c>
      <c r="DJ197">
        <v>36813.800000000003</v>
      </c>
      <c r="DK197">
        <v>37557.800000000003</v>
      </c>
      <c r="DL197">
        <v>44313.7</v>
      </c>
      <c r="DM197">
        <v>42427.199999999997</v>
      </c>
      <c r="DN197">
        <v>1.4423999999999999</v>
      </c>
      <c r="DO197">
        <v>2.0705200000000001</v>
      </c>
      <c r="DP197">
        <v>0.13645699999999999</v>
      </c>
      <c r="DQ197">
        <v>0.172295</v>
      </c>
      <c r="DR197">
        <v>24.744900000000001</v>
      </c>
      <c r="DS197">
        <v>24.646000000000001</v>
      </c>
      <c r="DT197">
        <v>32.700000000000003</v>
      </c>
      <c r="DU197">
        <v>26.2</v>
      </c>
      <c r="DV197">
        <v>11.277200000000001</v>
      </c>
      <c r="DW197">
        <v>61.6554</v>
      </c>
      <c r="DX197">
        <v>36.061700000000002</v>
      </c>
      <c r="DY197">
        <v>1</v>
      </c>
      <c r="DZ197">
        <v>-0.15303900000000001</v>
      </c>
      <c r="EA197">
        <v>3.03105E-3</v>
      </c>
      <c r="EB197">
        <v>20.191700000000001</v>
      </c>
      <c r="EC197">
        <v>5.2416999999999998</v>
      </c>
      <c r="ED197">
        <v>12.039899999999999</v>
      </c>
      <c r="EE197">
        <v>5.0175000000000001</v>
      </c>
      <c r="EF197">
        <v>3.2879999999999998</v>
      </c>
      <c r="EG197">
        <v>9999</v>
      </c>
      <c r="EH197">
        <v>9999</v>
      </c>
      <c r="EI197">
        <v>9999</v>
      </c>
      <c r="EJ197">
        <v>999.9</v>
      </c>
      <c r="EK197">
        <v>1.8688400000000001</v>
      </c>
      <c r="EL197">
        <v>1.8645</v>
      </c>
      <c r="EM197">
        <v>1.86907</v>
      </c>
      <c r="EN197">
        <v>1.86714</v>
      </c>
      <c r="EO197">
        <v>1.8633200000000001</v>
      </c>
      <c r="EP197">
        <v>1.86439</v>
      </c>
      <c r="EQ197">
        <v>1.87012</v>
      </c>
      <c r="ER197">
        <v>1.86934</v>
      </c>
      <c r="ES197">
        <v>0</v>
      </c>
      <c r="ET197">
        <v>0</v>
      </c>
      <c r="EU197">
        <v>0</v>
      </c>
      <c r="EV197">
        <v>0</v>
      </c>
      <c r="EW197" t="s">
        <v>334</v>
      </c>
      <c r="EX197" t="s">
        <v>335</v>
      </c>
      <c r="EY197" t="s">
        <v>336</v>
      </c>
      <c r="EZ197" t="s">
        <v>336</v>
      </c>
      <c r="FA197" t="s">
        <v>336</v>
      </c>
      <c r="FB197" t="s">
        <v>336</v>
      </c>
      <c r="FC197">
        <v>0</v>
      </c>
      <c r="FD197">
        <v>100</v>
      </c>
      <c r="FE197">
        <v>100</v>
      </c>
      <c r="FF197">
        <v>-1.198</v>
      </c>
      <c r="FG197">
        <v>0.17829999999999999</v>
      </c>
      <c r="FH197">
        <v>-0.98020551812546231</v>
      </c>
      <c r="FI197">
        <v>-6.1462078757559423E-4</v>
      </c>
      <c r="FJ197">
        <v>-1.8861989874597051E-7</v>
      </c>
      <c r="FK197">
        <v>1.1980462299894961E-10</v>
      </c>
      <c r="FL197">
        <v>0.1782306200647516</v>
      </c>
      <c r="FM197">
        <v>0</v>
      </c>
      <c r="FN197">
        <v>0</v>
      </c>
      <c r="FO197">
        <v>0</v>
      </c>
      <c r="FP197">
        <v>3</v>
      </c>
      <c r="FQ197">
        <v>2158</v>
      </c>
      <c r="FR197">
        <v>1</v>
      </c>
      <c r="FS197">
        <v>19</v>
      </c>
      <c r="FT197">
        <v>32.1</v>
      </c>
      <c r="FU197">
        <v>32.4</v>
      </c>
      <c r="FV197">
        <v>1.7773399999999999</v>
      </c>
      <c r="FW197">
        <v>2.5451700000000002</v>
      </c>
      <c r="FX197">
        <v>1.5490699999999999</v>
      </c>
      <c r="FY197">
        <v>2.34009</v>
      </c>
      <c r="FZ197">
        <v>1.50146</v>
      </c>
      <c r="GA197">
        <v>2.3791500000000001</v>
      </c>
      <c r="GB197">
        <v>31.3462</v>
      </c>
      <c r="GC197">
        <v>23.991199999999999</v>
      </c>
      <c r="GD197">
        <v>19</v>
      </c>
      <c r="GE197">
        <v>265.66800000000001</v>
      </c>
      <c r="GF197">
        <v>602.86300000000006</v>
      </c>
      <c r="GG197">
        <v>24.322600000000001</v>
      </c>
      <c r="GH197">
        <v>25.494499999999999</v>
      </c>
      <c r="GI197">
        <v>30</v>
      </c>
      <c r="GJ197">
        <v>25.6097</v>
      </c>
      <c r="GK197">
        <v>25.576499999999999</v>
      </c>
      <c r="GL197">
        <v>35.542099999999998</v>
      </c>
      <c r="GM197">
        <v>-30</v>
      </c>
      <c r="GN197">
        <v>-30</v>
      </c>
      <c r="GO197">
        <v>24.3262</v>
      </c>
      <c r="GP197">
        <v>800</v>
      </c>
      <c r="GQ197">
        <v>12.5298</v>
      </c>
      <c r="GR197">
        <v>99.639499999999998</v>
      </c>
      <c r="GS197">
        <v>99.283799999999999</v>
      </c>
    </row>
    <row r="198" spans="1:201" x14ac:dyDescent="0.25">
      <c r="A198">
        <v>182</v>
      </c>
      <c r="B198">
        <v>1690202705.5999999</v>
      </c>
      <c r="C198">
        <v>1858.599999904633</v>
      </c>
      <c r="D198" t="s">
        <v>697</v>
      </c>
      <c r="E198" t="s">
        <v>698</v>
      </c>
      <c r="F198" t="s">
        <v>330</v>
      </c>
      <c r="H198">
        <v>1690202705.5999999</v>
      </c>
      <c r="I198">
        <f t="shared" si="60"/>
        <v>1.777693065764891E-3</v>
      </c>
      <c r="J198">
        <f t="shared" si="61"/>
        <v>1.7776930657648911</v>
      </c>
      <c r="K198">
        <f t="shared" si="62"/>
        <v>42.085825007653391</v>
      </c>
      <c r="L198">
        <f t="shared" si="63"/>
        <v>326.60199999999998</v>
      </c>
      <c r="M198">
        <f t="shared" si="64"/>
        <v>-6.8126725614941179</v>
      </c>
      <c r="N198">
        <f t="shared" si="65"/>
        <v>-0.67522007591494482</v>
      </c>
      <c r="O198">
        <f t="shared" si="66"/>
        <v>32.370295980526002</v>
      </c>
      <c r="P198">
        <f t="shared" si="67"/>
        <v>0.21319849364806656</v>
      </c>
      <c r="Q198">
        <f t="shared" si="68"/>
        <v>2.081030667127441</v>
      </c>
      <c r="R198">
        <f t="shared" si="69"/>
        <v>0.20176488658574732</v>
      </c>
      <c r="S198">
        <f t="shared" si="70"/>
        <v>0.12707919635655895</v>
      </c>
      <c r="T198">
        <f t="shared" si="71"/>
        <v>276.11426411999997</v>
      </c>
      <c r="U198">
        <f t="shared" si="72"/>
        <v>27.449142509666842</v>
      </c>
      <c r="V198">
        <f t="shared" si="73"/>
        <v>27.449142509666842</v>
      </c>
      <c r="W198">
        <f t="shared" si="74"/>
        <v>3.6746693706284304</v>
      </c>
      <c r="X198">
        <f t="shared" si="75"/>
        <v>84.617158615769725</v>
      </c>
      <c r="Y198">
        <f t="shared" si="76"/>
        <v>2.8300742355746</v>
      </c>
      <c r="Z198">
        <f t="shared" si="77"/>
        <v>3.3445630671970727</v>
      </c>
      <c r="AA198">
        <f t="shared" si="78"/>
        <v>0.84459513505383033</v>
      </c>
      <c r="AB198">
        <f t="shared" si="79"/>
        <v>-78.396264200231698</v>
      </c>
      <c r="AC198">
        <f t="shared" si="80"/>
        <v>-179.33330174823132</v>
      </c>
      <c r="AD198">
        <f t="shared" si="81"/>
        <v>-18.532724307776576</v>
      </c>
      <c r="AE198">
        <f t="shared" si="82"/>
        <v>-0.14802613623962202</v>
      </c>
      <c r="AF198">
        <v>13</v>
      </c>
      <c r="AG198">
        <v>4</v>
      </c>
      <c r="AH198">
        <f t="shared" si="83"/>
        <v>1</v>
      </c>
      <c r="AI198">
        <f t="shared" si="84"/>
        <v>0</v>
      </c>
      <c r="AJ198">
        <f t="shared" si="85"/>
        <v>52584.472810872852</v>
      </c>
      <c r="AK198">
        <f t="shared" si="86"/>
        <v>1800</v>
      </c>
      <c r="AL198">
        <f t="shared" si="87"/>
        <v>1499.1115859999998</v>
      </c>
      <c r="AM198">
        <f t="shared" si="88"/>
        <v>0.83283976999999987</v>
      </c>
      <c r="AN198">
        <f t="shared" si="89"/>
        <v>0.1533968134</v>
      </c>
      <c r="AO198">
        <v>33.299999999999997</v>
      </c>
      <c r="AP198">
        <v>0.5</v>
      </c>
      <c r="AQ198" t="s">
        <v>331</v>
      </c>
      <c r="AR198">
        <v>2</v>
      </c>
      <c r="AS198">
        <v>1690202705.5999999</v>
      </c>
      <c r="AT198">
        <v>326.60199999999998</v>
      </c>
      <c r="AU198">
        <v>799.95</v>
      </c>
      <c r="AV198">
        <v>28.554200000000002</v>
      </c>
      <c r="AW198">
        <v>9.3953399999999991</v>
      </c>
      <c r="AX198">
        <v>327.8</v>
      </c>
      <c r="AY198">
        <v>28.376000000000001</v>
      </c>
      <c r="AZ198">
        <v>300.15800000000002</v>
      </c>
      <c r="BA198">
        <v>99.012299999999996</v>
      </c>
      <c r="BB198">
        <v>0.100063</v>
      </c>
      <c r="BC198">
        <v>25.8507</v>
      </c>
      <c r="BD198">
        <v>26.9803</v>
      </c>
      <c r="BE198">
        <v>27.4893</v>
      </c>
      <c r="BF198">
        <v>0</v>
      </c>
      <c r="BG198">
        <v>0</v>
      </c>
      <c r="BH198">
        <v>10005.6</v>
      </c>
      <c r="BI198">
        <v>1074.3900000000001</v>
      </c>
      <c r="BJ198">
        <v>1.5137799999999999</v>
      </c>
      <c r="BK198">
        <v>-473.34800000000001</v>
      </c>
      <c r="BL198">
        <v>336.202</v>
      </c>
      <c r="BM198">
        <v>807.53700000000003</v>
      </c>
      <c r="BN198">
        <v>19.158899999999999</v>
      </c>
      <c r="BO198">
        <v>799.95</v>
      </c>
      <c r="BP198">
        <v>9.3953399999999991</v>
      </c>
      <c r="BQ198">
        <v>2.8272200000000001</v>
      </c>
      <c r="BR198">
        <v>0.93025400000000003</v>
      </c>
      <c r="BS198">
        <v>23.043900000000001</v>
      </c>
      <c r="BT198">
        <v>5.86747</v>
      </c>
      <c r="BU198">
        <v>1800</v>
      </c>
      <c r="BV198">
        <v>0.91000999999999999</v>
      </c>
      <c r="BW198">
        <v>3.4001299999999998E-2</v>
      </c>
      <c r="BX198">
        <v>2.1992999999999999E-2</v>
      </c>
      <c r="BY198">
        <v>3.3995400000000002E-2</v>
      </c>
      <c r="BZ198">
        <v>25</v>
      </c>
      <c r="CA198">
        <v>33528.5</v>
      </c>
      <c r="CB198">
        <v>1690200769.5</v>
      </c>
      <c r="CC198" t="s">
        <v>332</v>
      </c>
      <c r="CD198">
        <v>1690200769.5</v>
      </c>
      <c r="CE198">
        <v>1690200753</v>
      </c>
      <c r="CF198">
        <v>2</v>
      </c>
      <c r="CG198">
        <v>-0.245</v>
      </c>
      <c r="CH198">
        <v>3.0000000000000001E-3</v>
      </c>
      <c r="CI198">
        <v>-1.5169999999999999</v>
      </c>
      <c r="CJ198">
        <v>-1.6E-2</v>
      </c>
      <c r="CK198">
        <v>778</v>
      </c>
      <c r="CL198">
        <v>12</v>
      </c>
      <c r="CM198">
        <v>0.01</v>
      </c>
      <c r="CN198">
        <v>0.03</v>
      </c>
      <c r="CO198">
        <v>-472.82221951219509</v>
      </c>
      <c r="CP198">
        <v>-2.1677770034852601</v>
      </c>
      <c r="CQ198">
        <v>0.2335009805374666</v>
      </c>
      <c r="CR198">
        <v>-1</v>
      </c>
      <c r="CS198">
        <v>19.152251219512191</v>
      </c>
      <c r="CT198">
        <v>4.2947038327531412E-2</v>
      </c>
      <c r="CU198">
        <v>4.2659812556744524E-3</v>
      </c>
      <c r="CV198">
        <v>-1</v>
      </c>
      <c r="CW198">
        <v>0</v>
      </c>
      <c r="CX198">
        <v>0</v>
      </c>
      <c r="CY198" t="s">
        <v>333</v>
      </c>
      <c r="CZ198">
        <v>2.3652700000000002</v>
      </c>
      <c r="DA198">
        <v>2.7138599999999999</v>
      </c>
      <c r="DB198">
        <v>7.6700299999999999E-2</v>
      </c>
      <c r="DC198">
        <v>0.14630299999999999</v>
      </c>
      <c r="DD198">
        <v>0.12878200000000001</v>
      </c>
      <c r="DE198">
        <v>5.6444800000000003E-2</v>
      </c>
      <c r="DF198">
        <v>33686.800000000003</v>
      </c>
      <c r="DG198">
        <v>27450.2</v>
      </c>
      <c r="DH198">
        <v>31144.7</v>
      </c>
      <c r="DI198">
        <v>28015.599999999999</v>
      </c>
      <c r="DJ198">
        <v>36814.199999999997</v>
      </c>
      <c r="DK198">
        <v>37560.5</v>
      </c>
      <c r="DL198">
        <v>44313.4</v>
      </c>
      <c r="DM198">
        <v>42427.7</v>
      </c>
      <c r="DN198">
        <v>1.4424300000000001</v>
      </c>
      <c r="DO198">
        <v>2.0703299999999998</v>
      </c>
      <c r="DP198">
        <v>0.13630800000000001</v>
      </c>
      <c r="DQ198">
        <v>0.17352400000000001</v>
      </c>
      <c r="DR198">
        <v>24.7469</v>
      </c>
      <c r="DS198">
        <v>24.647200000000002</v>
      </c>
      <c r="DT198">
        <v>32.700000000000003</v>
      </c>
      <c r="DU198">
        <v>26.2</v>
      </c>
      <c r="DV198">
        <v>11.2753</v>
      </c>
      <c r="DW198">
        <v>61.855400000000003</v>
      </c>
      <c r="DX198">
        <v>36.806899999999999</v>
      </c>
      <c r="DY198">
        <v>1</v>
      </c>
      <c r="DZ198">
        <v>-0.152777</v>
      </c>
      <c r="EA198">
        <v>-0.101024</v>
      </c>
      <c r="EB198">
        <v>20.191700000000001</v>
      </c>
      <c r="EC198">
        <v>5.24125</v>
      </c>
      <c r="ED198">
        <v>12.039899999999999</v>
      </c>
      <c r="EE198">
        <v>5.0174000000000003</v>
      </c>
      <c r="EF198">
        <v>3.2879999999999998</v>
      </c>
      <c r="EG198">
        <v>9999</v>
      </c>
      <c r="EH198">
        <v>9999</v>
      </c>
      <c r="EI198">
        <v>9999</v>
      </c>
      <c r="EJ198">
        <v>999.9</v>
      </c>
      <c r="EK198">
        <v>1.86886</v>
      </c>
      <c r="EL198">
        <v>1.86449</v>
      </c>
      <c r="EM198">
        <v>1.86907</v>
      </c>
      <c r="EN198">
        <v>1.8671800000000001</v>
      </c>
      <c r="EO198">
        <v>1.8633299999999999</v>
      </c>
      <c r="EP198">
        <v>1.8644099999999999</v>
      </c>
      <c r="EQ198">
        <v>1.87012</v>
      </c>
      <c r="ER198">
        <v>1.8693500000000001</v>
      </c>
      <c r="ES198">
        <v>0</v>
      </c>
      <c r="ET198">
        <v>0</v>
      </c>
      <c r="EU198">
        <v>0</v>
      </c>
      <c r="EV198">
        <v>0</v>
      </c>
      <c r="EW198" t="s">
        <v>334</v>
      </c>
      <c r="EX198" t="s">
        <v>335</v>
      </c>
      <c r="EY198" t="s">
        <v>336</v>
      </c>
      <c r="EZ198" t="s">
        <v>336</v>
      </c>
      <c r="FA198" t="s">
        <v>336</v>
      </c>
      <c r="FB198" t="s">
        <v>336</v>
      </c>
      <c r="FC198">
        <v>0</v>
      </c>
      <c r="FD198">
        <v>100</v>
      </c>
      <c r="FE198">
        <v>100</v>
      </c>
      <c r="FF198">
        <v>-1.198</v>
      </c>
      <c r="FG198">
        <v>0.1782</v>
      </c>
      <c r="FH198">
        <v>-0.98020551812546231</v>
      </c>
      <c r="FI198">
        <v>-6.1462078757559423E-4</v>
      </c>
      <c r="FJ198">
        <v>-1.8861989874597051E-7</v>
      </c>
      <c r="FK198">
        <v>1.1980462299894961E-10</v>
      </c>
      <c r="FL198">
        <v>0.1782306200647516</v>
      </c>
      <c r="FM198">
        <v>0</v>
      </c>
      <c r="FN198">
        <v>0</v>
      </c>
      <c r="FO198">
        <v>0</v>
      </c>
      <c r="FP198">
        <v>3</v>
      </c>
      <c r="FQ198">
        <v>2158</v>
      </c>
      <c r="FR198">
        <v>1</v>
      </c>
      <c r="FS198">
        <v>19</v>
      </c>
      <c r="FT198">
        <v>32.299999999999997</v>
      </c>
      <c r="FU198">
        <v>32.5</v>
      </c>
      <c r="FV198">
        <v>1.7773399999999999</v>
      </c>
      <c r="FW198">
        <v>2.5463900000000002</v>
      </c>
      <c r="FX198">
        <v>1.5490699999999999</v>
      </c>
      <c r="FY198">
        <v>2.34009</v>
      </c>
      <c r="FZ198">
        <v>1.50146</v>
      </c>
      <c r="GA198">
        <v>2.34985</v>
      </c>
      <c r="GB198">
        <v>31.3462</v>
      </c>
      <c r="GC198">
        <v>23.991199999999999</v>
      </c>
      <c r="GD198">
        <v>19</v>
      </c>
      <c r="GE198">
        <v>265.678</v>
      </c>
      <c r="GF198">
        <v>602.71900000000005</v>
      </c>
      <c r="GG198">
        <v>24.3308</v>
      </c>
      <c r="GH198">
        <v>25.494499999999999</v>
      </c>
      <c r="GI198">
        <v>30.0002</v>
      </c>
      <c r="GJ198">
        <v>25.6097</v>
      </c>
      <c r="GK198">
        <v>25.578600000000002</v>
      </c>
      <c r="GL198">
        <v>35.543100000000003</v>
      </c>
      <c r="GM198">
        <v>-30</v>
      </c>
      <c r="GN198">
        <v>-30</v>
      </c>
      <c r="GO198">
        <v>24.347999999999999</v>
      </c>
      <c r="GP198">
        <v>800</v>
      </c>
      <c r="GQ198">
        <v>12.5298</v>
      </c>
      <c r="GR198">
        <v>99.6387</v>
      </c>
      <c r="GS198">
        <v>99.284899999999993</v>
      </c>
    </row>
    <row r="199" spans="1:201" x14ac:dyDescent="0.25">
      <c r="A199">
        <v>183</v>
      </c>
      <c r="B199">
        <v>1690202715.5999999</v>
      </c>
      <c r="C199">
        <v>1868.599999904633</v>
      </c>
      <c r="D199" t="s">
        <v>699</v>
      </c>
      <c r="E199" t="s">
        <v>700</v>
      </c>
      <c r="F199" t="s">
        <v>330</v>
      </c>
      <c r="H199">
        <v>1690202715.5999999</v>
      </c>
      <c r="I199">
        <f t="shared" si="60"/>
        <v>1.7786899471897751E-3</v>
      </c>
      <c r="J199">
        <f t="shared" si="61"/>
        <v>1.7786899471897752</v>
      </c>
      <c r="K199">
        <f t="shared" si="62"/>
        <v>42.106959643149196</v>
      </c>
      <c r="L199">
        <f t="shared" si="63"/>
        <v>326.22500000000002</v>
      </c>
      <c r="M199">
        <f t="shared" si="64"/>
        <v>-7.3205868034884851</v>
      </c>
      <c r="N199">
        <f t="shared" si="65"/>
        <v>-0.72555627966151059</v>
      </c>
      <c r="O199">
        <f t="shared" si="66"/>
        <v>32.332735569747506</v>
      </c>
      <c r="P199">
        <f t="shared" si="67"/>
        <v>0.21323138585514004</v>
      </c>
      <c r="Q199">
        <f t="shared" si="68"/>
        <v>2.0785152728525245</v>
      </c>
      <c r="R199">
        <f t="shared" si="69"/>
        <v>0.20178130932263924</v>
      </c>
      <c r="S199">
        <f t="shared" si="70"/>
        <v>0.12709080064986003</v>
      </c>
      <c r="T199">
        <f t="shared" si="71"/>
        <v>276.11452508399998</v>
      </c>
      <c r="U199">
        <f t="shared" si="72"/>
        <v>27.452739878008899</v>
      </c>
      <c r="V199">
        <f t="shared" si="73"/>
        <v>27.452739878008899</v>
      </c>
      <c r="W199">
        <f t="shared" si="74"/>
        <v>3.6754432384196627</v>
      </c>
      <c r="X199">
        <f t="shared" si="75"/>
        <v>84.617473070546581</v>
      </c>
      <c r="Y199">
        <f t="shared" si="76"/>
        <v>2.8304536100788202</v>
      </c>
      <c r="Z199">
        <f t="shared" si="77"/>
        <v>3.3449989787795222</v>
      </c>
      <c r="AA199">
        <f t="shared" si="78"/>
        <v>0.84498962834084246</v>
      </c>
      <c r="AB199">
        <f t="shared" si="79"/>
        <v>-78.440226671069084</v>
      </c>
      <c r="AC199">
        <f t="shared" si="80"/>
        <v>-179.27312184763139</v>
      </c>
      <c r="AD199">
        <f t="shared" si="81"/>
        <v>-18.549464266553457</v>
      </c>
      <c r="AE199">
        <f t="shared" si="82"/>
        <v>-0.14828770125393476</v>
      </c>
      <c r="AF199">
        <v>13</v>
      </c>
      <c r="AG199">
        <v>4</v>
      </c>
      <c r="AH199">
        <f t="shared" si="83"/>
        <v>1</v>
      </c>
      <c r="AI199">
        <f t="shared" si="84"/>
        <v>0</v>
      </c>
      <c r="AJ199">
        <f t="shared" si="85"/>
        <v>52470.485436953924</v>
      </c>
      <c r="AK199">
        <f t="shared" si="86"/>
        <v>1800</v>
      </c>
      <c r="AL199">
        <f t="shared" si="87"/>
        <v>1499.1109883999998</v>
      </c>
      <c r="AM199">
        <f t="shared" si="88"/>
        <v>0.83283943799999993</v>
      </c>
      <c r="AN199">
        <f t="shared" si="89"/>
        <v>0.15339695838</v>
      </c>
      <c r="AO199">
        <v>33.299999999999997</v>
      </c>
      <c r="AP199">
        <v>0.5</v>
      </c>
      <c r="AQ199" t="s">
        <v>331</v>
      </c>
      <c r="AR199">
        <v>2</v>
      </c>
      <c r="AS199">
        <v>1690202715.5999999</v>
      </c>
      <c r="AT199">
        <v>326.22500000000002</v>
      </c>
      <c r="AU199">
        <v>799.952</v>
      </c>
      <c r="AV199">
        <v>28.558199999999999</v>
      </c>
      <c r="AW199">
        <v>9.3826699999999992</v>
      </c>
      <c r="AX199">
        <v>327.42200000000003</v>
      </c>
      <c r="AY199">
        <v>28.379899999999999</v>
      </c>
      <c r="AZ199">
        <v>300.06400000000002</v>
      </c>
      <c r="BA199">
        <v>99.011799999999994</v>
      </c>
      <c r="BB199">
        <v>9.9965100000000001E-2</v>
      </c>
      <c r="BC199">
        <v>25.852900000000002</v>
      </c>
      <c r="BD199">
        <v>26.994900000000001</v>
      </c>
      <c r="BE199">
        <v>27.482199999999999</v>
      </c>
      <c r="BF199">
        <v>0</v>
      </c>
      <c r="BG199">
        <v>0</v>
      </c>
      <c r="BH199">
        <v>9983.1200000000008</v>
      </c>
      <c r="BI199">
        <v>1074.3900000000001</v>
      </c>
      <c r="BJ199">
        <v>1.4969699999999999</v>
      </c>
      <c r="BK199">
        <v>-473.72699999999998</v>
      </c>
      <c r="BL199">
        <v>335.815</v>
      </c>
      <c r="BM199">
        <v>807.52800000000002</v>
      </c>
      <c r="BN199">
        <v>19.1755</v>
      </c>
      <c r="BO199">
        <v>799.952</v>
      </c>
      <c r="BP199">
        <v>9.3826699999999992</v>
      </c>
      <c r="BQ199">
        <v>2.8275999999999999</v>
      </c>
      <c r="BR199">
        <v>0.92899500000000002</v>
      </c>
      <c r="BS199">
        <v>23.046099999999999</v>
      </c>
      <c r="BT199">
        <v>5.8479099999999997</v>
      </c>
      <c r="BU199">
        <v>1800</v>
      </c>
      <c r="BV199">
        <v>0.91</v>
      </c>
      <c r="BW199">
        <v>3.4000500000000003E-2</v>
      </c>
      <c r="BX199">
        <v>2.1992399999999999E-2</v>
      </c>
      <c r="BY199">
        <v>3.4007599999999999E-2</v>
      </c>
      <c r="BZ199">
        <v>25</v>
      </c>
      <c r="CA199">
        <v>33528.5</v>
      </c>
      <c r="CB199">
        <v>1690200769.5</v>
      </c>
      <c r="CC199" t="s">
        <v>332</v>
      </c>
      <c r="CD199">
        <v>1690200769.5</v>
      </c>
      <c r="CE199">
        <v>1690200753</v>
      </c>
      <c r="CF199">
        <v>2</v>
      </c>
      <c r="CG199">
        <v>-0.245</v>
      </c>
      <c r="CH199">
        <v>3.0000000000000001E-3</v>
      </c>
      <c r="CI199">
        <v>-1.5169999999999999</v>
      </c>
      <c r="CJ199">
        <v>-1.6E-2</v>
      </c>
      <c r="CK199">
        <v>778</v>
      </c>
      <c r="CL199">
        <v>12</v>
      </c>
      <c r="CM199">
        <v>0.01</v>
      </c>
      <c r="CN199">
        <v>0.03</v>
      </c>
      <c r="CO199">
        <v>-473.21759999999989</v>
      </c>
      <c r="CP199">
        <v>-2.7854859287041158</v>
      </c>
      <c r="CQ199">
        <v>0.28343092632950218</v>
      </c>
      <c r="CR199">
        <v>-1</v>
      </c>
      <c r="CS199">
        <v>19.160340000000001</v>
      </c>
      <c r="CT199">
        <v>6.0767729831162368E-2</v>
      </c>
      <c r="CU199">
        <v>6.0835351564698251E-3</v>
      </c>
      <c r="CV199">
        <v>-1</v>
      </c>
      <c r="CW199">
        <v>0</v>
      </c>
      <c r="CX199">
        <v>0</v>
      </c>
      <c r="CY199" t="s">
        <v>333</v>
      </c>
      <c r="CZ199">
        <v>2.36497</v>
      </c>
      <c r="DA199">
        <v>2.71374</v>
      </c>
      <c r="DB199">
        <v>7.6629100000000006E-2</v>
      </c>
      <c r="DC199">
        <v>0.14630199999999999</v>
      </c>
      <c r="DD199">
        <v>0.12879299999999999</v>
      </c>
      <c r="DE199">
        <v>5.6385600000000001E-2</v>
      </c>
      <c r="DF199">
        <v>33689.4</v>
      </c>
      <c r="DG199">
        <v>27450.1</v>
      </c>
      <c r="DH199">
        <v>31144.7</v>
      </c>
      <c r="DI199">
        <v>28015.5</v>
      </c>
      <c r="DJ199">
        <v>36813.699999999997</v>
      </c>
      <c r="DK199">
        <v>37562.9</v>
      </c>
      <c r="DL199">
        <v>44313.4</v>
      </c>
      <c r="DM199">
        <v>42427.7</v>
      </c>
      <c r="DN199">
        <v>1.4425699999999999</v>
      </c>
      <c r="DO199">
        <v>2.0705499999999999</v>
      </c>
      <c r="DP199">
        <v>0.13720199999999999</v>
      </c>
      <c r="DQ199">
        <v>0.17300199999999999</v>
      </c>
      <c r="DR199">
        <v>24.7469</v>
      </c>
      <c r="DS199">
        <v>24.648599999999998</v>
      </c>
      <c r="DT199">
        <v>32.6</v>
      </c>
      <c r="DU199">
        <v>26.2</v>
      </c>
      <c r="DV199">
        <v>11.242599999999999</v>
      </c>
      <c r="DW199">
        <v>61.815399999999997</v>
      </c>
      <c r="DX199">
        <v>36.662700000000001</v>
      </c>
      <c r="DY199">
        <v>1</v>
      </c>
      <c r="DZ199">
        <v>-0.15248</v>
      </c>
      <c r="EA199">
        <v>-0.12046800000000001</v>
      </c>
      <c r="EB199">
        <v>20.191800000000001</v>
      </c>
      <c r="EC199">
        <v>5.2411000000000003</v>
      </c>
      <c r="ED199">
        <v>12.039899999999999</v>
      </c>
      <c r="EE199">
        <v>5.0174500000000002</v>
      </c>
      <c r="EF199">
        <v>3.2879999999999998</v>
      </c>
      <c r="EG199">
        <v>9999</v>
      </c>
      <c r="EH199">
        <v>9999</v>
      </c>
      <c r="EI199">
        <v>9999</v>
      </c>
      <c r="EJ199">
        <v>999.9</v>
      </c>
      <c r="EK199">
        <v>1.8688400000000001</v>
      </c>
      <c r="EL199">
        <v>1.8645</v>
      </c>
      <c r="EM199">
        <v>1.8690800000000001</v>
      </c>
      <c r="EN199">
        <v>1.8671599999999999</v>
      </c>
      <c r="EO199">
        <v>1.8633200000000001</v>
      </c>
      <c r="EP199">
        <v>1.8644000000000001</v>
      </c>
      <c r="EQ199">
        <v>1.87012</v>
      </c>
      <c r="ER199">
        <v>1.8693500000000001</v>
      </c>
      <c r="ES199">
        <v>0</v>
      </c>
      <c r="ET199">
        <v>0</v>
      </c>
      <c r="EU199">
        <v>0</v>
      </c>
      <c r="EV199">
        <v>0</v>
      </c>
      <c r="EW199" t="s">
        <v>334</v>
      </c>
      <c r="EX199" t="s">
        <v>335</v>
      </c>
      <c r="EY199" t="s">
        <v>336</v>
      </c>
      <c r="EZ199" t="s">
        <v>336</v>
      </c>
      <c r="FA199" t="s">
        <v>336</v>
      </c>
      <c r="FB199" t="s">
        <v>336</v>
      </c>
      <c r="FC199">
        <v>0</v>
      </c>
      <c r="FD199">
        <v>100</v>
      </c>
      <c r="FE199">
        <v>100</v>
      </c>
      <c r="FF199">
        <v>-1.1970000000000001</v>
      </c>
      <c r="FG199">
        <v>0.17829999999999999</v>
      </c>
      <c r="FH199">
        <v>-0.98020551812546231</v>
      </c>
      <c r="FI199">
        <v>-6.1462078757559423E-4</v>
      </c>
      <c r="FJ199">
        <v>-1.8861989874597051E-7</v>
      </c>
      <c r="FK199">
        <v>1.1980462299894961E-10</v>
      </c>
      <c r="FL199">
        <v>0.1782306200647516</v>
      </c>
      <c r="FM199">
        <v>0</v>
      </c>
      <c r="FN199">
        <v>0</v>
      </c>
      <c r="FO199">
        <v>0</v>
      </c>
      <c r="FP199">
        <v>3</v>
      </c>
      <c r="FQ199">
        <v>2158</v>
      </c>
      <c r="FR199">
        <v>1</v>
      </c>
      <c r="FS199">
        <v>19</v>
      </c>
      <c r="FT199">
        <v>32.4</v>
      </c>
      <c r="FU199">
        <v>32.700000000000003</v>
      </c>
      <c r="FV199">
        <v>1.7773399999999999</v>
      </c>
      <c r="FW199">
        <v>2.5463900000000002</v>
      </c>
      <c r="FX199">
        <v>1.5490699999999999</v>
      </c>
      <c r="FY199">
        <v>2.34009</v>
      </c>
      <c r="FZ199">
        <v>1.50146</v>
      </c>
      <c r="GA199">
        <v>2.36938</v>
      </c>
      <c r="GB199">
        <v>31.3462</v>
      </c>
      <c r="GC199">
        <v>23.991199999999999</v>
      </c>
      <c r="GD199">
        <v>19</v>
      </c>
      <c r="GE199">
        <v>265.74799999999999</v>
      </c>
      <c r="GF199">
        <v>602.90899999999999</v>
      </c>
      <c r="GG199">
        <v>24.3582</v>
      </c>
      <c r="GH199">
        <v>25.496700000000001</v>
      </c>
      <c r="GI199">
        <v>30.000299999999999</v>
      </c>
      <c r="GJ199">
        <v>25.611799999999999</v>
      </c>
      <c r="GK199">
        <v>25.578600000000002</v>
      </c>
      <c r="GL199">
        <v>35.5443</v>
      </c>
      <c r="GM199">
        <v>-30</v>
      </c>
      <c r="GN199">
        <v>-30</v>
      </c>
      <c r="GO199">
        <v>24.368099999999998</v>
      </c>
      <c r="GP199">
        <v>800</v>
      </c>
      <c r="GQ199">
        <v>12.5298</v>
      </c>
      <c r="GR199">
        <v>99.638599999999997</v>
      </c>
      <c r="GS199">
        <v>99.284800000000004</v>
      </c>
    </row>
    <row r="200" spans="1:201" x14ac:dyDescent="0.25">
      <c r="A200">
        <v>184</v>
      </c>
      <c r="B200">
        <v>1690202725.5999999</v>
      </c>
      <c r="C200">
        <v>1878.599999904633</v>
      </c>
      <c r="D200" t="s">
        <v>701</v>
      </c>
      <c r="E200" t="s">
        <v>702</v>
      </c>
      <c r="F200" t="s">
        <v>330</v>
      </c>
      <c r="H200">
        <v>1690202725.5999999</v>
      </c>
      <c r="I200">
        <f t="shared" si="60"/>
        <v>1.7812661215368751E-3</v>
      </c>
      <c r="J200">
        <f t="shared" si="61"/>
        <v>1.781266121536875</v>
      </c>
      <c r="K200">
        <f t="shared" si="62"/>
        <v>42.146319131071692</v>
      </c>
      <c r="L200">
        <f t="shared" si="63"/>
        <v>326.00700000000001</v>
      </c>
      <c r="M200">
        <f t="shared" si="64"/>
        <v>-7.6296851796587726</v>
      </c>
      <c r="N200">
        <f t="shared" si="65"/>
        <v>-0.75621917409208261</v>
      </c>
      <c r="O200">
        <f t="shared" si="66"/>
        <v>32.312308893885898</v>
      </c>
      <c r="P200">
        <f t="shared" si="67"/>
        <v>0.21337318692777685</v>
      </c>
      <c r="Q200">
        <f t="shared" si="68"/>
        <v>2.0793937729134018</v>
      </c>
      <c r="R200">
        <f t="shared" si="69"/>
        <v>0.20191288042966132</v>
      </c>
      <c r="S200">
        <f t="shared" si="70"/>
        <v>0.1271738941735423</v>
      </c>
      <c r="T200">
        <f t="shared" si="71"/>
        <v>276.11506881000003</v>
      </c>
      <c r="U200">
        <f t="shared" si="72"/>
        <v>27.459899160035263</v>
      </c>
      <c r="V200">
        <f t="shared" si="73"/>
        <v>27.459899160035263</v>
      </c>
      <c r="W200">
        <f t="shared" si="74"/>
        <v>3.6769837701736123</v>
      </c>
      <c r="X200">
        <f t="shared" si="75"/>
        <v>84.599175515324859</v>
      </c>
      <c r="Y200">
        <f t="shared" si="76"/>
        <v>2.8313003161590902</v>
      </c>
      <c r="Z200">
        <f t="shared" si="77"/>
        <v>3.3467232971392367</v>
      </c>
      <c r="AA200">
        <f t="shared" si="78"/>
        <v>0.84568345401452216</v>
      </c>
      <c r="AB200">
        <f t="shared" si="79"/>
        <v>-78.553835959776194</v>
      </c>
      <c r="AC200">
        <f t="shared" si="80"/>
        <v>-179.17617190180718</v>
      </c>
      <c r="AD200">
        <f t="shared" si="81"/>
        <v>-18.533071265311868</v>
      </c>
      <c r="AE200">
        <f t="shared" si="82"/>
        <v>-0.14801031689523825</v>
      </c>
      <c r="AF200">
        <v>13</v>
      </c>
      <c r="AG200">
        <v>4</v>
      </c>
      <c r="AH200">
        <f t="shared" si="83"/>
        <v>1</v>
      </c>
      <c r="AI200">
        <f t="shared" si="84"/>
        <v>0</v>
      </c>
      <c r="AJ200">
        <f t="shared" si="85"/>
        <v>52508.68612822616</v>
      </c>
      <c r="AK200">
        <f t="shared" si="86"/>
        <v>1800</v>
      </c>
      <c r="AL200">
        <f t="shared" si="87"/>
        <v>1499.1106319999999</v>
      </c>
      <c r="AM200">
        <f t="shared" si="88"/>
        <v>0.83283923999999998</v>
      </c>
      <c r="AN200">
        <f t="shared" si="89"/>
        <v>0.15339726045000002</v>
      </c>
      <c r="AO200">
        <v>33.299999999999997</v>
      </c>
      <c r="AP200">
        <v>0.5</v>
      </c>
      <c r="AQ200" t="s">
        <v>331</v>
      </c>
      <c r="AR200">
        <v>2</v>
      </c>
      <c r="AS200">
        <v>1690202725.5999999</v>
      </c>
      <c r="AT200">
        <v>326.00700000000001</v>
      </c>
      <c r="AU200">
        <v>799.99099999999999</v>
      </c>
      <c r="AV200">
        <v>28.5657</v>
      </c>
      <c r="AW200">
        <v>9.3700299999999999</v>
      </c>
      <c r="AX200">
        <v>327.20499999999998</v>
      </c>
      <c r="AY200">
        <v>28.387499999999999</v>
      </c>
      <c r="AZ200">
        <v>300.18099999999998</v>
      </c>
      <c r="BA200">
        <v>99.0154</v>
      </c>
      <c r="BB200">
        <v>9.9983699999999995E-2</v>
      </c>
      <c r="BC200">
        <v>25.861599999999999</v>
      </c>
      <c r="BD200">
        <v>26.995100000000001</v>
      </c>
      <c r="BE200">
        <v>27.4619</v>
      </c>
      <c r="BF200">
        <v>0</v>
      </c>
      <c r="BG200">
        <v>0</v>
      </c>
      <c r="BH200">
        <v>9990.6200000000008</v>
      </c>
      <c r="BI200">
        <v>1074.55</v>
      </c>
      <c r="BJ200">
        <v>1.5137799999999999</v>
      </c>
      <c r="BK200">
        <v>-473.983</v>
      </c>
      <c r="BL200">
        <v>335.59399999999999</v>
      </c>
      <c r="BM200">
        <v>807.55799999999999</v>
      </c>
      <c r="BN200">
        <v>19.195699999999999</v>
      </c>
      <c r="BO200">
        <v>799.99099999999999</v>
      </c>
      <c r="BP200">
        <v>9.3700299999999999</v>
      </c>
      <c r="BQ200">
        <v>2.8284400000000001</v>
      </c>
      <c r="BR200">
        <v>0.92777799999999999</v>
      </c>
      <c r="BS200">
        <v>23.050999999999998</v>
      </c>
      <c r="BT200">
        <v>5.82897</v>
      </c>
      <c r="BU200">
        <v>1800</v>
      </c>
      <c r="BV200">
        <v>0.909995</v>
      </c>
      <c r="BW200">
        <v>3.4000200000000001E-2</v>
      </c>
      <c r="BX200">
        <v>2.19975E-2</v>
      </c>
      <c r="BY200">
        <v>3.4007299999999997E-2</v>
      </c>
      <c r="BZ200">
        <v>25</v>
      </c>
      <c r="CA200">
        <v>33528.300000000003</v>
      </c>
      <c r="CB200">
        <v>1690200769.5</v>
      </c>
      <c r="CC200" t="s">
        <v>332</v>
      </c>
      <c r="CD200">
        <v>1690200769.5</v>
      </c>
      <c r="CE200">
        <v>1690200753</v>
      </c>
      <c r="CF200">
        <v>2</v>
      </c>
      <c r="CG200">
        <v>-0.245</v>
      </c>
      <c r="CH200">
        <v>3.0000000000000001E-3</v>
      </c>
      <c r="CI200">
        <v>-1.5169999999999999</v>
      </c>
      <c r="CJ200">
        <v>-1.6E-2</v>
      </c>
      <c r="CK200">
        <v>778</v>
      </c>
      <c r="CL200">
        <v>12</v>
      </c>
      <c r="CM200">
        <v>0.01</v>
      </c>
      <c r="CN200">
        <v>0.03</v>
      </c>
      <c r="CO200">
        <v>-473.68443902439031</v>
      </c>
      <c r="CP200">
        <v>-2.2363484320558449</v>
      </c>
      <c r="CQ200">
        <v>0.2342536720466524</v>
      </c>
      <c r="CR200">
        <v>-1</v>
      </c>
      <c r="CS200">
        <v>19.174119512195119</v>
      </c>
      <c r="CT200">
        <v>0.1048202090592118</v>
      </c>
      <c r="CU200">
        <v>1.035914158587453E-2</v>
      </c>
      <c r="CV200">
        <v>-1</v>
      </c>
      <c r="CW200">
        <v>0</v>
      </c>
      <c r="CX200">
        <v>0</v>
      </c>
      <c r="CY200" t="s">
        <v>333</v>
      </c>
      <c r="CZ200">
        <v>2.3653499999999998</v>
      </c>
      <c r="DA200">
        <v>2.7137699999999998</v>
      </c>
      <c r="DB200">
        <v>7.6590699999999998E-2</v>
      </c>
      <c r="DC200">
        <v>0.146311</v>
      </c>
      <c r="DD200">
        <v>0.12881999999999999</v>
      </c>
      <c r="DE200">
        <v>5.6328400000000001E-2</v>
      </c>
      <c r="DF200">
        <v>33690.800000000003</v>
      </c>
      <c r="DG200">
        <v>27450.1</v>
      </c>
      <c r="DH200">
        <v>31144.7</v>
      </c>
      <c r="DI200">
        <v>28015.7</v>
      </c>
      <c r="DJ200">
        <v>36812.5</v>
      </c>
      <c r="DK200">
        <v>37565.5</v>
      </c>
      <c r="DL200">
        <v>44313.3</v>
      </c>
      <c r="DM200">
        <v>42428.1</v>
      </c>
      <c r="DN200">
        <v>1.4425699999999999</v>
      </c>
      <c r="DO200">
        <v>2.0703999999999998</v>
      </c>
      <c r="DP200">
        <v>0.13709099999999999</v>
      </c>
      <c r="DQ200">
        <v>0.17166100000000001</v>
      </c>
      <c r="DR200">
        <v>24.748999999999999</v>
      </c>
      <c r="DS200">
        <v>24.650200000000002</v>
      </c>
      <c r="DT200">
        <v>32.5</v>
      </c>
      <c r="DU200">
        <v>26.2</v>
      </c>
      <c r="DV200">
        <v>11.208299999999999</v>
      </c>
      <c r="DW200">
        <v>61.595399999999998</v>
      </c>
      <c r="DX200">
        <v>35.6691</v>
      </c>
      <c r="DY200">
        <v>1</v>
      </c>
      <c r="DZ200">
        <v>-0.152645</v>
      </c>
      <c r="EA200">
        <v>-1.9823E-2</v>
      </c>
      <c r="EB200">
        <v>20.1919</v>
      </c>
      <c r="EC200">
        <v>5.24125</v>
      </c>
      <c r="ED200">
        <v>12.039899999999999</v>
      </c>
      <c r="EE200">
        <v>5.0173500000000004</v>
      </c>
      <c r="EF200">
        <v>3.2879999999999998</v>
      </c>
      <c r="EG200">
        <v>9999</v>
      </c>
      <c r="EH200">
        <v>9999</v>
      </c>
      <c r="EI200">
        <v>9999</v>
      </c>
      <c r="EJ200">
        <v>999.9</v>
      </c>
      <c r="EK200">
        <v>1.8688400000000001</v>
      </c>
      <c r="EL200">
        <v>1.86449</v>
      </c>
      <c r="EM200">
        <v>1.86907</v>
      </c>
      <c r="EN200">
        <v>1.8671899999999999</v>
      </c>
      <c r="EO200">
        <v>1.8633599999999999</v>
      </c>
      <c r="EP200">
        <v>1.8644400000000001</v>
      </c>
      <c r="EQ200">
        <v>1.8701099999999999</v>
      </c>
      <c r="ER200">
        <v>1.8693500000000001</v>
      </c>
      <c r="ES200">
        <v>0</v>
      </c>
      <c r="ET200">
        <v>0</v>
      </c>
      <c r="EU200">
        <v>0</v>
      </c>
      <c r="EV200">
        <v>0</v>
      </c>
      <c r="EW200" t="s">
        <v>334</v>
      </c>
      <c r="EX200" t="s">
        <v>335</v>
      </c>
      <c r="EY200" t="s">
        <v>336</v>
      </c>
      <c r="EZ200" t="s">
        <v>336</v>
      </c>
      <c r="FA200" t="s">
        <v>336</v>
      </c>
      <c r="FB200" t="s">
        <v>336</v>
      </c>
      <c r="FC200">
        <v>0</v>
      </c>
      <c r="FD200">
        <v>100</v>
      </c>
      <c r="FE200">
        <v>100</v>
      </c>
      <c r="FF200">
        <v>-1.198</v>
      </c>
      <c r="FG200">
        <v>0.1782</v>
      </c>
      <c r="FH200">
        <v>-0.98020551812546231</v>
      </c>
      <c r="FI200">
        <v>-6.1462078757559423E-4</v>
      </c>
      <c r="FJ200">
        <v>-1.8861989874597051E-7</v>
      </c>
      <c r="FK200">
        <v>1.1980462299894961E-10</v>
      </c>
      <c r="FL200">
        <v>0.1782306200647516</v>
      </c>
      <c r="FM200">
        <v>0</v>
      </c>
      <c r="FN200">
        <v>0</v>
      </c>
      <c r="FO200">
        <v>0</v>
      </c>
      <c r="FP200">
        <v>3</v>
      </c>
      <c r="FQ200">
        <v>2158</v>
      </c>
      <c r="FR200">
        <v>1</v>
      </c>
      <c r="FS200">
        <v>19</v>
      </c>
      <c r="FT200">
        <v>32.6</v>
      </c>
      <c r="FU200">
        <v>32.9</v>
      </c>
      <c r="FV200">
        <v>1.7773399999999999</v>
      </c>
      <c r="FW200">
        <v>2.5463900000000002</v>
      </c>
      <c r="FX200">
        <v>1.5490699999999999</v>
      </c>
      <c r="FY200">
        <v>2.34009</v>
      </c>
      <c r="FZ200">
        <v>1.50024</v>
      </c>
      <c r="GA200">
        <v>2.3877000000000002</v>
      </c>
      <c r="GB200">
        <v>31.367999999999999</v>
      </c>
      <c r="GC200">
        <v>23.991199999999999</v>
      </c>
      <c r="GD200">
        <v>19</v>
      </c>
      <c r="GE200">
        <v>265.75799999999998</v>
      </c>
      <c r="GF200">
        <v>602.80799999999999</v>
      </c>
      <c r="GG200">
        <v>24.355499999999999</v>
      </c>
      <c r="GH200">
        <v>25.496700000000001</v>
      </c>
      <c r="GI200">
        <v>29.9999</v>
      </c>
      <c r="GJ200">
        <v>25.614000000000001</v>
      </c>
      <c r="GK200">
        <v>25.5807</v>
      </c>
      <c r="GL200">
        <v>35.544400000000003</v>
      </c>
      <c r="GM200">
        <v>-30</v>
      </c>
      <c r="GN200">
        <v>-30</v>
      </c>
      <c r="GO200">
        <v>24.339400000000001</v>
      </c>
      <c r="GP200">
        <v>800</v>
      </c>
      <c r="GQ200">
        <v>12.5298</v>
      </c>
      <c r="GR200">
        <v>99.638499999999993</v>
      </c>
      <c r="GS200">
        <v>99.285700000000006</v>
      </c>
    </row>
    <row r="201" spans="1:201" x14ac:dyDescent="0.25">
      <c r="A201">
        <v>185</v>
      </c>
      <c r="B201">
        <v>1690202735.5999999</v>
      </c>
      <c r="C201">
        <v>1888.599999904633</v>
      </c>
      <c r="D201" t="s">
        <v>703</v>
      </c>
      <c r="E201" t="s">
        <v>704</v>
      </c>
      <c r="F201" t="s">
        <v>330</v>
      </c>
      <c r="H201">
        <v>1690202735.5999999</v>
      </c>
      <c r="I201">
        <f t="shared" si="60"/>
        <v>1.7837227380803093E-3</v>
      </c>
      <c r="J201">
        <f t="shared" si="61"/>
        <v>1.7837227380803093</v>
      </c>
      <c r="K201">
        <f t="shared" si="62"/>
        <v>42.22095667728037</v>
      </c>
      <c r="L201">
        <f t="shared" si="63"/>
        <v>325.43599999999998</v>
      </c>
      <c r="M201">
        <f t="shared" si="64"/>
        <v>-7.516125655202897</v>
      </c>
      <c r="N201">
        <f t="shared" si="65"/>
        <v>-0.74499218917229693</v>
      </c>
      <c r="O201">
        <f t="shared" si="66"/>
        <v>32.256948486172</v>
      </c>
      <c r="P201">
        <f t="shared" si="67"/>
        <v>0.21422035809079068</v>
      </c>
      <c r="Q201">
        <f t="shared" si="68"/>
        <v>2.080828456218712</v>
      </c>
      <c r="R201">
        <f t="shared" si="69"/>
        <v>0.20267901410575767</v>
      </c>
      <c r="S201">
        <f t="shared" si="70"/>
        <v>0.12765948572340763</v>
      </c>
      <c r="T201">
        <f t="shared" si="71"/>
        <v>276.11704281304907</v>
      </c>
      <c r="U201">
        <f t="shared" si="72"/>
        <v>27.453147007158751</v>
      </c>
      <c r="V201">
        <f t="shared" si="73"/>
        <v>27.453147007158751</v>
      </c>
      <c r="W201">
        <f t="shared" si="74"/>
        <v>3.675530829217398</v>
      </c>
      <c r="X201">
        <f t="shared" si="75"/>
        <v>84.64000828971362</v>
      </c>
      <c r="Y201">
        <f t="shared" si="76"/>
        <v>2.8318447988076998</v>
      </c>
      <c r="Z201">
        <f t="shared" si="77"/>
        <v>3.3457520338544868</v>
      </c>
      <c r="AA201">
        <f t="shared" si="78"/>
        <v>0.84368603040969825</v>
      </c>
      <c r="AB201">
        <f t="shared" si="79"/>
        <v>-78.662172749341636</v>
      </c>
      <c r="AC201">
        <f t="shared" si="80"/>
        <v>-179.0920174646229</v>
      </c>
      <c r="AD201">
        <f t="shared" si="81"/>
        <v>-18.510514634857167</v>
      </c>
      <c r="AE201">
        <f t="shared" si="82"/>
        <v>-0.14766203577261194</v>
      </c>
      <c r="AF201">
        <v>13</v>
      </c>
      <c r="AG201">
        <v>4</v>
      </c>
      <c r="AH201">
        <f t="shared" si="83"/>
        <v>1</v>
      </c>
      <c r="AI201">
        <f t="shared" si="84"/>
        <v>0</v>
      </c>
      <c r="AJ201">
        <f t="shared" si="85"/>
        <v>52574.427394891965</v>
      </c>
      <c r="AK201">
        <f t="shared" si="86"/>
        <v>1800.01</v>
      </c>
      <c r="AL201">
        <f t="shared" si="87"/>
        <v>1499.1183141888098</v>
      </c>
      <c r="AM201">
        <f t="shared" si="88"/>
        <v>0.83283888099999992</v>
      </c>
      <c r="AN201">
        <f t="shared" si="89"/>
        <v>0.15339750490999998</v>
      </c>
      <c r="AO201">
        <v>33.299999999999997</v>
      </c>
      <c r="AP201">
        <v>0.5</v>
      </c>
      <c r="AQ201" t="s">
        <v>331</v>
      </c>
      <c r="AR201">
        <v>2</v>
      </c>
      <c r="AS201">
        <v>1690202735.5999999</v>
      </c>
      <c r="AT201">
        <v>325.43599999999998</v>
      </c>
      <c r="AU201">
        <v>800.01</v>
      </c>
      <c r="AV201">
        <v>28.5701</v>
      </c>
      <c r="AW201">
        <v>9.3575800000000005</v>
      </c>
      <c r="AX201">
        <v>326.63299999999998</v>
      </c>
      <c r="AY201">
        <v>28.3918</v>
      </c>
      <c r="AZ201">
        <v>300.33</v>
      </c>
      <c r="BA201">
        <v>99.019099999999995</v>
      </c>
      <c r="BB201">
        <v>0.100077</v>
      </c>
      <c r="BC201">
        <v>25.8567</v>
      </c>
      <c r="BD201">
        <v>26.987500000000001</v>
      </c>
      <c r="BE201">
        <v>27.4847</v>
      </c>
      <c r="BF201">
        <v>0</v>
      </c>
      <c r="BG201">
        <v>0</v>
      </c>
      <c r="BH201">
        <v>10003.1</v>
      </c>
      <c r="BI201">
        <v>1074.47</v>
      </c>
      <c r="BJ201">
        <v>1.4857499999999999</v>
      </c>
      <c r="BK201">
        <v>-474.57400000000001</v>
      </c>
      <c r="BL201">
        <v>335.00700000000001</v>
      </c>
      <c r="BM201">
        <v>807.56700000000001</v>
      </c>
      <c r="BN201">
        <v>19.212499999999999</v>
      </c>
      <c r="BO201">
        <v>800.01</v>
      </c>
      <c r="BP201">
        <v>9.3575800000000005</v>
      </c>
      <c r="BQ201">
        <v>2.8289800000000001</v>
      </c>
      <c r="BR201">
        <v>0.92657900000000004</v>
      </c>
      <c r="BS201">
        <v>23.054200000000002</v>
      </c>
      <c r="BT201">
        <v>5.8102999999999998</v>
      </c>
      <c r="BU201">
        <v>1800.01</v>
      </c>
      <c r="BV201">
        <v>0.90998599999999996</v>
      </c>
      <c r="BW201">
        <v>3.3999700000000001E-2</v>
      </c>
      <c r="BX201">
        <v>2.19998E-2</v>
      </c>
      <c r="BY201">
        <v>3.4014700000000002E-2</v>
      </c>
      <c r="BZ201">
        <v>25</v>
      </c>
      <c r="CA201">
        <v>33528.5</v>
      </c>
      <c r="CB201">
        <v>1690200769.5</v>
      </c>
      <c r="CC201" t="s">
        <v>332</v>
      </c>
      <c r="CD201">
        <v>1690200769.5</v>
      </c>
      <c r="CE201">
        <v>1690200753</v>
      </c>
      <c r="CF201">
        <v>2</v>
      </c>
      <c r="CG201">
        <v>-0.245</v>
      </c>
      <c r="CH201">
        <v>3.0000000000000001E-3</v>
      </c>
      <c r="CI201">
        <v>-1.5169999999999999</v>
      </c>
      <c r="CJ201">
        <v>-1.6E-2</v>
      </c>
      <c r="CK201">
        <v>778</v>
      </c>
      <c r="CL201">
        <v>12</v>
      </c>
      <c r="CM201">
        <v>0.01</v>
      </c>
      <c r="CN201">
        <v>0.03</v>
      </c>
      <c r="CO201">
        <v>-474.07341463414639</v>
      </c>
      <c r="CP201">
        <v>-2.2899930313599808</v>
      </c>
      <c r="CQ201">
        <v>0.24033786945290281</v>
      </c>
      <c r="CR201">
        <v>-1</v>
      </c>
      <c r="CS201">
        <v>19.1923268292683</v>
      </c>
      <c r="CT201">
        <v>0.1133895470383247</v>
      </c>
      <c r="CU201">
        <v>1.120017474581101E-2</v>
      </c>
      <c r="CV201">
        <v>-1</v>
      </c>
      <c r="CW201">
        <v>0</v>
      </c>
      <c r="CX201">
        <v>0</v>
      </c>
      <c r="CY201" t="s">
        <v>333</v>
      </c>
      <c r="CZ201">
        <v>2.3658100000000002</v>
      </c>
      <c r="DA201">
        <v>2.71387</v>
      </c>
      <c r="DB201">
        <v>7.6486700000000005E-2</v>
      </c>
      <c r="DC201">
        <v>0.146319</v>
      </c>
      <c r="DD201">
        <v>0.12883900000000001</v>
      </c>
      <c r="DE201">
        <v>5.62724E-2</v>
      </c>
      <c r="DF201">
        <v>33695.199999999997</v>
      </c>
      <c r="DG201">
        <v>27449.9</v>
      </c>
      <c r="DH201">
        <v>31145.3</v>
      </c>
      <c r="DI201">
        <v>28015.8</v>
      </c>
      <c r="DJ201">
        <v>36812.5</v>
      </c>
      <c r="DK201">
        <v>37568</v>
      </c>
      <c r="DL201">
        <v>44314.3</v>
      </c>
      <c r="DM201">
        <v>42428.4</v>
      </c>
      <c r="DN201">
        <v>1.44333</v>
      </c>
      <c r="DO201">
        <v>2.07002</v>
      </c>
      <c r="DP201">
        <v>0.13649500000000001</v>
      </c>
      <c r="DQ201">
        <v>0.17311399999999999</v>
      </c>
      <c r="DR201">
        <v>24.751100000000001</v>
      </c>
      <c r="DS201">
        <v>24.6492</v>
      </c>
      <c r="DT201">
        <v>32.4</v>
      </c>
      <c r="DU201">
        <v>26.2</v>
      </c>
      <c r="DV201">
        <v>11.1722</v>
      </c>
      <c r="DW201">
        <v>62.035400000000003</v>
      </c>
      <c r="DX201">
        <v>36.165900000000001</v>
      </c>
      <c r="DY201">
        <v>1</v>
      </c>
      <c r="DZ201">
        <v>-0.152835</v>
      </c>
      <c r="EA201">
        <v>-7.1958099999999997E-2</v>
      </c>
      <c r="EB201">
        <v>20.191800000000001</v>
      </c>
      <c r="EC201">
        <v>5.2411000000000003</v>
      </c>
      <c r="ED201">
        <v>12.039899999999999</v>
      </c>
      <c r="EE201">
        <v>5.0173500000000004</v>
      </c>
      <c r="EF201">
        <v>3.2879999999999998</v>
      </c>
      <c r="EG201">
        <v>9999</v>
      </c>
      <c r="EH201">
        <v>9999</v>
      </c>
      <c r="EI201">
        <v>9999</v>
      </c>
      <c r="EJ201">
        <v>999.9</v>
      </c>
      <c r="EK201">
        <v>1.86887</v>
      </c>
      <c r="EL201">
        <v>1.8645</v>
      </c>
      <c r="EM201">
        <v>1.86907</v>
      </c>
      <c r="EN201">
        <v>1.8671599999999999</v>
      </c>
      <c r="EO201">
        <v>1.86337</v>
      </c>
      <c r="EP201">
        <v>1.86443</v>
      </c>
      <c r="EQ201">
        <v>1.87012</v>
      </c>
      <c r="ER201">
        <v>1.8693500000000001</v>
      </c>
      <c r="ES201">
        <v>0</v>
      </c>
      <c r="ET201">
        <v>0</v>
      </c>
      <c r="EU201">
        <v>0</v>
      </c>
      <c r="EV201">
        <v>0</v>
      </c>
      <c r="EW201" t="s">
        <v>334</v>
      </c>
      <c r="EX201" t="s">
        <v>335</v>
      </c>
      <c r="EY201" t="s">
        <v>336</v>
      </c>
      <c r="EZ201" t="s">
        <v>336</v>
      </c>
      <c r="FA201" t="s">
        <v>336</v>
      </c>
      <c r="FB201" t="s">
        <v>336</v>
      </c>
      <c r="FC201">
        <v>0</v>
      </c>
      <c r="FD201">
        <v>100</v>
      </c>
      <c r="FE201">
        <v>100</v>
      </c>
      <c r="FF201">
        <v>-1.1970000000000001</v>
      </c>
      <c r="FG201">
        <v>0.17829999999999999</v>
      </c>
      <c r="FH201">
        <v>-0.98020551812546231</v>
      </c>
      <c r="FI201">
        <v>-6.1462078757559423E-4</v>
      </c>
      <c r="FJ201">
        <v>-1.8861989874597051E-7</v>
      </c>
      <c r="FK201">
        <v>1.1980462299894961E-10</v>
      </c>
      <c r="FL201">
        <v>0.1782306200647516</v>
      </c>
      <c r="FM201">
        <v>0</v>
      </c>
      <c r="FN201">
        <v>0</v>
      </c>
      <c r="FO201">
        <v>0</v>
      </c>
      <c r="FP201">
        <v>3</v>
      </c>
      <c r="FQ201">
        <v>2158</v>
      </c>
      <c r="FR201">
        <v>1</v>
      </c>
      <c r="FS201">
        <v>19</v>
      </c>
      <c r="FT201">
        <v>32.799999999999997</v>
      </c>
      <c r="FU201">
        <v>33</v>
      </c>
      <c r="FV201">
        <v>1.7773399999999999</v>
      </c>
      <c r="FW201">
        <v>2.5500500000000001</v>
      </c>
      <c r="FX201">
        <v>1.5490699999999999</v>
      </c>
      <c r="FY201">
        <v>2.34131</v>
      </c>
      <c r="FZ201">
        <v>1.50146</v>
      </c>
      <c r="GA201">
        <v>2.2644000000000002</v>
      </c>
      <c r="GB201">
        <v>31.367999999999999</v>
      </c>
      <c r="GC201">
        <v>23.973700000000001</v>
      </c>
      <c r="GD201">
        <v>19</v>
      </c>
      <c r="GE201">
        <v>266.06099999999998</v>
      </c>
      <c r="GF201">
        <v>602.49599999999998</v>
      </c>
      <c r="GG201">
        <v>24.341799999999999</v>
      </c>
      <c r="GH201">
        <v>25.498799999999999</v>
      </c>
      <c r="GI201">
        <v>30.0001</v>
      </c>
      <c r="GJ201">
        <v>25.614000000000001</v>
      </c>
      <c r="GK201">
        <v>25.581199999999999</v>
      </c>
      <c r="GL201">
        <v>35.545699999999997</v>
      </c>
      <c r="GM201">
        <v>-30</v>
      </c>
      <c r="GN201">
        <v>-30</v>
      </c>
      <c r="GO201">
        <v>24.3612</v>
      </c>
      <c r="GP201">
        <v>800</v>
      </c>
      <c r="GQ201">
        <v>12.5298</v>
      </c>
      <c r="GR201">
        <v>99.640600000000006</v>
      </c>
      <c r="GS201">
        <v>99.286199999999994</v>
      </c>
    </row>
    <row r="202" spans="1:201" x14ac:dyDescent="0.25">
      <c r="A202">
        <v>186</v>
      </c>
      <c r="B202">
        <v>1690202745.5999999</v>
      </c>
      <c r="C202">
        <v>1898.599999904633</v>
      </c>
      <c r="D202" t="s">
        <v>705</v>
      </c>
      <c r="E202" t="s">
        <v>706</v>
      </c>
      <c r="F202" t="s">
        <v>330</v>
      </c>
      <c r="H202">
        <v>1690202745.5999999</v>
      </c>
      <c r="I202">
        <f t="shared" si="60"/>
        <v>1.784618023481092E-3</v>
      </c>
      <c r="J202">
        <f t="shared" si="61"/>
        <v>1.784618023481092</v>
      </c>
      <c r="K202">
        <f t="shared" si="62"/>
        <v>42.221352029877657</v>
      </c>
      <c r="L202">
        <f t="shared" si="63"/>
        <v>325.16399999999999</v>
      </c>
      <c r="M202">
        <f t="shared" si="64"/>
        <v>-7.8162114289523181</v>
      </c>
      <c r="N202">
        <f t="shared" si="65"/>
        <v>-0.77471605160012946</v>
      </c>
      <c r="O202">
        <f t="shared" si="66"/>
        <v>32.229139717151995</v>
      </c>
      <c r="P202">
        <f t="shared" si="67"/>
        <v>0.21421742901315557</v>
      </c>
      <c r="Q202">
        <f t="shared" si="68"/>
        <v>2.0776603553064508</v>
      </c>
      <c r="R202">
        <f t="shared" si="69"/>
        <v>0.20265981280556433</v>
      </c>
      <c r="S202">
        <f t="shared" si="70"/>
        <v>0.12764879972618037</v>
      </c>
      <c r="T202">
        <f t="shared" si="71"/>
        <v>276.11541900000003</v>
      </c>
      <c r="U202">
        <f t="shared" si="72"/>
        <v>27.457218541465004</v>
      </c>
      <c r="V202">
        <f t="shared" si="73"/>
        <v>27.457218541465004</v>
      </c>
      <c r="W202">
        <f t="shared" si="74"/>
        <v>3.6764068896428168</v>
      </c>
      <c r="X202">
        <f t="shared" si="75"/>
        <v>84.640969083729701</v>
      </c>
      <c r="Y202">
        <f t="shared" si="76"/>
        <v>2.8322460189431995</v>
      </c>
      <c r="Z202">
        <f t="shared" si="77"/>
        <v>3.3461880807879765</v>
      </c>
      <c r="AA202">
        <f t="shared" si="78"/>
        <v>0.84416087069961732</v>
      </c>
      <c r="AB202">
        <f t="shared" si="79"/>
        <v>-78.701654835516152</v>
      </c>
      <c r="AC202">
        <f t="shared" si="80"/>
        <v>-179.02897856261558</v>
      </c>
      <c r="AD202">
        <f t="shared" si="81"/>
        <v>-18.532796845185654</v>
      </c>
      <c r="AE202">
        <f t="shared" si="82"/>
        <v>-0.14801124331734172</v>
      </c>
      <c r="AF202">
        <v>13</v>
      </c>
      <c r="AG202">
        <v>4</v>
      </c>
      <c r="AH202">
        <f t="shared" si="83"/>
        <v>1</v>
      </c>
      <c r="AI202">
        <f t="shared" si="84"/>
        <v>0</v>
      </c>
      <c r="AJ202">
        <f t="shared" si="85"/>
        <v>52430.965650046695</v>
      </c>
      <c r="AK202">
        <f t="shared" si="86"/>
        <v>1800</v>
      </c>
      <c r="AL202">
        <f t="shared" si="87"/>
        <v>1499.1099570000001</v>
      </c>
      <c r="AM202">
        <f t="shared" si="88"/>
        <v>0.83283886500000004</v>
      </c>
      <c r="AN202">
        <f t="shared" si="89"/>
        <v>0.15339745500000002</v>
      </c>
      <c r="AO202">
        <v>33.299999999999997</v>
      </c>
      <c r="AP202">
        <v>0.5</v>
      </c>
      <c r="AQ202" t="s">
        <v>331</v>
      </c>
      <c r="AR202">
        <v>2</v>
      </c>
      <c r="AS202">
        <v>1690202745.5999999</v>
      </c>
      <c r="AT202">
        <v>325.16399999999999</v>
      </c>
      <c r="AU202">
        <v>799.94100000000003</v>
      </c>
      <c r="AV202">
        <v>28.5749</v>
      </c>
      <c r="AW202">
        <v>9.3446999999999996</v>
      </c>
      <c r="AX202">
        <v>326.36</v>
      </c>
      <c r="AY202">
        <v>28.396699999999999</v>
      </c>
      <c r="AZ202">
        <v>300.20299999999997</v>
      </c>
      <c r="BA202">
        <v>99.016499999999994</v>
      </c>
      <c r="BB202">
        <v>0.100068</v>
      </c>
      <c r="BC202">
        <v>25.858899999999998</v>
      </c>
      <c r="BD202">
        <v>26.985600000000002</v>
      </c>
      <c r="BE202">
        <v>27.497499999999999</v>
      </c>
      <c r="BF202">
        <v>0</v>
      </c>
      <c r="BG202">
        <v>0</v>
      </c>
      <c r="BH202">
        <v>9975</v>
      </c>
      <c r="BI202">
        <v>1074.55</v>
      </c>
      <c r="BJ202">
        <v>1.49977</v>
      </c>
      <c r="BK202">
        <v>-474.77699999999999</v>
      </c>
      <c r="BL202">
        <v>334.72899999999998</v>
      </c>
      <c r="BM202">
        <v>807.48699999999997</v>
      </c>
      <c r="BN202">
        <v>19.2302</v>
      </c>
      <c r="BO202">
        <v>799.94100000000003</v>
      </c>
      <c r="BP202">
        <v>9.3446999999999996</v>
      </c>
      <c r="BQ202">
        <v>2.8293900000000001</v>
      </c>
      <c r="BR202">
        <v>0.92527999999999999</v>
      </c>
      <c r="BS202">
        <v>23.0565</v>
      </c>
      <c r="BT202">
        <v>5.7900400000000003</v>
      </c>
      <c r="BU202">
        <v>1800</v>
      </c>
      <c r="BV202">
        <v>0.90998900000000005</v>
      </c>
      <c r="BW202">
        <v>3.3999599999999998E-2</v>
      </c>
      <c r="BX202">
        <v>2.2000499999999999E-2</v>
      </c>
      <c r="BY202">
        <v>3.4010600000000002E-2</v>
      </c>
      <c r="BZ202">
        <v>25</v>
      </c>
      <c r="CA202">
        <v>33528.300000000003</v>
      </c>
      <c r="CB202">
        <v>1690200769.5</v>
      </c>
      <c r="CC202" t="s">
        <v>332</v>
      </c>
      <c r="CD202">
        <v>1690200769.5</v>
      </c>
      <c r="CE202">
        <v>1690200753</v>
      </c>
      <c r="CF202">
        <v>2</v>
      </c>
      <c r="CG202">
        <v>-0.245</v>
      </c>
      <c r="CH202">
        <v>3.0000000000000001E-3</v>
      </c>
      <c r="CI202">
        <v>-1.5169999999999999</v>
      </c>
      <c r="CJ202">
        <v>-1.6E-2</v>
      </c>
      <c r="CK202">
        <v>778</v>
      </c>
      <c r="CL202">
        <v>12</v>
      </c>
      <c r="CM202">
        <v>0.01</v>
      </c>
      <c r="CN202">
        <v>0.03</v>
      </c>
      <c r="CO202">
        <v>-474.41787499999998</v>
      </c>
      <c r="CP202">
        <v>-2.305001876170786</v>
      </c>
      <c r="CQ202">
        <v>0.23389764721988779</v>
      </c>
      <c r="CR202">
        <v>-1</v>
      </c>
      <c r="CS202">
        <v>19.211089999999999</v>
      </c>
      <c r="CT202">
        <v>0.11387392120072121</v>
      </c>
      <c r="CU202">
        <v>1.0978337761246199E-2</v>
      </c>
      <c r="CV202">
        <v>-1</v>
      </c>
      <c r="CW202">
        <v>0</v>
      </c>
      <c r="CX202">
        <v>0</v>
      </c>
      <c r="CY202" t="s">
        <v>333</v>
      </c>
      <c r="CZ202">
        <v>2.3654199999999999</v>
      </c>
      <c r="DA202">
        <v>2.7138399999999998</v>
      </c>
      <c r="DB202">
        <v>7.6433399999999999E-2</v>
      </c>
      <c r="DC202">
        <v>0.14630599999999999</v>
      </c>
      <c r="DD202">
        <v>0.12884999999999999</v>
      </c>
      <c r="DE202">
        <v>5.6210700000000002E-2</v>
      </c>
      <c r="DF202">
        <v>33696.6</v>
      </c>
      <c r="DG202">
        <v>27450.3</v>
      </c>
      <c r="DH202">
        <v>31144.799999999999</v>
      </c>
      <c r="DI202">
        <v>28015.8</v>
      </c>
      <c r="DJ202">
        <v>36811.4</v>
      </c>
      <c r="DK202">
        <v>37570.400000000001</v>
      </c>
      <c r="DL202">
        <v>44313.599999999999</v>
      </c>
      <c r="DM202">
        <v>42428.3</v>
      </c>
      <c r="DN202">
        <v>1.4434199999999999</v>
      </c>
      <c r="DO202">
        <v>2.0703</v>
      </c>
      <c r="DP202">
        <v>0.136383</v>
      </c>
      <c r="DQ202">
        <v>0.173897</v>
      </c>
      <c r="DR202">
        <v>24.751100000000001</v>
      </c>
      <c r="DS202">
        <v>24.6492</v>
      </c>
      <c r="DT202">
        <v>32.299999999999997</v>
      </c>
      <c r="DU202">
        <v>26.2</v>
      </c>
      <c r="DV202">
        <v>11.136699999999999</v>
      </c>
      <c r="DW202">
        <v>61.785400000000003</v>
      </c>
      <c r="DX202">
        <v>36.646599999999999</v>
      </c>
      <c r="DY202">
        <v>1</v>
      </c>
      <c r="DZ202">
        <v>-0.15271100000000001</v>
      </c>
      <c r="EA202">
        <v>-5.42756E-2</v>
      </c>
      <c r="EB202">
        <v>20.191700000000001</v>
      </c>
      <c r="EC202">
        <v>5.2411000000000003</v>
      </c>
      <c r="ED202">
        <v>12.039899999999999</v>
      </c>
      <c r="EE202">
        <v>5.0175000000000001</v>
      </c>
      <c r="EF202">
        <v>3.2879999999999998</v>
      </c>
      <c r="EG202">
        <v>9999</v>
      </c>
      <c r="EH202">
        <v>9999</v>
      </c>
      <c r="EI202">
        <v>9999</v>
      </c>
      <c r="EJ202">
        <v>999.9</v>
      </c>
      <c r="EK202">
        <v>1.86886</v>
      </c>
      <c r="EL202">
        <v>1.8645</v>
      </c>
      <c r="EM202">
        <v>1.86907</v>
      </c>
      <c r="EN202">
        <v>1.8671899999999999</v>
      </c>
      <c r="EO202">
        <v>1.86337</v>
      </c>
      <c r="EP202">
        <v>1.8644499999999999</v>
      </c>
      <c r="EQ202">
        <v>1.87012</v>
      </c>
      <c r="ER202">
        <v>1.8693599999999999</v>
      </c>
      <c r="ES202">
        <v>0</v>
      </c>
      <c r="ET202">
        <v>0</v>
      </c>
      <c r="EU202">
        <v>0</v>
      </c>
      <c r="EV202">
        <v>0</v>
      </c>
      <c r="EW202" t="s">
        <v>334</v>
      </c>
      <c r="EX202" t="s">
        <v>335</v>
      </c>
      <c r="EY202" t="s">
        <v>336</v>
      </c>
      <c r="EZ202" t="s">
        <v>336</v>
      </c>
      <c r="FA202" t="s">
        <v>336</v>
      </c>
      <c r="FB202" t="s">
        <v>336</v>
      </c>
      <c r="FC202">
        <v>0</v>
      </c>
      <c r="FD202">
        <v>100</v>
      </c>
      <c r="FE202">
        <v>100</v>
      </c>
      <c r="FF202">
        <v>-1.196</v>
      </c>
      <c r="FG202">
        <v>0.1782</v>
      </c>
      <c r="FH202">
        <v>-0.98020551812546231</v>
      </c>
      <c r="FI202">
        <v>-6.1462078757559423E-4</v>
      </c>
      <c r="FJ202">
        <v>-1.8861989874597051E-7</v>
      </c>
      <c r="FK202">
        <v>1.1980462299894961E-10</v>
      </c>
      <c r="FL202">
        <v>0.1782306200647516</v>
      </c>
      <c r="FM202">
        <v>0</v>
      </c>
      <c r="FN202">
        <v>0</v>
      </c>
      <c r="FO202">
        <v>0</v>
      </c>
      <c r="FP202">
        <v>3</v>
      </c>
      <c r="FQ202">
        <v>2158</v>
      </c>
      <c r="FR202">
        <v>1</v>
      </c>
      <c r="FS202">
        <v>19</v>
      </c>
      <c r="FT202">
        <v>32.9</v>
      </c>
      <c r="FU202">
        <v>33.200000000000003</v>
      </c>
      <c r="FV202">
        <v>1.7785599999999999</v>
      </c>
      <c r="FW202">
        <v>2.5476100000000002</v>
      </c>
      <c r="FX202">
        <v>1.5490699999999999</v>
      </c>
      <c r="FY202">
        <v>2.34009</v>
      </c>
      <c r="FZ202">
        <v>1.50146</v>
      </c>
      <c r="GA202">
        <v>2.34985</v>
      </c>
      <c r="GB202">
        <v>31.367999999999999</v>
      </c>
      <c r="GC202">
        <v>23.982399999999998</v>
      </c>
      <c r="GD202">
        <v>19</v>
      </c>
      <c r="GE202">
        <v>266.11</v>
      </c>
      <c r="GF202">
        <v>602.74900000000002</v>
      </c>
      <c r="GG202">
        <v>24.353300000000001</v>
      </c>
      <c r="GH202">
        <v>25.4999</v>
      </c>
      <c r="GI202">
        <v>30</v>
      </c>
      <c r="GJ202">
        <v>25.616199999999999</v>
      </c>
      <c r="GK202">
        <v>25.582899999999999</v>
      </c>
      <c r="GL202">
        <v>35.547400000000003</v>
      </c>
      <c r="GM202">
        <v>-30</v>
      </c>
      <c r="GN202">
        <v>-30</v>
      </c>
      <c r="GO202">
        <v>24.352</v>
      </c>
      <c r="GP202">
        <v>800</v>
      </c>
      <c r="GQ202">
        <v>12.5298</v>
      </c>
      <c r="GR202">
        <v>99.638999999999996</v>
      </c>
      <c r="GS202">
        <v>99.286199999999994</v>
      </c>
    </row>
    <row r="203" spans="1:201" x14ac:dyDescent="0.25">
      <c r="A203">
        <v>187</v>
      </c>
      <c r="B203">
        <v>1690202755.5999999</v>
      </c>
      <c r="C203">
        <v>1908.599999904633</v>
      </c>
      <c r="D203" t="s">
        <v>707</v>
      </c>
      <c r="E203" t="s">
        <v>708</v>
      </c>
      <c r="F203" t="s">
        <v>330</v>
      </c>
      <c r="H203">
        <v>1690202755.5999999</v>
      </c>
      <c r="I203">
        <f t="shared" si="60"/>
        <v>1.7851023216246635E-3</v>
      </c>
      <c r="J203">
        <f t="shared" si="61"/>
        <v>1.7851023216246635</v>
      </c>
      <c r="K203">
        <f t="shared" si="62"/>
        <v>42.255442605060892</v>
      </c>
      <c r="L203">
        <f t="shared" si="63"/>
        <v>324.76600000000002</v>
      </c>
      <c r="M203">
        <f t="shared" si="64"/>
        <v>-8.2503517607060441</v>
      </c>
      <c r="N203">
        <f t="shared" si="65"/>
        <v>-0.81775545344349021</v>
      </c>
      <c r="O203">
        <f t="shared" si="66"/>
        <v>32.190041745602002</v>
      </c>
      <c r="P203">
        <f t="shared" si="67"/>
        <v>0.21435421466152432</v>
      </c>
      <c r="Q203">
        <f t="shared" si="68"/>
        <v>2.0807446199727675</v>
      </c>
      <c r="R203">
        <f t="shared" si="69"/>
        <v>0.20279842193080735</v>
      </c>
      <c r="S203">
        <f t="shared" si="70"/>
        <v>0.1277353162672277</v>
      </c>
      <c r="T203">
        <f t="shared" si="71"/>
        <v>276.11410781021232</v>
      </c>
      <c r="U203">
        <f t="shared" si="72"/>
        <v>27.454287319601516</v>
      </c>
      <c r="V203">
        <f t="shared" si="73"/>
        <v>27.454287319601516</v>
      </c>
      <c r="W203">
        <f t="shared" si="74"/>
        <v>3.6757761686247363</v>
      </c>
      <c r="X203">
        <f t="shared" si="75"/>
        <v>84.635123564657576</v>
      </c>
      <c r="Y203">
        <f t="shared" si="76"/>
        <v>2.8319497630252002</v>
      </c>
      <c r="Z203">
        <f t="shared" si="77"/>
        <v>3.3460691539744878</v>
      </c>
      <c r="AA203">
        <f t="shared" si="78"/>
        <v>0.84382640559953614</v>
      </c>
      <c r="AB203">
        <f t="shared" si="79"/>
        <v>-78.723012383647657</v>
      </c>
      <c r="AC203">
        <f t="shared" si="80"/>
        <v>-179.03323545696819</v>
      </c>
      <c r="AD203">
        <f t="shared" si="81"/>
        <v>-18.505438406950212</v>
      </c>
      <c r="AE203">
        <f t="shared" si="82"/>
        <v>-0.14757843735370102</v>
      </c>
      <c r="AF203">
        <v>13</v>
      </c>
      <c r="AG203">
        <v>4</v>
      </c>
      <c r="AH203">
        <f t="shared" si="83"/>
        <v>1</v>
      </c>
      <c r="AI203">
        <f t="shared" si="84"/>
        <v>0</v>
      </c>
      <c r="AJ203">
        <f t="shared" si="85"/>
        <v>52570.325176883423</v>
      </c>
      <c r="AK203">
        <f t="shared" si="86"/>
        <v>1799.99</v>
      </c>
      <c r="AL203">
        <f t="shared" si="87"/>
        <v>1499.10242420693</v>
      </c>
      <c r="AM203">
        <f t="shared" si="88"/>
        <v>0.83283930699999997</v>
      </c>
      <c r="AN203">
        <f t="shared" si="89"/>
        <v>0.15339757877000001</v>
      </c>
      <c r="AO203">
        <v>33.299999999999997</v>
      </c>
      <c r="AP203">
        <v>0.5</v>
      </c>
      <c r="AQ203" t="s">
        <v>331</v>
      </c>
      <c r="AR203">
        <v>2</v>
      </c>
      <c r="AS203">
        <v>1690202755.5999999</v>
      </c>
      <c r="AT203">
        <v>324.76600000000002</v>
      </c>
      <c r="AU203">
        <v>799.99099999999999</v>
      </c>
      <c r="AV203">
        <v>28.5716</v>
      </c>
      <c r="AW203">
        <v>9.3330400000000004</v>
      </c>
      <c r="AX203">
        <v>325.96300000000002</v>
      </c>
      <c r="AY203">
        <v>28.3934</v>
      </c>
      <c r="AZ203">
        <v>300.15499999999997</v>
      </c>
      <c r="BA203">
        <v>99.017600000000002</v>
      </c>
      <c r="BB203">
        <v>0.100047</v>
      </c>
      <c r="BC203">
        <v>25.8583</v>
      </c>
      <c r="BD203">
        <v>27.001899999999999</v>
      </c>
      <c r="BE203">
        <v>27.4725</v>
      </c>
      <c r="BF203">
        <v>0</v>
      </c>
      <c r="BG203">
        <v>0</v>
      </c>
      <c r="BH203">
        <v>10002.5</v>
      </c>
      <c r="BI203">
        <v>1074.6500000000001</v>
      </c>
      <c r="BJ203">
        <v>1.2642899999999999</v>
      </c>
      <c r="BK203">
        <v>-475.22399999999999</v>
      </c>
      <c r="BL203">
        <v>334.31799999999998</v>
      </c>
      <c r="BM203">
        <v>807.52700000000004</v>
      </c>
      <c r="BN203">
        <v>19.238600000000002</v>
      </c>
      <c r="BO203">
        <v>799.99099999999999</v>
      </c>
      <c r="BP203">
        <v>9.3330400000000004</v>
      </c>
      <c r="BQ203">
        <v>2.8290999999999999</v>
      </c>
      <c r="BR203">
        <v>0.92413599999999996</v>
      </c>
      <c r="BS203">
        <v>23.0548</v>
      </c>
      <c r="BT203">
        <v>5.7721799999999996</v>
      </c>
      <c r="BU203">
        <v>1799.99</v>
      </c>
      <c r="BV203">
        <v>0.90998800000000002</v>
      </c>
      <c r="BW203">
        <v>3.3999700000000001E-2</v>
      </c>
      <c r="BX203">
        <v>2.2000599999999999E-2</v>
      </c>
      <c r="BY203">
        <v>3.4012100000000003E-2</v>
      </c>
      <c r="BZ203">
        <v>25</v>
      </c>
      <c r="CA203">
        <v>33528.199999999997</v>
      </c>
      <c r="CB203">
        <v>1690200769.5</v>
      </c>
      <c r="CC203" t="s">
        <v>332</v>
      </c>
      <c r="CD203">
        <v>1690200769.5</v>
      </c>
      <c r="CE203">
        <v>1690200753</v>
      </c>
      <c r="CF203">
        <v>2</v>
      </c>
      <c r="CG203">
        <v>-0.245</v>
      </c>
      <c r="CH203">
        <v>3.0000000000000001E-3</v>
      </c>
      <c r="CI203">
        <v>-1.5169999999999999</v>
      </c>
      <c r="CJ203">
        <v>-1.6E-2</v>
      </c>
      <c r="CK203">
        <v>778</v>
      </c>
      <c r="CL203">
        <v>12</v>
      </c>
      <c r="CM203">
        <v>0.01</v>
      </c>
      <c r="CN203">
        <v>0.03</v>
      </c>
      <c r="CO203">
        <v>-474.85182926829282</v>
      </c>
      <c r="CP203">
        <v>-2.716703832752557</v>
      </c>
      <c r="CQ203">
        <v>0.28213445181236563</v>
      </c>
      <c r="CR203">
        <v>-1</v>
      </c>
      <c r="CS203">
        <v>19.226917073170728</v>
      </c>
      <c r="CT203">
        <v>7.2898954703851104E-2</v>
      </c>
      <c r="CU203">
        <v>7.5061893953288503E-3</v>
      </c>
      <c r="CV203">
        <v>-1</v>
      </c>
      <c r="CW203">
        <v>0</v>
      </c>
      <c r="CX203">
        <v>0</v>
      </c>
      <c r="CY203" t="s">
        <v>333</v>
      </c>
      <c r="CZ203">
        <v>2.3652299999999999</v>
      </c>
      <c r="DA203">
        <v>2.7138399999999998</v>
      </c>
      <c r="DB203">
        <v>7.6359700000000003E-2</v>
      </c>
      <c r="DC203">
        <v>0.146313</v>
      </c>
      <c r="DD203">
        <v>0.12884100000000001</v>
      </c>
      <c r="DE203">
        <v>5.6156600000000001E-2</v>
      </c>
      <c r="DF203">
        <v>33699.300000000003</v>
      </c>
      <c r="DG203">
        <v>27450</v>
      </c>
      <c r="DH203">
        <v>31144.799999999999</v>
      </c>
      <c r="DI203">
        <v>28015.7</v>
      </c>
      <c r="DJ203">
        <v>36811.800000000003</v>
      </c>
      <c r="DK203">
        <v>37572.6</v>
      </c>
      <c r="DL203">
        <v>44313.599999999999</v>
      </c>
      <c r="DM203">
        <v>42428.4</v>
      </c>
      <c r="DN203">
        <v>1.44302</v>
      </c>
      <c r="DO203">
        <v>2.0701999999999998</v>
      </c>
      <c r="DP203">
        <v>0.137351</v>
      </c>
      <c r="DQ203">
        <v>0.17236899999999999</v>
      </c>
      <c r="DR203">
        <v>24.7515</v>
      </c>
      <c r="DS203">
        <v>24.6492</v>
      </c>
      <c r="DT203">
        <v>32.200000000000003</v>
      </c>
      <c r="DU203">
        <v>26.2</v>
      </c>
      <c r="DV203">
        <v>11.105399999999999</v>
      </c>
      <c r="DW203">
        <v>61.505400000000002</v>
      </c>
      <c r="DX203">
        <v>35.817300000000003</v>
      </c>
      <c r="DY203">
        <v>1</v>
      </c>
      <c r="DZ203">
        <v>-0.15237600000000001</v>
      </c>
      <c r="EA203">
        <v>-9.7115999999999994E-2</v>
      </c>
      <c r="EB203">
        <v>20.191700000000001</v>
      </c>
      <c r="EC203">
        <v>5.2411000000000003</v>
      </c>
      <c r="ED203">
        <v>12.039899999999999</v>
      </c>
      <c r="EE203">
        <v>5.0174000000000003</v>
      </c>
      <c r="EF203">
        <v>3.2879999999999998</v>
      </c>
      <c r="EG203">
        <v>9999</v>
      </c>
      <c r="EH203">
        <v>9999</v>
      </c>
      <c r="EI203">
        <v>9999</v>
      </c>
      <c r="EJ203">
        <v>999.9</v>
      </c>
      <c r="EK203">
        <v>1.86883</v>
      </c>
      <c r="EL203">
        <v>1.8645</v>
      </c>
      <c r="EM203">
        <v>1.8690599999999999</v>
      </c>
      <c r="EN203">
        <v>1.8671599999999999</v>
      </c>
      <c r="EO203">
        <v>1.8633500000000001</v>
      </c>
      <c r="EP203">
        <v>1.8644400000000001</v>
      </c>
      <c r="EQ203">
        <v>1.87012</v>
      </c>
      <c r="ER203">
        <v>1.8693500000000001</v>
      </c>
      <c r="ES203">
        <v>0</v>
      </c>
      <c r="ET203">
        <v>0</v>
      </c>
      <c r="EU203">
        <v>0</v>
      </c>
      <c r="EV203">
        <v>0</v>
      </c>
      <c r="EW203" t="s">
        <v>334</v>
      </c>
      <c r="EX203" t="s">
        <v>335</v>
      </c>
      <c r="EY203" t="s">
        <v>336</v>
      </c>
      <c r="EZ203" t="s">
        <v>336</v>
      </c>
      <c r="FA203" t="s">
        <v>336</v>
      </c>
      <c r="FB203" t="s">
        <v>336</v>
      </c>
      <c r="FC203">
        <v>0</v>
      </c>
      <c r="FD203">
        <v>100</v>
      </c>
      <c r="FE203">
        <v>100</v>
      </c>
      <c r="FF203">
        <v>-1.1970000000000001</v>
      </c>
      <c r="FG203">
        <v>0.1782</v>
      </c>
      <c r="FH203">
        <v>-0.98020551812546231</v>
      </c>
      <c r="FI203">
        <v>-6.1462078757559423E-4</v>
      </c>
      <c r="FJ203">
        <v>-1.8861989874597051E-7</v>
      </c>
      <c r="FK203">
        <v>1.1980462299894961E-10</v>
      </c>
      <c r="FL203">
        <v>0.1782306200647516</v>
      </c>
      <c r="FM203">
        <v>0</v>
      </c>
      <c r="FN203">
        <v>0</v>
      </c>
      <c r="FO203">
        <v>0</v>
      </c>
      <c r="FP203">
        <v>3</v>
      </c>
      <c r="FQ203">
        <v>2158</v>
      </c>
      <c r="FR203">
        <v>1</v>
      </c>
      <c r="FS203">
        <v>19</v>
      </c>
      <c r="FT203">
        <v>33.1</v>
      </c>
      <c r="FU203">
        <v>33.4</v>
      </c>
      <c r="FV203">
        <v>1.7785599999999999</v>
      </c>
      <c r="FW203">
        <v>2.5512700000000001</v>
      </c>
      <c r="FX203">
        <v>1.5490699999999999</v>
      </c>
      <c r="FY203">
        <v>2.34131</v>
      </c>
      <c r="FZ203">
        <v>1.50146</v>
      </c>
      <c r="GA203">
        <v>2.3327599999999999</v>
      </c>
      <c r="GB203">
        <v>31.367999999999999</v>
      </c>
      <c r="GC203">
        <v>23.982399999999998</v>
      </c>
      <c r="GD203">
        <v>19</v>
      </c>
      <c r="GE203">
        <v>265.95</v>
      </c>
      <c r="GF203">
        <v>602.69000000000005</v>
      </c>
      <c r="GG203">
        <v>24.3596</v>
      </c>
      <c r="GH203">
        <v>25.501000000000001</v>
      </c>
      <c r="GI203">
        <v>30</v>
      </c>
      <c r="GJ203">
        <v>25.616700000000002</v>
      </c>
      <c r="GK203">
        <v>25.585100000000001</v>
      </c>
      <c r="GL203">
        <v>35.5471</v>
      </c>
      <c r="GM203">
        <v>-30</v>
      </c>
      <c r="GN203">
        <v>-30</v>
      </c>
      <c r="GO203">
        <v>24.3644</v>
      </c>
      <c r="GP203">
        <v>800</v>
      </c>
      <c r="GQ203">
        <v>12.5298</v>
      </c>
      <c r="GR203">
        <v>99.638999999999996</v>
      </c>
      <c r="GS203">
        <v>99.286100000000005</v>
      </c>
    </row>
    <row r="204" spans="1:201" x14ac:dyDescent="0.25">
      <c r="A204">
        <v>188</v>
      </c>
      <c r="B204">
        <v>1690202765.5999999</v>
      </c>
      <c r="C204">
        <v>1918.599999904633</v>
      </c>
      <c r="D204" t="s">
        <v>709</v>
      </c>
      <c r="E204" t="s">
        <v>710</v>
      </c>
      <c r="F204" t="s">
        <v>330</v>
      </c>
      <c r="H204">
        <v>1690202765.5999999</v>
      </c>
      <c r="I204">
        <f t="shared" si="60"/>
        <v>1.7874071228904474E-3</v>
      </c>
      <c r="J204">
        <f t="shared" si="61"/>
        <v>1.7874071228904473</v>
      </c>
      <c r="K204">
        <f t="shared" si="62"/>
        <v>42.285366436218851</v>
      </c>
      <c r="L204">
        <f t="shared" si="63"/>
        <v>324.46199999999999</v>
      </c>
      <c r="M204">
        <f t="shared" si="64"/>
        <v>-7.8255167243247312</v>
      </c>
      <c r="N204">
        <f t="shared" si="65"/>
        <v>-0.7756260893488941</v>
      </c>
      <c r="O204">
        <f t="shared" si="66"/>
        <v>32.1590510975538</v>
      </c>
      <c r="P204">
        <f t="shared" si="67"/>
        <v>0.21501796480259622</v>
      </c>
      <c r="Q204">
        <f t="shared" si="68"/>
        <v>2.0788307104996062</v>
      </c>
      <c r="R204">
        <f t="shared" si="69"/>
        <v>0.20338249865170072</v>
      </c>
      <c r="S204">
        <f t="shared" si="70"/>
        <v>0.12810696594516288</v>
      </c>
      <c r="T204">
        <f t="shared" si="71"/>
        <v>276.11604255599997</v>
      </c>
      <c r="U204">
        <f t="shared" si="72"/>
        <v>27.453215464119587</v>
      </c>
      <c r="V204">
        <f t="shared" si="73"/>
        <v>27.453215464119587</v>
      </c>
      <c r="W204">
        <f t="shared" si="74"/>
        <v>3.6755455574004592</v>
      </c>
      <c r="X204">
        <f t="shared" si="75"/>
        <v>84.677026434554833</v>
      </c>
      <c r="Y204">
        <f t="shared" si="76"/>
        <v>2.8330833341416199</v>
      </c>
      <c r="Z204">
        <f t="shared" si="77"/>
        <v>3.3457520338544868</v>
      </c>
      <c r="AA204">
        <f t="shared" si="78"/>
        <v>0.84246222325883924</v>
      </c>
      <c r="AB204">
        <f t="shared" si="79"/>
        <v>-78.824654119468732</v>
      </c>
      <c r="AC204">
        <f t="shared" si="80"/>
        <v>-178.92774842322308</v>
      </c>
      <c r="AD204">
        <f t="shared" si="81"/>
        <v>-18.511314735622616</v>
      </c>
      <c r="AE204">
        <f t="shared" si="82"/>
        <v>-0.14767472231443435</v>
      </c>
      <c r="AF204">
        <v>13</v>
      </c>
      <c r="AG204">
        <v>4</v>
      </c>
      <c r="AH204">
        <f t="shared" si="83"/>
        <v>1</v>
      </c>
      <c r="AI204">
        <f t="shared" si="84"/>
        <v>0</v>
      </c>
      <c r="AJ204">
        <f t="shared" si="85"/>
        <v>52484.121935137577</v>
      </c>
      <c r="AK204">
        <f t="shared" si="86"/>
        <v>1800</v>
      </c>
      <c r="AL204">
        <f t="shared" si="87"/>
        <v>1499.1107975999998</v>
      </c>
      <c r="AM204">
        <f t="shared" si="88"/>
        <v>0.83283933199999993</v>
      </c>
      <c r="AN204">
        <f t="shared" si="89"/>
        <v>0.15339780141999998</v>
      </c>
      <c r="AO204">
        <v>33.299999999999997</v>
      </c>
      <c r="AP204">
        <v>0.5</v>
      </c>
      <c r="AQ204" t="s">
        <v>331</v>
      </c>
      <c r="AR204">
        <v>2</v>
      </c>
      <c r="AS204">
        <v>1690202765.5999999</v>
      </c>
      <c r="AT204">
        <v>324.46199999999999</v>
      </c>
      <c r="AU204">
        <v>800.00699999999995</v>
      </c>
      <c r="AV204">
        <v>28.5838</v>
      </c>
      <c r="AW204">
        <v>9.3212200000000003</v>
      </c>
      <c r="AX204">
        <v>325.65899999999999</v>
      </c>
      <c r="AY204">
        <v>28.4056</v>
      </c>
      <c r="AZ204">
        <v>300.16399999999999</v>
      </c>
      <c r="BA204">
        <v>99.015000000000001</v>
      </c>
      <c r="BB204">
        <v>9.9999900000000003E-2</v>
      </c>
      <c r="BC204">
        <v>25.8567</v>
      </c>
      <c r="BD204">
        <v>26.993200000000002</v>
      </c>
      <c r="BE204">
        <v>27.5032</v>
      </c>
      <c r="BF204">
        <v>0</v>
      </c>
      <c r="BG204">
        <v>0</v>
      </c>
      <c r="BH204">
        <v>9985.6200000000008</v>
      </c>
      <c r="BI204">
        <v>1074.68</v>
      </c>
      <c r="BJ204">
        <v>1.2334499999999999</v>
      </c>
      <c r="BK204">
        <v>-475.54500000000002</v>
      </c>
      <c r="BL204">
        <v>334.01</v>
      </c>
      <c r="BM204">
        <v>807.53499999999997</v>
      </c>
      <c r="BN204">
        <v>19.262599999999999</v>
      </c>
      <c r="BO204">
        <v>800.00699999999995</v>
      </c>
      <c r="BP204">
        <v>9.3212200000000003</v>
      </c>
      <c r="BQ204">
        <v>2.8302299999999998</v>
      </c>
      <c r="BR204">
        <v>0.92293999999999998</v>
      </c>
      <c r="BS204">
        <v>23.061399999999999</v>
      </c>
      <c r="BT204">
        <v>5.7534999999999998</v>
      </c>
      <c r="BU204">
        <v>1800</v>
      </c>
      <c r="BV204">
        <v>0.90998599999999996</v>
      </c>
      <c r="BW204">
        <v>3.39992E-2</v>
      </c>
      <c r="BX204">
        <v>2.2004599999999999E-2</v>
      </c>
      <c r="BY204">
        <v>3.4010199999999997E-2</v>
      </c>
      <c r="BZ204">
        <v>25</v>
      </c>
      <c r="CA204">
        <v>33528.300000000003</v>
      </c>
      <c r="CB204">
        <v>1690200769.5</v>
      </c>
      <c r="CC204" t="s">
        <v>332</v>
      </c>
      <c r="CD204">
        <v>1690200769.5</v>
      </c>
      <c r="CE204">
        <v>1690200753</v>
      </c>
      <c r="CF204">
        <v>2</v>
      </c>
      <c r="CG204">
        <v>-0.245</v>
      </c>
      <c r="CH204">
        <v>3.0000000000000001E-3</v>
      </c>
      <c r="CI204">
        <v>-1.5169999999999999</v>
      </c>
      <c r="CJ204">
        <v>-1.6E-2</v>
      </c>
      <c r="CK204">
        <v>778</v>
      </c>
      <c r="CL204">
        <v>12</v>
      </c>
      <c r="CM204">
        <v>0.01</v>
      </c>
      <c r="CN204">
        <v>0.03</v>
      </c>
      <c r="CO204">
        <v>-475.25258536585358</v>
      </c>
      <c r="CP204">
        <v>-2.2350522648084632</v>
      </c>
      <c r="CQ204">
        <v>0.23543897511957251</v>
      </c>
      <c r="CR204">
        <v>-1</v>
      </c>
      <c r="CS204">
        <v>19.240378048780489</v>
      </c>
      <c r="CT204">
        <v>8.9617421602794373E-2</v>
      </c>
      <c r="CU204">
        <v>9.2707121360670643E-3</v>
      </c>
      <c r="CV204">
        <v>-1</v>
      </c>
      <c r="CW204">
        <v>0</v>
      </c>
      <c r="CX204">
        <v>0</v>
      </c>
      <c r="CY204" t="s">
        <v>333</v>
      </c>
      <c r="CZ204">
        <v>2.3652600000000001</v>
      </c>
      <c r="DA204">
        <v>2.7137799999999999</v>
      </c>
      <c r="DB204">
        <v>7.6300599999999996E-2</v>
      </c>
      <c r="DC204">
        <v>0.146311</v>
      </c>
      <c r="DD204">
        <v>0.12887499999999999</v>
      </c>
      <c r="DE204">
        <v>5.6099999999999997E-2</v>
      </c>
      <c r="DF204">
        <v>33701.9</v>
      </c>
      <c r="DG204">
        <v>27450</v>
      </c>
      <c r="DH204">
        <v>31145.200000000001</v>
      </c>
      <c r="DI204">
        <v>28015.599999999999</v>
      </c>
      <c r="DJ204">
        <v>36810.699999999997</v>
      </c>
      <c r="DK204">
        <v>37574.800000000003</v>
      </c>
      <c r="DL204">
        <v>44314.1</v>
      </c>
      <c r="DM204">
        <v>42428.3</v>
      </c>
      <c r="DN204">
        <v>1.4430000000000001</v>
      </c>
      <c r="DO204">
        <v>2.0701299999999998</v>
      </c>
      <c r="DP204">
        <v>0.13671800000000001</v>
      </c>
      <c r="DQ204">
        <v>0.17412</v>
      </c>
      <c r="DR204">
        <v>24.7532</v>
      </c>
      <c r="DS204">
        <v>24.651299999999999</v>
      </c>
      <c r="DT204">
        <v>32.1</v>
      </c>
      <c r="DU204">
        <v>26.2</v>
      </c>
      <c r="DV204">
        <v>11.069800000000001</v>
      </c>
      <c r="DW204">
        <v>61.675400000000003</v>
      </c>
      <c r="DX204">
        <v>35.961500000000001</v>
      </c>
      <c r="DY204">
        <v>1</v>
      </c>
      <c r="DZ204">
        <v>-0.15225900000000001</v>
      </c>
      <c r="EA204">
        <v>-8.0634499999999998E-2</v>
      </c>
      <c r="EB204">
        <v>20.191800000000001</v>
      </c>
      <c r="EC204">
        <v>5.2411000000000003</v>
      </c>
      <c r="ED204">
        <v>12.039899999999999</v>
      </c>
      <c r="EE204">
        <v>5.01755</v>
      </c>
      <c r="EF204">
        <v>3.2879999999999998</v>
      </c>
      <c r="EG204">
        <v>9999</v>
      </c>
      <c r="EH204">
        <v>9999</v>
      </c>
      <c r="EI204">
        <v>9999</v>
      </c>
      <c r="EJ204">
        <v>999.9</v>
      </c>
      <c r="EK204">
        <v>1.8688499999999999</v>
      </c>
      <c r="EL204">
        <v>1.8645</v>
      </c>
      <c r="EM204">
        <v>1.8690599999999999</v>
      </c>
      <c r="EN204">
        <v>1.86717</v>
      </c>
      <c r="EO204">
        <v>1.86331</v>
      </c>
      <c r="EP204">
        <v>1.8644499999999999</v>
      </c>
      <c r="EQ204">
        <v>1.8701099999999999</v>
      </c>
      <c r="ER204">
        <v>1.8693500000000001</v>
      </c>
      <c r="ES204">
        <v>0</v>
      </c>
      <c r="ET204">
        <v>0</v>
      </c>
      <c r="EU204">
        <v>0</v>
      </c>
      <c r="EV204">
        <v>0</v>
      </c>
      <c r="EW204" t="s">
        <v>334</v>
      </c>
      <c r="EX204" t="s">
        <v>335</v>
      </c>
      <c r="EY204" t="s">
        <v>336</v>
      </c>
      <c r="EZ204" t="s">
        <v>336</v>
      </c>
      <c r="FA204" t="s">
        <v>336</v>
      </c>
      <c r="FB204" t="s">
        <v>336</v>
      </c>
      <c r="FC204">
        <v>0</v>
      </c>
      <c r="FD204">
        <v>100</v>
      </c>
      <c r="FE204">
        <v>100</v>
      </c>
      <c r="FF204">
        <v>-1.1970000000000001</v>
      </c>
      <c r="FG204">
        <v>0.1782</v>
      </c>
      <c r="FH204">
        <v>-0.98020551812546231</v>
      </c>
      <c r="FI204">
        <v>-6.1462078757559423E-4</v>
      </c>
      <c r="FJ204">
        <v>-1.8861989874597051E-7</v>
      </c>
      <c r="FK204">
        <v>1.1980462299894961E-10</v>
      </c>
      <c r="FL204">
        <v>0.1782306200647516</v>
      </c>
      <c r="FM204">
        <v>0</v>
      </c>
      <c r="FN204">
        <v>0</v>
      </c>
      <c r="FO204">
        <v>0</v>
      </c>
      <c r="FP204">
        <v>3</v>
      </c>
      <c r="FQ204">
        <v>2158</v>
      </c>
      <c r="FR204">
        <v>1</v>
      </c>
      <c r="FS204">
        <v>19</v>
      </c>
      <c r="FT204">
        <v>33.299999999999997</v>
      </c>
      <c r="FU204">
        <v>33.5</v>
      </c>
      <c r="FV204">
        <v>1.7773399999999999</v>
      </c>
      <c r="FW204">
        <v>2.5427200000000001</v>
      </c>
      <c r="FX204">
        <v>1.5490699999999999</v>
      </c>
      <c r="FY204">
        <v>2.34009</v>
      </c>
      <c r="FZ204">
        <v>1.50146</v>
      </c>
      <c r="GA204">
        <v>2.4023400000000001</v>
      </c>
      <c r="GB204">
        <v>31.389800000000001</v>
      </c>
      <c r="GC204">
        <v>23.991199999999999</v>
      </c>
      <c r="GD204">
        <v>19</v>
      </c>
      <c r="GE204">
        <v>265.947</v>
      </c>
      <c r="GF204">
        <v>602.62699999999995</v>
      </c>
      <c r="GG204">
        <v>24.366800000000001</v>
      </c>
      <c r="GH204">
        <v>25.502600000000001</v>
      </c>
      <c r="GI204">
        <v>30.0001</v>
      </c>
      <c r="GJ204">
        <v>25.618300000000001</v>
      </c>
      <c r="GK204">
        <v>25.585100000000001</v>
      </c>
      <c r="GL204">
        <v>35.544499999999999</v>
      </c>
      <c r="GM204">
        <v>-30</v>
      </c>
      <c r="GN204">
        <v>-30</v>
      </c>
      <c r="GO204">
        <v>24.366199999999999</v>
      </c>
      <c r="GP204">
        <v>800</v>
      </c>
      <c r="GQ204">
        <v>12.5298</v>
      </c>
      <c r="GR204">
        <v>99.640100000000004</v>
      </c>
      <c r="GS204">
        <v>99.286000000000001</v>
      </c>
    </row>
    <row r="205" spans="1:201" x14ac:dyDescent="0.25">
      <c r="A205">
        <v>189</v>
      </c>
      <c r="B205">
        <v>1690202775.5999999</v>
      </c>
      <c r="C205">
        <v>1928.599999904633</v>
      </c>
      <c r="D205" t="s">
        <v>711</v>
      </c>
      <c r="E205" t="s">
        <v>712</v>
      </c>
      <c r="F205" t="s">
        <v>330</v>
      </c>
      <c r="H205">
        <v>1690202775.5999999</v>
      </c>
      <c r="I205">
        <f t="shared" si="60"/>
        <v>1.7902486241582825E-3</v>
      </c>
      <c r="J205">
        <f t="shared" si="61"/>
        <v>1.7902486241582825</v>
      </c>
      <c r="K205">
        <f t="shared" si="62"/>
        <v>42.327348333573227</v>
      </c>
      <c r="L205">
        <f t="shared" si="63"/>
        <v>324.09399999999999</v>
      </c>
      <c r="M205">
        <f t="shared" si="64"/>
        <v>-7.9241446093866328</v>
      </c>
      <c r="N205">
        <f t="shared" si="65"/>
        <v>-0.7853977972940881</v>
      </c>
      <c r="O205">
        <f t="shared" si="66"/>
        <v>32.122421568973998</v>
      </c>
      <c r="P205">
        <f t="shared" si="67"/>
        <v>0.21543581915645502</v>
      </c>
      <c r="Q205">
        <f t="shared" si="68"/>
        <v>2.0764482294445239</v>
      </c>
      <c r="R205">
        <f t="shared" si="69"/>
        <v>0.20374378457554052</v>
      </c>
      <c r="S205">
        <f t="shared" si="70"/>
        <v>0.12833744284671619</v>
      </c>
      <c r="T205">
        <f t="shared" si="71"/>
        <v>276.11661879000002</v>
      </c>
      <c r="U205">
        <f t="shared" si="72"/>
        <v>27.458159755707445</v>
      </c>
      <c r="V205">
        <f t="shared" si="73"/>
        <v>27.458159755707445</v>
      </c>
      <c r="W205">
        <f t="shared" si="74"/>
        <v>3.6766094339571538</v>
      </c>
      <c r="X205">
        <f t="shared" si="75"/>
        <v>84.692368405655202</v>
      </c>
      <c r="Y205">
        <f t="shared" si="76"/>
        <v>2.8343184883243997</v>
      </c>
      <c r="Z205">
        <f t="shared" si="77"/>
        <v>3.3466043537107439</v>
      </c>
      <c r="AA205">
        <f t="shared" si="78"/>
        <v>0.84229094563275408</v>
      </c>
      <c r="AB205">
        <f t="shared" si="79"/>
        <v>-78.949964325380265</v>
      </c>
      <c r="AC205">
        <f t="shared" si="80"/>
        <v>-178.79481061132836</v>
      </c>
      <c r="AD205">
        <f t="shared" si="81"/>
        <v>-18.519642248872984</v>
      </c>
      <c r="AE205">
        <f t="shared" si="82"/>
        <v>-0.14779839558158869</v>
      </c>
      <c r="AF205">
        <v>13</v>
      </c>
      <c r="AG205">
        <v>4</v>
      </c>
      <c r="AH205">
        <f t="shared" si="83"/>
        <v>1</v>
      </c>
      <c r="AI205">
        <f t="shared" si="84"/>
        <v>0</v>
      </c>
      <c r="AJ205">
        <f t="shared" si="85"/>
        <v>52375.905134577108</v>
      </c>
      <c r="AK205">
        <f t="shared" si="86"/>
        <v>1800</v>
      </c>
      <c r="AL205">
        <f t="shared" si="87"/>
        <v>1499.1107489999999</v>
      </c>
      <c r="AM205">
        <f t="shared" si="88"/>
        <v>0.83283930499999992</v>
      </c>
      <c r="AN205">
        <f t="shared" si="89"/>
        <v>0.15339812155000002</v>
      </c>
      <c r="AO205">
        <v>33.299999999999997</v>
      </c>
      <c r="AP205">
        <v>0.5</v>
      </c>
      <c r="AQ205" t="s">
        <v>331</v>
      </c>
      <c r="AR205">
        <v>2</v>
      </c>
      <c r="AS205">
        <v>1690202775.5999999</v>
      </c>
      <c r="AT205">
        <v>324.09399999999999</v>
      </c>
      <c r="AU205">
        <v>799.98400000000004</v>
      </c>
      <c r="AV205">
        <v>28.596399999999999</v>
      </c>
      <c r="AW205">
        <v>9.3084600000000002</v>
      </c>
      <c r="AX205">
        <v>325.29000000000002</v>
      </c>
      <c r="AY205">
        <v>28.418099999999999</v>
      </c>
      <c r="AZ205">
        <v>300.24200000000002</v>
      </c>
      <c r="BA205">
        <v>99.014399999999995</v>
      </c>
      <c r="BB205">
        <v>0.100121</v>
      </c>
      <c r="BC205">
        <v>25.861000000000001</v>
      </c>
      <c r="BD205">
        <v>26.998899999999999</v>
      </c>
      <c r="BE205">
        <v>27.495899999999999</v>
      </c>
      <c r="BF205">
        <v>0</v>
      </c>
      <c r="BG205">
        <v>0</v>
      </c>
      <c r="BH205">
        <v>9964.3799999999992</v>
      </c>
      <c r="BI205">
        <v>1074.46</v>
      </c>
      <c r="BJ205">
        <v>1.4577199999999999</v>
      </c>
      <c r="BK205">
        <v>-475.89</v>
      </c>
      <c r="BL205">
        <v>333.63499999999999</v>
      </c>
      <c r="BM205">
        <v>807.50099999999998</v>
      </c>
      <c r="BN205">
        <v>19.2879</v>
      </c>
      <c r="BO205">
        <v>799.98400000000004</v>
      </c>
      <c r="BP205">
        <v>9.3084600000000002</v>
      </c>
      <c r="BQ205">
        <v>2.8314499999999998</v>
      </c>
      <c r="BR205">
        <v>0.92167200000000005</v>
      </c>
      <c r="BS205">
        <v>23.0686</v>
      </c>
      <c r="BT205">
        <v>5.7336400000000003</v>
      </c>
      <c r="BU205">
        <v>1800</v>
      </c>
      <c r="BV205">
        <v>0.90998000000000001</v>
      </c>
      <c r="BW205">
        <v>3.3998E-2</v>
      </c>
      <c r="BX205">
        <v>2.2009000000000001E-2</v>
      </c>
      <c r="BY205">
        <v>3.4012899999999999E-2</v>
      </c>
      <c r="BZ205">
        <v>25</v>
      </c>
      <c r="CA205">
        <v>33528.199999999997</v>
      </c>
      <c r="CB205">
        <v>1690200769.5</v>
      </c>
      <c r="CC205" t="s">
        <v>332</v>
      </c>
      <c r="CD205">
        <v>1690200769.5</v>
      </c>
      <c r="CE205">
        <v>1690200753</v>
      </c>
      <c r="CF205">
        <v>2</v>
      </c>
      <c r="CG205">
        <v>-0.245</v>
      </c>
      <c r="CH205">
        <v>3.0000000000000001E-3</v>
      </c>
      <c r="CI205">
        <v>-1.5169999999999999</v>
      </c>
      <c r="CJ205">
        <v>-1.6E-2</v>
      </c>
      <c r="CK205">
        <v>778</v>
      </c>
      <c r="CL205">
        <v>12</v>
      </c>
      <c r="CM205">
        <v>0.01</v>
      </c>
      <c r="CN205">
        <v>0.03</v>
      </c>
      <c r="CO205">
        <v>-475.5299</v>
      </c>
      <c r="CP205">
        <v>-1.569050656659301</v>
      </c>
      <c r="CQ205">
        <v>0.15787792752629989</v>
      </c>
      <c r="CR205">
        <v>-1</v>
      </c>
      <c r="CS205">
        <v>19.259752500000001</v>
      </c>
      <c r="CT205">
        <v>0.15095797373352429</v>
      </c>
      <c r="CU205">
        <v>1.454039180180464E-2</v>
      </c>
      <c r="CV205">
        <v>-1</v>
      </c>
      <c r="CW205">
        <v>0</v>
      </c>
      <c r="CX205">
        <v>0</v>
      </c>
      <c r="CY205" t="s">
        <v>333</v>
      </c>
      <c r="CZ205">
        <v>2.3655499999999998</v>
      </c>
      <c r="DA205">
        <v>2.7138800000000001</v>
      </c>
      <c r="DB205">
        <v>7.6230800000000001E-2</v>
      </c>
      <c r="DC205">
        <v>0.14630599999999999</v>
      </c>
      <c r="DD205">
        <v>0.128913</v>
      </c>
      <c r="DE205">
        <v>5.6039800000000001E-2</v>
      </c>
      <c r="DF205">
        <v>33704.699999999997</v>
      </c>
      <c r="DG205">
        <v>27450.3</v>
      </c>
      <c r="DH205">
        <v>31145.4</v>
      </c>
      <c r="DI205">
        <v>28015.8</v>
      </c>
      <c r="DJ205">
        <v>36809.5</v>
      </c>
      <c r="DK205">
        <v>37577.300000000003</v>
      </c>
      <c r="DL205">
        <v>44314.5</v>
      </c>
      <c r="DM205">
        <v>42428.4</v>
      </c>
      <c r="DN205">
        <v>1.44313</v>
      </c>
      <c r="DO205">
        <v>2.0698500000000002</v>
      </c>
      <c r="DP205">
        <v>0.13697899999999999</v>
      </c>
      <c r="DQ205">
        <v>0.173487</v>
      </c>
      <c r="DR205">
        <v>24.7546</v>
      </c>
      <c r="DS205">
        <v>24.654299999999999</v>
      </c>
      <c r="DT205">
        <v>32.1</v>
      </c>
      <c r="DU205">
        <v>26.2</v>
      </c>
      <c r="DV205">
        <v>11.068099999999999</v>
      </c>
      <c r="DW205">
        <v>61.845399999999998</v>
      </c>
      <c r="DX205">
        <v>36.947099999999999</v>
      </c>
      <c r="DY205">
        <v>1</v>
      </c>
      <c r="DZ205">
        <v>-0.15217</v>
      </c>
      <c r="EA205">
        <v>-5.1244600000000001E-2</v>
      </c>
      <c r="EB205">
        <v>20.191800000000001</v>
      </c>
      <c r="EC205">
        <v>5.2411000000000003</v>
      </c>
      <c r="ED205">
        <v>12.039899999999999</v>
      </c>
      <c r="EE205">
        <v>5.0175000000000001</v>
      </c>
      <c r="EF205">
        <v>3.2879999999999998</v>
      </c>
      <c r="EG205">
        <v>9999</v>
      </c>
      <c r="EH205">
        <v>9999</v>
      </c>
      <c r="EI205">
        <v>9999</v>
      </c>
      <c r="EJ205">
        <v>999.9</v>
      </c>
      <c r="EK205">
        <v>1.8688400000000001</v>
      </c>
      <c r="EL205">
        <v>1.8645</v>
      </c>
      <c r="EM205">
        <v>1.8690599999999999</v>
      </c>
      <c r="EN205">
        <v>1.8671599999999999</v>
      </c>
      <c r="EO205">
        <v>1.8633299999999999</v>
      </c>
      <c r="EP205">
        <v>1.86443</v>
      </c>
      <c r="EQ205">
        <v>1.87012</v>
      </c>
      <c r="ER205">
        <v>1.8693500000000001</v>
      </c>
      <c r="ES205">
        <v>0</v>
      </c>
      <c r="ET205">
        <v>0</v>
      </c>
      <c r="EU205">
        <v>0</v>
      </c>
      <c r="EV205">
        <v>0</v>
      </c>
      <c r="EW205" t="s">
        <v>334</v>
      </c>
      <c r="EX205" t="s">
        <v>335</v>
      </c>
      <c r="EY205" t="s">
        <v>336</v>
      </c>
      <c r="EZ205" t="s">
        <v>336</v>
      </c>
      <c r="FA205" t="s">
        <v>336</v>
      </c>
      <c r="FB205" t="s">
        <v>336</v>
      </c>
      <c r="FC205">
        <v>0</v>
      </c>
      <c r="FD205">
        <v>100</v>
      </c>
      <c r="FE205">
        <v>100</v>
      </c>
      <c r="FF205">
        <v>-1.196</v>
      </c>
      <c r="FG205">
        <v>0.17829999999999999</v>
      </c>
      <c r="FH205">
        <v>-0.98020551812546231</v>
      </c>
      <c r="FI205">
        <v>-6.1462078757559423E-4</v>
      </c>
      <c r="FJ205">
        <v>-1.8861989874597051E-7</v>
      </c>
      <c r="FK205">
        <v>1.1980462299894961E-10</v>
      </c>
      <c r="FL205">
        <v>0.1782306200647516</v>
      </c>
      <c r="FM205">
        <v>0</v>
      </c>
      <c r="FN205">
        <v>0</v>
      </c>
      <c r="FO205">
        <v>0</v>
      </c>
      <c r="FP205">
        <v>3</v>
      </c>
      <c r="FQ205">
        <v>2158</v>
      </c>
      <c r="FR205">
        <v>1</v>
      </c>
      <c r="FS205">
        <v>19</v>
      </c>
      <c r="FT205">
        <v>33.4</v>
      </c>
      <c r="FU205">
        <v>33.700000000000003</v>
      </c>
      <c r="FV205">
        <v>1.7785599999999999</v>
      </c>
      <c r="FW205">
        <v>2.5512700000000001</v>
      </c>
      <c r="FX205">
        <v>1.5490699999999999</v>
      </c>
      <c r="FY205">
        <v>2.34009</v>
      </c>
      <c r="FZ205">
        <v>1.50146</v>
      </c>
      <c r="GA205">
        <v>2.34253</v>
      </c>
      <c r="GB205">
        <v>31.389800000000001</v>
      </c>
      <c r="GC205">
        <v>23.982399999999998</v>
      </c>
      <c r="GD205">
        <v>19</v>
      </c>
      <c r="GE205">
        <v>266.00599999999997</v>
      </c>
      <c r="GF205">
        <v>602.41999999999996</v>
      </c>
      <c r="GG205">
        <v>24.362100000000002</v>
      </c>
      <c r="GH205">
        <v>25.5031</v>
      </c>
      <c r="GI205">
        <v>30.0001</v>
      </c>
      <c r="GJ205">
        <v>25.6205</v>
      </c>
      <c r="GK205">
        <v>25.587199999999999</v>
      </c>
      <c r="GL205">
        <v>35.548099999999998</v>
      </c>
      <c r="GM205">
        <v>-30</v>
      </c>
      <c r="GN205">
        <v>-30</v>
      </c>
      <c r="GO205">
        <v>24.359400000000001</v>
      </c>
      <c r="GP205">
        <v>800</v>
      </c>
      <c r="GQ205">
        <v>12.5298</v>
      </c>
      <c r="GR205">
        <v>99.641000000000005</v>
      </c>
      <c r="GS205">
        <v>99.286299999999997</v>
      </c>
    </row>
    <row r="206" spans="1:201" x14ac:dyDescent="0.25">
      <c r="A206">
        <v>190</v>
      </c>
      <c r="B206">
        <v>1690202785.5999999</v>
      </c>
      <c r="C206">
        <v>1938.599999904633</v>
      </c>
      <c r="D206" t="s">
        <v>713</v>
      </c>
      <c r="E206" t="s">
        <v>714</v>
      </c>
      <c r="F206" t="s">
        <v>330</v>
      </c>
      <c r="H206">
        <v>1690202785.5999999</v>
      </c>
      <c r="I206">
        <f t="shared" si="60"/>
        <v>1.7919855348870095E-3</v>
      </c>
      <c r="J206">
        <f t="shared" si="61"/>
        <v>1.7919855348870095</v>
      </c>
      <c r="K206">
        <f t="shared" si="62"/>
        <v>42.35937369949999</v>
      </c>
      <c r="L206">
        <f t="shared" si="63"/>
        <v>323.73500000000001</v>
      </c>
      <c r="M206">
        <f t="shared" si="64"/>
        <v>-7.6498145121255439</v>
      </c>
      <c r="N206">
        <f t="shared" si="65"/>
        <v>-0.75821572576359531</v>
      </c>
      <c r="O206">
        <f t="shared" si="66"/>
        <v>32.087179053950003</v>
      </c>
      <c r="P206">
        <f t="shared" si="67"/>
        <v>0.21602114721241467</v>
      </c>
      <c r="Q206">
        <f t="shared" si="68"/>
        <v>2.0799531874699175</v>
      </c>
      <c r="R206">
        <f t="shared" si="69"/>
        <v>0.20428600511738329</v>
      </c>
      <c r="S206">
        <f t="shared" si="70"/>
        <v>0.12867995717417779</v>
      </c>
      <c r="T206">
        <f t="shared" si="71"/>
        <v>276.116482152</v>
      </c>
      <c r="U206">
        <f t="shared" si="72"/>
        <v>27.456196479601161</v>
      </c>
      <c r="V206">
        <f t="shared" si="73"/>
        <v>27.456196479601161</v>
      </c>
      <c r="W206">
        <f t="shared" si="74"/>
        <v>3.6761869583774978</v>
      </c>
      <c r="X206">
        <f t="shared" si="75"/>
        <v>84.716472869046129</v>
      </c>
      <c r="Y206">
        <f t="shared" si="76"/>
        <v>2.8353099069770002</v>
      </c>
      <c r="Z206">
        <f t="shared" si="77"/>
        <v>3.3468224194836269</v>
      </c>
      <c r="AA206">
        <f t="shared" si="78"/>
        <v>0.84087705140049751</v>
      </c>
      <c r="AB206">
        <f t="shared" si="79"/>
        <v>-79.026562088517124</v>
      </c>
      <c r="AC206">
        <f t="shared" si="80"/>
        <v>-178.75311005683275</v>
      </c>
      <c r="AD206">
        <f t="shared" si="81"/>
        <v>-18.484042082106985</v>
      </c>
      <c r="AE206">
        <f t="shared" si="82"/>
        <v>-0.1472320754568841</v>
      </c>
      <c r="AF206">
        <v>13</v>
      </c>
      <c r="AG206">
        <v>4</v>
      </c>
      <c r="AH206">
        <f t="shared" si="83"/>
        <v>1</v>
      </c>
      <c r="AI206">
        <f t="shared" si="84"/>
        <v>0</v>
      </c>
      <c r="AJ206">
        <f t="shared" si="85"/>
        <v>52533.860292010409</v>
      </c>
      <c r="AK206">
        <f t="shared" si="86"/>
        <v>1800</v>
      </c>
      <c r="AL206">
        <f t="shared" si="87"/>
        <v>1499.1104862000002</v>
      </c>
      <c r="AM206">
        <f t="shared" si="88"/>
        <v>0.83283915900000005</v>
      </c>
      <c r="AN206">
        <f t="shared" si="89"/>
        <v>0.15339804564000001</v>
      </c>
      <c r="AO206">
        <v>33.299999999999997</v>
      </c>
      <c r="AP206">
        <v>0.5</v>
      </c>
      <c r="AQ206" t="s">
        <v>331</v>
      </c>
      <c r="AR206">
        <v>2</v>
      </c>
      <c r="AS206">
        <v>1690202785.5999999</v>
      </c>
      <c r="AT206">
        <v>323.73500000000001</v>
      </c>
      <c r="AU206">
        <v>800.03800000000001</v>
      </c>
      <c r="AV206">
        <v>28.606100000000001</v>
      </c>
      <c r="AW206">
        <v>9.2972599999999996</v>
      </c>
      <c r="AX206">
        <v>324.93</v>
      </c>
      <c r="AY206">
        <v>28.427900000000001</v>
      </c>
      <c r="AZ206">
        <v>300.20499999999998</v>
      </c>
      <c r="BA206">
        <v>99.015500000000003</v>
      </c>
      <c r="BB206">
        <v>0.10007000000000001</v>
      </c>
      <c r="BC206">
        <v>25.862100000000002</v>
      </c>
      <c r="BD206">
        <v>27.0062</v>
      </c>
      <c r="BE206">
        <v>27.51</v>
      </c>
      <c r="BF206">
        <v>0</v>
      </c>
      <c r="BG206">
        <v>0</v>
      </c>
      <c r="BH206">
        <v>9995.6200000000008</v>
      </c>
      <c r="BI206">
        <v>1074.42</v>
      </c>
      <c r="BJ206">
        <v>1.4577199999999999</v>
      </c>
      <c r="BK206">
        <v>-476.303</v>
      </c>
      <c r="BL206">
        <v>333.26799999999997</v>
      </c>
      <c r="BM206">
        <v>807.54600000000005</v>
      </c>
      <c r="BN206">
        <v>19.308800000000002</v>
      </c>
      <c r="BO206">
        <v>800.03800000000001</v>
      </c>
      <c r="BP206">
        <v>9.2972599999999996</v>
      </c>
      <c r="BQ206">
        <v>2.8324500000000001</v>
      </c>
      <c r="BR206">
        <v>0.92057299999999997</v>
      </c>
      <c r="BS206">
        <v>23.074400000000001</v>
      </c>
      <c r="BT206">
        <v>5.7164200000000003</v>
      </c>
      <c r="BU206">
        <v>1800</v>
      </c>
      <c r="BV206">
        <v>0.90998100000000004</v>
      </c>
      <c r="BW206">
        <v>3.39975E-2</v>
      </c>
      <c r="BX206">
        <v>2.2008699999999999E-2</v>
      </c>
      <c r="BY206">
        <v>3.4012399999999998E-2</v>
      </c>
      <c r="BZ206">
        <v>25</v>
      </c>
      <c r="CA206">
        <v>33528.199999999997</v>
      </c>
      <c r="CB206">
        <v>1690200769.5</v>
      </c>
      <c r="CC206" t="s">
        <v>332</v>
      </c>
      <c r="CD206">
        <v>1690200769.5</v>
      </c>
      <c r="CE206">
        <v>1690200753</v>
      </c>
      <c r="CF206">
        <v>2</v>
      </c>
      <c r="CG206">
        <v>-0.245</v>
      </c>
      <c r="CH206">
        <v>3.0000000000000001E-3</v>
      </c>
      <c r="CI206">
        <v>-1.5169999999999999</v>
      </c>
      <c r="CJ206">
        <v>-1.6E-2</v>
      </c>
      <c r="CK206">
        <v>778</v>
      </c>
      <c r="CL206">
        <v>12</v>
      </c>
      <c r="CM206">
        <v>0.01</v>
      </c>
      <c r="CN206">
        <v>0.03</v>
      </c>
      <c r="CO206">
        <v>-475.84634146341449</v>
      </c>
      <c r="CP206">
        <v>-2.072195121951121</v>
      </c>
      <c r="CQ206">
        <v>0.20937638063685901</v>
      </c>
      <c r="CR206">
        <v>-1</v>
      </c>
      <c r="CS206">
        <v>19.28475609756098</v>
      </c>
      <c r="CT206">
        <v>0.14120905923341509</v>
      </c>
      <c r="CU206">
        <v>1.3936931964239851E-2</v>
      </c>
      <c r="CV206">
        <v>-1</v>
      </c>
      <c r="CW206">
        <v>0</v>
      </c>
      <c r="CX206">
        <v>0</v>
      </c>
      <c r="CY206" t="s">
        <v>333</v>
      </c>
      <c r="CZ206">
        <v>2.3654099999999998</v>
      </c>
      <c r="DA206">
        <v>2.7138599999999999</v>
      </c>
      <c r="DB206">
        <v>7.6164099999999998E-2</v>
      </c>
      <c r="DC206">
        <v>0.146314</v>
      </c>
      <c r="DD206">
        <v>0.128944</v>
      </c>
      <c r="DE206">
        <v>5.5988099999999999E-2</v>
      </c>
      <c r="DF206">
        <v>33706.699999999997</v>
      </c>
      <c r="DG206">
        <v>27450.2</v>
      </c>
      <c r="DH206">
        <v>31145</v>
      </c>
      <c r="DI206">
        <v>28016</v>
      </c>
      <c r="DJ206">
        <v>36807.699999999997</v>
      </c>
      <c r="DK206">
        <v>37579.599999999999</v>
      </c>
      <c r="DL206">
        <v>44314</v>
      </c>
      <c r="DM206">
        <v>42428.7</v>
      </c>
      <c r="DN206">
        <v>1.44275</v>
      </c>
      <c r="DO206">
        <v>2.06975</v>
      </c>
      <c r="DP206">
        <v>0.13738900000000001</v>
      </c>
      <c r="DQ206">
        <v>0.17415700000000001</v>
      </c>
      <c r="DR206">
        <v>24.755199999999999</v>
      </c>
      <c r="DS206">
        <v>24.657599999999999</v>
      </c>
      <c r="DT206">
        <v>32</v>
      </c>
      <c r="DU206">
        <v>26.2</v>
      </c>
      <c r="DV206">
        <v>11.035</v>
      </c>
      <c r="DW206">
        <v>61.4754</v>
      </c>
      <c r="DX206">
        <v>36.117800000000003</v>
      </c>
      <c r="DY206">
        <v>1</v>
      </c>
      <c r="DZ206">
        <v>-0.152063</v>
      </c>
      <c r="EA206">
        <v>-3.9880199999999998E-2</v>
      </c>
      <c r="EB206">
        <v>20.191500000000001</v>
      </c>
      <c r="EC206">
        <v>5.24125</v>
      </c>
      <c r="ED206">
        <v>12.039899999999999</v>
      </c>
      <c r="EE206">
        <v>5.0175999999999998</v>
      </c>
      <c r="EF206">
        <v>3.2879999999999998</v>
      </c>
      <c r="EG206">
        <v>9999</v>
      </c>
      <c r="EH206">
        <v>9999</v>
      </c>
      <c r="EI206">
        <v>9999</v>
      </c>
      <c r="EJ206">
        <v>999.9</v>
      </c>
      <c r="EK206">
        <v>1.86883</v>
      </c>
      <c r="EL206">
        <v>1.8645099999999999</v>
      </c>
      <c r="EM206">
        <v>1.8690800000000001</v>
      </c>
      <c r="EN206">
        <v>1.8671899999999999</v>
      </c>
      <c r="EO206">
        <v>1.86334</v>
      </c>
      <c r="EP206">
        <v>1.8644099999999999</v>
      </c>
      <c r="EQ206">
        <v>1.87012</v>
      </c>
      <c r="ER206">
        <v>1.8693500000000001</v>
      </c>
      <c r="ES206">
        <v>0</v>
      </c>
      <c r="ET206">
        <v>0</v>
      </c>
      <c r="EU206">
        <v>0</v>
      </c>
      <c r="EV206">
        <v>0</v>
      </c>
      <c r="EW206" t="s">
        <v>334</v>
      </c>
      <c r="EX206" t="s">
        <v>335</v>
      </c>
      <c r="EY206" t="s">
        <v>336</v>
      </c>
      <c r="EZ206" t="s">
        <v>336</v>
      </c>
      <c r="FA206" t="s">
        <v>336</v>
      </c>
      <c r="FB206" t="s">
        <v>336</v>
      </c>
      <c r="FC206">
        <v>0</v>
      </c>
      <c r="FD206">
        <v>100</v>
      </c>
      <c r="FE206">
        <v>100</v>
      </c>
      <c r="FF206">
        <v>-1.1950000000000001</v>
      </c>
      <c r="FG206">
        <v>0.1782</v>
      </c>
      <c r="FH206">
        <v>-0.98020551812546231</v>
      </c>
      <c r="FI206">
        <v>-6.1462078757559423E-4</v>
      </c>
      <c r="FJ206">
        <v>-1.8861989874597051E-7</v>
      </c>
      <c r="FK206">
        <v>1.1980462299894961E-10</v>
      </c>
      <c r="FL206">
        <v>0.1782306200647516</v>
      </c>
      <c r="FM206">
        <v>0</v>
      </c>
      <c r="FN206">
        <v>0</v>
      </c>
      <c r="FO206">
        <v>0</v>
      </c>
      <c r="FP206">
        <v>3</v>
      </c>
      <c r="FQ206">
        <v>2158</v>
      </c>
      <c r="FR206">
        <v>1</v>
      </c>
      <c r="FS206">
        <v>19</v>
      </c>
      <c r="FT206">
        <v>33.6</v>
      </c>
      <c r="FU206">
        <v>33.9</v>
      </c>
      <c r="FV206">
        <v>1.7773399999999999</v>
      </c>
      <c r="FW206">
        <v>2.5561500000000001</v>
      </c>
      <c r="FX206">
        <v>1.5490699999999999</v>
      </c>
      <c r="FY206">
        <v>2.34009</v>
      </c>
      <c r="FZ206">
        <v>1.50146</v>
      </c>
      <c r="GA206">
        <v>2.3156699999999999</v>
      </c>
      <c r="GB206">
        <v>31.389800000000001</v>
      </c>
      <c r="GC206">
        <v>23.982399999999998</v>
      </c>
      <c r="GD206">
        <v>19</v>
      </c>
      <c r="GE206">
        <v>265.85700000000003</v>
      </c>
      <c r="GF206">
        <v>602.33500000000004</v>
      </c>
      <c r="GG206">
        <v>24.353999999999999</v>
      </c>
      <c r="GH206">
        <v>25.505199999999999</v>
      </c>
      <c r="GI206">
        <v>30.0002</v>
      </c>
      <c r="GJ206">
        <v>25.620999999999999</v>
      </c>
      <c r="GK206">
        <v>25.587199999999999</v>
      </c>
      <c r="GL206">
        <v>35.545000000000002</v>
      </c>
      <c r="GM206">
        <v>-30</v>
      </c>
      <c r="GN206">
        <v>-30</v>
      </c>
      <c r="GO206">
        <v>24.348199999999999</v>
      </c>
      <c r="GP206">
        <v>800</v>
      </c>
      <c r="GQ206">
        <v>12.5298</v>
      </c>
      <c r="GR206">
        <v>99.639899999999997</v>
      </c>
      <c r="GS206">
        <v>99.287000000000006</v>
      </c>
    </row>
    <row r="207" spans="1:201" x14ac:dyDescent="0.25">
      <c r="A207">
        <v>191</v>
      </c>
      <c r="B207">
        <v>1690202795.5999999</v>
      </c>
      <c r="C207">
        <v>1948.599999904633</v>
      </c>
      <c r="D207" t="s">
        <v>715</v>
      </c>
      <c r="E207" t="s">
        <v>716</v>
      </c>
      <c r="F207" t="s">
        <v>330</v>
      </c>
      <c r="H207">
        <v>1690202795.5999999</v>
      </c>
      <c r="I207">
        <f t="shared" si="60"/>
        <v>1.7927002268409268E-3</v>
      </c>
      <c r="J207">
        <f t="shared" si="61"/>
        <v>1.7927002268409269</v>
      </c>
      <c r="K207">
        <f t="shared" si="62"/>
        <v>42.383115282829593</v>
      </c>
      <c r="L207">
        <f t="shared" si="63"/>
        <v>323.35300000000001</v>
      </c>
      <c r="M207">
        <f t="shared" si="64"/>
        <v>-8.6011459198023275</v>
      </c>
      <c r="N207">
        <f t="shared" si="65"/>
        <v>-0.85250952412665248</v>
      </c>
      <c r="O207">
        <f t="shared" si="66"/>
        <v>32.049393734882798</v>
      </c>
      <c r="P207">
        <f t="shared" si="67"/>
        <v>0.21574913159200421</v>
      </c>
      <c r="Q207">
        <f t="shared" si="68"/>
        <v>2.0806585258400556</v>
      </c>
      <c r="R207">
        <f t="shared" si="69"/>
        <v>0.20404640235481142</v>
      </c>
      <c r="S207">
        <f t="shared" si="70"/>
        <v>0.12852752004260637</v>
      </c>
      <c r="T207">
        <f t="shared" si="71"/>
        <v>276.11652812400007</v>
      </c>
      <c r="U207">
        <f t="shared" si="72"/>
        <v>27.462541312023447</v>
      </c>
      <c r="V207">
        <f t="shared" si="73"/>
        <v>27.462541312023447</v>
      </c>
      <c r="W207">
        <f t="shared" si="74"/>
        <v>3.6775524498362282</v>
      </c>
      <c r="X207">
        <f t="shared" si="75"/>
        <v>84.682239641363992</v>
      </c>
      <c r="Y207">
        <f t="shared" si="76"/>
        <v>2.8353563501094001</v>
      </c>
      <c r="Z207">
        <f t="shared" si="77"/>
        <v>3.3482302335381768</v>
      </c>
      <c r="AA207">
        <f t="shared" si="78"/>
        <v>0.84219609972682807</v>
      </c>
      <c r="AB207">
        <f t="shared" si="79"/>
        <v>-79.058080003684879</v>
      </c>
      <c r="AC207">
        <f t="shared" si="80"/>
        <v>-178.72901848515917</v>
      </c>
      <c r="AD207">
        <f t="shared" si="81"/>
        <v>-18.476528976836768</v>
      </c>
      <c r="AE207">
        <f t="shared" si="82"/>
        <v>-0.14709934168078576</v>
      </c>
      <c r="AF207">
        <v>13</v>
      </c>
      <c r="AG207">
        <v>4</v>
      </c>
      <c r="AH207">
        <f t="shared" si="83"/>
        <v>1</v>
      </c>
      <c r="AI207">
        <f t="shared" si="84"/>
        <v>0</v>
      </c>
      <c r="AJ207">
        <f t="shared" si="85"/>
        <v>52564.481149159175</v>
      </c>
      <c r="AK207">
        <f t="shared" si="86"/>
        <v>1800</v>
      </c>
      <c r="AL207">
        <f t="shared" si="87"/>
        <v>1499.1120234</v>
      </c>
      <c r="AM207">
        <f t="shared" si="88"/>
        <v>0.83284001299999999</v>
      </c>
      <c r="AN207">
        <f t="shared" si="89"/>
        <v>0.15339807118000004</v>
      </c>
      <c r="AO207">
        <v>33.299999999999997</v>
      </c>
      <c r="AP207">
        <v>0.5</v>
      </c>
      <c r="AQ207" t="s">
        <v>331</v>
      </c>
      <c r="AR207">
        <v>2</v>
      </c>
      <c r="AS207">
        <v>1690202795.5999999</v>
      </c>
      <c r="AT207">
        <v>323.35300000000001</v>
      </c>
      <c r="AU207">
        <v>800.00800000000004</v>
      </c>
      <c r="AV207">
        <v>28.6065</v>
      </c>
      <c r="AW207">
        <v>9.2861700000000003</v>
      </c>
      <c r="AX207">
        <v>324.548</v>
      </c>
      <c r="AY207">
        <v>28.4282</v>
      </c>
      <c r="AZ207">
        <v>300.14600000000002</v>
      </c>
      <c r="BA207">
        <v>99.015900000000002</v>
      </c>
      <c r="BB207">
        <v>9.9907599999999999E-2</v>
      </c>
      <c r="BC207">
        <v>25.869199999999999</v>
      </c>
      <c r="BD207">
        <v>27.000599999999999</v>
      </c>
      <c r="BE207">
        <v>27.451000000000001</v>
      </c>
      <c r="BF207">
        <v>0</v>
      </c>
      <c r="BG207">
        <v>0</v>
      </c>
      <c r="BH207">
        <v>10001.9</v>
      </c>
      <c r="BI207">
        <v>1074.48</v>
      </c>
      <c r="BJ207">
        <v>1.4577199999999999</v>
      </c>
      <c r="BK207">
        <v>-476.65499999999997</v>
      </c>
      <c r="BL207">
        <v>332.875</v>
      </c>
      <c r="BM207">
        <v>807.50599999999997</v>
      </c>
      <c r="BN207">
        <v>19.3203</v>
      </c>
      <c r="BO207">
        <v>800.00800000000004</v>
      </c>
      <c r="BP207">
        <v>9.2861700000000003</v>
      </c>
      <c r="BQ207">
        <v>2.8325</v>
      </c>
      <c r="BR207">
        <v>0.91947900000000005</v>
      </c>
      <c r="BS207">
        <v>23.0747</v>
      </c>
      <c r="BT207">
        <v>5.6992799999999999</v>
      </c>
      <c r="BU207">
        <v>1800</v>
      </c>
      <c r="BV207">
        <v>0.90998500000000004</v>
      </c>
      <c r="BW207">
        <v>3.3996199999999997E-2</v>
      </c>
      <c r="BX207">
        <v>2.20079E-2</v>
      </c>
      <c r="BY207">
        <v>3.4011199999999998E-2</v>
      </c>
      <c r="BZ207">
        <v>25</v>
      </c>
      <c r="CA207">
        <v>33528.199999999997</v>
      </c>
      <c r="CB207">
        <v>1690200769.5</v>
      </c>
      <c r="CC207" t="s">
        <v>332</v>
      </c>
      <c r="CD207">
        <v>1690200769.5</v>
      </c>
      <c r="CE207">
        <v>1690200753</v>
      </c>
      <c r="CF207">
        <v>2</v>
      </c>
      <c r="CG207">
        <v>-0.245</v>
      </c>
      <c r="CH207">
        <v>3.0000000000000001E-3</v>
      </c>
      <c r="CI207">
        <v>-1.5169999999999999</v>
      </c>
      <c r="CJ207">
        <v>-1.6E-2</v>
      </c>
      <c r="CK207">
        <v>778</v>
      </c>
      <c r="CL207">
        <v>12</v>
      </c>
      <c r="CM207">
        <v>0.01</v>
      </c>
      <c r="CN207">
        <v>0.03</v>
      </c>
      <c r="CO207">
        <v>-476.28580487804879</v>
      </c>
      <c r="CP207">
        <v>-2.717435540068601</v>
      </c>
      <c r="CQ207">
        <v>0.28017461624130058</v>
      </c>
      <c r="CR207">
        <v>-1</v>
      </c>
      <c r="CS207">
        <v>19.304936585365851</v>
      </c>
      <c r="CT207">
        <v>0.1025686411149717</v>
      </c>
      <c r="CU207">
        <v>1.0241540378081931E-2</v>
      </c>
      <c r="CV207">
        <v>-1</v>
      </c>
      <c r="CW207">
        <v>0</v>
      </c>
      <c r="CX207">
        <v>0</v>
      </c>
      <c r="CY207" t="s">
        <v>333</v>
      </c>
      <c r="CZ207">
        <v>2.3652299999999999</v>
      </c>
      <c r="DA207">
        <v>2.7136999999999998</v>
      </c>
      <c r="DB207">
        <v>7.6092499999999993E-2</v>
      </c>
      <c r="DC207">
        <v>0.14631</v>
      </c>
      <c r="DD207">
        <v>0.128945</v>
      </c>
      <c r="DE207">
        <v>5.5936199999999998E-2</v>
      </c>
      <c r="DF207">
        <v>33709.199999999997</v>
      </c>
      <c r="DG207">
        <v>27450.400000000001</v>
      </c>
      <c r="DH207">
        <v>31145</v>
      </c>
      <c r="DI207">
        <v>28016</v>
      </c>
      <c r="DJ207">
        <v>36807.599999999999</v>
      </c>
      <c r="DK207">
        <v>37581.9</v>
      </c>
      <c r="DL207">
        <v>44313.9</v>
      </c>
      <c r="DM207">
        <v>42428.9</v>
      </c>
      <c r="DN207">
        <v>1.44232</v>
      </c>
      <c r="DO207">
        <v>2.06982</v>
      </c>
      <c r="DP207">
        <v>0.13716500000000001</v>
      </c>
      <c r="DQ207">
        <v>0.170544</v>
      </c>
      <c r="DR207">
        <v>24.7532</v>
      </c>
      <c r="DS207">
        <v>24.657599999999999</v>
      </c>
      <c r="DT207">
        <v>31.9</v>
      </c>
      <c r="DU207">
        <v>26.3</v>
      </c>
      <c r="DV207">
        <v>11.0654</v>
      </c>
      <c r="DW207">
        <v>61.7654</v>
      </c>
      <c r="DX207">
        <v>35.953499999999998</v>
      </c>
      <c r="DY207">
        <v>1</v>
      </c>
      <c r="DZ207">
        <v>-0.152091</v>
      </c>
      <c r="EA207">
        <v>2.0220599999999998E-2</v>
      </c>
      <c r="EB207">
        <v>20.191500000000001</v>
      </c>
      <c r="EC207">
        <v>5.24125</v>
      </c>
      <c r="ED207">
        <v>12.039899999999999</v>
      </c>
      <c r="EE207">
        <v>5.0174000000000003</v>
      </c>
      <c r="EF207">
        <v>3.2879999999999998</v>
      </c>
      <c r="EG207">
        <v>9999</v>
      </c>
      <c r="EH207">
        <v>9999</v>
      </c>
      <c r="EI207">
        <v>9999</v>
      </c>
      <c r="EJ207">
        <v>999.9</v>
      </c>
      <c r="EK207">
        <v>1.86886</v>
      </c>
      <c r="EL207">
        <v>1.86452</v>
      </c>
      <c r="EM207">
        <v>1.8690800000000001</v>
      </c>
      <c r="EN207">
        <v>1.8671800000000001</v>
      </c>
      <c r="EO207">
        <v>1.8633200000000001</v>
      </c>
      <c r="EP207">
        <v>1.86443</v>
      </c>
      <c r="EQ207">
        <v>1.87012</v>
      </c>
      <c r="ER207">
        <v>1.8693500000000001</v>
      </c>
      <c r="ES207">
        <v>0</v>
      </c>
      <c r="ET207">
        <v>0</v>
      </c>
      <c r="EU207">
        <v>0</v>
      </c>
      <c r="EV207">
        <v>0</v>
      </c>
      <c r="EW207" t="s">
        <v>334</v>
      </c>
      <c r="EX207" t="s">
        <v>335</v>
      </c>
      <c r="EY207" t="s">
        <v>336</v>
      </c>
      <c r="EZ207" t="s">
        <v>336</v>
      </c>
      <c r="FA207" t="s">
        <v>336</v>
      </c>
      <c r="FB207" t="s">
        <v>336</v>
      </c>
      <c r="FC207">
        <v>0</v>
      </c>
      <c r="FD207">
        <v>100</v>
      </c>
      <c r="FE207">
        <v>100</v>
      </c>
      <c r="FF207">
        <v>-1.1950000000000001</v>
      </c>
      <c r="FG207">
        <v>0.17829999999999999</v>
      </c>
      <c r="FH207">
        <v>-0.98020551812546231</v>
      </c>
      <c r="FI207">
        <v>-6.1462078757559423E-4</v>
      </c>
      <c r="FJ207">
        <v>-1.8861989874597051E-7</v>
      </c>
      <c r="FK207">
        <v>1.1980462299894961E-10</v>
      </c>
      <c r="FL207">
        <v>0.1782306200647516</v>
      </c>
      <c r="FM207">
        <v>0</v>
      </c>
      <c r="FN207">
        <v>0</v>
      </c>
      <c r="FO207">
        <v>0</v>
      </c>
      <c r="FP207">
        <v>3</v>
      </c>
      <c r="FQ207">
        <v>2158</v>
      </c>
      <c r="FR207">
        <v>1</v>
      </c>
      <c r="FS207">
        <v>19</v>
      </c>
      <c r="FT207">
        <v>33.799999999999997</v>
      </c>
      <c r="FU207">
        <v>34</v>
      </c>
      <c r="FV207">
        <v>1.7773399999999999</v>
      </c>
      <c r="FW207">
        <v>2.5463900000000002</v>
      </c>
      <c r="FX207">
        <v>1.5490699999999999</v>
      </c>
      <c r="FY207">
        <v>2.34009</v>
      </c>
      <c r="FZ207">
        <v>1.50146</v>
      </c>
      <c r="GA207">
        <v>2.3327599999999999</v>
      </c>
      <c r="GB207">
        <v>31.4115</v>
      </c>
      <c r="GC207">
        <v>23.991199999999999</v>
      </c>
      <c r="GD207">
        <v>19</v>
      </c>
      <c r="GE207">
        <v>265.69200000000001</v>
      </c>
      <c r="GF207">
        <v>602.42399999999998</v>
      </c>
      <c r="GG207">
        <v>24.331600000000002</v>
      </c>
      <c r="GH207">
        <v>25.505199999999999</v>
      </c>
      <c r="GI207">
        <v>30.0002</v>
      </c>
      <c r="GJ207">
        <v>25.622599999999998</v>
      </c>
      <c r="GK207">
        <v>25.589300000000001</v>
      </c>
      <c r="GL207">
        <v>35.545299999999997</v>
      </c>
      <c r="GM207">
        <v>-30</v>
      </c>
      <c r="GN207">
        <v>-30</v>
      </c>
      <c r="GO207">
        <v>24.321300000000001</v>
      </c>
      <c r="GP207">
        <v>800</v>
      </c>
      <c r="GQ207">
        <v>12.5298</v>
      </c>
      <c r="GR207">
        <v>99.639600000000002</v>
      </c>
      <c r="GS207">
        <v>99.287199999999999</v>
      </c>
    </row>
    <row r="208" spans="1:201" x14ac:dyDescent="0.25">
      <c r="A208">
        <v>192</v>
      </c>
      <c r="B208">
        <v>1690202805.5999999</v>
      </c>
      <c r="C208">
        <v>1958.599999904633</v>
      </c>
      <c r="D208" t="s">
        <v>717</v>
      </c>
      <c r="E208" t="s">
        <v>718</v>
      </c>
      <c r="F208" t="s">
        <v>330</v>
      </c>
      <c r="H208">
        <v>1690202805.5999999</v>
      </c>
      <c r="I208">
        <f t="shared" si="60"/>
        <v>1.7935605487793553E-3</v>
      </c>
      <c r="J208">
        <f t="shared" si="61"/>
        <v>1.7935605487793553</v>
      </c>
      <c r="K208">
        <f t="shared" si="62"/>
        <v>42.408118927904347</v>
      </c>
      <c r="L208">
        <f t="shared" si="63"/>
        <v>323.07799999999997</v>
      </c>
      <c r="M208">
        <f t="shared" si="64"/>
        <v>-8.6947650626720723</v>
      </c>
      <c r="N208">
        <f t="shared" si="65"/>
        <v>-0.86178388243612858</v>
      </c>
      <c r="O208">
        <f t="shared" si="66"/>
        <v>32.021959324123998</v>
      </c>
      <c r="P208">
        <f t="shared" si="67"/>
        <v>0.21602381523738418</v>
      </c>
      <c r="Q208">
        <f t="shared" si="68"/>
        <v>2.0768759171265656</v>
      </c>
      <c r="R208">
        <f t="shared" si="69"/>
        <v>0.20427201922752519</v>
      </c>
      <c r="S208">
        <f t="shared" si="70"/>
        <v>0.12867256178647091</v>
      </c>
      <c r="T208">
        <f t="shared" si="71"/>
        <v>276.11628382800001</v>
      </c>
      <c r="U208">
        <f t="shared" si="72"/>
        <v>27.457774228825159</v>
      </c>
      <c r="V208">
        <f t="shared" si="73"/>
        <v>27.457774228825159</v>
      </c>
      <c r="W208">
        <f t="shared" si="74"/>
        <v>3.6765264694388038</v>
      </c>
      <c r="X208">
        <f t="shared" si="75"/>
        <v>84.702879564496968</v>
      </c>
      <c r="Y208">
        <f t="shared" si="76"/>
        <v>2.8348549632128002</v>
      </c>
      <c r="Z208">
        <f t="shared" si="77"/>
        <v>3.3468224194836269</v>
      </c>
      <c r="AA208">
        <f t="shared" si="78"/>
        <v>0.84167150622600362</v>
      </c>
      <c r="AB208">
        <f t="shared" si="79"/>
        <v>-79.096020201169566</v>
      </c>
      <c r="AC208">
        <f t="shared" si="80"/>
        <v>-178.66530485181602</v>
      </c>
      <c r="AD208">
        <f t="shared" si="81"/>
        <v>-18.502482957899364</v>
      </c>
      <c r="AE208">
        <f t="shared" si="82"/>
        <v>-0.14752418288492208</v>
      </c>
      <c r="AF208">
        <v>13</v>
      </c>
      <c r="AG208">
        <v>4</v>
      </c>
      <c r="AH208">
        <f t="shared" si="83"/>
        <v>1</v>
      </c>
      <c r="AI208">
        <f t="shared" si="84"/>
        <v>0</v>
      </c>
      <c r="AJ208">
        <f t="shared" si="85"/>
        <v>52395.006595802122</v>
      </c>
      <c r="AK208">
        <f t="shared" si="86"/>
        <v>1800</v>
      </c>
      <c r="AL208">
        <f t="shared" si="87"/>
        <v>1499.1116238</v>
      </c>
      <c r="AM208">
        <f t="shared" si="88"/>
        <v>0.83283979099999994</v>
      </c>
      <c r="AN208">
        <f t="shared" si="89"/>
        <v>0.15339793546</v>
      </c>
      <c r="AO208">
        <v>33.299999999999997</v>
      </c>
      <c r="AP208">
        <v>0.5</v>
      </c>
      <c r="AQ208" t="s">
        <v>331</v>
      </c>
      <c r="AR208">
        <v>2</v>
      </c>
      <c r="AS208">
        <v>1690202805.5999999</v>
      </c>
      <c r="AT208">
        <v>323.07799999999997</v>
      </c>
      <c r="AU208">
        <v>799.95399999999995</v>
      </c>
      <c r="AV208">
        <v>28.601600000000001</v>
      </c>
      <c r="AW208">
        <v>9.2740899999999993</v>
      </c>
      <c r="AX208">
        <v>324.274</v>
      </c>
      <c r="AY208">
        <v>28.423300000000001</v>
      </c>
      <c r="AZ208">
        <v>300.18</v>
      </c>
      <c r="BA208">
        <v>99.015199999999993</v>
      </c>
      <c r="BB208">
        <v>0.10005799999999999</v>
      </c>
      <c r="BC208">
        <v>25.862100000000002</v>
      </c>
      <c r="BD208">
        <v>26.991399999999999</v>
      </c>
      <c r="BE208">
        <v>27.453099999999999</v>
      </c>
      <c r="BF208">
        <v>0</v>
      </c>
      <c r="BG208">
        <v>0</v>
      </c>
      <c r="BH208">
        <v>9968.1200000000008</v>
      </c>
      <c r="BI208">
        <v>1074.4000000000001</v>
      </c>
      <c r="BJ208">
        <v>1.4577199999999999</v>
      </c>
      <c r="BK208">
        <v>-476.87599999999998</v>
      </c>
      <c r="BL208">
        <v>332.59100000000001</v>
      </c>
      <c r="BM208">
        <v>807.44200000000001</v>
      </c>
      <c r="BN208">
        <v>19.327500000000001</v>
      </c>
      <c r="BO208">
        <v>799.95399999999995</v>
      </c>
      <c r="BP208">
        <v>9.2740899999999993</v>
      </c>
      <c r="BQ208">
        <v>2.8319899999999998</v>
      </c>
      <c r="BR208">
        <v>0.91827599999999998</v>
      </c>
      <c r="BS208">
        <v>23.0717</v>
      </c>
      <c r="BT208">
        <v>5.6803800000000004</v>
      </c>
      <c r="BU208">
        <v>1800</v>
      </c>
      <c r="BV208">
        <v>0.90998699999999999</v>
      </c>
      <c r="BW208">
        <v>3.3995299999999999E-2</v>
      </c>
      <c r="BX208">
        <v>2.20073E-2</v>
      </c>
      <c r="BY208">
        <v>3.4010199999999997E-2</v>
      </c>
      <c r="BZ208">
        <v>25</v>
      </c>
      <c r="CA208">
        <v>33528.300000000003</v>
      </c>
      <c r="CB208">
        <v>1690200769.5</v>
      </c>
      <c r="CC208" t="s">
        <v>332</v>
      </c>
      <c r="CD208">
        <v>1690200769.5</v>
      </c>
      <c r="CE208">
        <v>1690200753</v>
      </c>
      <c r="CF208">
        <v>2</v>
      </c>
      <c r="CG208">
        <v>-0.245</v>
      </c>
      <c r="CH208">
        <v>3.0000000000000001E-3</v>
      </c>
      <c r="CI208">
        <v>-1.5169999999999999</v>
      </c>
      <c r="CJ208">
        <v>-1.6E-2</v>
      </c>
      <c r="CK208">
        <v>778</v>
      </c>
      <c r="CL208">
        <v>12</v>
      </c>
      <c r="CM208">
        <v>0.01</v>
      </c>
      <c r="CN208">
        <v>0.03</v>
      </c>
      <c r="CO208">
        <v>-476.70620000000002</v>
      </c>
      <c r="CP208">
        <v>-2.2848630393984601</v>
      </c>
      <c r="CQ208">
        <v>0.2361007412101887</v>
      </c>
      <c r="CR208">
        <v>-1</v>
      </c>
      <c r="CS208">
        <v>19.318194999999999</v>
      </c>
      <c r="CT208">
        <v>6.0292682926822938E-2</v>
      </c>
      <c r="CU208">
        <v>5.8317214439651231E-3</v>
      </c>
      <c r="CV208">
        <v>-1</v>
      </c>
      <c r="CW208">
        <v>0</v>
      </c>
      <c r="CX208">
        <v>0</v>
      </c>
      <c r="CY208" t="s">
        <v>333</v>
      </c>
      <c r="CZ208">
        <v>2.36531</v>
      </c>
      <c r="DA208">
        <v>2.7138200000000001</v>
      </c>
      <c r="DB208">
        <v>7.6040499999999997E-2</v>
      </c>
      <c r="DC208">
        <v>0.14630199999999999</v>
      </c>
      <c r="DD208">
        <v>0.12892899999999999</v>
      </c>
      <c r="DE208">
        <v>5.58793E-2</v>
      </c>
      <c r="DF208">
        <v>33711.5</v>
      </c>
      <c r="DG208">
        <v>27450.9</v>
      </c>
      <c r="DH208">
        <v>31145.3</v>
      </c>
      <c r="DI208">
        <v>28016.3</v>
      </c>
      <c r="DJ208">
        <v>36808.6</v>
      </c>
      <c r="DK208">
        <v>37584.400000000001</v>
      </c>
      <c r="DL208">
        <v>44314.400000000001</v>
      </c>
      <c r="DM208">
        <v>42429.2</v>
      </c>
      <c r="DN208">
        <v>1.4428300000000001</v>
      </c>
      <c r="DO208">
        <v>2.0697800000000002</v>
      </c>
      <c r="DP208">
        <v>0.13660600000000001</v>
      </c>
      <c r="DQ208">
        <v>0.17080500000000001</v>
      </c>
      <c r="DR208">
        <v>24.7532</v>
      </c>
      <c r="DS208">
        <v>24.6555</v>
      </c>
      <c r="DT208">
        <v>31.9</v>
      </c>
      <c r="DU208">
        <v>26.3</v>
      </c>
      <c r="DV208">
        <v>11.065899999999999</v>
      </c>
      <c r="DW208">
        <v>61.6355</v>
      </c>
      <c r="DX208">
        <v>36.899000000000001</v>
      </c>
      <c r="DY208">
        <v>1</v>
      </c>
      <c r="DZ208">
        <v>-0.15195900000000001</v>
      </c>
      <c r="EA208">
        <v>8.9188500000000007E-3</v>
      </c>
      <c r="EB208">
        <v>20.191500000000001</v>
      </c>
      <c r="EC208">
        <v>5.2415500000000002</v>
      </c>
      <c r="ED208">
        <v>12.039899999999999</v>
      </c>
      <c r="EE208">
        <v>5.0173500000000004</v>
      </c>
      <c r="EF208">
        <v>3.2879999999999998</v>
      </c>
      <c r="EG208">
        <v>9999</v>
      </c>
      <c r="EH208">
        <v>9999</v>
      </c>
      <c r="EI208">
        <v>9999</v>
      </c>
      <c r="EJ208">
        <v>999.9</v>
      </c>
      <c r="EK208">
        <v>1.86883</v>
      </c>
      <c r="EL208">
        <v>1.8645</v>
      </c>
      <c r="EM208">
        <v>1.86907</v>
      </c>
      <c r="EN208">
        <v>1.8671899999999999</v>
      </c>
      <c r="EO208">
        <v>1.8633500000000001</v>
      </c>
      <c r="EP208">
        <v>1.8644499999999999</v>
      </c>
      <c r="EQ208">
        <v>1.87012</v>
      </c>
      <c r="ER208">
        <v>1.8693500000000001</v>
      </c>
      <c r="ES208">
        <v>0</v>
      </c>
      <c r="ET208">
        <v>0</v>
      </c>
      <c r="EU208">
        <v>0</v>
      </c>
      <c r="EV208">
        <v>0</v>
      </c>
      <c r="EW208" t="s">
        <v>334</v>
      </c>
      <c r="EX208" t="s">
        <v>335</v>
      </c>
      <c r="EY208" t="s">
        <v>336</v>
      </c>
      <c r="EZ208" t="s">
        <v>336</v>
      </c>
      <c r="FA208" t="s">
        <v>336</v>
      </c>
      <c r="FB208" t="s">
        <v>336</v>
      </c>
      <c r="FC208">
        <v>0</v>
      </c>
      <c r="FD208">
        <v>100</v>
      </c>
      <c r="FE208">
        <v>100</v>
      </c>
      <c r="FF208">
        <v>-1.196</v>
      </c>
      <c r="FG208">
        <v>0.17829999999999999</v>
      </c>
      <c r="FH208">
        <v>-0.98020551812546231</v>
      </c>
      <c r="FI208">
        <v>-6.1462078757559423E-4</v>
      </c>
      <c r="FJ208">
        <v>-1.8861989874597051E-7</v>
      </c>
      <c r="FK208">
        <v>1.1980462299894961E-10</v>
      </c>
      <c r="FL208">
        <v>0.1782306200647516</v>
      </c>
      <c r="FM208">
        <v>0</v>
      </c>
      <c r="FN208">
        <v>0</v>
      </c>
      <c r="FO208">
        <v>0</v>
      </c>
      <c r="FP208">
        <v>3</v>
      </c>
      <c r="FQ208">
        <v>2158</v>
      </c>
      <c r="FR208">
        <v>1</v>
      </c>
      <c r="FS208">
        <v>19</v>
      </c>
      <c r="FT208">
        <v>33.9</v>
      </c>
      <c r="FU208">
        <v>34.200000000000003</v>
      </c>
      <c r="FV208">
        <v>1.7785599999999999</v>
      </c>
      <c r="FW208">
        <v>2.5524900000000001</v>
      </c>
      <c r="FX208">
        <v>1.5490699999999999</v>
      </c>
      <c r="FY208">
        <v>2.34009</v>
      </c>
      <c r="FZ208">
        <v>1.50146</v>
      </c>
      <c r="GA208">
        <v>2.34741</v>
      </c>
      <c r="GB208">
        <v>31.4115</v>
      </c>
      <c r="GC208">
        <v>23.982399999999998</v>
      </c>
      <c r="GD208">
        <v>19</v>
      </c>
      <c r="GE208">
        <v>265.89400000000001</v>
      </c>
      <c r="GF208">
        <v>602.38099999999997</v>
      </c>
      <c r="GG208">
        <v>24.3093</v>
      </c>
      <c r="GH208">
        <v>25.507400000000001</v>
      </c>
      <c r="GI208">
        <v>29.9999</v>
      </c>
      <c r="GJ208">
        <v>25.622599999999998</v>
      </c>
      <c r="GK208">
        <v>25.589300000000001</v>
      </c>
      <c r="GL208">
        <v>35.5473</v>
      </c>
      <c r="GM208">
        <v>-30</v>
      </c>
      <c r="GN208">
        <v>-30</v>
      </c>
      <c r="GO208">
        <v>24.3048</v>
      </c>
      <c r="GP208">
        <v>800</v>
      </c>
      <c r="GQ208">
        <v>12.5298</v>
      </c>
      <c r="GR208">
        <v>99.640699999999995</v>
      </c>
      <c r="GS208">
        <v>99.2881</v>
      </c>
    </row>
    <row r="209" spans="1:201" x14ac:dyDescent="0.25">
      <c r="A209">
        <v>193</v>
      </c>
      <c r="B209">
        <v>1690202815.5999999</v>
      </c>
      <c r="C209">
        <v>1968.599999904633</v>
      </c>
      <c r="D209" t="s">
        <v>719</v>
      </c>
      <c r="E209" t="s">
        <v>720</v>
      </c>
      <c r="F209" t="s">
        <v>330</v>
      </c>
      <c r="H209">
        <v>1690202815.5999999</v>
      </c>
      <c r="I209">
        <f t="shared" ref="I209:I272" si="90">(J209)/1000</f>
        <v>1.7947723769934545E-3</v>
      </c>
      <c r="J209">
        <f t="shared" ref="J209:J226" si="91">1000*AZ209*AH209*(AV209-AW209)/(100*AO209*(1000-AH209*AV209))</f>
        <v>1.7947723769934545</v>
      </c>
      <c r="K209">
        <f t="shared" ref="K209:K226" si="92">AZ209*AH209*(AU209-AT209*(1000-AH209*AW209)/(1000-AH209*AV209))/(100*AO209)</f>
        <v>42.448982255924378</v>
      </c>
      <c r="L209">
        <f t="shared" ref="L209:L272" si="93">AT209 - IF(AH209&gt;1, K209*AO209*100/(AJ209*BH209), 0)</f>
        <v>322.57400000000001</v>
      </c>
      <c r="M209">
        <f t="shared" ref="M209:M272" si="94">((S209-I209/2)*L209-K209)/(S209+I209/2)</f>
        <v>-8.9315885689098824</v>
      </c>
      <c r="N209">
        <f t="shared" ref="N209:N272" si="95">M209*(BA209+BB209)/1000</f>
        <v>-0.88524667518339095</v>
      </c>
      <c r="O209">
        <f t="shared" ref="O209:O226" si="96">(AT209 - IF(AH209&gt;1, K209*AO209*100/(AJ209*BH209), 0))*(BA209+BB209)/1000</f>
        <v>31.97164298349</v>
      </c>
      <c r="P209">
        <f t="shared" ref="P209:P272" si="97">2/((1/R209-1/Q209)+SIGN(R209)*SQRT((1/R209-1/Q209)*(1/R209-1/Q209) + 4*AP209/((AP209+1)*(AP209+1))*(2*1/R209*1/Q209-1/Q209*1/Q209)))</f>
        <v>0.21640862896913865</v>
      </c>
      <c r="Q209">
        <f t="shared" ref="Q209:Q226" si="98">IF(LEFT(AQ209,1)&lt;&gt;"0",IF(LEFT(AQ209,1)="1",3,AR209),$D$5+$E$5*(BH209*BA209/($K$5*1000))+$F$5*(BH209*BA209/($K$5*1000))*MAX(MIN(AO209,$J$5),$I$5)*MAX(MIN(AO209,$J$5),$I$5)+$G$5*MAX(MIN(AO209,$J$5),$I$5)*(BH209*BA209/($K$5*1000))+$H$5*(BH209*BA209/($K$5*1000))*(BH209*BA209/($K$5*1000)))</f>
        <v>2.0793098769912346</v>
      </c>
      <c r="R209">
        <f t="shared" ref="R209:R226" si="99">I209*(1000-(1000*0.61365*EXP(17.502*V209/(240.97+V209))/(BA209+BB209)+AV209)/2)/(1000*0.61365*EXP(17.502*V209/(240.97+V209))/(BA209+BB209)-AV209)</f>
        <v>0.20462915165099219</v>
      </c>
      <c r="S209">
        <f t="shared" ref="S209:S226" si="100">1/((AP209+1)/(P209/1.6)+1/(Q209/1.37)) + AP209/((AP209+1)/(P209/1.6) + AP209/(Q209/1.37))</f>
        <v>0.12889810035642005</v>
      </c>
      <c r="T209">
        <f t="shared" ref="T209:T226" si="101">(AK209*AN209)</f>
        <v>276.11629232400003</v>
      </c>
      <c r="U209">
        <f t="shared" ref="U209:U272" si="102">(BC209+(T209+2*0.95*0.0000000567*(((BC209+$B$7)+273)^4-(BC209+273)^4)-44100*I209)/(1.84*29.3*Q209+8*0.95*0.0000000567*(BC209+273)^3))</f>
        <v>27.455647924731924</v>
      </c>
      <c r="V209">
        <f t="shared" ref="V209:V272" si="103">($C$7*BD209+$D$7*BE209+$E$7*U209)</f>
        <v>27.455647924731924</v>
      </c>
      <c r="W209">
        <f t="shared" ref="W209:W272" si="104">0.61365*EXP(17.502*V209/(240.97+V209))</f>
        <v>3.6760689229325116</v>
      </c>
      <c r="X209">
        <f t="shared" ref="X209:X272" si="105">(Y209/Z209*100)</f>
        <v>84.71643091583428</v>
      </c>
      <c r="Y209">
        <f t="shared" ref="Y209:Y226" si="106">AV209*(BA209+BB209)/1000</f>
        <v>2.8353085028775005</v>
      </c>
      <c r="Z209">
        <f t="shared" ref="Z209:Z226" si="107">0.61365*EXP(17.502*BC209/(240.97+BC209))</f>
        <v>3.3468224194836269</v>
      </c>
      <c r="AA209">
        <f t="shared" ref="AA209:AA226" si="108">(W209-AV209*(BA209+BB209)/1000)</f>
        <v>0.84076042005501117</v>
      </c>
      <c r="AB209">
        <f t="shared" ref="AB209:AB226" si="109">(-I209*44100)</f>
        <v>-79.14946182541135</v>
      </c>
      <c r="AC209">
        <f t="shared" ref="AC209:AC226" si="110">2*29.3*Q209*0.92*(BC209-V209)</f>
        <v>-178.63633049045126</v>
      </c>
      <c r="AD209">
        <f t="shared" ref="AD209:AD226" si="111">2*0.95*0.0000000567*(((BC209+$B$7)+273)^4-(V209+273)^4)</f>
        <v>-18.477630591185317</v>
      </c>
      <c r="AE209">
        <f t="shared" ref="AE209:AE272" si="112">T209+AD209+AB209+AC209</f>
        <v>-0.14713058304786841</v>
      </c>
      <c r="AF209">
        <v>13</v>
      </c>
      <c r="AG209">
        <v>4</v>
      </c>
      <c r="AH209">
        <f t="shared" ref="AH209:AH226" si="113">IF(AF209*$H$13&gt;=AJ209,1,(AJ209/(AJ209-AF209*$H$13)))</f>
        <v>1</v>
      </c>
      <c r="AI209">
        <f t="shared" ref="AI209:AI272" si="114">(AH209-1)*100</f>
        <v>0</v>
      </c>
      <c r="AJ209">
        <f t="shared" ref="AJ209:AJ226" si="115">MAX(0,($B$13+$C$13*BH209)/(1+$D$13*BH209)*BA209/(BC209+273)*$E$13)</f>
        <v>52504.78275508029</v>
      </c>
      <c r="AK209">
        <f t="shared" ref="AK209:AK226" si="116">$B$11*BI209+$C$11*BJ209+$D$11*BU209</f>
        <v>1800</v>
      </c>
      <c r="AL209">
        <f t="shared" ref="AL209:AL272" si="117">AK209*AM209</f>
        <v>1499.1123294000001</v>
      </c>
      <c r="AM209">
        <f t="shared" ref="AM209:AM226" si="118">($B$11*$D$9+$C$11*$D$9+$D$11*(BV209*$E$9+BW209*$F$9+BX209*$G$9+BY209*$H$9))/($B$11+$C$11+$D$11)</f>
        <v>0.83284018300000007</v>
      </c>
      <c r="AN209">
        <f t="shared" ref="AN209:AN226" si="119">($B$11*$K$9+$C$11*$K$9+$D$11*(BV209*$L$9+BW209*$M$9+BX209*$N$9+BY209*$O$9))/($B$11+$C$11+$D$11)</f>
        <v>0.15339794018000003</v>
      </c>
      <c r="AO209">
        <v>33.299999999999997</v>
      </c>
      <c r="AP209">
        <v>0.5</v>
      </c>
      <c r="AQ209" t="s">
        <v>331</v>
      </c>
      <c r="AR209">
        <v>2</v>
      </c>
      <c r="AS209">
        <v>1690202815.5999999</v>
      </c>
      <c r="AT209">
        <v>322.57400000000001</v>
      </c>
      <c r="AU209">
        <v>800.00099999999998</v>
      </c>
      <c r="AV209">
        <v>28.6065</v>
      </c>
      <c r="AW209">
        <v>9.2618399999999994</v>
      </c>
      <c r="AX209">
        <v>323.76900000000001</v>
      </c>
      <c r="AY209">
        <v>28.4283</v>
      </c>
      <c r="AZ209">
        <v>300.11500000000001</v>
      </c>
      <c r="BA209">
        <v>99.014099999999999</v>
      </c>
      <c r="BB209">
        <v>0.100035</v>
      </c>
      <c r="BC209">
        <v>25.862100000000002</v>
      </c>
      <c r="BD209">
        <v>26.995200000000001</v>
      </c>
      <c r="BE209">
        <v>27.455200000000001</v>
      </c>
      <c r="BF209">
        <v>0</v>
      </c>
      <c r="BG209">
        <v>0</v>
      </c>
      <c r="BH209">
        <v>9990</v>
      </c>
      <c r="BI209">
        <v>1074.43</v>
      </c>
      <c r="BJ209">
        <v>1.4577199999999999</v>
      </c>
      <c r="BK209">
        <v>-477.42700000000002</v>
      </c>
      <c r="BL209">
        <v>332.07299999999998</v>
      </c>
      <c r="BM209">
        <v>807.48</v>
      </c>
      <c r="BN209">
        <v>19.3447</v>
      </c>
      <c r="BO209">
        <v>800.00099999999998</v>
      </c>
      <c r="BP209">
        <v>9.2618399999999994</v>
      </c>
      <c r="BQ209">
        <v>2.8324500000000001</v>
      </c>
      <c r="BR209">
        <v>0.91705300000000001</v>
      </c>
      <c r="BS209">
        <v>23.074400000000001</v>
      </c>
      <c r="BT209">
        <v>5.6611599999999997</v>
      </c>
      <c r="BU209">
        <v>1800</v>
      </c>
      <c r="BV209">
        <v>0.90998900000000005</v>
      </c>
      <c r="BW209">
        <v>3.39946E-2</v>
      </c>
      <c r="BX209">
        <v>2.2006899999999999E-2</v>
      </c>
      <c r="BY209">
        <v>3.4009600000000001E-2</v>
      </c>
      <c r="BZ209">
        <v>25</v>
      </c>
      <c r="CA209">
        <v>33528.199999999997</v>
      </c>
      <c r="CB209">
        <v>1690200769.5</v>
      </c>
      <c r="CC209" t="s">
        <v>332</v>
      </c>
      <c r="CD209">
        <v>1690200769.5</v>
      </c>
      <c r="CE209">
        <v>1690200753</v>
      </c>
      <c r="CF209">
        <v>2</v>
      </c>
      <c r="CG209">
        <v>-0.245</v>
      </c>
      <c r="CH209">
        <v>3.0000000000000001E-3</v>
      </c>
      <c r="CI209">
        <v>-1.5169999999999999</v>
      </c>
      <c r="CJ209">
        <v>-1.6E-2</v>
      </c>
      <c r="CK209">
        <v>778</v>
      </c>
      <c r="CL209">
        <v>12</v>
      </c>
      <c r="CM209">
        <v>0.01</v>
      </c>
      <c r="CN209">
        <v>0.03</v>
      </c>
      <c r="CO209">
        <v>-477.00129268292682</v>
      </c>
      <c r="CP209">
        <v>-1.8000836236928821</v>
      </c>
      <c r="CQ209">
        <v>0.2069040361867383</v>
      </c>
      <c r="CR209">
        <v>-1</v>
      </c>
      <c r="CS209">
        <v>19.327758536585371</v>
      </c>
      <c r="CT209">
        <v>5.502229965160324E-2</v>
      </c>
      <c r="CU209">
        <v>5.5537715424946446E-3</v>
      </c>
      <c r="CV209">
        <v>-1</v>
      </c>
      <c r="CW209">
        <v>0</v>
      </c>
      <c r="CX209">
        <v>0</v>
      </c>
      <c r="CY209" t="s">
        <v>333</v>
      </c>
      <c r="CZ209">
        <v>2.36511</v>
      </c>
      <c r="DA209">
        <v>2.7138200000000001</v>
      </c>
      <c r="DB209">
        <v>7.5944800000000007E-2</v>
      </c>
      <c r="DC209">
        <v>0.14630499999999999</v>
      </c>
      <c r="DD209">
        <v>0.128943</v>
      </c>
      <c r="DE209">
        <v>5.5821099999999998E-2</v>
      </c>
      <c r="DF209">
        <v>33714.6</v>
      </c>
      <c r="DG209">
        <v>27451.1</v>
      </c>
      <c r="DH209">
        <v>31145</v>
      </c>
      <c r="DI209">
        <v>28016.6</v>
      </c>
      <c r="DJ209">
        <v>36807.5</v>
      </c>
      <c r="DK209">
        <v>37587.199999999997</v>
      </c>
      <c r="DL209">
        <v>44313.8</v>
      </c>
      <c r="DM209">
        <v>42429.8</v>
      </c>
      <c r="DN209">
        <v>1.4426300000000001</v>
      </c>
      <c r="DO209">
        <v>2.06975</v>
      </c>
      <c r="DP209">
        <v>0.13671800000000001</v>
      </c>
      <c r="DQ209">
        <v>0.17080500000000001</v>
      </c>
      <c r="DR209">
        <v>24.755199999999999</v>
      </c>
      <c r="DS209">
        <v>24.657599999999999</v>
      </c>
      <c r="DT209">
        <v>31.8</v>
      </c>
      <c r="DU209">
        <v>26.3</v>
      </c>
      <c r="DV209">
        <v>11.032500000000001</v>
      </c>
      <c r="DW209">
        <v>61.5655</v>
      </c>
      <c r="DX209">
        <v>35.9375</v>
      </c>
      <c r="DY209">
        <v>1</v>
      </c>
      <c r="DZ209">
        <v>-0.151669</v>
      </c>
      <c r="EA209">
        <v>-0.108265</v>
      </c>
      <c r="EB209">
        <v>20.191400000000002</v>
      </c>
      <c r="EC209">
        <v>5.242</v>
      </c>
      <c r="ED209">
        <v>12.039899999999999</v>
      </c>
      <c r="EE209">
        <v>5.0172499999999998</v>
      </c>
      <c r="EF209">
        <v>3.2879999999999998</v>
      </c>
      <c r="EG209">
        <v>9999</v>
      </c>
      <c r="EH209">
        <v>9999</v>
      </c>
      <c r="EI209">
        <v>9999</v>
      </c>
      <c r="EJ209">
        <v>999.9</v>
      </c>
      <c r="EK209">
        <v>1.8688899999999999</v>
      </c>
      <c r="EL209">
        <v>1.8645400000000001</v>
      </c>
      <c r="EM209">
        <v>1.86907</v>
      </c>
      <c r="EN209">
        <v>1.8671800000000001</v>
      </c>
      <c r="EO209">
        <v>1.86334</v>
      </c>
      <c r="EP209">
        <v>1.8644499999999999</v>
      </c>
      <c r="EQ209">
        <v>1.87012</v>
      </c>
      <c r="ER209">
        <v>1.8693500000000001</v>
      </c>
      <c r="ES209">
        <v>0</v>
      </c>
      <c r="ET209">
        <v>0</v>
      </c>
      <c r="EU209">
        <v>0</v>
      </c>
      <c r="EV209">
        <v>0</v>
      </c>
      <c r="EW209" t="s">
        <v>334</v>
      </c>
      <c r="EX209" t="s">
        <v>335</v>
      </c>
      <c r="EY209" t="s">
        <v>336</v>
      </c>
      <c r="EZ209" t="s">
        <v>336</v>
      </c>
      <c r="FA209" t="s">
        <v>336</v>
      </c>
      <c r="FB209" t="s">
        <v>336</v>
      </c>
      <c r="FC209">
        <v>0</v>
      </c>
      <c r="FD209">
        <v>100</v>
      </c>
      <c r="FE209">
        <v>100</v>
      </c>
      <c r="FF209">
        <v>-1.1950000000000001</v>
      </c>
      <c r="FG209">
        <v>0.1782</v>
      </c>
      <c r="FH209">
        <v>-0.98020551812546231</v>
      </c>
      <c r="FI209">
        <v>-6.1462078757559423E-4</v>
      </c>
      <c r="FJ209">
        <v>-1.8861989874597051E-7</v>
      </c>
      <c r="FK209">
        <v>1.1980462299894961E-10</v>
      </c>
      <c r="FL209">
        <v>0.1782306200647516</v>
      </c>
      <c r="FM209">
        <v>0</v>
      </c>
      <c r="FN209">
        <v>0</v>
      </c>
      <c r="FO209">
        <v>0</v>
      </c>
      <c r="FP209">
        <v>3</v>
      </c>
      <c r="FQ209">
        <v>2158</v>
      </c>
      <c r="FR209">
        <v>1</v>
      </c>
      <c r="FS209">
        <v>19</v>
      </c>
      <c r="FT209">
        <v>34.1</v>
      </c>
      <c r="FU209">
        <v>34.4</v>
      </c>
      <c r="FV209">
        <v>1.7785599999999999</v>
      </c>
      <c r="FW209">
        <v>2.5512700000000001</v>
      </c>
      <c r="FX209">
        <v>1.5490699999999999</v>
      </c>
      <c r="FY209">
        <v>2.34009</v>
      </c>
      <c r="FZ209">
        <v>1.50146</v>
      </c>
      <c r="GA209">
        <v>2.32666</v>
      </c>
      <c r="GB209">
        <v>31.4115</v>
      </c>
      <c r="GC209">
        <v>23.982399999999998</v>
      </c>
      <c r="GD209">
        <v>19</v>
      </c>
      <c r="GE209">
        <v>265.81700000000001</v>
      </c>
      <c r="GF209">
        <v>602.38599999999997</v>
      </c>
      <c r="GG209">
        <v>24.3218</v>
      </c>
      <c r="GH209">
        <v>25.507400000000001</v>
      </c>
      <c r="GI209">
        <v>30.0002</v>
      </c>
      <c r="GJ209">
        <v>25.623699999999999</v>
      </c>
      <c r="GK209">
        <v>25.5914</v>
      </c>
      <c r="GL209">
        <v>35.548099999999998</v>
      </c>
      <c r="GM209">
        <v>-30</v>
      </c>
      <c r="GN209">
        <v>-30</v>
      </c>
      <c r="GO209">
        <v>24.338000000000001</v>
      </c>
      <c r="GP209">
        <v>800</v>
      </c>
      <c r="GQ209">
        <v>12.5298</v>
      </c>
      <c r="GR209">
        <v>99.639399999999995</v>
      </c>
      <c r="GS209">
        <v>99.289299999999997</v>
      </c>
    </row>
    <row r="210" spans="1:201" x14ac:dyDescent="0.25">
      <c r="A210">
        <v>194</v>
      </c>
      <c r="B210">
        <v>1690202825.5999999</v>
      </c>
      <c r="C210">
        <v>1978.599999904633</v>
      </c>
      <c r="D210" t="s">
        <v>721</v>
      </c>
      <c r="E210" t="s">
        <v>722</v>
      </c>
      <c r="F210" t="s">
        <v>330</v>
      </c>
      <c r="H210">
        <v>1690202825.5999999</v>
      </c>
      <c r="I210">
        <f t="shared" si="90"/>
        <v>1.7974310700023409E-3</v>
      </c>
      <c r="J210">
        <f t="shared" si="91"/>
        <v>1.7974310700023408</v>
      </c>
      <c r="K210">
        <f t="shared" si="92"/>
        <v>42.472683852155164</v>
      </c>
      <c r="L210">
        <f t="shared" si="93"/>
        <v>322.30799999999999</v>
      </c>
      <c r="M210">
        <f t="shared" si="94"/>
        <v>-8.6826267127257903</v>
      </c>
      <c r="N210">
        <f t="shared" si="95"/>
        <v>-0.86057892172129069</v>
      </c>
      <c r="O210">
        <f t="shared" si="96"/>
        <v>31.945571343705602</v>
      </c>
      <c r="P210">
        <f t="shared" si="97"/>
        <v>0.21688187518230712</v>
      </c>
      <c r="Q210">
        <f t="shared" si="98"/>
        <v>2.0809283859775349</v>
      </c>
      <c r="R210">
        <f t="shared" si="99"/>
        <v>0.20506099666051697</v>
      </c>
      <c r="S210">
        <f t="shared" si="100"/>
        <v>0.1291714640741371</v>
      </c>
      <c r="T210">
        <f t="shared" si="101"/>
        <v>276.11622325800005</v>
      </c>
      <c r="U210">
        <f t="shared" si="102"/>
        <v>27.460165471246064</v>
      </c>
      <c r="V210">
        <f t="shared" si="103"/>
        <v>27.460165471246064</v>
      </c>
      <c r="W210">
        <f t="shared" si="104"/>
        <v>3.6770410857938822</v>
      </c>
      <c r="X210">
        <f t="shared" si="105"/>
        <v>84.728203110582541</v>
      </c>
      <c r="Y210">
        <f t="shared" si="106"/>
        <v>2.8368112974444801</v>
      </c>
      <c r="Z210">
        <f t="shared" si="107"/>
        <v>3.348131074775694</v>
      </c>
      <c r="AA210">
        <f t="shared" si="108"/>
        <v>0.8402297883494021</v>
      </c>
      <c r="AB210">
        <f t="shared" si="109"/>
        <v>-79.266710187103229</v>
      </c>
      <c r="AC210">
        <f t="shared" si="110"/>
        <v>-178.54175455927975</v>
      </c>
      <c r="AD210">
        <f t="shared" si="111"/>
        <v>-18.454510593395451</v>
      </c>
      <c r="AE210">
        <f t="shared" si="112"/>
        <v>-0.14675208177840204</v>
      </c>
      <c r="AF210">
        <v>13</v>
      </c>
      <c r="AG210">
        <v>4</v>
      </c>
      <c r="AH210">
        <f t="shared" si="113"/>
        <v>1</v>
      </c>
      <c r="AI210">
        <f t="shared" si="114"/>
        <v>0</v>
      </c>
      <c r="AJ210">
        <f t="shared" si="115"/>
        <v>52576.74486343858</v>
      </c>
      <c r="AK210">
        <f t="shared" si="116"/>
        <v>1800</v>
      </c>
      <c r="AL210">
        <f t="shared" si="117"/>
        <v>1499.1120378000003</v>
      </c>
      <c r="AM210">
        <f t="shared" si="118"/>
        <v>0.8328400210000001</v>
      </c>
      <c r="AN210">
        <f t="shared" si="119"/>
        <v>0.15339790181000001</v>
      </c>
      <c r="AO210">
        <v>33.299999999999997</v>
      </c>
      <c r="AP210">
        <v>0.5</v>
      </c>
      <c r="AQ210" t="s">
        <v>331</v>
      </c>
      <c r="AR210">
        <v>2</v>
      </c>
      <c r="AS210">
        <v>1690202825.5999999</v>
      </c>
      <c r="AT210">
        <v>322.30799999999999</v>
      </c>
      <c r="AU210">
        <v>799.96400000000006</v>
      </c>
      <c r="AV210">
        <v>28.621400000000001</v>
      </c>
      <c r="AW210">
        <v>9.2499300000000009</v>
      </c>
      <c r="AX210">
        <v>323.50200000000001</v>
      </c>
      <c r="AY210">
        <v>28.443200000000001</v>
      </c>
      <c r="AZ210">
        <v>300.13900000000001</v>
      </c>
      <c r="BA210">
        <v>99.015100000000004</v>
      </c>
      <c r="BB210">
        <v>9.9943199999999996E-2</v>
      </c>
      <c r="BC210">
        <v>25.8687</v>
      </c>
      <c r="BD210">
        <v>26.993400000000001</v>
      </c>
      <c r="BE210">
        <v>27.460699999999999</v>
      </c>
      <c r="BF210">
        <v>0</v>
      </c>
      <c r="BG210">
        <v>0</v>
      </c>
      <c r="BH210">
        <v>10004.4</v>
      </c>
      <c r="BI210">
        <v>1074.49</v>
      </c>
      <c r="BJ210">
        <v>1.4577199999999999</v>
      </c>
      <c r="BK210">
        <v>-477.65600000000001</v>
      </c>
      <c r="BL210">
        <v>331.80399999999997</v>
      </c>
      <c r="BM210">
        <v>807.43200000000002</v>
      </c>
      <c r="BN210">
        <v>19.371500000000001</v>
      </c>
      <c r="BO210">
        <v>799.96400000000006</v>
      </c>
      <c r="BP210">
        <v>9.2499300000000009</v>
      </c>
      <c r="BQ210">
        <v>2.8339500000000002</v>
      </c>
      <c r="BR210">
        <v>0.915883</v>
      </c>
      <c r="BS210">
        <v>23.083200000000001</v>
      </c>
      <c r="BT210">
        <v>5.6427500000000004</v>
      </c>
      <c r="BU210">
        <v>1800</v>
      </c>
      <c r="BV210">
        <v>0.90998900000000005</v>
      </c>
      <c r="BW210">
        <v>3.39946E-2</v>
      </c>
      <c r="BX210">
        <v>2.20068E-2</v>
      </c>
      <c r="BY210">
        <v>3.4009499999999998E-2</v>
      </c>
      <c r="BZ210">
        <v>25</v>
      </c>
      <c r="CA210">
        <v>33528.300000000003</v>
      </c>
      <c r="CB210">
        <v>1690200769.5</v>
      </c>
      <c r="CC210" t="s">
        <v>332</v>
      </c>
      <c r="CD210">
        <v>1690200769.5</v>
      </c>
      <c r="CE210">
        <v>1690200753</v>
      </c>
      <c r="CF210">
        <v>2</v>
      </c>
      <c r="CG210">
        <v>-0.245</v>
      </c>
      <c r="CH210">
        <v>3.0000000000000001E-3</v>
      </c>
      <c r="CI210">
        <v>-1.5169999999999999</v>
      </c>
      <c r="CJ210">
        <v>-1.6E-2</v>
      </c>
      <c r="CK210">
        <v>778</v>
      </c>
      <c r="CL210">
        <v>12</v>
      </c>
      <c r="CM210">
        <v>0.01</v>
      </c>
      <c r="CN210">
        <v>0.03</v>
      </c>
      <c r="CO210">
        <v>-477.30997560975618</v>
      </c>
      <c r="CP210">
        <v>-2.3985574912897709</v>
      </c>
      <c r="CQ210">
        <v>0.24642225190591699</v>
      </c>
      <c r="CR210">
        <v>-1</v>
      </c>
      <c r="CS210">
        <v>19.344429268292679</v>
      </c>
      <c r="CT210">
        <v>0.14115888501748619</v>
      </c>
      <c r="CU210">
        <v>1.4210649457402909E-2</v>
      </c>
      <c r="CV210">
        <v>-1</v>
      </c>
      <c r="CW210">
        <v>0</v>
      </c>
      <c r="CX210">
        <v>0</v>
      </c>
      <c r="CY210" t="s">
        <v>333</v>
      </c>
      <c r="CZ210">
        <v>2.3652000000000002</v>
      </c>
      <c r="DA210">
        <v>2.71374</v>
      </c>
      <c r="DB210">
        <v>7.5895400000000002E-2</v>
      </c>
      <c r="DC210">
        <v>0.14630199999999999</v>
      </c>
      <c r="DD210">
        <v>0.12898999999999999</v>
      </c>
      <c r="DE210">
        <v>5.5766000000000003E-2</v>
      </c>
      <c r="DF210">
        <v>33716.9</v>
      </c>
      <c r="DG210">
        <v>27450.9</v>
      </c>
      <c r="DH210">
        <v>31145.4</v>
      </c>
      <c r="DI210">
        <v>28016.3</v>
      </c>
      <c r="DJ210">
        <v>36806.1</v>
      </c>
      <c r="DK210">
        <v>37589</v>
      </c>
      <c r="DL210">
        <v>44314.5</v>
      </c>
      <c r="DM210">
        <v>42429.3</v>
      </c>
      <c r="DN210">
        <v>1.4429799999999999</v>
      </c>
      <c r="DO210">
        <v>2.0696300000000001</v>
      </c>
      <c r="DP210">
        <v>0.13660600000000001</v>
      </c>
      <c r="DQ210">
        <v>0.17132600000000001</v>
      </c>
      <c r="DR210">
        <v>24.755199999999999</v>
      </c>
      <c r="DS210">
        <v>24.654499999999999</v>
      </c>
      <c r="DT210">
        <v>31.7</v>
      </c>
      <c r="DU210">
        <v>26.3</v>
      </c>
      <c r="DV210">
        <v>10.9978</v>
      </c>
      <c r="DW210">
        <v>61.465400000000002</v>
      </c>
      <c r="DX210">
        <v>36.362200000000001</v>
      </c>
      <c r="DY210">
        <v>1</v>
      </c>
      <c r="DZ210">
        <v>-0.15156</v>
      </c>
      <c r="EA210">
        <v>-6.77233E-2</v>
      </c>
      <c r="EB210">
        <v>20.191299999999998</v>
      </c>
      <c r="EC210">
        <v>5.2418500000000003</v>
      </c>
      <c r="ED210">
        <v>12.039899999999999</v>
      </c>
      <c r="EE210">
        <v>5.0173500000000004</v>
      </c>
      <c r="EF210">
        <v>3.2879999999999998</v>
      </c>
      <c r="EG210">
        <v>9999</v>
      </c>
      <c r="EH210">
        <v>9999</v>
      </c>
      <c r="EI210">
        <v>9999</v>
      </c>
      <c r="EJ210">
        <v>999.9</v>
      </c>
      <c r="EK210">
        <v>1.8689</v>
      </c>
      <c r="EL210">
        <v>1.86452</v>
      </c>
      <c r="EM210">
        <v>1.86907</v>
      </c>
      <c r="EN210">
        <v>1.8671599999999999</v>
      </c>
      <c r="EO210">
        <v>1.86337</v>
      </c>
      <c r="EP210">
        <v>1.8644499999999999</v>
      </c>
      <c r="EQ210">
        <v>1.87012</v>
      </c>
      <c r="ER210">
        <v>1.8693599999999999</v>
      </c>
      <c r="ES210">
        <v>0</v>
      </c>
      <c r="ET210">
        <v>0</v>
      </c>
      <c r="EU210">
        <v>0</v>
      </c>
      <c r="EV210">
        <v>0</v>
      </c>
      <c r="EW210" t="s">
        <v>334</v>
      </c>
      <c r="EX210" t="s">
        <v>335</v>
      </c>
      <c r="EY210" t="s">
        <v>336</v>
      </c>
      <c r="EZ210" t="s">
        <v>336</v>
      </c>
      <c r="FA210" t="s">
        <v>336</v>
      </c>
      <c r="FB210" t="s">
        <v>336</v>
      </c>
      <c r="FC210">
        <v>0</v>
      </c>
      <c r="FD210">
        <v>100</v>
      </c>
      <c r="FE210">
        <v>100</v>
      </c>
      <c r="FF210">
        <v>-1.194</v>
      </c>
      <c r="FG210">
        <v>0.1782</v>
      </c>
      <c r="FH210">
        <v>-0.98020551812546231</v>
      </c>
      <c r="FI210">
        <v>-6.1462078757559423E-4</v>
      </c>
      <c r="FJ210">
        <v>-1.8861989874597051E-7</v>
      </c>
      <c r="FK210">
        <v>1.1980462299894961E-10</v>
      </c>
      <c r="FL210">
        <v>0.1782306200647516</v>
      </c>
      <c r="FM210">
        <v>0</v>
      </c>
      <c r="FN210">
        <v>0</v>
      </c>
      <c r="FO210">
        <v>0</v>
      </c>
      <c r="FP210">
        <v>3</v>
      </c>
      <c r="FQ210">
        <v>2158</v>
      </c>
      <c r="FR210">
        <v>1</v>
      </c>
      <c r="FS210">
        <v>19</v>
      </c>
      <c r="FT210">
        <v>34.299999999999997</v>
      </c>
      <c r="FU210">
        <v>34.5</v>
      </c>
      <c r="FV210">
        <v>1.7785599999999999</v>
      </c>
      <c r="FW210">
        <v>2.5439500000000002</v>
      </c>
      <c r="FX210">
        <v>1.5490699999999999</v>
      </c>
      <c r="FY210">
        <v>2.34009</v>
      </c>
      <c r="FZ210">
        <v>1.50146</v>
      </c>
      <c r="GA210">
        <v>2.3791500000000001</v>
      </c>
      <c r="GB210">
        <v>31.4115</v>
      </c>
      <c r="GC210">
        <v>23.991199999999999</v>
      </c>
      <c r="GD210">
        <v>19</v>
      </c>
      <c r="GE210">
        <v>265.96300000000002</v>
      </c>
      <c r="GF210">
        <v>602.28</v>
      </c>
      <c r="GG210">
        <v>24.3415</v>
      </c>
      <c r="GH210">
        <v>25.509599999999999</v>
      </c>
      <c r="GI210">
        <v>30.0001</v>
      </c>
      <c r="GJ210">
        <v>25.624700000000001</v>
      </c>
      <c r="GK210">
        <v>25.5914</v>
      </c>
      <c r="GL210">
        <v>35.549799999999998</v>
      </c>
      <c r="GM210">
        <v>-30</v>
      </c>
      <c r="GN210">
        <v>-30</v>
      </c>
      <c r="GO210">
        <v>24.340299999999999</v>
      </c>
      <c r="GP210">
        <v>800</v>
      </c>
      <c r="GQ210">
        <v>12.5298</v>
      </c>
      <c r="GR210">
        <v>99.641000000000005</v>
      </c>
      <c r="GS210">
        <v>99.288200000000003</v>
      </c>
    </row>
    <row r="211" spans="1:201" x14ac:dyDescent="0.25">
      <c r="A211">
        <v>195</v>
      </c>
      <c r="B211">
        <v>1690202835.5999999</v>
      </c>
      <c r="C211">
        <v>1988.599999904633</v>
      </c>
      <c r="D211" t="s">
        <v>723</v>
      </c>
      <c r="E211" t="s">
        <v>724</v>
      </c>
      <c r="F211" t="s">
        <v>330</v>
      </c>
      <c r="H211">
        <v>1690202835.5999999</v>
      </c>
      <c r="I211">
        <f t="shared" si="90"/>
        <v>1.7991964897183272E-3</v>
      </c>
      <c r="J211">
        <f t="shared" si="91"/>
        <v>1.7991964897183272</v>
      </c>
      <c r="K211">
        <f t="shared" si="92"/>
        <v>42.503100381881374</v>
      </c>
      <c r="L211">
        <f t="shared" si="93"/>
        <v>322.04399999999998</v>
      </c>
      <c r="M211">
        <f t="shared" si="94"/>
        <v>-7.8749129409028935</v>
      </c>
      <c r="N211">
        <f t="shared" si="95"/>
        <v>-0.78054066755617313</v>
      </c>
      <c r="O211">
        <f t="shared" si="96"/>
        <v>31.920154626324003</v>
      </c>
      <c r="P211">
        <f t="shared" si="97"/>
        <v>0.21777145171764212</v>
      </c>
      <c r="Q211">
        <f t="shared" si="98"/>
        <v>2.084083147374205</v>
      </c>
      <c r="R211">
        <f t="shared" si="99"/>
        <v>0.2058732422746655</v>
      </c>
      <c r="S211">
        <f t="shared" si="100"/>
        <v>0.12968558231413907</v>
      </c>
      <c r="T211">
        <f t="shared" si="101"/>
        <v>276.11613370799995</v>
      </c>
      <c r="U211">
        <f t="shared" si="102"/>
        <v>27.451359744624913</v>
      </c>
      <c r="V211">
        <f t="shared" si="103"/>
        <v>27.451359744624913</v>
      </c>
      <c r="W211">
        <f t="shared" si="104"/>
        <v>3.6751463265778406</v>
      </c>
      <c r="X211">
        <f t="shared" si="105"/>
        <v>84.775414551145602</v>
      </c>
      <c r="Y211">
        <f t="shared" si="106"/>
        <v>2.8373834209314999</v>
      </c>
      <c r="Z211">
        <f t="shared" si="107"/>
        <v>3.3469413696817569</v>
      </c>
      <c r="AA211">
        <f t="shared" si="108"/>
        <v>0.83776290564634071</v>
      </c>
      <c r="AB211">
        <f t="shared" si="109"/>
        <v>-79.34456519657823</v>
      </c>
      <c r="AC211">
        <f t="shared" si="110"/>
        <v>-178.49718692490757</v>
      </c>
      <c r="AD211">
        <f t="shared" si="111"/>
        <v>-18.420609906094612</v>
      </c>
      <c r="AE211">
        <f t="shared" si="112"/>
        <v>-0.146228319580473</v>
      </c>
      <c r="AF211">
        <v>13</v>
      </c>
      <c r="AG211">
        <v>4</v>
      </c>
      <c r="AH211">
        <f t="shared" si="113"/>
        <v>1</v>
      </c>
      <c r="AI211">
        <f t="shared" si="114"/>
        <v>0</v>
      </c>
      <c r="AJ211">
        <f t="shared" si="115"/>
        <v>52720.540675605618</v>
      </c>
      <c r="AK211">
        <f t="shared" si="116"/>
        <v>1800</v>
      </c>
      <c r="AL211">
        <f t="shared" si="117"/>
        <v>1499.1123258</v>
      </c>
      <c r="AM211">
        <f t="shared" si="118"/>
        <v>0.83284018100000001</v>
      </c>
      <c r="AN211">
        <f t="shared" si="119"/>
        <v>0.15339785205999998</v>
      </c>
      <c r="AO211">
        <v>33.299999999999997</v>
      </c>
      <c r="AP211">
        <v>0.5</v>
      </c>
      <c r="AQ211" t="s">
        <v>331</v>
      </c>
      <c r="AR211">
        <v>2</v>
      </c>
      <c r="AS211">
        <v>1690202835.5999999</v>
      </c>
      <c r="AT211">
        <v>322.04399999999998</v>
      </c>
      <c r="AU211">
        <v>799.97799999999995</v>
      </c>
      <c r="AV211">
        <v>28.6265</v>
      </c>
      <c r="AW211">
        <v>9.2385599999999997</v>
      </c>
      <c r="AX211">
        <v>323.23899999999998</v>
      </c>
      <c r="AY211">
        <v>28.4482</v>
      </c>
      <c r="AZ211">
        <v>300.17700000000002</v>
      </c>
      <c r="BA211">
        <v>99.017300000000006</v>
      </c>
      <c r="BB211">
        <v>0.10007099999999999</v>
      </c>
      <c r="BC211">
        <v>25.8627</v>
      </c>
      <c r="BD211">
        <v>27.009899999999998</v>
      </c>
      <c r="BE211">
        <v>27.474</v>
      </c>
      <c r="BF211">
        <v>0</v>
      </c>
      <c r="BG211">
        <v>0</v>
      </c>
      <c r="BH211">
        <v>10032.5</v>
      </c>
      <c r="BI211">
        <v>1074.44</v>
      </c>
      <c r="BJ211">
        <v>1.4577199999999999</v>
      </c>
      <c r="BK211">
        <v>-477.93400000000003</v>
      </c>
      <c r="BL211">
        <v>331.53500000000003</v>
      </c>
      <c r="BM211">
        <v>807.43799999999999</v>
      </c>
      <c r="BN211">
        <v>19.387899999999998</v>
      </c>
      <c r="BO211">
        <v>799.97799999999995</v>
      </c>
      <c r="BP211">
        <v>9.2385599999999997</v>
      </c>
      <c r="BQ211">
        <v>2.8345199999999999</v>
      </c>
      <c r="BR211">
        <v>0.91477799999999998</v>
      </c>
      <c r="BS211">
        <v>23.086500000000001</v>
      </c>
      <c r="BT211">
        <v>5.6253399999999996</v>
      </c>
      <c r="BU211">
        <v>1800</v>
      </c>
      <c r="BV211">
        <v>0.90999099999999999</v>
      </c>
      <c r="BW211">
        <v>3.3993799999999998E-2</v>
      </c>
      <c r="BX211">
        <v>2.2006299999999999E-2</v>
      </c>
      <c r="BY211">
        <v>3.4008799999999999E-2</v>
      </c>
      <c r="BZ211">
        <v>25</v>
      </c>
      <c r="CA211">
        <v>33528.199999999997</v>
      </c>
      <c r="CB211">
        <v>1690200769.5</v>
      </c>
      <c r="CC211" t="s">
        <v>332</v>
      </c>
      <c r="CD211">
        <v>1690200769.5</v>
      </c>
      <c r="CE211">
        <v>1690200753</v>
      </c>
      <c r="CF211">
        <v>2</v>
      </c>
      <c r="CG211">
        <v>-0.245</v>
      </c>
      <c r="CH211">
        <v>3.0000000000000001E-3</v>
      </c>
      <c r="CI211">
        <v>-1.5169999999999999</v>
      </c>
      <c r="CJ211">
        <v>-1.6E-2</v>
      </c>
      <c r="CK211">
        <v>778</v>
      </c>
      <c r="CL211">
        <v>12</v>
      </c>
      <c r="CM211">
        <v>0.01</v>
      </c>
      <c r="CN211">
        <v>0.03</v>
      </c>
      <c r="CO211">
        <v>-477.62225000000012</v>
      </c>
      <c r="CP211">
        <v>-1.3458911819878081</v>
      </c>
      <c r="CQ211">
        <v>0.13623027380138589</v>
      </c>
      <c r="CR211">
        <v>-1</v>
      </c>
      <c r="CS211">
        <v>19.366052499999999</v>
      </c>
      <c r="CT211">
        <v>0.1236686679173753</v>
      </c>
      <c r="CU211">
        <v>1.215444337474971E-2</v>
      </c>
      <c r="CV211">
        <v>-1</v>
      </c>
      <c r="CW211">
        <v>0</v>
      </c>
      <c r="CX211">
        <v>0</v>
      </c>
      <c r="CY211" t="s">
        <v>333</v>
      </c>
      <c r="CZ211">
        <v>2.3653</v>
      </c>
      <c r="DA211">
        <v>2.7138900000000001</v>
      </c>
      <c r="DB211">
        <v>7.5847200000000004E-2</v>
      </c>
      <c r="DC211">
        <v>0.14630599999999999</v>
      </c>
      <c r="DD211">
        <v>0.12900800000000001</v>
      </c>
      <c r="DE211">
        <v>5.5713699999999998E-2</v>
      </c>
      <c r="DF211">
        <v>33718.300000000003</v>
      </c>
      <c r="DG211">
        <v>27451.3</v>
      </c>
      <c r="DH211">
        <v>31145.1</v>
      </c>
      <c r="DI211">
        <v>28016.9</v>
      </c>
      <c r="DJ211">
        <v>36805</v>
      </c>
      <c r="DK211">
        <v>37591.800000000003</v>
      </c>
      <c r="DL211">
        <v>44314.1</v>
      </c>
      <c r="DM211">
        <v>42430.1</v>
      </c>
      <c r="DN211">
        <v>1.44285</v>
      </c>
      <c r="DO211">
        <v>2.0695299999999999</v>
      </c>
      <c r="DP211">
        <v>0.13761200000000001</v>
      </c>
      <c r="DQ211">
        <v>0.172295</v>
      </c>
      <c r="DR211">
        <v>24.755199999999999</v>
      </c>
      <c r="DS211">
        <v>24.651900000000001</v>
      </c>
      <c r="DT211">
        <v>31.7</v>
      </c>
      <c r="DU211">
        <v>26.3</v>
      </c>
      <c r="DV211">
        <v>10.9963</v>
      </c>
      <c r="DW211">
        <v>61.5154</v>
      </c>
      <c r="DX211">
        <v>36.859000000000002</v>
      </c>
      <c r="DY211">
        <v>1</v>
      </c>
      <c r="DZ211">
        <v>-0.15105199999999999</v>
      </c>
      <c r="EA211">
        <v>-7.2606199999999996E-2</v>
      </c>
      <c r="EB211">
        <v>20.191299999999998</v>
      </c>
      <c r="EC211">
        <v>5.242</v>
      </c>
      <c r="ED211">
        <v>12.039899999999999</v>
      </c>
      <c r="EE211">
        <v>5.0173500000000004</v>
      </c>
      <c r="EF211">
        <v>3.2879999999999998</v>
      </c>
      <c r="EG211">
        <v>9999</v>
      </c>
      <c r="EH211">
        <v>9999</v>
      </c>
      <c r="EI211">
        <v>9999</v>
      </c>
      <c r="EJ211">
        <v>999.9</v>
      </c>
      <c r="EK211">
        <v>1.86887</v>
      </c>
      <c r="EL211">
        <v>1.8645</v>
      </c>
      <c r="EM211">
        <v>1.8690800000000001</v>
      </c>
      <c r="EN211">
        <v>1.8671800000000001</v>
      </c>
      <c r="EO211">
        <v>1.8632899999999999</v>
      </c>
      <c r="EP211">
        <v>1.8644700000000001</v>
      </c>
      <c r="EQ211">
        <v>1.87012</v>
      </c>
      <c r="ER211">
        <v>1.8693500000000001</v>
      </c>
      <c r="ES211">
        <v>0</v>
      </c>
      <c r="ET211">
        <v>0</v>
      </c>
      <c r="EU211">
        <v>0</v>
      </c>
      <c r="EV211">
        <v>0</v>
      </c>
      <c r="EW211" t="s">
        <v>334</v>
      </c>
      <c r="EX211" t="s">
        <v>335</v>
      </c>
      <c r="EY211" t="s">
        <v>336</v>
      </c>
      <c r="EZ211" t="s">
        <v>336</v>
      </c>
      <c r="FA211" t="s">
        <v>336</v>
      </c>
      <c r="FB211" t="s">
        <v>336</v>
      </c>
      <c r="FC211">
        <v>0</v>
      </c>
      <c r="FD211">
        <v>100</v>
      </c>
      <c r="FE211">
        <v>100</v>
      </c>
      <c r="FF211">
        <v>-1.1950000000000001</v>
      </c>
      <c r="FG211">
        <v>0.17829999999999999</v>
      </c>
      <c r="FH211">
        <v>-0.98020551812546231</v>
      </c>
      <c r="FI211">
        <v>-6.1462078757559423E-4</v>
      </c>
      <c r="FJ211">
        <v>-1.8861989874597051E-7</v>
      </c>
      <c r="FK211">
        <v>1.1980462299894961E-10</v>
      </c>
      <c r="FL211">
        <v>0.1782306200647516</v>
      </c>
      <c r="FM211">
        <v>0</v>
      </c>
      <c r="FN211">
        <v>0</v>
      </c>
      <c r="FO211">
        <v>0</v>
      </c>
      <c r="FP211">
        <v>3</v>
      </c>
      <c r="FQ211">
        <v>2158</v>
      </c>
      <c r="FR211">
        <v>1</v>
      </c>
      <c r="FS211">
        <v>19</v>
      </c>
      <c r="FT211">
        <v>34.4</v>
      </c>
      <c r="FU211">
        <v>34.700000000000003</v>
      </c>
      <c r="FV211">
        <v>1.7785599999999999</v>
      </c>
      <c r="FW211">
        <v>2.5488300000000002</v>
      </c>
      <c r="FX211">
        <v>1.5490699999999999</v>
      </c>
      <c r="FY211">
        <v>2.34009</v>
      </c>
      <c r="FZ211">
        <v>1.50146</v>
      </c>
      <c r="GA211">
        <v>2.36084</v>
      </c>
      <c r="GB211">
        <v>31.433299999999999</v>
      </c>
      <c r="GC211">
        <v>23.991199999999999</v>
      </c>
      <c r="GD211">
        <v>19</v>
      </c>
      <c r="GE211">
        <v>265.92200000000003</v>
      </c>
      <c r="GF211">
        <v>602.221</v>
      </c>
      <c r="GG211">
        <v>24.349499999999999</v>
      </c>
      <c r="GH211">
        <v>25.509599999999999</v>
      </c>
      <c r="GI211">
        <v>30.000499999999999</v>
      </c>
      <c r="GJ211">
        <v>25.626899999999999</v>
      </c>
      <c r="GK211">
        <v>25.593599999999999</v>
      </c>
      <c r="GL211">
        <v>35.549700000000001</v>
      </c>
      <c r="GM211">
        <v>-30</v>
      </c>
      <c r="GN211">
        <v>-30</v>
      </c>
      <c r="GO211">
        <v>24.34</v>
      </c>
      <c r="GP211">
        <v>800</v>
      </c>
      <c r="GQ211">
        <v>12.5298</v>
      </c>
      <c r="GR211">
        <v>99.640100000000004</v>
      </c>
      <c r="GS211">
        <v>99.290199999999999</v>
      </c>
    </row>
    <row r="212" spans="1:201" x14ac:dyDescent="0.25">
      <c r="A212">
        <v>196</v>
      </c>
      <c r="B212">
        <v>1690202845.5999999</v>
      </c>
      <c r="C212">
        <v>1998.599999904633</v>
      </c>
      <c r="D212" t="s">
        <v>725</v>
      </c>
      <c r="E212" t="s">
        <v>726</v>
      </c>
      <c r="F212" t="s">
        <v>330</v>
      </c>
      <c r="H212">
        <v>1690202845.5999999</v>
      </c>
      <c r="I212">
        <f t="shared" si="90"/>
        <v>1.8006864372422664E-3</v>
      </c>
      <c r="J212">
        <f t="shared" si="91"/>
        <v>1.8006864372422664</v>
      </c>
      <c r="K212">
        <f t="shared" si="92"/>
        <v>42.534761855248746</v>
      </c>
      <c r="L212">
        <f t="shared" si="93"/>
        <v>321.73</v>
      </c>
      <c r="M212">
        <f t="shared" si="94"/>
        <v>-8.4593985340287645</v>
      </c>
      <c r="N212">
        <f t="shared" si="95"/>
        <v>-0.83847804635976997</v>
      </c>
      <c r="O212">
        <f t="shared" si="96"/>
        <v>31.889210653710002</v>
      </c>
      <c r="P212">
        <f t="shared" si="97"/>
        <v>0.21776989367114846</v>
      </c>
      <c r="Q212">
        <f t="shared" si="98"/>
        <v>2.0802592769633015</v>
      </c>
      <c r="R212">
        <f t="shared" si="99"/>
        <v>0.20585126406717119</v>
      </c>
      <c r="S212">
        <f t="shared" si="100"/>
        <v>0.12967349377953868</v>
      </c>
      <c r="T212">
        <f t="shared" si="101"/>
        <v>276.11625049200001</v>
      </c>
      <c r="U212">
        <f t="shared" si="102"/>
        <v>27.457272238895793</v>
      </c>
      <c r="V212">
        <f t="shared" si="103"/>
        <v>27.457272238895793</v>
      </c>
      <c r="W212">
        <f t="shared" si="104"/>
        <v>3.6764184447832648</v>
      </c>
      <c r="X212">
        <f t="shared" si="105"/>
        <v>84.771022066939921</v>
      </c>
      <c r="Y212">
        <f t="shared" si="106"/>
        <v>2.8378751033151</v>
      </c>
      <c r="Z212">
        <f t="shared" si="107"/>
        <v>3.3476948066924992</v>
      </c>
      <c r="AA212">
        <f t="shared" si="108"/>
        <v>0.83854334146816489</v>
      </c>
      <c r="AB212">
        <f t="shared" si="109"/>
        <v>-79.410271882383952</v>
      </c>
      <c r="AC212">
        <f t="shared" si="110"/>
        <v>-178.4065989586677</v>
      </c>
      <c r="AD212">
        <f t="shared" si="111"/>
        <v>-18.446001530681958</v>
      </c>
      <c r="AE212">
        <f t="shared" si="112"/>
        <v>-0.14662187973357277</v>
      </c>
      <c r="AF212">
        <v>13</v>
      </c>
      <c r="AG212">
        <v>4</v>
      </c>
      <c r="AH212">
        <f t="shared" si="113"/>
        <v>1</v>
      </c>
      <c r="AI212">
        <f t="shared" si="114"/>
        <v>0</v>
      </c>
      <c r="AJ212">
        <f t="shared" si="115"/>
        <v>52546.963433658137</v>
      </c>
      <c r="AK212">
        <f t="shared" si="116"/>
        <v>1800</v>
      </c>
      <c r="AL212">
        <f t="shared" si="117"/>
        <v>1499.1131591999999</v>
      </c>
      <c r="AM212">
        <f t="shared" si="118"/>
        <v>0.83284064399999991</v>
      </c>
      <c r="AN212">
        <f t="shared" si="119"/>
        <v>0.15339791693999999</v>
      </c>
      <c r="AO212">
        <v>33.299999999999997</v>
      </c>
      <c r="AP212">
        <v>0.5</v>
      </c>
      <c r="AQ212" t="s">
        <v>331</v>
      </c>
      <c r="AR212">
        <v>2</v>
      </c>
      <c r="AS212">
        <v>1690202845.5999999</v>
      </c>
      <c r="AT212">
        <v>321.73</v>
      </c>
      <c r="AU212">
        <v>800.03499999999997</v>
      </c>
      <c r="AV212">
        <v>28.6313</v>
      </c>
      <c r="AW212">
        <v>9.2265599999999992</v>
      </c>
      <c r="AX212">
        <v>322.92399999999998</v>
      </c>
      <c r="AY212">
        <v>28.453099999999999</v>
      </c>
      <c r="AZ212">
        <v>300.16399999999999</v>
      </c>
      <c r="BA212">
        <v>99.017899999999997</v>
      </c>
      <c r="BB212">
        <v>0.100027</v>
      </c>
      <c r="BC212">
        <v>25.866499999999998</v>
      </c>
      <c r="BD212">
        <v>27.010300000000001</v>
      </c>
      <c r="BE212">
        <v>27.474599999999999</v>
      </c>
      <c r="BF212">
        <v>0</v>
      </c>
      <c r="BG212">
        <v>0</v>
      </c>
      <c r="BH212">
        <v>9998.1200000000008</v>
      </c>
      <c r="BI212">
        <v>1074.47</v>
      </c>
      <c r="BJ212">
        <v>1.4577199999999999</v>
      </c>
      <c r="BK212">
        <v>-478.30500000000001</v>
      </c>
      <c r="BL212">
        <v>331.21300000000002</v>
      </c>
      <c r="BM212">
        <v>807.48599999999999</v>
      </c>
      <c r="BN212">
        <v>19.404800000000002</v>
      </c>
      <c r="BO212">
        <v>800.03499999999997</v>
      </c>
      <c r="BP212">
        <v>9.2265599999999992</v>
      </c>
      <c r="BQ212">
        <v>2.8350200000000001</v>
      </c>
      <c r="BR212">
        <v>0.91359500000000005</v>
      </c>
      <c r="BS212">
        <v>23.089400000000001</v>
      </c>
      <c r="BT212">
        <v>5.6066900000000004</v>
      </c>
      <c r="BU212">
        <v>1800</v>
      </c>
      <c r="BV212">
        <v>0.90999200000000002</v>
      </c>
      <c r="BW212">
        <v>3.3993599999999999E-2</v>
      </c>
      <c r="BX212">
        <v>2.20062E-2</v>
      </c>
      <c r="BY212">
        <v>3.40086E-2</v>
      </c>
      <c r="BZ212">
        <v>25</v>
      </c>
      <c r="CA212">
        <v>33528.300000000003</v>
      </c>
      <c r="CB212">
        <v>1690200769.5</v>
      </c>
      <c r="CC212" t="s">
        <v>332</v>
      </c>
      <c r="CD212">
        <v>1690200769.5</v>
      </c>
      <c r="CE212">
        <v>1690200753</v>
      </c>
      <c r="CF212">
        <v>2</v>
      </c>
      <c r="CG212">
        <v>-0.245</v>
      </c>
      <c r="CH212">
        <v>3.0000000000000001E-3</v>
      </c>
      <c r="CI212">
        <v>-1.5169999999999999</v>
      </c>
      <c r="CJ212">
        <v>-1.6E-2</v>
      </c>
      <c r="CK212">
        <v>778</v>
      </c>
      <c r="CL212">
        <v>12</v>
      </c>
      <c r="CM212">
        <v>0.01</v>
      </c>
      <c r="CN212">
        <v>0.03</v>
      </c>
      <c r="CO212">
        <v>-477.92858536585368</v>
      </c>
      <c r="CP212">
        <v>-2.0562857142861559</v>
      </c>
      <c r="CQ212">
        <v>0.2108756396447854</v>
      </c>
      <c r="CR212">
        <v>-1</v>
      </c>
      <c r="CS212">
        <v>19.38666341463415</v>
      </c>
      <c r="CT212">
        <v>0.1136383275261654</v>
      </c>
      <c r="CU212">
        <v>1.132180620119185E-2</v>
      </c>
      <c r="CV212">
        <v>-1</v>
      </c>
      <c r="CW212">
        <v>0</v>
      </c>
      <c r="CX212">
        <v>0</v>
      </c>
      <c r="CY212" t="s">
        <v>333</v>
      </c>
      <c r="CZ212">
        <v>2.3652600000000001</v>
      </c>
      <c r="DA212">
        <v>2.7138200000000001</v>
      </c>
      <c r="DB212">
        <v>7.5788700000000001E-2</v>
      </c>
      <c r="DC212">
        <v>0.146313</v>
      </c>
      <c r="DD212">
        <v>0.129024</v>
      </c>
      <c r="DE212">
        <v>5.5657699999999997E-2</v>
      </c>
      <c r="DF212">
        <v>33720.6</v>
      </c>
      <c r="DG212">
        <v>27451.5</v>
      </c>
      <c r="DH212">
        <v>31145.3</v>
      </c>
      <c r="DI212">
        <v>28017.3</v>
      </c>
      <c r="DJ212">
        <v>36804.699999999997</v>
      </c>
      <c r="DK212">
        <v>37594.699999999997</v>
      </c>
      <c r="DL212">
        <v>44314.6</v>
      </c>
      <c r="DM212">
        <v>42430.9</v>
      </c>
      <c r="DN212">
        <v>1.44275</v>
      </c>
      <c r="DO212">
        <v>2.06935</v>
      </c>
      <c r="DP212">
        <v>0.13776099999999999</v>
      </c>
      <c r="DQ212">
        <v>0.17255499999999999</v>
      </c>
      <c r="DR212">
        <v>24.7532</v>
      </c>
      <c r="DS212">
        <v>24.648299999999999</v>
      </c>
      <c r="DT212">
        <v>31.6</v>
      </c>
      <c r="DU212">
        <v>26.3</v>
      </c>
      <c r="DV212">
        <v>10.961499999999999</v>
      </c>
      <c r="DW212">
        <v>61.745399999999997</v>
      </c>
      <c r="DX212">
        <v>35.861400000000003</v>
      </c>
      <c r="DY212">
        <v>1</v>
      </c>
      <c r="DZ212">
        <v>-0.150475</v>
      </c>
      <c r="EA212">
        <v>-4.7584399999999999E-2</v>
      </c>
      <c r="EB212">
        <v>20.191400000000002</v>
      </c>
      <c r="EC212">
        <v>5.2431999999999999</v>
      </c>
      <c r="ED212">
        <v>12.039899999999999</v>
      </c>
      <c r="EE212">
        <v>5.0171999999999999</v>
      </c>
      <c r="EF212">
        <v>3.2879999999999998</v>
      </c>
      <c r="EG212">
        <v>9999</v>
      </c>
      <c r="EH212">
        <v>9999</v>
      </c>
      <c r="EI212">
        <v>9999</v>
      </c>
      <c r="EJ212">
        <v>999.9</v>
      </c>
      <c r="EK212">
        <v>1.8688899999999999</v>
      </c>
      <c r="EL212">
        <v>1.86452</v>
      </c>
      <c r="EM212">
        <v>1.8690899999999999</v>
      </c>
      <c r="EN212">
        <v>1.86717</v>
      </c>
      <c r="EO212">
        <v>1.8633299999999999</v>
      </c>
      <c r="EP212">
        <v>1.86446</v>
      </c>
      <c r="EQ212">
        <v>1.87012</v>
      </c>
      <c r="ER212">
        <v>1.8693599999999999</v>
      </c>
      <c r="ES212">
        <v>0</v>
      </c>
      <c r="ET212">
        <v>0</v>
      </c>
      <c r="EU212">
        <v>0</v>
      </c>
      <c r="EV212">
        <v>0</v>
      </c>
      <c r="EW212" t="s">
        <v>334</v>
      </c>
      <c r="EX212" t="s">
        <v>335</v>
      </c>
      <c r="EY212" t="s">
        <v>336</v>
      </c>
      <c r="EZ212" t="s">
        <v>336</v>
      </c>
      <c r="FA212" t="s">
        <v>336</v>
      </c>
      <c r="FB212" t="s">
        <v>336</v>
      </c>
      <c r="FC212">
        <v>0</v>
      </c>
      <c r="FD212">
        <v>100</v>
      </c>
      <c r="FE212">
        <v>100</v>
      </c>
      <c r="FF212">
        <v>-1.194</v>
      </c>
      <c r="FG212">
        <v>0.1782</v>
      </c>
      <c r="FH212">
        <v>-0.98020551812546231</v>
      </c>
      <c r="FI212">
        <v>-6.1462078757559423E-4</v>
      </c>
      <c r="FJ212">
        <v>-1.8861989874597051E-7</v>
      </c>
      <c r="FK212">
        <v>1.1980462299894961E-10</v>
      </c>
      <c r="FL212">
        <v>0.1782306200647516</v>
      </c>
      <c r="FM212">
        <v>0</v>
      </c>
      <c r="FN212">
        <v>0</v>
      </c>
      <c r="FO212">
        <v>0</v>
      </c>
      <c r="FP212">
        <v>3</v>
      </c>
      <c r="FQ212">
        <v>2158</v>
      </c>
      <c r="FR212">
        <v>1</v>
      </c>
      <c r="FS212">
        <v>19</v>
      </c>
      <c r="FT212">
        <v>34.6</v>
      </c>
      <c r="FU212">
        <v>34.9</v>
      </c>
      <c r="FV212">
        <v>1.7785599999999999</v>
      </c>
      <c r="FW212">
        <v>2.5488300000000002</v>
      </c>
      <c r="FX212">
        <v>1.5490699999999999</v>
      </c>
      <c r="FY212">
        <v>2.34009</v>
      </c>
      <c r="FZ212">
        <v>1.50146</v>
      </c>
      <c r="GA212">
        <v>2.3584000000000001</v>
      </c>
      <c r="GB212">
        <v>31.433299999999999</v>
      </c>
      <c r="GC212">
        <v>23.982399999999998</v>
      </c>
      <c r="GD212">
        <v>19</v>
      </c>
      <c r="GE212">
        <v>265.88099999999997</v>
      </c>
      <c r="GF212">
        <v>602.08399999999995</v>
      </c>
      <c r="GG212">
        <v>24.342600000000001</v>
      </c>
      <c r="GH212">
        <v>25.511700000000001</v>
      </c>
      <c r="GI212">
        <v>30.000599999999999</v>
      </c>
      <c r="GJ212">
        <v>25.626899999999999</v>
      </c>
      <c r="GK212">
        <v>25.5945</v>
      </c>
      <c r="GL212">
        <v>35.5486</v>
      </c>
      <c r="GM212">
        <v>-30</v>
      </c>
      <c r="GN212">
        <v>-30</v>
      </c>
      <c r="GO212">
        <v>24.342500000000001</v>
      </c>
      <c r="GP212">
        <v>800</v>
      </c>
      <c r="GQ212">
        <v>12.5298</v>
      </c>
      <c r="GR212">
        <v>99.641000000000005</v>
      </c>
      <c r="GS212">
        <v>99.291899999999998</v>
      </c>
    </row>
    <row r="213" spans="1:201" x14ac:dyDescent="0.25">
      <c r="A213">
        <v>197</v>
      </c>
      <c r="B213">
        <v>1690202855.5999999</v>
      </c>
      <c r="C213">
        <v>2008.599999904633</v>
      </c>
      <c r="D213" t="s">
        <v>727</v>
      </c>
      <c r="E213" t="s">
        <v>728</v>
      </c>
      <c r="F213" t="s">
        <v>330</v>
      </c>
      <c r="H213">
        <v>1690202855.5999999</v>
      </c>
      <c r="I213">
        <f t="shared" si="90"/>
        <v>1.8023038930207115E-3</v>
      </c>
      <c r="J213">
        <f t="shared" si="91"/>
        <v>1.8023038930207116</v>
      </c>
      <c r="K213">
        <f t="shared" si="92"/>
        <v>42.554469053247232</v>
      </c>
      <c r="L213">
        <f t="shared" si="93"/>
        <v>321.43799999999999</v>
      </c>
      <c r="M213">
        <f t="shared" si="94"/>
        <v>-8.936773133283312</v>
      </c>
      <c r="N213">
        <f t="shared" si="95"/>
        <v>-0.8857724961990675</v>
      </c>
      <c r="O213">
        <f t="shared" si="96"/>
        <v>31.859479410173996</v>
      </c>
      <c r="P213">
        <f t="shared" si="97"/>
        <v>0.21774928010828543</v>
      </c>
      <c r="Q213">
        <f t="shared" si="98"/>
        <v>2.0793245266180973</v>
      </c>
      <c r="R213">
        <f t="shared" si="99"/>
        <v>0.20582779841317822</v>
      </c>
      <c r="S213">
        <f t="shared" si="100"/>
        <v>0.12965905276564099</v>
      </c>
      <c r="T213">
        <f t="shared" si="101"/>
        <v>276.11599706999993</v>
      </c>
      <c r="U213">
        <f t="shared" si="102"/>
        <v>27.463332757793832</v>
      </c>
      <c r="V213">
        <f t="shared" si="103"/>
        <v>27.463332757793832</v>
      </c>
      <c r="W213">
        <f t="shared" si="104"/>
        <v>3.6777228104310233</v>
      </c>
      <c r="X213">
        <f t="shared" si="105"/>
        <v>84.75537691745275</v>
      </c>
      <c r="Y213">
        <f t="shared" si="106"/>
        <v>2.8383598887537</v>
      </c>
      <c r="Z213">
        <f t="shared" si="107"/>
        <v>3.3488847457054107</v>
      </c>
      <c r="AA213">
        <f t="shared" si="108"/>
        <v>0.83936292167732329</v>
      </c>
      <c r="AB213">
        <f t="shared" si="109"/>
        <v>-79.48160168221338</v>
      </c>
      <c r="AC213">
        <f t="shared" si="110"/>
        <v>-178.33321736927371</v>
      </c>
      <c r="AD213">
        <f t="shared" si="111"/>
        <v>-18.447816951509491</v>
      </c>
      <c r="AE213">
        <f t="shared" si="112"/>
        <v>-0.14663893299663755</v>
      </c>
      <c r="AF213">
        <v>13</v>
      </c>
      <c r="AG213">
        <v>4</v>
      </c>
      <c r="AH213">
        <f t="shared" si="113"/>
        <v>1</v>
      </c>
      <c r="AI213">
        <f t="shared" si="114"/>
        <v>0</v>
      </c>
      <c r="AJ213">
        <f t="shared" si="115"/>
        <v>52503.645057255308</v>
      </c>
      <c r="AK213">
        <f t="shared" si="116"/>
        <v>1800</v>
      </c>
      <c r="AL213">
        <f t="shared" si="117"/>
        <v>1499.1120629999998</v>
      </c>
      <c r="AM213">
        <f t="shared" si="118"/>
        <v>0.83284003499999992</v>
      </c>
      <c r="AN213">
        <f t="shared" si="119"/>
        <v>0.15339777614999997</v>
      </c>
      <c r="AO213">
        <v>33.299999999999997</v>
      </c>
      <c r="AP213">
        <v>0.5</v>
      </c>
      <c r="AQ213" t="s">
        <v>331</v>
      </c>
      <c r="AR213">
        <v>2</v>
      </c>
      <c r="AS213">
        <v>1690202855.5999999</v>
      </c>
      <c r="AT213">
        <v>321.43799999999999</v>
      </c>
      <c r="AU213">
        <v>799.952</v>
      </c>
      <c r="AV213">
        <v>28.636900000000001</v>
      </c>
      <c r="AW213">
        <v>9.21523</v>
      </c>
      <c r="AX213">
        <v>322.63299999999998</v>
      </c>
      <c r="AY213">
        <v>28.4587</v>
      </c>
      <c r="AZ213">
        <v>300.17</v>
      </c>
      <c r="BA213">
        <v>99.0154</v>
      </c>
      <c r="BB213">
        <v>0.100073</v>
      </c>
      <c r="BC213">
        <v>25.872499999999999</v>
      </c>
      <c r="BD213">
        <v>26.986499999999999</v>
      </c>
      <c r="BE213">
        <v>27.4695</v>
      </c>
      <c r="BF213">
        <v>0</v>
      </c>
      <c r="BG213">
        <v>0</v>
      </c>
      <c r="BH213">
        <v>9990</v>
      </c>
      <c r="BI213">
        <v>1074.55</v>
      </c>
      <c r="BJ213">
        <v>1.4577199999999999</v>
      </c>
      <c r="BK213">
        <v>-478.51299999999998</v>
      </c>
      <c r="BL213">
        <v>330.91500000000002</v>
      </c>
      <c r="BM213">
        <v>807.39200000000005</v>
      </c>
      <c r="BN213">
        <v>19.421700000000001</v>
      </c>
      <c r="BO213">
        <v>799.952</v>
      </c>
      <c r="BP213">
        <v>9.21523</v>
      </c>
      <c r="BQ213">
        <v>2.8355000000000001</v>
      </c>
      <c r="BR213">
        <v>0.91244899999999995</v>
      </c>
      <c r="BS213">
        <v>23.092199999999998</v>
      </c>
      <c r="BT213">
        <v>5.5885999999999996</v>
      </c>
      <c r="BU213">
        <v>1800</v>
      </c>
      <c r="BV213">
        <v>0.90999200000000002</v>
      </c>
      <c r="BW213">
        <v>3.3993299999999997E-2</v>
      </c>
      <c r="BX213">
        <v>2.2006000000000001E-2</v>
      </c>
      <c r="BY213">
        <v>3.4008299999999998E-2</v>
      </c>
      <c r="BZ213">
        <v>25</v>
      </c>
      <c r="CA213">
        <v>33528.199999999997</v>
      </c>
      <c r="CB213">
        <v>1690200769.5</v>
      </c>
      <c r="CC213" t="s">
        <v>332</v>
      </c>
      <c r="CD213">
        <v>1690200769.5</v>
      </c>
      <c r="CE213">
        <v>1690200753</v>
      </c>
      <c r="CF213">
        <v>2</v>
      </c>
      <c r="CG213">
        <v>-0.245</v>
      </c>
      <c r="CH213">
        <v>3.0000000000000001E-3</v>
      </c>
      <c r="CI213">
        <v>-1.5169999999999999</v>
      </c>
      <c r="CJ213">
        <v>-1.6E-2</v>
      </c>
      <c r="CK213">
        <v>778</v>
      </c>
      <c r="CL213">
        <v>12</v>
      </c>
      <c r="CM213">
        <v>0.01</v>
      </c>
      <c r="CN213">
        <v>0.03</v>
      </c>
      <c r="CO213">
        <v>-478.22465853658542</v>
      </c>
      <c r="CP213">
        <v>-1.518313588851451</v>
      </c>
      <c r="CQ213">
        <v>0.15963626486883531</v>
      </c>
      <c r="CR213">
        <v>-1</v>
      </c>
      <c r="CS213">
        <v>19.404373170731709</v>
      </c>
      <c r="CT213">
        <v>9.6533101045292155E-2</v>
      </c>
      <c r="CU213">
        <v>9.5909262095074214E-3</v>
      </c>
      <c r="CV213">
        <v>-1</v>
      </c>
      <c r="CW213">
        <v>0</v>
      </c>
      <c r="CX213">
        <v>0</v>
      </c>
      <c r="CY213" t="s">
        <v>333</v>
      </c>
      <c r="CZ213">
        <v>2.3652899999999999</v>
      </c>
      <c r="DA213">
        <v>2.7138599999999999</v>
      </c>
      <c r="DB213">
        <v>7.5731499999999993E-2</v>
      </c>
      <c r="DC213">
        <v>0.14629900000000001</v>
      </c>
      <c r="DD213">
        <v>0.12903800000000001</v>
      </c>
      <c r="DE213">
        <v>5.5603E-2</v>
      </c>
      <c r="DF213">
        <v>33723.4</v>
      </c>
      <c r="DG213">
        <v>27452.2</v>
      </c>
      <c r="DH213">
        <v>31145.9</v>
      </c>
      <c r="DI213">
        <v>28017.5</v>
      </c>
      <c r="DJ213">
        <v>36804.800000000003</v>
      </c>
      <c r="DK213">
        <v>37597.4</v>
      </c>
      <c r="DL213">
        <v>44315.4</v>
      </c>
      <c r="DM213">
        <v>42431.4</v>
      </c>
      <c r="DN213">
        <v>1.4428300000000001</v>
      </c>
      <c r="DO213">
        <v>2.06928</v>
      </c>
      <c r="DP213">
        <v>0.13630800000000001</v>
      </c>
      <c r="DQ213">
        <v>0.17236899999999999</v>
      </c>
      <c r="DR213">
        <v>24.7532</v>
      </c>
      <c r="DS213">
        <v>24.6462</v>
      </c>
      <c r="DT213">
        <v>31.5</v>
      </c>
      <c r="DU213">
        <v>26.3</v>
      </c>
      <c r="DV213">
        <v>10.9269</v>
      </c>
      <c r="DW213">
        <v>61.675400000000003</v>
      </c>
      <c r="DX213">
        <v>36.915100000000002</v>
      </c>
      <c r="DY213">
        <v>1</v>
      </c>
      <c r="DZ213">
        <v>-0.151006</v>
      </c>
      <c r="EA213">
        <v>-4.2519099999999997E-2</v>
      </c>
      <c r="EB213">
        <v>20.191199999999998</v>
      </c>
      <c r="EC213">
        <v>5.2418500000000003</v>
      </c>
      <c r="ED213">
        <v>12.039899999999999</v>
      </c>
      <c r="EE213">
        <v>5.0171999999999999</v>
      </c>
      <c r="EF213">
        <v>3.2879999999999998</v>
      </c>
      <c r="EG213">
        <v>9999</v>
      </c>
      <c r="EH213">
        <v>9999</v>
      </c>
      <c r="EI213">
        <v>9999</v>
      </c>
      <c r="EJ213">
        <v>999.9</v>
      </c>
      <c r="EK213">
        <v>1.8688800000000001</v>
      </c>
      <c r="EL213">
        <v>1.86456</v>
      </c>
      <c r="EM213">
        <v>1.8691</v>
      </c>
      <c r="EN213">
        <v>1.8672</v>
      </c>
      <c r="EO213">
        <v>1.8633</v>
      </c>
      <c r="EP213">
        <v>1.86446</v>
      </c>
      <c r="EQ213">
        <v>1.87012</v>
      </c>
      <c r="ER213">
        <v>1.8693599999999999</v>
      </c>
      <c r="ES213">
        <v>0</v>
      </c>
      <c r="ET213">
        <v>0</v>
      </c>
      <c r="EU213">
        <v>0</v>
      </c>
      <c r="EV213">
        <v>0</v>
      </c>
      <c r="EW213" t="s">
        <v>334</v>
      </c>
      <c r="EX213" t="s">
        <v>335</v>
      </c>
      <c r="EY213" t="s">
        <v>336</v>
      </c>
      <c r="EZ213" t="s">
        <v>336</v>
      </c>
      <c r="FA213" t="s">
        <v>336</v>
      </c>
      <c r="FB213" t="s">
        <v>336</v>
      </c>
      <c r="FC213">
        <v>0</v>
      </c>
      <c r="FD213">
        <v>100</v>
      </c>
      <c r="FE213">
        <v>100</v>
      </c>
      <c r="FF213">
        <v>-1.1950000000000001</v>
      </c>
      <c r="FG213">
        <v>0.1782</v>
      </c>
      <c r="FH213">
        <v>-0.98020551812546231</v>
      </c>
      <c r="FI213">
        <v>-6.1462078757559423E-4</v>
      </c>
      <c r="FJ213">
        <v>-1.8861989874597051E-7</v>
      </c>
      <c r="FK213">
        <v>1.1980462299894961E-10</v>
      </c>
      <c r="FL213">
        <v>0.1782306200647516</v>
      </c>
      <c r="FM213">
        <v>0</v>
      </c>
      <c r="FN213">
        <v>0</v>
      </c>
      <c r="FO213">
        <v>0</v>
      </c>
      <c r="FP213">
        <v>3</v>
      </c>
      <c r="FQ213">
        <v>2158</v>
      </c>
      <c r="FR213">
        <v>1</v>
      </c>
      <c r="FS213">
        <v>19</v>
      </c>
      <c r="FT213">
        <v>34.799999999999997</v>
      </c>
      <c r="FU213">
        <v>35</v>
      </c>
      <c r="FV213">
        <v>1.7773399999999999</v>
      </c>
      <c r="FW213">
        <v>2.5549300000000001</v>
      </c>
      <c r="FX213">
        <v>1.5490699999999999</v>
      </c>
      <c r="FY213">
        <v>2.34009</v>
      </c>
      <c r="FZ213">
        <v>1.50146</v>
      </c>
      <c r="GA213">
        <v>2.3010299999999999</v>
      </c>
      <c r="GB213">
        <v>31.433299999999999</v>
      </c>
      <c r="GC213">
        <v>23.982399999999998</v>
      </c>
      <c r="GD213">
        <v>19</v>
      </c>
      <c r="GE213">
        <v>265.92</v>
      </c>
      <c r="GF213">
        <v>602.03499999999997</v>
      </c>
      <c r="GG213">
        <v>24.341000000000001</v>
      </c>
      <c r="GH213">
        <v>25.511700000000001</v>
      </c>
      <c r="GI213">
        <v>30</v>
      </c>
      <c r="GJ213">
        <v>25.629000000000001</v>
      </c>
      <c r="GK213">
        <v>25.595700000000001</v>
      </c>
      <c r="GL213">
        <v>35.549300000000002</v>
      </c>
      <c r="GM213">
        <v>-30</v>
      </c>
      <c r="GN213">
        <v>-30</v>
      </c>
      <c r="GO213">
        <v>24.341899999999999</v>
      </c>
      <c r="GP213">
        <v>800</v>
      </c>
      <c r="GQ213">
        <v>12.5298</v>
      </c>
      <c r="GR213">
        <v>99.642799999999994</v>
      </c>
      <c r="GS213">
        <v>99.293000000000006</v>
      </c>
    </row>
    <row r="214" spans="1:201" x14ac:dyDescent="0.25">
      <c r="A214">
        <v>198</v>
      </c>
      <c r="B214">
        <v>1690202865.5999999</v>
      </c>
      <c r="C214">
        <v>2018.599999904633</v>
      </c>
      <c r="D214" t="s">
        <v>729</v>
      </c>
      <c r="E214" t="s">
        <v>730</v>
      </c>
      <c r="F214" t="s">
        <v>330</v>
      </c>
      <c r="H214">
        <v>1690202865.5999999</v>
      </c>
      <c r="I214">
        <f t="shared" si="90"/>
        <v>1.80369612921615E-3</v>
      </c>
      <c r="J214">
        <f t="shared" si="91"/>
        <v>1.80369612921615</v>
      </c>
      <c r="K214">
        <f t="shared" si="92"/>
        <v>42.600421336559428</v>
      </c>
      <c r="L214">
        <f t="shared" si="93"/>
        <v>321.01900000000001</v>
      </c>
      <c r="M214">
        <f t="shared" si="94"/>
        <v>-9.6823486776675729</v>
      </c>
      <c r="N214">
        <f t="shared" si="95"/>
        <v>-0.95968901381217697</v>
      </c>
      <c r="O214">
        <f t="shared" si="96"/>
        <v>31.818561568182002</v>
      </c>
      <c r="P214">
        <f t="shared" si="97"/>
        <v>0.21777773108304674</v>
      </c>
      <c r="Q214">
        <f t="shared" si="98"/>
        <v>2.0766902608770996</v>
      </c>
      <c r="R214">
        <f t="shared" si="99"/>
        <v>0.20583898965611697</v>
      </c>
      <c r="S214">
        <f t="shared" si="100"/>
        <v>0.12966744727367913</v>
      </c>
      <c r="T214">
        <f t="shared" si="101"/>
        <v>276.116006196</v>
      </c>
      <c r="U214">
        <f t="shared" si="102"/>
        <v>27.467361441400421</v>
      </c>
      <c r="V214">
        <f t="shared" si="103"/>
        <v>27.467361441400421</v>
      </c>
      <c r="W214">
        <f t="shared" si="104"/>
        <v>3.6785901009730191</v>
      </c>
      <c r="X214">
        <f t="shared" si="105"/>
        <v>84.749371225168616</v>
      </c>
      <c r="Y214">
        <f t="shared" si="106"/>
        <v>2.8386126768042002</v>
      </c>
      <c r="Z214">
        <f t="shared" si="107"/>
        <v>3.3494203387802806</v>
      </c>
      <c r="AA214">
        <f t="shared" si="108"/>
        <v>0.83997742416881893</v>
      </c>
      <c r="AB214">
        <f t="shared" si="109"/>
        <v>-79.542999298432207</v>
      </c>
      <c r="AC214">
        <f t="shared" si="110"/>
        <v>-178.25604708941538</v>
      </c>
      <c r="AD214">
        <f t="shared" si="111"/>
        <v>-18.463846876959671</v>
      </c>
      <c r="AE214">
        <f t="shared" si="112"/>
        <v>-0.14688706880727409</v>
      </c>
      <c r="AF214">
        <v>13</v>
      </c>
      <c r="AG214">
        <v>4</v>
      </c>
      <c r="AH214">
        <f t="shared" si="113"/>
        <v>1</v>
      </c>
      <c r="AI214">
        <f t="shared" si="114"/>
        <v>0</v>
      </c>
      <c r="AJ214">
        <f t="shared" si="115"/>
        <v>52384.386200654546</v>
      </c>
      <c r="AK214">
        <f t="shared" si="116"/>
        <v>1800</v>
      </c>
      <c r="AL214">
        <f t="shared" si="117"/>
        <v>1499.1127595999999</v>
      </c>
      <c r="AM214">
        <f t="shared" si="118"/>
        <v>0.83284042199999997</v>
      </c>
      <c r="AN214">
        <f t="shared" si="119"/>
        <v>0.15339778122</v>
      </c>
      <c r="AO214">
        <v>33.299999999999997</v>
      </c>
      <c r="AP214">
        <v>0.5</v>
      </c>
      <c r="AQ214" t="s">
        <v>331</v>
      </c>
      <c r="AR214">
        <v>2</v>
      </c>
      <c r="AS214">
        <v>1690202865.5999999</v>
      </c>
      <c r="AT214">
        <v>321.01900000000001</v>
      </c>
      <c r="AU214">
        <v>800.02499999999998</v>
      </c>
      <c r="AV214">
        <v>28.6389</v>
      </c>
      <c r="AW214">
        <v>9.2028499999999998</v>
      </c>
      <c r="AX214">
        <v>322.21300000000002</v>
      </c>
      <c r="AY214">
        <v>28.460699999999999</v>
      </c>
      <c r="AZ214">
        <v>300.17899999999997</v>
      </c>
      <c r="BA214">
        <v>99.017300000000006</v>
      </c>
      <c r="BB214">
        <v>0.100078</v>
      </c>
      <c r="BC214">
        <v>25.8752</v>
      </c>
      <c r="BD214">
        <v>27.0137</v>
      </c>
      <c r="BE214">
        <v>27.4666</v>
      </c>
      <c r="BF214">
        <v>0</v>
      </c>
      <c r="BG214">
        <v>0</v>
      </c>
      <c r="BH214">
        <v>9966.25</v>
      </c>
      <c r="BI214">
        <v>1074.53</v>
      </c>
      <c r="BJ214">
        <v>1.4577199999999999</v>
      </c>
      <c r="BK214">
        <v>-479.00599999999997</v>
      </c>
      <c r="BL214">
        <v>330.48399999999998</v>
      </c>
      <c r="BM214">
        <v>807.45600000000002</v>
      </c>
      <c r="BN214">
        <v>19.4361</v>
      </c>
      <c r="BO214">
        <v>800.02499999999998</v>
      </c>
      <c r="BP214">
        <v>9.2028499999999998</v>
      </c>
      <c r="BQ214">
        <v>2.83575</v>
      </c>
      <c r="BR214">
        <v>0.91124099999999997</v>
      </c>
      <c r="BS214">
        <v>23.093699999999998</v>
      </c>
      <c r="BT214">
        <v>5.5695100000000002</v>
      </c>
      <c r="BU214">
        <v>1800</v>
      </c>
      <c r="BV214">
        <v>0.90999399999999997</v>
      </c>
      <c r="BW214">
        <v>3.3992700000000001E-2</v>
      </c>
      <c r="BX214">
        <v>2.20056E-2</v>
      </c>
      <c r="BY214">
        <v>3.4007599999999999E-2</v>
      </c>
      <c r="BZ214">
        <v>25</v>
      </c>
      <c r="CA214">
        <v>33528.300000000003</v>
      </c>
      <c r="CB214">
        <v>1690200769.5</v>
      </c>
      <c r="CC214" t="s">
        <v>332</v>
      </c>
      <c r="CD214">
        <v>1690200769.5</v>
      </c>
      <c r="CE214">
        <v>1690200753</v>
      </c>
      <c r="CF214">
        <v>2</v>
      </c>
      <c r="CG214">
        <v>-0.245</v>
      </c>
      <c r="CH214">
        <v>3.0000000000000001E-3</v>
      </c>
      <c r="CI214">
        <v>-1.5169999999999999</v>
      </c>
      <c r="CJ214">
        <v>-1.6E-2</v>
      </c>
      <c r="CK214">
        <v>778</v>
      </c>
      <c r="CL214">
        <v>12</v>
      </c>
      <c r="CM214">
        <v>0.01</v>
      </c>
      <c r="CN214">
        <v>0.03</v>
      </c>
      <c r="CO214">
        <v>-478.4973</v>
      </c>
      <c r="CP214">
        <v>-1.7949793621010239</v>
      </c>
      <c r="CQ214">
        <v>0.1871945779129281</v>
      </c>
      <c r="CR214">
        <v>-1</v>
      </c>
      <c r="CS214">
        <v>19.421880000000002</v>
      </c>
      <c r="CT214">
        <v>0.1011264540337085</v>
      </c>
      <c r="CU214">
        <v>9.7627660014978895E-3</v>
      </c>
      <c r="CV214">
        <v>-1</v>
      </c>
      <c r="CW214">
        <v>0</v>
      </c>
      <c r="CX214">
        <v>0</v>
      </c>
      <c r="CY214" t="s">
        <v>333</v>
      </c>
      <c r="CZ214">
        <v>2.36531</v>
      </c>
      <c r="DA214">
        <v>2.7138399999999998</v>
      </c>
      <c r="DB214">
        <v>7.5654100000000002E-2</v>
      </c>
      <c r="DC214">
        <v>0.14630899999999999</v>
      </c>
      <c r="DD214">
        <v>0.12904599999999999</v>
      </c>
      <c r="DE214">
        <v>5.5545799999999999E-2</v>
      </c>
      <c r="DF214">
        <v>33726.9</v>
      </c>
      <c r="DG214">
        <v>27452.6</v>
      </c>
      <c r="DH214">
        <v>31146.5</v>
      </c>
      <c r="DI214">
        <v>28018.3</v>
      </c>
      <c r="DJ214">
        <v>36805</v>
      </c>
      <c r="DK214">
        <v>37600.699999999997</v>
      </c>
      <c r="DL214">
        <v>44316.1</v>
      </c>
      <c r="DM214">
        <v>42432.6</v>
      </c>
      <c r="DN214">
        <v>1.4428300000000001</v>
      </c>
      <c r="DO214">
        <v>2.0691799999999998</v>
      </c>
      <c r="DP214">
        <v>0.138097</v>
      </c>
      <c r="DQ214">
        <v>0.17225699999999999</v>
      </c>
      <c r="DR214">
        <v>24.751100000000001</v>
      </c>
      <c r="DS214">
        <v>24.645099999999999</v>
      </c>
      <c r="DT214">
        <v>31.4</v>
      </c>
      <c r="DU214">
        <v>26.3</v>
      </c>
      <c r="DV214">
        <v>10.892300000000001</v>
      </c>
      <c r="DW214">
        <v>61.785400000000003</v>
      </c>
      <c r="DX214">
        <v>36.386200000000002</v>
      </c>
      <c r="DY214">
        <v>1</v>
      </c>
      <c r="DZ214">
        <v>-0.15091499999999999</v>
      </c>
      <c r="EA214">
        <v>-6.7489099999999996E-2</v>
      </c>
      <c r="EB214">
        <v>20.191299999999998</v>
      </c>
      <c r="EC214">
        <v>5.2438000000000002</v>
      </c>
      <c r="ED214">
        <v>12.039899999999999</v>
      </c>
      <c r="EE214">
        <v>5.0172999999999996</v>
      </c>
      <c r="EF214">
        <v>3.2879999999999998</v>
      </c>
      <c r="EG214">
        <v>9999</v>
      </c>
      <c r="EH214">
        <v>9999</v>
      </c>
      <c r="EI214">
        <v>9999</v>
      </c>
      <c r="EJ214">
        <v>999.9</v>
      </c>
      <c r="EK214">
        <v>1.8688800000000001</v>
      </c>
      <c r="EL214">
        <v>1.86453</v>
      </c>
      <c r="EM214">
        <v>1.8690899999999999</v>
      </c>
      <c r="EN214">
        <v>1.8671899999999999</v>
      </c>
      <c r="EO214">
        <v>1.8633500000000001</v>
      </c>
      <c r="EP214">
        <v>1.8644700000000001</v>
      </c>
      <c r="EQ214">
        <v>1.87012</v>
      </c>
      <c r="ER214">
        <v>1.8693599999999999</v>
      </c>
      <c r="ES214">
        <v>0</v>
      </c>
      <c r="ET214">
        <v>0</v>
      </c>
      <c r="EU214">
        <v>0</v>
      </c>
      <c r="EV214">
        <v>0</v>
      </c>
      <c r="EW214" t="s">
        <v>334</v>
      </c>
      <c r="EX214" t="s">
        <v>335</v>
      </c>
      <c r="EY214" t="s">
        <v>336</v>
      </c>
      <c r="EZ214" t="s">
        <v>336</v>
      </c>
      <c r="FA214" t="s">
        <v>336</v>
      </c>
      <c r="FB214" t="s">
        <v>336</v>
      </c>
      <c r="FC214">
        <v>0</v>
      </c>
      <c r="FD214">
        <v>100</v>
      </c>
      <c r="FE214">
        <v>100</v>
      </c>
      <c r="FF214">
        <v>-1.194</v>
      </c>
      <c r="FG214">
        <v>0.1782</v>
      </c>
      <c r="FH214">
        <v>-0.98020551812546231</v>
      </c>
      <c r="FI214">
        <v>-6.1462078757559423E-4</v>
      </c>
      <c r="FJ214">
        <v>-1.8861989874597051E-7</v>
      </c>
      <c r="FK214">
        <v>1.1980462299894961E-10</v>
      </c>
      <c r="FL214">
        <v>0.1782306200647516</v>
      </c>
      <c r="FM214">
        <v>0</v>
      </c>
      <c r="FN214">
        <v>0</v>
      </c>
      <c r="FO214">
        <v>0</v>
      </c>
      <c r="FP214">
        <v>3</v>
      </c>
      <c r="FQ214">
        <v>2158</v>
      </c>
      <c r="FR214">
        <v>1</v>
      </c>
      <c r="FS214">
        <v>19</v>
      </c>
      <c r="FT214">
        <v>34.9</v>
      </c>
      <c r="FU214">
        <v>35.200000000000003</v>
      </c>
      <c r="FV214">
        <v>1.7785599999999999</v>
      </c>
      <c r="FW214">
        <v>2.5476100000000002</v>
      </c>
      <c r="FX214">
        <v>1.5490699999999999</v>
      </c>
      <c r="FY214">
        <v>2.34009</v>
      </c>
      <c r="FZ214">
        <v>1.50146</v>
      </c>
      <c r="GA214">
        <v>2.3742700000000001</v>
      </c>
      <c r="GB214">
        <v>31.433299999999999</v>
      </c>
      <c r="GC214">
        <v>23.991199999999999</v>
      </c>
      <c r="GD214">
        <v>19</v>
      </c>
      <c r="GE214">
        <v>265.92</v>
      </c>
      <c r="GF214">
        <v>601.976</v>
      </c>
      <c r="GG214">
        <v>24.3475</v>
      </c>
      <c r="GH214">
        <v>25.5139</v>
      </c>
      <c r="GI214">
        <v>30.0001</v>
      </c>
      <c r="GJ214">
        <v>25.629000000000001</v>
      </c>
      <c r="GK214">
        <v>25.597799999999999</v>
      </c>
      <c r="GL214">
        <v>35.5501</v>
      </c>
      <c r="GM214">
        <v>-30</v>
      </c>
      <c r="GN214">
        <v>-30</v>
      </c>
      <c r="GO214">
        <v>24.3443</v>
      </c>
      <c r="GP214">
        <v>800</v>
      </c>
      <c r="GQ214">
        <v>12.5298</v>
      </c>
      <c r="GR214">
        <v>99.644599999999997</v>
      </c>
      <c r="GS214">
        <v>99.295699999999997</v>
      </c>
    </row>
    <row r="215" spans="1:201" x14ac:dyDescent="0.25">
      <c r="A215">
        <v>199</v>
      </c>
      <c r="B215">
        <v>1690202875.5999999</v>
      </c>
      <c r="C215">
        <v>2028.599999904633</v>
      </c>
      <c r="D215" t="s">
        <v>731</v>
      </c>
      <c r="E215" t="s">
        <v>732</v>
      </c>
      <c r="F215" t="s">
        <v>330</v>
      </c>
      <c r="H215">
        <v>1690202875.5999999</v>
      </c>
      <c r="I215">
        <f t="shared" si="90"/>
        <v>1.8043373554271175E-3</v>
      </c>
      <c r="J215">
        <f t="shared" si="91"/>
        <v>1.8043373554271174</v>
      </c>
      <c r="K215">
        <f t="shared" si="92"/>
        <v>42.612790727186372</v>
      </c>
      <c r="L215">
        <f t="shared" si="93"/>
        <v>320.76799999999997</v>
      </c>
      <c r="M215">
        <f t="shared" si="94"/>
        <v>-9.0259093015728329</v>
      </c>
      <c r="N215">
        <f t="shared" si="95"/>
        <v>-0.89461019317251378</v>
      </c>
      <c r="O215">
        <f t="shared" si="96"/>
        <v>31.793175940019196</v>
      </c>
      <c r="P215">
        <f t="shared" si="97"/>
        <v>0.21844993795585124</v>
      </c>
      <c r="Q215">
        <f t="shared" si="98"/>
        <v>2.0815607138824541</v>
      </c>
      <c r="R215">
        <f t="shared" si="99"/>
        <v>0.20646600979674251</v>
      </c>
      <c r="S215">
        <f t="shared" si="100"/>
        <v>0.13006314994651985</v>
      </c>
      <c r="T215">
        <f t="shared" si="101"/>
        <v>276.11615133000004</v>
      </c>
      <c r="U215">
        <f t="shared" si="102"/>
        <v>27.455068002987197</v>
      </c>
      <c r="V215">
        <f t="shared" si="103"/>
        <v>27.455068002987197</v>
      </c>
      <c r="W215">
        <f t="shared" si="104"/>
        <v>3.6759441417080372</v>
      </c>
      <c r="X215">
        <f t="shared" si="105"/>
        <v>84.781339233082704</v>
      </c>
      <c r="Y215">
        <f t="shared" si="106"/>
        <v>2.8382204905502597</v>
      </c>
      <c r="Z215">
        <f t="shared" si="107"/>
        <v>3.3476948066924992</v>
      </c>
      <c r="AA215">
        <f t="shared" si="108"/>
        <v>0.83772365115777747</v>
      </c>
      <c r="AB215">
        <f t="shared" si="109"/>
        <v>-79.571277374335878</v>
      </c>
      <c r="AC215">
        <f t="shared" si="110"/>
        <v>-178.27085063715961</v>
      </c>
      <c r="AD215">
        <f t="shared" si="111"/>
        <v>-18.420238431504011</v>
      </c>
      <c r="AE215">
        <f t="shared" si="112"/>
        <v>-0.14621511299944245</v>
      </c>
      <c r="AF215">
        <v>13</v>
      </c>
      <c r="AG215">
        <v>4</v>
      </c>
      <c r="AH215">
        <f t="shared" si="113"/>
        <v>1</v>
      </c>
      <c r="AI215">
        <f t="shared" si="114"/>
        <v>0</v>
      </c>
      <c r="AJ215">
        <f t="shared" si="115"/>
        <v>52605.725715646542</v>
      </c>
      <c r="AK215">
        <f t="shared" si="116"/>
        <v>1800</v>
      </c>
      <c r="AL215">
        <f t="shared" si="117"/>
        <v>1499.113728</v>
      </c>
      <c r="AM215">
        <f t="shared" si="118"/>
        <v>0.83284095999999996</v>
      </c>
      <c r="AN215">
        <f t="shared" si="119"/>
        <v>0.15339786185000001</v>
      </c>
      <c r="AO215">
        <v>33.299999999999997</v>
      </c>
      <c r="AP215">
        <v>0.5</v>
      </c>
      <c r="AQ215" t="s">
        <v>331</v>
      </c>
      <c r="AR215">
        <v>2</v>
      </c>
      <c r="AS215">
        <v>1690202875.5999999</v>
      </c>
      <c r="AT215">
        <v>320.76799999999997</v>
      </c>
      <c r="AU215">
        <v>799.94200000000001</v>
      </c>
      <c r="AV215">
        <v>28.635400000000001</v>
      </c>
      <c r="AW215">
        <v>9.1910100000000003</v>
      </c>
      <c r="AX215">
        <v>321.96199999999999</v>
      </c>
      <c r="AY215">
        <v>28.457100000000001</v>
      </c>
      <c r="AZ215">
        <v>300.15800000000002</v>
      </c>
      <c r="BA215">
        <v>99.015799999999999</v>
      </c>
      <c r="BB215">
        <v>9.99969E-2</v>
      </c>
      <c r="BC215">
        <v>25.866499999999998</v>
      </c>
      <c r="BD215">
        <v>26.989899999999999</v>
      </c>
      <c r="BE215">
        <v>27.474</v>
      </c>
      <c r="BF215">
        <v>0</v>
      </c>
      <c r="BG215">
        <v>0</v>
      </c>
      <c r="BH215">
        <v>10010</v>
      </c>
      <c r="BI215">
        <v>1074.6099999999999</v>
      </c>
      <c r="BJ215">
        <v>1.2334499999999999</v>
      </c>
      <c r="BK215">
        <v>-479.173</v>
      </c>
      <c r="BL215">
        <v>330.22500000000002</v>
      </c>
      <c r="BM215">
        <v>807.36199999999997</v>
      </c>
      <c r="BN215">
        <v>19.444400000000002</v>
      </c>
      <c r="BO215">
        <v>799.94200000000001</v>
      </c>
      <c r="BP215">
        <v>9.1910100000000003</v>
      </c>
      <c r="BQ215">
        <v>2.83535</v>
      </c>
      <c r="BR215">
        <v>0.91005499999999995</v>
      </c>
      <c r="BS215">
        <v>23.0914</v>
      </c>
      <c r="BT215">
        <v>5.5507299999999997</v>
      </c>
      <c r="BU215">
        <v>1800</v>
      </c>
      <c r="BV215">
        <v>0.909995</v>
      </c>
      <c r="BW215">
        <v>3.3992500000000002E-2</v>
      </c>
      <c r="BX215">
        <v>2.2005500000000001E-2</v>
      </c>
      <c r="BY215">
        <v>3.4007500000000003E-2</v>
      </c>
      <c r="BZ215">
        <v>25</v>
      </c>
      <c r="CA215">
        <v>33528.300000000003</v>
      </c>
      <c r="CB215">
        <v>1690200769.5</v>
      </c>
      <c r="CC215" t="s">
        <v>332</v>
      </c>
      <c r="CD215">
        <v>1690200769.5</v>
      </c>
      <c r="CE215">
        <v>1690200753</v>
      </c>
      <c r="CF215">
        <v>2</v>
      </c>
      <c r="CG215">
        <v>-0.245</v>
      </c>
      <c r="CH215">
        <v>3.0000000000000001E-3</v>
      </c>
      <c r="CI215">
        <v>-1.5169999999999999</v>
      </c>
      <c r="CJ215">
        <v>-1.6E-2</v>
      </c>
      <c r="CK215">
        <v>778</v>
      </c>
      <c r="CL215">
        <v>12</v>
      </c>
      <c r="CM215">
        <v>0.01</v>
      </c>
      <c r="CN215">
        <v>0.03</v>
      </c>
      <c r="CO215">
        <v>-478.83348780487808</v>
      </c>
      <c r="CP215">
        <v>-2.4748850174215411</v>
      </c>
      <c r="CQ215">
        <v>0.25611545814350922</v>
      </c>
      <c r="CR215">
        <v>-1</v>
      </c>
      <c r="CS215">
        <v>19.435165853658539</v>
      </c>
      <c r="CT215">
        <v>7.3547038327548067E-2</v>
      </c>
      <c r="CU215">
        <v>7.3841164326393059E-3</v>
      </c>
      <c r="CV215">
        <v>-1</v>
      </c>
      <c r="CW215">
        <v>0</v>
      </c>
      <c r="CX215">
        <v>0</v>
      </c>
      <c r="CY215" t="s">
        <v>333</v>
      </c>
      <c r="CZ215">
        <v>2.3652299999999999</v>
      </c>
      <c r="DA215">
        <v>2.7138</v>
      </c>
      <c r="DB215">
        <v>7.5605400000000003E-2</v>
      </c>
      <c r="DC215">
        <v>0.14629700000000001</v>
      </c>
      <c r="DD215">
        <v>0.12903300000000001</v>
      </c>
      <c r="DE215">
        <v>5.5489400000000001E-2</v>
      </c>
      <c r="DF215">
        <v>33728.6</v>
      </c>
      <c r="DG215">
        <v>27453.8</v>
      </c>
      <c r="DH215">
        <v>31146.5</v>
      </c>
      <c r="DI215">
        <v>28019.1</v>
      </c>
      <c r="DJ215">
        <v>36805.800000000003</v>
      </c>
      <c r="DK215">
        <v>37604</v>
      </c>
      <c r="DL215">
        <v>44316.4</v>
      </c>
      <c r="DM215">
        <v>42433.8</v>
      </c>
      <c r="DN215">
        <v>1.4426300000000001</v>
      </c>
      <c r="DO215">
        <v>2.0695299999999999</v>
      </c>
      <c r="DP215">
        <v>0.13664399999999999</v>
      </c>
      <c r="DQ215">
        <v>0.172816</v>
      </c>
      <c r="DR215">
        <v>24.751100000000001</v>
      </c>
      <c r="DS215">
        <v>24.6434</v>
      </c>
      <c r="DT215">
        <v>31.4</v>
      </c>
      <c r="DU215">
        <v>26.3</v>
      </c>
      <c r="DV215">
        <v>10.8924</v>
      </c>
      <c r="DW215">
        <v>61.565399999999997</v>
      </c>
      <c r="DX215">
        <v>35.877400000000002</v>
      </c>
      <c r="DY215">
        <v>1</v>
      </c>
      <c r="DZ215">
        <v>-0.151057</v>
      </c>
      <c r="EA215">
        <v>-7.7396499999999998E-3</v>
      </c>
      <c r="EB215">
        <v>20.191299999999998</v>
      </c>
      <c r="EC215">
        <v>5.2431999999999999</v>
      </c>
      <c r="ED215">
        <v>12.039899999999999</v>
      </c>
      <c r="EE215">
        <v>5.01715</v>
      </c>
      <c r="EF215">
        <v>3.2879999999999998</v>
      </c>
      <c r="EG215">
        <v>9999</v>
      </c>
      <c r="EH215">
        <v>9999</v>
      </c>
      <c r="EI215">
        <v>9999</v>
      </c>
      <c r="EJ215">
        <v>999.9</v>
      </c>
      <c r="EK215">
        <v>1.86886</v>
      </c>
      <c r="EL215">
        <v>1.8645099999999999</v>
      </c>
      <c r="EM215">
        <v>1.86907</v>
      </c>
      <c r="EN215">
        <v>1.8671899999999999</v>
      </c>
      <c r="EO215">
        <v>1.8633200000000001</v>
      </c>
      <c r="EP215">
        <v>1.8644700000000001</v>
      </c>
      <c r="EQ215">
        <v>1.87012</v>
      </c>
      <c r="ER215">
        <v>1.86937</v>
      </c>
      <c r="ES215">
        <v>0</v>
      </c>
      <c r="ET215">
        <v>0</v>
      </c>
      <c r="EU215">
        <v>0</v>
      </c>
      <c r="EV215">
        <v>0</v>
      </c>
      <c r="EW215" t="s">
        <v>334</v>
      </c>
      <c r="EX215" t="s">
        <v>335</v>
      </c>
      <c r="EY215" t="s">
        <v>336</v>
      </c>
      <c r="EZ215" t="s">
        <v>336</v>
      </c>
      <c r="FA215" t="s">
        <v>336</v>
      </c>
      <c r="FB215" t="s">
        <v>336</v>
      </c>
      <c r="FC215">
        <v>0</v>
      </c>
      <c r="FD215">
        <v>100</v>
      </c>
      <c r="FE215">
        <v>100</v>
      </c>
      <c r="FF215">
        <v>-1.194</v>
      </c>
      <c r="FG215">
        <v>0.17829999999999999</v>
      </c>
      <c r="FH215">
        <v>-0.98020551812546231</v>
      </c>
      <c r="FI215">
        <v>-6.1462078757559423E-4</v>
      </c>
      <c r="FJ215">
        <v>-1.8861989874597051E-7</v>
      </c>
      <c r="FK215">
        <v>1.1980462299894961E-10</v>
      </c>
      <c r="FL215">
        <v>0.1782306200647516</v>
      </c>
      <c r="FM215">
        <v>0</v>
      </c>
      <c r="FN215">
        <v>0</v>
      </c>
      <c r="FO215">
        <v>0</v>
      </c>
      <c r="FP215">
        <v>3</v>
      </c>
      <c r="FQ215">
        <v>2158</v>
      </c>
      <c r="FR215">
        <v>1</v>
      </c>
      <c r="FS215">
        <v>19</v>
      </c>
      <c r="FT215">
        <v>35.1</v>
      </c>
      <c r="FU215">
        <v>35.4</v>
      </c>
      <c r="FV215">
        <v>1.7785599999999999</v>
      </c>
      <c r="FW215">
        <v>2.5500500000000001</v>
      </c>
      <c r="FX215">
        <v>1.5490699999999999</v>
      </c>
      <c r="FY215">
        <v>2.34009</v>
      </c>
      <c r="FZ215">
        <v>1.50146</v>
      </c>
      <c r="GA215">
        <v>2.3925800000000002</v>
      </c>
      <c r="GB215">
        <v>31.455200000000001</v>
      </c>
      <c r="GC215">
        <v>23.991199999999999</v>
      </c>
      <c r="GD215">
        <v>19</v>
      </c>
      <c r="GE215">
        <v>265.84800000000001</v>
      </c>
      <c r="GF215">
        <v>602.27099999999996</v>
      </c>
      <c r="GG215">
        <v>24.3338</v>
      </c>
      <c r="GH215">
        <v>25.515999999999998</v>
      </c>
      <c r="GI215">
        <v>30</v>
      </c>
      <c r="GJ215">
        <v>25.6312</v>
      </c>
      <c r="GK215">
        <v>25.597799999999999</v>
      </c>
      <c r="GL215">
        <v>35.552</v>
      </c>
      <c r="GM215">
        <v>-30</v>
      </c>
      <c r="GN215">
        <v>-30</v>
      </c>
      <c r="GO215">
        <v>24.3398</v>
      </c>
      <c r="GP215">
        <v>800</v>
      </c>
      <c r="GQ215">
        <v>12.5298</v>
      </c>
      <c r="GR215">
        <v>99.644900000000007</v>
      </c>
      <c r="GS215">
        <v>99.298500000000004</v>
      </c>
    </row>
    <row r="216" spans="1:201" x14ac:dyDescent="0.25">
      <c r="A216">
        <v>200</v>
      </c>
      <c r="B216">
        <v>1690202885.5999999</v>
      </c>
      <c r="C216">
        <v>2038.599999904633</v>
      </c>
      <c r="D216" t="s">
        <v>733</v>
      </c>
      <c r="E216" t="s">
        <v>734</v>
      </c>
      <c r="F216" t="s">
        <v>330</v>
      </c>
      <c r="H216">
        <v>1690202885.5999999</v>
      </c>
      <c r="I216">
        <f t="shared" si="90"/>
        <v>1.8044823426049781E-3</v>
      </c>
      <c r="J216">
        <f t="shared" si="91"/>
        <v>1.8044823426049781</v>
      </c>
      <c r="K216">
        <f t="shared" si="92"/>
        <v>42.629397489235629</v>
      </c>
      <c r="L216">
        <f t="shared" si="93"/>
        <v>320.57499999999999</v>
      </c>
      <c r="M216">
        <f t="shared" si="94"/>
        <v>-10.163527258351621</v>
      </c>
      <c r="N216">
        <f t="shared" si="95"/>
        <v>-1.007339342959122</v>
      </c>
      <c r="O216">
        <f t="shared" si="96"/>
        <v>31.773202517242499</v>
      </c>
      <c r="P216">
        <f t="shared" si="97"/>
        <v>0.21787037681451155</v>
      </c>
      <c r="Q216">
        <f t="shared" si="98"/>
        <v>2.0829240386827319</v>
      </c>
      <c r="R216">
        <f t="shared" si="99"/>
        <v>0.20595543463379989</v>
      </c>
      <c r="S216">
        <f t="shared" si="100"/>
        <v>0.12973832790417453</v>
      </c>
      <c r="T216">
        <f t="shared" si="101"/>
        <v>276.11603342999996</v>
      </c>
      <c r="U216">
        <f t="shared" si="102"/>
        <v>27.460562635983631</v>
      </c>
      <c r="V216">
        <f t="shared" si="103"/>
        <v>27.460562635983631</v>
      </c>
      <c r="W216">
        <f t="shared" si="104"/>
        <v>3.6771265652183436</v>
      </c>
      <c r="X216">
        <f t="shared" si="105"/>
        <v>84.720705546352036</v>
      </c>
      <c r="Y216">
        <f t="shared" si="106"/>
        <v>2.8372828090161302</v>
      </c>
      <c r="Z216">
        <f t="shared" si="107"/>
        <v>3.3489839239639099</v>
      </c>
      <c r="AA216">
        <f t="shared" si="108"/>
        <v>0.83984375620221341</v>
      </c>
      <c r="AB216">
        <f t="shared" si="109"/>
        <v>-79.57767130887953</v>
      </c>
      <c r="AC216">
        <f t="shared" si="110"/>
        <v>-178.27471241064904</v>
      </c>
      <c r="AD216">
        <f t="shared" si="111"/>
        <v>-18.409685823470607</v>
      </c>
      <c r="AE216">
        <f t="shared" si="112"/>
        <v>-0.14603611299924069</v>
      </c>
      <c r="AF216">
        <v>13</v>
      </c>
      <c r="AG216">
        <v>4</v>
      </c>
      <c r="AH216">
        <f t="shared" si="113"/>
        <v>1</v>
      </c>
      <c r="AI216">
        <f t="shared" si="114"/>
        <v>0</v>
      </c>
      <c r="AJ216">
        <f t="shared" si="115"/>
        <v>52666.176470378363</v>
      </c>
      <c r="AK216">
        <f t="shared" si="116"/>
        <v>1800</v>
      </c>
      <c r="AL216">
        <f t="shared" si="117"/>
        <v>1499.113881</v>
      </c>
      <c r="AM216">
        <f t="shared" si="118"/>
        <v>0.832841045</v>
      </c>
      <c r="AN216">
        <f t="shared" si="119"/>
        <v>0.15339779634999998</v>
      </c>
      <c r="AO216">
        <v>33.299999999999997</v>
      </c>
      <c r="AP216">
        <v>0.5</v>
      </c>
      <c r="AQ216" t="s">
        <v>331</v>
      </c>
      <c r="AR216">
        <v>2</v>
      </c>
      <c r="AS216">
        <v>1690202885.5999999</v>
      </c>
      <c r="AT216">
        <v>320.57499999999999</v>
      </c>
      <c r="AU216">
        <v>799.98099999999999</v>
      </c>
      <c r="AV216">
        <v>28.6267</v>
      </c>
      <c r="AW216">
        <v>9.1784999999999997</v>
      </c>
      <c r="AX216">
        <v>321.76799999999997</v>
      </c>
      <c r="AY216">
        <v>28.448399999999999</v>
      </c>
      <c r="AZ216">
        <v>300.12599999999998</v>
      </c>
      <c r="BA216">
        <v>99.013199999999998</v>
      </c>
      <c r="BB216">
        <v>9.9963899999999994E-2</v>
      </c>
      <c r="BC216">
        <v>25.873000000000001</v>
      </c>
      <c r="BD216">
        <v>27.007899999999999</v>
      </c>
      <c r="BE216">
        <v>27.454499999999999</v>
      </c>
      <c r="BF216">
        <v>0</v>
      </c>
      <c r="BG216">
        <v>0</v>
      </c>
      <c r="BH216">
        <v>10022.5</v>
      </c>
      <c r="BI216">
        <v>1074.7</v>
      </c>
      <c r="BJ216">
        <v>1.5137799999999999</v>
      </c>
      <c r="BK216">
        <v>-479.40600000000001</v>
      </c>
      <c r="BL216">
        <v>330.02199999999999</v>
      </c>
      <c r="BM216">
        <v>807.39099999999996</v>
      </c>
      <c r="BN216">
        <v>19.4482</v>
      </c>
      <c r="BO216">
        <v>799.98099999999999</v>
      </c>
      <c r="BP216">
        <v>9.1784999999999997</v>
      </c>
      <c r="BQ216">
        <v>2.8344200000000002</v>
      </c>
      <c r="BR216">
        <v>0.90879299999999996</v>
      </c>
      <c r="BS216">
        <v>23.085899999999999</v>
      </c>
      <c r="BT216">
        <v>5.5307300000000001</v>
      </c>
      <c r="BU216">
        <v>1800</v>
      </c>
      <c r="BV216">
        <v>0.90999699999999994</v>
      </c>
      <c r="BW216">
        <v>3.39917E-2</v>
      </c>
      <c r="BX216">
        <v>2.2005E-2</v>
      </c>
      <c r="BY216">
        <v>3.4006700000000001E-2</v>
      </c>
      <c r="BZ216">
        <v>25</v>
      </c>
      <c r="CA216">
        <v>33528.400000000001</v>
      </c>
      <c r="CB216">
        <v>1690200769.5</v>
      </c>
      <c r="CC216" t="s">
        <v>332</v>
      </c>
      <c r="CD216">
        <v>1690200769.5</v>
      </c>
      <c r="CE216">
        <v>1690200753</v>
      </c>
      <c r="CF216">
        <v>2</v>
      </c>
      <c r="CG216">
        <v>-0.245</v>
      </c>
      <c r="CH216">
        <v>3.0000000000000001E-3</v>
      </c>
      <c r="CI216">
        <v>-1.5169999999999999</v>
      </c>
      <c r="CJ216">
        <v>-1.6E-2</v>
      </c>
      <c r="CK216">
        <v>778</v>
      </c>
      <c r="CL216">
        <v>12</v>
      </c>
      <c r="CM216">
        <v>0.01</v>
      </c>
      <c r="CN216">
        <v>0.03</v>
      </c>
      <c r="CO216">
        <v>-479.18037499999991</v>
      </c>
      <c r="CP216">
        <v>-1.3783227016883921</v>
      </c>
      <c r="CQ216">
        <v>0.13930033874689651</v>
      </c>
      <c r="CR216">
        <v>-1</v>
      </c>
      <c r="CS216">
        <v>19.443155000000001</v>
      </c>
      <c r="CT216">
        <v>2.8376735459594179E-2</v>
      </c>
      <c r="CU216">
        <v>3.2248992232316088E-3</v>
      </c>
      <c r="CV216">
        <v>-1</v>
      </c>
      <c r="CW216">
        <v>0</v>
      </c>
      <c r="CX216">
        <v>0</v>
      </c>
      <c r="CY216" t="s">
        <v>333</v>
      </c>
      <c r="CZ216">
        <v>2.3651499999999999</v>
      </c>
      <c r="DA216">
        <v>2.7137699999999998</v>
      </c>
      <c r="DB216">
        <v>7.5566900000000006E-2</v>
      </c>
      <c r="DC216">
        <v>0.14629700000000001</v>
      </c>
      <c r="DD216">
        <v>0.12900200000000001</v>
      </c>
      <c r="DE216">
        <v>5.5429100000000002E-2</v>
      </c>
      <c r="DF216">
        <v>33730.5</v>
      </c>
      <c r="DG216">
        <v>27453.3</v>
      </c>
      <c r="DH216">
        <v>31147</v>
      </c>
      <c r="DI216">
        <v>28018.6</v>
      </c>
      <c r="DJ216">
        <v>36807.5</v>
      </c>
      <c r="DK216">
        <v>37606</v>
      </c>
      <c r="DL216">
        <v>44316.9</v>
      </c>
      <c r="DM216">
        <v>42433.3</v>
      </c>
      <c r="DN216">
        <v>1.4426300000000001</v>
      </c>
      <c r="DO216">
        <v>2.06908</v>
      </c>
      <c r="DP216">
        <v>0.13761200000000001</v>
      </c>
      <c r="DQ216">
        <v>0.17155000000000001</v>
      </c>
      <c r="DR216">
        <v>24.7532</v>
      </c>
      <c r="DS216">
        <v>24.644600000000001</v>
      </c>
      <c r="DT216">
        <v>31.3</v>
      </c>
      <c r="DU216">
        <v>26.3</v>
      </c>
      <c r="DV216">
        <v>10.8569</v>
      </c>
      <c r="DW216">
        <v>61.735500000000002</v>
      </c>
      <c r="DX216">
        <v>37.163499999999999</v>
      </c>
      <c r="DY216">
        <v>1</v>
      </c>
      <c r="DZ216">
        <v>-0.15073400000000001</v>
      </c>
      <c r="EA216">
        <v>-9.3837100000000007E-2</v>
      </c>
      <c r="EB216">
        <v>20.191299999999998</v>
      </c>
      <c r="EC216">
        <v>5.2435</v>
      </c>
      <c r="ED216">
        <v>12.039899999999999</v>
      </c>
      <c r="EE216">
        <v>5.0172499999999998</v>
      </c>
      <c r="EF216">
        <v>3.2879999999999998</v>
      </c>
      <c r="EG216">
        <v>9999</v>
      </c>
      <c r="EH216">
        <v>9999</v>
      </c>
      <c r="EI216">
        <v>9999</v>
      </c>
      <c r="EJ216">
        <v>999.9</v>
      </c>
      <c r="EK216">
        <v>1.8688800000000001</v>
      </c>
      <c r="EL216">
        <v>1.86453</v>
      </c>
      <c r="EM216">
        <v>1.8690899999999999</v>
      </c>
      <c r="EN216">
        <v>1.8672</v>
      </c>
      <c r="EO216">
        <v>1.8633200000000001</v>
      </c>
      <c r="EP216">
        <v>1.8644700000000001</v>
      </c>
      <c r="EQ216">
        <v>1.87012</v>
      </c>
      <c r="ER216">
        <v>1.8693500000000001</v>
      </c>
      <c r="ES216">
        <v>0</v>
      </c>
      <c r="ET216">
        <v>0</v>
      </c>
      <c r="EU216">
        <v>0</v>
      </c>
      <c r="EV216">
        <v>0</v>
      </c>
      <c r="EW216" t="s">
        <v>334</v>
      </c>
      <c r="EX216" t="s">
        <v>335</v>
      </c>
      <c r="EY216" t="s">
        <v>336</v>
      </c>
      <c r="EZ216" t="s">
        <v>336</v>
      </c>
      <c r="FA216" t="s">
        <v>336</v>
      </c>
      <c r="FB216" t="s">
        <v>336</v>
      </c>
      <c r="FC216">
        <v>0</v>
      </c>
      <c r="FD216">
        <v>100</v>
      </c>
      <c r="FE216">
        <v>100</v>
      </c>
      <c r="FF216">
        <v>-1.1930000000000001</v>
      </c>
      <c r="FG216">
        <v>0.17829999999999999</v>
      </c>
      <c r="FH216">
        <v>-0.98020551812546231</v>
      </c>
      <c r="FI216">
        <v>-6.1462078757559423E-4</v>
      </c>
      <c r="FJ216">
        <v>-1.8861989874597051E-7</v>
      </c>
      <c r="FK216">
        <v>1.1980462299894961E-10</v>
      </c>
      <c r="FL216">
        <v>0.1782306200647516</v>
      </c>
      <c r="FM216">
        <v>0</v>
      </c>
      <c r="FN216">
        <v>0</v>
      </c>
      <c r="FO216">
        <v>0</v>
      </c>
      <c r="FP216">
        <v>3</v>
      </c>
      <c r="FQ216">
        <v>2158</v>
      </c>
      <c r="FR216">
        <v>1</v>
      </c>
      <c r="FS216">
        <v>19</v>
      </c>
      <c r="FT216">
        <v>35.299999999999997</v>
      </c>
      <c r="FU216">
        <v>35.5</v>
      </c>
      <c r="FV216">
        <v>1.7785599999999999</v>
      </c>
      <c r="FW216">
        <v>2.5476100000000002</v>
      </c>
      <c r="FX216">
        <v>1.5490699999999999</v>
      </c>
      <c r="FY216">
        <v>2.34009</v>
      </c>
      <c r="FZ216">
        <v>1.50146</v>
      </c>
      <c r="GA216">
        <v>2.32544</v>
      </c>
      <c r="GB216">
        <v>31.455200000000001</v>
      </c>
      <c r="GC216">
        <v>23.982399999999998</v>
      </c>
      <c r="GD216">
        <v>19</v>
      </c>
      <c r="GE216">
        <v>265.84800000000001</v>
      </c>
      <c r="GF216">
        <v>601.90899999999999</v>
      </c>
      <c r="GG216">
        <v>24.347999999999999</v>
      </c>
      <c r="GH216">
        <v>25.515999999999998</v>
      </c>
      <c r="GI216">
        <v>30.000299999999999</v>
      </c>
      <c r="GJ216">
        <v>25.6312</v>
      </c>
      <c r="GK216">
        <v>25.599299999999999</v>
      </c>
      <c r="GL216">
        <v>35.553800000000003</v>
      </c>
      <c r="GM216">
        <v>-30</v>
      </c>
      <c r="GN216">
        <v>-30</v>
      </c>
      <c r="GO216">
        <v>24.363099999999999</v>
      </c>
      <c r="GP216">
        <v>800</v>
      </c>
      <c r="GQ216">
        <v>12.5298</v>
      </c>
      <c r="GR216">
        <v>99.646199999999993</v>
      </c>
      <c r="GS216">
        <v>99.297200000000004</v>
      </c>
    </row>
    <row r="217" spans="1:201" x14ac:dyDescent="0.25">
      <c r="A217">
        <v>201</v>
      </c>
      <c r="B217">
        <v>1690202895.5999999</v>
      </c>
      <c r="C217">
        <v>2048.599999904633</v>
      </c>
      <c r="D217" t="s">
        <v>735</v>
      </c>
      <c r="E217" t="s">
        <v>736</v>
      </c>
      <c r="F217" t="s">
        <v>330</v>
      </c>
      <c r="H217">
        <v>1690202895.5999999</v>
      </c>
      <c r="I217">
        <f t="shared" si="90"/>
        <v>1.8063341202759196E-3</v>
      </c>
      <c r="J217">
        <f t="shared" si="91"/>
        <v>1.8063341202759196</v>
      </c>
      <c r="K217">
        <f t="shared" si="92"/>
        <v>42.666028845639843</v>
      </c>
      <c r="L217">
        <f t="shared" si="93"/>
        <v>320.31799999999998</v>
      </c>
      <c r="M217">
        <f t="shared" si="94"/>
        <v>-9.528531642162589</v>
      </c>
      <c r="N217">
        <f t="shared" si="95"/>
        <v>-0.94441261270408949</v>
      </c>
      <c r="O217">
        <f t="shared" si="96"/>
        <v>31.748056325653398</v>
      </c>
      <c r="P217">
        <f t="shared" si="97"/>
        <v>0.21870086311155218</v>
      </c>
      <c r="Q217">
        <f t="shared" si="98"/>
        <v>2.080427377588586</v>
      </c>
      <c r="R217">
        <f t="shared" si="99"/>
        <v>0.20668404383658923</v>
      </c>
      <c r="S217">
        <f t="shared" si="100"/>
        <v>0.13020213807398656</v>
      </c>
      <c r="T217">
        <f t="shared" si="101"/>
        <v>276.11448071414054</v>
      </c>
      <c r="U217">
        <f t="shared" si="102"/>
        <v>27.452930574443702</v>
      </c>
      <c r="V217">
        <f t="shared" si="103"/>
        <v>27.452930574443702</v>
      </c>
      <c r="W217">
        <f t="shared" si="104"/>
        <v>3.6754842651074333</v>
      </c>
      <c r="X217">
        <f t="shared" si="105"/>
        <v>84.77768115472719</v>
      </c>
      <c r="Y217">
        <f t="shared" si="106"/>
        <v>2.83772821338217</v>
      </c>
      <c r="Z217">
        <f t="shared" si="107"/>
        <v>3.3472585882634025</v>
      </c>
      <c r="AA217">
        <f t="shared" si="108"/>
        <v>0.83775605172526335</v>
      </c>
      <c r="AB217">
        <f t="shared" si="109"/>
        <v>-79.65933470416806</v>
      </c>
      <c r="AC217">
        <f t="shared" si="110"/>
        <v>-178.18080646962048</v>
      </c>
      <c r="AD217">
        <f t="shared" si="111"/>
        <v>-18.420564043411208</v>
      </c>
      <c r="AE217">
        <f t="shared" si="112"/>
        <v>-0.14622450305921575</v>
      </c>
      <c r="AF217">
        <v>13</v>
      </c>
      <c r="AG217">
        <v>4</v>
      </c>
      <c r="AH217">
        <f t="shared" si="113"/>
        <v>1</v>
      </c>
      <c r="AI217">
        <f t="shared" si="114"/>
        <v>0</v>
      </c>
      <c r="AJ217">
        <f t="shared" si="115"/>
        <v>52554.863445601164</v>
      </c>
      <c r="AK217">
        <f t="shared" si="116"/>
        <v>1799.99</v>
      </c>
      <c r="AL217">
        <f t="shared" si="117"/>
        <v>1499.1051367918599</v>
      </c>
      <c r="AM217">
        <f t="shared" si="118"/>
        <v>0.83284081399999998</v>
      </c>
      <c r="AN217">
        <f t="shared" si="119"/>
        <v>0.15339778593999998</v>
      </c>
      <c r="AO217">
        <v>33.299999999999997</v>
      </c>
      <c r="AP217">
        <v>0.5</v>
      </c>
      <c r="AQ217" t="s">
        <v>331</v>
      </c>
      <c r="AR217">
        <v>2</v>
      </c>
      <c r="AS217">
        <v>1690202895.5999999</v>
      </c>
      <c r="AT217">
        <v>320.31799999999998</v>
      </c>
      <c r="AU217">
        <v>800.01199999999994</v>
      </c>
      <c r="AV217">
        <v>28.6309</v>
      </c>
      <c r="AW217">
        <v>9.1676900000000003</v>
      </c>
      <c r="AX217">
        <v>321.512</v>
      </c>
      <c r="AY217">
        <v>28.4527</v>
      </c>
      <c r="AZ217">
        <v>300.20100000000002</v>
      </c>
      <c r="BA217">
        <v>99.014200000000002</v>
      </c>
      <c r="BB217">
        <v>9.9981299999999995E-2</v>
      </c>
      <c r="BC217">
        <v>25.8643</v>
      </c>
      <c r="BD217">
        <v>26.988099999999999</v>
      </c>
      <c r="BE217">
        <v>27.485900000000001</v>
      </c>
      <c r="BF217">
        <v>0</v>
      </c>
      <c r="BG217">
        <v>0</v>
      </c>
      <c r="BH217">
        <v>10000</v>
      </c>
      <c r="BI217">
        <v>1074.69</v>
      </c>
      <c r="BJ217">
        <v>1.5137799999999999</v>
      </c>
      <c r="BK217">
        <v>-479.69400000000002</v>
      </c>
      <c r="BL217">
        <v>329.76</v>
      </c>
      <c r="BM217">
        <v>807.41399999999999</v>
      </c>
      <c r="BN217">
        <v>19.463200000000001</v>
      </c>
      <c r="BO217">
        <v>800.01199999999994</v>
      </c>
      <c r="BP217">
        <v>9.1676900000000003</v>
      </c>
      <c r="BQ217">
        <v>2.83487</v>
      </c>
      <c r="BR217">
        <v>0.90773099999999995</v>
      </c>
      <c r="BS217">
        <v>23.0885</v>
      </c>
      <c r="BT217">
        <v>5.51389</v>
      </c>
      <c r="BU217">
        <v>1799.99</v>
      </c>
      <c r="BV217">
        <v>0.90999600000000003</v>
      </c>
      <c r="BW217">
        <v>3.3992000000000001E-2</v>
      </c>
      <c r="BX217">
        <v>2.2005199999999999E-2</v>
      </c>
      <c r="BY217">
        <v>3.4007000000000003E-2</v>
      </c>
      <c r="BZ217">
        <v>25</v>
      </c>
      <c r="CA217">
        <v>33528.199999999997</v>
      </c>
      <c r="CB217">
        <v>1690200769.5</v>
      </c>
      <c r="CC217" t="s">
        <v>332</v>
      </c>
      <c r="CD217">
        <v>1690200769.5</v>
      </c>
      <c r="CE217">
        <v>1690200753</v>
      </c>
      <c r="CF217">
        <v>2</v>
      </c>
      <c r="CG217">
        <v>-0.245</v>
      </c>
      <c r="CH217">
        <v>3.0000000000000001E-3</v>
      </c>
      <c r="CI217">
        <v>-1.5169999999999999</v>
      </c>
      <c r="CJ217">
        <v>-1.6E-2</v>
      </c>
      <c r="CK217">
        <v>778</v>
      </c>
      <c r="CL217">
        <v>12</v>
      </c>
      <c r="CM217">
        <v>0.01</v>
      </c>
      <c r="CN217">
        <v>0.03</v>
      </c>
      <c r="CO217">
        <v>-479.39397500000001</v>
      </c>
      <c r="CP217">
        <v>-1.173196998123033</v>
      </c>
      <c r="CQ217">
        <v>0.1200273901032602</v>
      </c>
      <c r="CR217">
        <v>-1</v>
      </c>
      <c r="CS217">
        <v>19.449369999999998</v>
      </c>
      <c r="CT217">
        <v>4.7765853658512068E-2</v>
      </c>
      <c r="CU217">
        <v>4.9683598903464098E-3</v>
      </c>
      <c r="CV217">
        <v>-1</v>
      </c>
      <c r="CW217">
        <v>0</v>
      </c>
      <c r="CX217">
        <v>0</v>
      </c>
      <c r="CY217" t="s">
        <v>333</v>
      </c>
      <c r="CZ217">
        <v>2.3653900000000001</v>
      </c>
      <c r="DA217">
        <v>2.7137699999999998</v>
      </c>
      <c r="DB217">
        <v>7.5519000000000003E-2</v>
      </c>
      <c r="DC217">
        <v>0.14630199999999999</v>
      </c>
      <c r="DD217">
        <v>0.12901599999999999</v>
      </c>
      <c r="DE217">
        <v>5.5378799999999999E-2</v>
      </c>
      <c r="DF217">
        <v>33732.199999999997</v>
      </c>
      <c r="DG217">
        <v>27452.9</v>
      </c>
      <c r="DH217">
        <v>31146.9</v>
      </c>
      <c r="DI217">
        <v>28018.400000000001</v>
      </c>
      <c r="DJ217">
        <v>36806.800000000003</v>
      </c>
      <c r="DK217">
        <v>37607.699999999997</v>
      </c>
      <c r="DL217">
        <v>44316.7</v>
      </c>
      <c r="DM217">
        <v>42433</v>
      </c>
      <c r="DN217">
        <v>1.4430000000000001</v>
      </c>
      <c r="DO217">
        <v>2.0689000000000002</v>
      </c>
      <c r="DP217">
        <v>0.13630800000000001</v>
      </c>
      <c r="DQ217">
        <v>0.17356099999999999</v>
      </c>
      <c r="DR217">
        <v>24.754799999999999</v>
      </c>
      <c r="DS217">
        <v>24.6431</v>
      </c>
      <c r="DT217">
        <v>31.2</v>
      </c>
      <c r="DU217">
        <v>26.3</v>
      </c>
      <c r="DV217">
        <v>10.821999999999999</v>
      </c>
      <c r="DW217">
        <v>62.025500000000001</v>
      </c>
      <c r="DX217">
        <v>35.933500000000002</v>
      </c>
      <c r="DY217">
        <v>1</v>
      </c>
      <c r="DZ217">
        <v>-0.15092700000000001</v>
      </c>
      <c r="EA217">
        <v>-3.6889999999999999E-2</v>
      </c>
      <c r="EB217">
        <v>20.190999999999999</v>
      </c>
      <c r="EC217">
        <v>5.2433500000000004</v>
      </c>
      <c r="ED217">
        <v>12.039899999999999</v>
      </c>
      <c r="EE217">
        <v>5.0172499999999998</v>
      </c>
      <c r="EF217">
        <v>3.2879999999999998</v>
      </c>
      <c r="EG217">
        <v>9999</v>
      </c>
      <c r="EH217">
        <v>9999</v>
      </c>
      <c r="EI217">
        <v>9999</v>
      </c>
      <c r="EJ217">
        <v>999.9</v>
      </c>
      <c r="EK217">
        <v>1.86887</v>
      </c>
      <c r="EL217">
        <v>1.8645400000000001</v>
      </c>
      <c r="EM217">
        <v>1.8690899999999999</v>
      </c>
      <c r="EN217">
        <v>1.86721</v>
      </c>
      <c r="EO217">
        <v>1.86334</v>
      </c>
      <c r="EP217">
        <v>1.8644700000000001</v>
      </c>
      <c r="EQ217">
        <v>1.87012</v>
      </c>
      <c r="ER217">
        <v>1.8693500000000001</v>
      </c>
      <c r="ES217">
        <v>0</v>
      </c>
      <c r="ET217">
        <v>0</v>
      </c>
      <c r="EU217">
        <v>0</v>
      </c>
      <c r="EV217">
        <v>0</v>
      </c>
      <c r="EW217" t="s">
        <v>334</v>
      </c>
      <c r="EX217" t="s">
        <v>335</v>
      </c>
      <c r="EY217" t="s">
        <v>336</v>
      </c>
      <c r="EZ217" t="s">
        <v>336</v>
      </c>
      <c r="FA217" t="s">
        <v>336</v>
      </c>
      <c r="FB217" t="s">
        <v>336</v>
      </c>
      <c r="FC217">
        <v>0</v>
      </c>
      <c r="FD217">
        <v>100</v>
      </c>
      <c r="FE217">
        <v>100</v>
      </c>
      <c r="FF217">
        <v>-1.194</v>
      </c>
      <c r="FG217">
        <v>0.1782</v>
      </c>
      <c r="FH217">
        <v>-0.98020551812546231</v>
      </c>
      <c r="FI217">
        <v>-6.1462078757559423E-4</v>
      </c>
      <c r="FJ217">
        <v>-1.8861989874597051E-7</v>
      </c>
      <c r="FK217">
        <v>1.1980462299894961E-10</v>
      </c>
      <c r="FL217">
        <v>0.1782306200647516</v>
      </c>
      <c r="FM217">
        <v>0</v>
      </c>
      <c r="FN217">
        <v>0</v>
      </c>
      <c r="FO217">
        <v>0</v>
      </c>
      <c r="FP217">
        <v>3</v>
      </c>
      <c r="FQ217">
        <v>2158</v>
      </c>
      <c r="FR217">
        <v>1</v>
      </c>
      <c r="FS217">
        <v>19</v>
      </c>
      <c r="FT217">
        <v>35.4</v>
      </c>
      <c r="FU217">
        <v>35.700000000000003</v>
      </c>
      <c r="FV217">
        <v>1.7785599999999999</v>
      </c>
      <c r="FW217">
        <v>2.5463900000000002</v>
      </c>
      <c r="FX217">
        <v>1.5490699999999999</v>
      </c>
      <c r="FY217">
        <v>2.34009</v>
      </c>
      <c r="FZ217">
        <v>1.50146</v>
      </c>
      <c r="GA217">
        <v>2.3754900000000001</v>
      </c>
      <c r="GB217">
        <v>31.455200000000001</v>
      </c>
      <c r="GC217">
        <v>23.991199999999999</v>
      </c>
      <c r="GD217">
        <v>19</v>
      </c>
      <c r="GE217">
        <v>266.00900000000001</v>
      </c>
      <c r="GF217">
        <v>601.76900000000001</v>
      </c>
      <c r="GG217">
        <v>24.355699999999999</v>
      </c>
      <c r="GH217">
        <v>25.516500000000001</v>
      </c>
      <c r="GI217">
        <v>30.0001</v>
      </c>
      <c r="GJ217">
        <v>25.633299999999998</v>
      </c>
      <c r="GK217">
        <v>25.599900000000002</v>
      </c>
      <c r="GL217">
        <v>35.553100000000001</v>
      </c>
      <c r="GM217">
        <v>-30</v>
      </c>
      <c r="GN217">
        <v>-30</v>
      </c>
      <c r="GO217">
        <v>24.3535</v>
      </c>
      <c r="GP217">
        <v>800</v>
      </c>
      <c r="GQ217">
        <v>12.5298</v>
      </c>
      <c r="GR217">
        <v>99.645799999999994</v>
      </c>
      <c r="GS217">
        <v>99.296400000000006</v>
      </c>
    </row>
    <row r="218" spans="1:201" x14ac:dyDescent="0.25">
      <c r="A218">
        <v>202</v>
      </c>
      <c r="B218">
        <v>1690202905.5999999</v>
      </c>
      <c r="C218">
        <v>2058.599999904633</v>
      </c>
      <c r="D218" t="s">
        <v>737</v>
      </c>
      <c r="E218" t="s">
        <v>738</v>
      </c>
      <c r="F218" t="s">
        <v>330</v>
      </c>
      <c r="H218">
        <v>1690202905.5999999</v>
      </c>
      <c r="I218">
        <f t="shared" si="90"/>
        <v>1.8070261099562854E-3</v>
      </c>
      <c r="J218">
        <f t="shared" si="91"/>
        <v>1.8070261099562854</v>
      </c>
      <c r="K218">
        <f t="shared" si="92"/>
        <v>42.690010001790817</v>
      </c>
      <c r="L218">
        <f t="shared" si="93"/>
        <v>319.97800000000001</v>
      </c>
      <c r="M218">
        <f t="shared" si="94"/>
        <v>-10.48577028868937</v>
      </c>
      <c r="N218">
        <f t="shared" si="95"/>
        <v>-1.0392986845432199</v>
      </c>
      <c r="O218">
        <f t="shared" si="96"/>
        <v>31.714667146722</v>
      </c>
      <c r="P218">
        <f t="shared" si="97"/>
        <v>0.21840378255874165</v>
      </c>
      <c r="Q218">
        <f t="shared" si="98"/>
        <v>2.0786228691688309</v>
      </c>
      <c r="R218">
        <f t="shared" si="99"/>
        <v>0.20640883654558659</v>
      </c>
      <c r="S218">
        <f t="shared" si="100"/>
        <v>0.13002829397670884</v>
      </c>
      <c r="T218">
        <f t="shared" si="101"/>
        <v>276.11570069999999</v>
      </c>
      <c r="U218">
        <f t="shared" si="102"/>
        <v>27.459935311663639</v>
      </c>
      <c r="V218">
        <f t="shared" si="103"/>
        <v>27.459935311663639</v>
      </c>
      <c r="W218">
        <f t="shared" si="104"/>
        <v>3.6769915506978244</v>
      </c>
      <c r="X218">
        <f t="shared" si="105"/>
        <v>84.749568560626273</v>
      </c>
      <c r="Y218">
        <f t="shared" si="106"/>
        <v>2.8377955655637002</v>
      </c>
      <c r="Z218">
        <f t="shared" si="107"/>
        <v>3.348448391844804</v>
      </c>
      <c r="AA218">
        <f t="shared" si="108"/>
        <v>0.83919598513412419</v>
      </c>
      <c r="AB218">
        <f t="shared" si="109"/>
        <v>-79.689851449072179</v>
      </c>
      <c r="AC218">
        <f t="shared" si="110"/>
        <v>-178.1388506694708</v>
      </c>
      <c r="AD218">
        <f t="shared" si="111"/>
        <v>-18.433414299958923</v>
      </c>
      <c r="AE218">
        <f t="shared" si="112"/>
        <v>-0.14641571850194168</v>
      </c>
      <c r="AF218">
        <v>13</v>
      </c>
      <c r="AG218">
        <v>4</v>
      </c>
      <c r="AH218">
        <f t="shared" si="113"/>
        <v>1</v>
      </c>
      <c r="AI218">
        <f t="shared" si="114"/>
        <v>0</v>
      </c>
      <c r="AJ218">
        <f t="shared" si="115"/>
        <v>52472.356481239003</v>
      </c>
      <c r="AK218">
        <f t="shared" si="116"/>
        <v>1800</v>
      </c>
      <c r="AL218">
        <f t="shared" si="117"/>
        <v>1499.112783</v>
      </c>
      <c r="AM218">
        <f t="shared" si="118"/>
        <v>0.83284043500000005</v>
      </c>
      <c r="AN218">
        <f t="shared" si="119"/>
        <v>0.1533976115</v>
      </c>
      <c r="AO218">
        <v>33.299999999999997</v>
      </c>
      <c r="AP218">
        <v>0.5</v>
      </c>
      <c r="AQ218" t="s">
        <v>331</v>
      </c>
      <c r="AR218">
        <v>2</v>
      </c>
      <c r="AS218">
        <v>1690202905.5999999</v>
      </c>
      <c r="AT218">
        <v>319.97800000000001</v>
      </c>
      <c r="AU218">
        <v>800.03599999999994</v>
      </c>
      <c r="AV218">
        <v>28.6313</v>
      </c>
      <c r="AW218">
        <v>9.1564899999999998</v>
      </c>
      <c r="AX218">
        <v>321.17099999999999</v>
      </c>
      <c r="AY218">
        <v>28.453099999999999</v>
      </c>
      <c r="AZ218">
        <v>300.137</v>
      </c>
      <c r="BA218">
        <v>99.015100000000004</v>
      </c>
      <c r="BB218">
        <v>0.100049</v>
      </c>
      <c r="BC218">
        <v>25.8703</v>
      </c>
      <c r="BD218">
        <v>26.984100000000002</v>
      </c>
      <c r="BE218">
        <v>27.473600000000001</v>
      </c>
      <c r="BF218">
        <v>0</v>
      </c>
      <c r="BG218">
        <v>0</v>
      </c>
      <c r="BH218">
        <v>9983.75</v>
      </c>
      <c r="BI218">
        <v>1074.74</v>
      </c>
      <c r="BJ218">
        <v>1.5137799999999999</v>
      </c>
      <c r="BK218">
        <v>-480.05799999999999</v>
      </c>
      <c r="BL218">
        <v>329.40899999999999</v>
      </c>
      <c r="BM218">
        <v>807.42899999999997</v>
      </c>
      <c r="BN218">
        <v>19.474900000000002</v>
      </c>
      <c r="BO218">
        <v>800.03599999999994</v>
      </c>
      <c r="BP218">
        <v>9.1564899999999998</v>
      </c>
      <c r="BQ218">
        <v>2.8349299999999999</v>
      </c>
      <c r="BR218">
        <v>0.90663099999999996</v>
      </c>
      <c r="BS218">
        <v>23.088899999999999</v>
      </c>
      <c r="BT218">
        <v>5.4964300000000001</v>
      </c>
      <c r="BU218">
        <v>1800</v>
      </c>
      <c r="BV218">
        <v>0.90999799999999997</v>
      </c>
      <c r="BW218">
        <v>3.3991E-2</v>
      </c>
      <c r="BX218">
        <v>2.20045E-2</v>
      </c>
      <c r="BY218">
        <v>3.4006000000000002E-2</v>
      </c>
      <c r="BZ218">
        <v>25</v>
      </c>
      <c r="CA218">
        <v>33528.400000000001</v>
      </c>
      <c r="CB218">
        <v>1690200769.5</v>
      </c>
      <c r="CC218" t="s">
        <v>332</v>
      </c>
      <c r="CD218">
        <v>1690200769.5</v>
      </c>
      <c r="CE218">
        <v>1690200753</v>
      </c>
      <c r="CF218">
        <v>2</v>
      </c>
      <c r="CG218">
        <v>-0.245</v>
      </c>
      <c r="CH218">
        <v>3.0000000000000001E-3</v>
      </c>
      <c r="CI218">
        <v>-1.5169999999999999</v>
      </c>
      <c r="CJ218">
        <v>-1.6E-2</v>
      </c>
      <c r="CK218">
        <v>778</v>
      </c>
      <c r="CL218">
        <v>12</v>
      </c>
      <c r="CM218">
        <v>0.01</v>
      </c>
      <c r="CN218">
        <v>0.03</v>
      </c>
      <c r="CO218">
        <v>-479.63136585365851</v>
      </c>
      <c r="CP218">
        <v>-1.6026689895465001</v>
      </c>
      <c r="CQ218">
        <v>0.16249003813330931</v>
      </c>
      <c r="CR218">
        <v>-1</v>
      </c>
      <c r="CS218">
        <v>19.460809756097561</v>
      </c>
      <c r="CT218">
        <v>8.1338675958185724E-2</v>
      </c>
      <c r="CU218">
        <v>8.064611187096846E-3</v>
      </c>
      <c r="CV218">
        <v>-1</v>
      </c>
      <c r="CW218">
        <v>0</v>
      </c>
      <c r="CX218">
        <v>0</v>
      </c>
      <c r="CY218" t="s">
        <v>333</v>
      </c>
      <c r="CZ218">
        <v>2.36517</v>
      </c>
      <c r="DA218">
        <v>2.7138300000000002</v>
      </c>
      <c r="DB218">
        <v>7.5455499999999995E-2</v>
      </c>
      <c r="DC218">
        <v>0.14630499999999999</v>
      </c>
      <c r="DD218">
        <v>0.12901899999999999</v>
      </c>
      <c r="DE218">
        <v>5.5326500000000001E-2</v>
      </c>
      <c r="DF218">
        <v>33734.400000000001</v>
      </c>
      <c r="DG218">
        <v>27453.1</v>
      </c>
      <c r="DH218">
        <v>31146.799999999999</v>
      </c>
      <c r="DI218">
        <v>28018.7</v>
      </c>
      <c r="DJ218">
        <v>36806.699999999997</v>
      </c>
      <c r="DK218">
        <v>37610.199999999997</v>
      </c>
      <c r="DL218">
        <v>44316.7</v>
      </c>
      <c r="DM218">
        <v>42433.5</v>
      </c>
      <c r="DN218">
        <v>1.44265</v>
      </c>
      <c r="DO218">
        <v>2.0689500000000001</v>
      </c>
      <c r="DP218">
        <v>0.136159</v>
      </c>
      <c r="DQ218">
        <v>0.172816</v>
      </c>
      <c r="DR218">
        <v>24.7532</v>
      </c>
      <c r="DS218">
        <v>24.643000000000001</v>
      </c>
      <c r="DT218">
        <v>31.2</v>
      </c>
      <c r="DU218">
        <v>26.4</v>
      </c>
      <c r="DV218">
        <v>10.884600000000001</v>
      </c>
      <c r="DW218">
        <v>62.165500000000002</v>
      </c>
      <c r="DX218">
        <v>36.382199999999997</v>
      </c>
      <c r="DY218">
        <v>1</v>
      </c>
      <c r="DZ218">
        <v>-0.151222</v>
      </c>
      <c r="EA218">
        <v>-6.5648200000000004E-2</v>
      </c>
      <c r="EB218">
        <v>20.191199999999998</v>
      </c>
      <c r="EC218">
        <v>5.2431999999999999</v>
      </c>
      <c r="ED218">
        <v>12.039899999999999</v>
      </c>
      <c r="EE218">
        <v>5.0172999999999996</v>
      </c>
      <c r="EF218">
        <v>3.2879999999999998</v>
      </c>
      <c r="EG218">
        <v>9999</v>
      </c>
      <c r="EH218">
        <v>9999</v>
      </c>
      <c r="EI218">
        <v>9999</v>
      </c>
      <c r="EJ218">
        <v>999.9</v>
      </c>
      <c r="EK218">
        <v>1.8688899999999999</v>
      </c>
      <c r="EL218">
        <v>1.8645099999999999</v>
      </c>
      <c r="EM218">
        <v>1.86911</v>
      </c>
      <c r="EN218">
        <v>1.86721</v>
      </c>
      <c r="EO218">
        <v>1.8633599999999999</v>
      </c>
      <c r="EP218">
        <v>1.8644700000000001</v>
      </c>
      <c r="EQ218">
        <v>1.87012</v>
      </c>
      <c r="ER218">
        <v>1.8693500000000001</v>
      </c>
      <c r="ES218">
        <v>0</v>
      </c>
      <c r="ET218">
        <v>0</v>
      </c>
      <c r="EU218">
        <v>0</v>
      </c>
      <c r="EV218">
        <v>0</v>
      </c>
      <c r="EW218" t="s">
        <v>334</v>
      </c>
      <c r="EX218" t="s">
        <v>335</v>
      </c>
      <c r="EY218" t="s">
        <v>336</v>
      </c>
      <c r="EZ218" t="s">
        <v>336</v>
      </c>
      <c r="FA218" t="s">
        <v>336</v>
      </c>
      <c r="FB218" t="s">
        <v>336</v>
      </c>
      <c r="FC218">
        <v>0</v>
      </c>
      <c r="FD218">
        <v>100</v>
      </c>
      <c r="FE218">
        <v>100</v>
      </c>
      <c r="FF218">
        <v>-1.1930000000000001</v>
      </c>
      <c r="FG218">
        <v>0.1782</v>
      </c>
      <c r="FH218">
        <v>-0.98020551812546231</v>
      </c>
      <c r="FI218">
        <v>-6.1462078757559423E-4</v>
      </c>
      <c r="FJ218">
        <v>-1.8861989874597051E-7</v>
      </c>
      <c r="FK218">
        <v>1.1980462299894961E-10</v>
      </c>
      <c r="FL218">
        <v>0.1782306200647516</v>
      </c>
      <c r="FM218">
        <v>0</v>
      </c>
      <c r="FN218">
        <v>0</v>
      </c>
      <c r="FO218">
        <v>0</v>
      </c>
      <c r="FP218">
        <v>3</v>
      </c>
      <c r="FQ218">
        <v>2158</v>
      </c>
      <c r="FR218">
        <v>1</v>
      </c>
      <c r="FS218">
        <v>19</v>
      </c>
      <c r="FT218">
        <v>35.6</v>
      </c>
      <c r="FU218">
        <v>35.9</v>
      </c>
      <c r="FV218">
        <v>1.7785599999999999</v>
      </c>
      <c r="FW218">
        <v>2.5524900000000001</v>
      </c>
      <c r="FX218">
        <v>1.5490699999999999</v>
      </c>
      <c r="FY218">
        <v>2.34009</v>
      </c>
      <c r="FZ218">
        <v>1.50146</v>
      </c>
      <c r="GA218">
        <v>2.2644000000000002</v>
      </c>
      <c r="GB218">
        <v>31.455200000000001</v>
      </c>
      <c r="GC218">
        <v>23.982399999999998</v>
      </c>
      <c r="GD218">
        <v>19</v>
      </c>
      <c r="GE218">
        <v>265.86700000000002</v>
      </c>
      <c r="GF218">
        <v>601.83500000000004</v>
      </c>
      <c r="GG218">
        <v>24.356300000000001</v>
      </c>
      <c r="GH218">
        <v>25.5182</v>
      </c>
      <c r="GI218">
        <v>29.9999</v>
      </c>
      <c r="GJ218">
        <v>25.633299999999998</v>
      </c>
      <c r="GK218">
        <v>25.602</v>
      </c>
      <c r="GL218">
        <v>35.554299999999998</v>
      </c>
      <c r="GM218">
        <v>-30</v>
      </c>
      <c r="GN218">
        <v>-30</v>
      </c>
      <c r="GO218">
        <v>24.363299999999999</v>
      </c>
      <c r="GP218">
        <v>800</v>
      </c>
      <c r="GQ218">
        <v>12.5298</v>
      </c>
      <c r="GR218">
        <v>99.645700000000005</v>
      </c>
      <c r="GS218">
        <v>99.297399999999996</v>
      </c>
    </row>
    <row r="219" spans="1:201" x14ac:dyDescent="0.25">
      <c r="A219">
        <v>203</v>
      </c>
      <c r="B219">
        <v>1690202915.5999999</v>
      </c>
      <c r="C219">
        <v>2068.599999904633</v>
      </c>
      <c r="D219" t="s">
        <v>739</v>
      </c>
      <c r="E219" t="s">
        <v>740</v>
      </c>
      <c r="F219" t="s">
        <v>330</v>
      </c>
      <c r="H219">
        <v>1690202915.5999999</v>
      </c>
      <c r="I219">
        <f t="shared" si="90"/>
        <v>1.8089225756009828E-3</v>
      </c>
      <c r="J219">
        <f t="shared" si="91"/>
        <v>1.8089225756009828</v>
      </c>
      <c r="K219">
        <f t="shared" si="92"/>
        <v>42.722847095828044</v>
      </c>
      <c r="L219">
        <f t="shared" si="93"/>
        <v>319.70699999999999</v>
      </c>
      <c r="M219">
        <f t="shared" si="94"/>
        <v>-9.8728147905190529</v>
      </c>
      <c r="N219">
        <f t="shared" si="95"/>
        <v>-0.97854492355378264</v>
      </c>
      <c r="O219">
        <f t="shared" si="96"/>
        <v>31.6877879827179</v>
      </c>
      <c r="P219">
        <f t="shared" si="97"/>
        <v>0.21916992091368756</v>
      </c>
      <c r="Q219">
        <f t="shared" si="98"/>
        <v>2.0839137354314392</v>
      </c>
      <c r="R219">
        <f t="shared" si="99"/>
        <v>0.20712202336418814</v>
      </c>
      <c r="S219">
        <f t="shared" si="100"/>
        <v>0.13047850078233703</v>
      </c>
      <c r="T219">
        <f t="shared" si="101"/>
        <v>276.11586520199995</v>
      </c>
      <c r="U219">
        <f t="shared" si="102"/>
        <v>27.45230517868243</v>
      </c>
      <c r="V219">
        <f t="shared" si="103"/>
        <v>27.45230517868243</v>
      </c>
      <c r="W219">
        <f t="shared" si="104"/>
        <v>3.675349718115092</v>
      </c>
      <c r="X219">
        <f t="shared" si="105"/>
        <v>84.777039220854505</v>
      </c>
      <c r="Y219">
        <f t="shared" si="106"/>
        <v>2.8381605935595005</v>
      </c>
      <c r="Z219">
        <f t="shared" si="107"/>
        <v>3.3477939541692963</v>
      </c>
      <c r="AA219">
        <f t="shared" si="108"/>
        <v>0.83718912455559158</v>
      </c>
      <c r="AB219">
        <f t="shared" si="109"/>
        <v>-79.773485584003339</v>
      </c>
      <c r="AC219">
        <f t="shared" si="110"/>
        <v>-178.10579852934271</v>
      </c>
      <c r="AD219">
        <f t="shared" si="111"/>
        <v>-18.382195611659519</v>
      </c>
      <c r="AE219">
        <f t="shared" si="112"/>
        <v>-0.1456145230056336</v>
      </c>
      <c r="AF219">
        <v>13</v>
      </c>
      <c r="AG219">
        <v>4</v>
      </c>
      <c r="AH219">
        <f t="shared" si="113"/>
        <v>1</v>
      </c>
      <c r="AI219">
        <f t="shared" si="114"/>
        <v>0</v>
      </c>
      <c r="AJ219">
        <f t="shared" si="115"/>
        <v>52712.06400724181</v>
      </c>
      <c r="AK219">
        <f t="shared" si="116"/>
        <v>1800</v>
      </c>
      <c r="AL219">
        <f t="shared" si="117"/>
        <v>1499.1141581999998</v>
      </c>
      <c r="AM219">
        <f t="shared" si="118"/>
        <v>0.83284119899999987</v>
      </c>
      <c r="AN219">
        <f t="shared" si="119"/>
        <v>0.15339770288999999</v>
      </c>
      <c r="AO219">
        <v>33.299999999999997</v>
      </c>
      <c r="AP219">
        <v>0.5</v>
      </c>
      <c r="AQ219" t="s">
        <v>331</v>
      </c>
      <c r="AR219">
        <v>2</v>
      </c>
      <c r="AS219">
        <v>1690202915.5999999</v>
      </c>
      <c r="AT219">
        <v>319.70699999999999</v>
      </c>
      <c r="AU219">
        <v>799.99300000000005</v>
      </c>
      <c r="AV219">
        <v>28.635000000000002</v>
      </c>
      <c r="AW219">
        <v>9.14541</v>
      </c>
      <c r="AX219">
        <v>320.899</v>
      </c>
      <c r="AY219">
        <v>28.456800000000001</v>
      </c>
      <c r="AZ219">
        <v>300.22300000000001</v>
      </c>
      <c r="BA219">
        <v>99.015100000000004</v>
      </c>
      <c r="BB219">
        <v>9.9989700000000001E-2</v>
      </c>
      <c r="BC219">
        <v>25.867000000000001</v>
      </c>
      <c r="BD219">
        <v>26.986699999999999</v>
      </c>
      <c r="BE219">
        <v>27.479700000000001</v>
      </c>
      <c r="BF219">
        <v>0</v>
      </c>
      <c r="BG219">
        <v>0</v>
      </c>
      <c r="BH219">
        <v>10031.200000000001</v>
      </c>
      <c r="BI219">
        <v>1074.73</v>
      </c>
      <c r="BJ219">
        <v>1.5137799999999999</v>
      </c>
      <c r="BK219">
        <v>-480.286</v>
      </c>
      <c r="BL219">
        <v>329.13099999999997</v>
      </c>
      <c r="BM219">
        <v>807.37699999999995</v>
      </c>
      <c r="BN219">
        <v>19.489599999999999</v>
      </c>
      <c r="BO219">
        <v>799.99300000000005</v>
      </c>
      <c r="BP219">
        <v>9.14541</v>
      </c>
      <c r="BQ219">
        <v>2.8353000000000002</v>
      </c>
      <c r="BR219">
        <v>0.90553399999999995</v>
      </c>
      <c r="BS219">
        <v>23.091000000000001</v>
      </c>
      <c r="BT219">
        <v>5.4790000000000001</v>
      </c>
      <c r="BU219">
        <v>1800</v>
      </c>
      <c r="BV219">
        <v>0.91</v>
      </c>
      <c r="BW219">
        <v>3.3990600000000003E-2</v>
      </c>
      <c r="BX219">
        <v>2.2004200000000002E-2</v>
      </c>
      <c r="BY219">
        <v>3.4005500000000001E-2</v>
      </c>
      <c r="BZ219">
        <v>25</v>
      </c>
      <c r="CA219">
        <v>33528.400000000001</v>
      </c>
      <c r="CB219">
        <v>1690200769.5</v>
      </c>
      <c r="CC219" t="s">
        <v>332</v>
      </c>
      <c r="CD219">
        <v>1690200769.5</v>
      </c>
      <c r="CE219">
        <v>1690200753</v>
      </c>
      <c r="CF219">
        <v>2</v>
      </c>
      <c r="CG219">
        <v>-0.245</v>
      </c>
      <c r="CH219">
        <v>3.0000000000000001E-3</v>
      </c>
      <c r="CI219">
        <v>-1.5169999999999999</v>
      </c>
      <c r="CJ219">
        <v>-1.6E-2</v>
      </c>
      <c r="CK219">
        <v>778</v>
      </c>
      <c r="CL219">
        <v>12</v>
      </c>
      <c r="CM219">
        <v>0.01</v>
      </c>
      <c r="CN219">
        <v>0.03</v>
      </c>
      <c r="CO219">
        <v>-479.93705</v>
      </c>
      <c r="CP219">
        <v>-1.918671669792926</v>
      </c>
      <c r="CQ219">
        <v>0.19418135209128401</v>
      </c>
      <c r="CR219">
        <v>-1</v>
      </c>
      <c r="CS219">
        <v>19.473912500000001</v>
      </c>
      <c r="CT219">
        <v>7.635309568481588E-2</v>
      </c>
      <c r="CU219">
        <v>7.3969989691765204E-3</v>
      </c>
      <c r="CV219">
        <v>-1</v>
      </c>
      <c r="CW219">
        <v>0</v>
      </c>
      <c r="CX219">
        <v>0</v>
      </c>
      <c r="CY219" t="s">
        <v>333</v>
      </c>
      <c r="CZ219">
        <v>2.3654299999999999</v>
      </c>
      <c r="DA219">
        <v>2.7138100000000001</v>
      </c>
      <c r="DB219">
        <v>7.5403999999999999E-2</v>
      </c>
      <c r="DC219">
        <v>0.14630000000000001</v>
      </c>
      <c r="DD219">
        <v>0.129029</v>
      </c>
      <c r="DE219">
        <v>5.5274400000000001E-2</v>
      </c>
      <c r="DF219">
        <v>33735.9</v>
      </c>
      <c r="DG219">
        <v>27453.4</v>
      </c>
      <c r="DH219">
        <v>31146.5</v>
      </c>
      <c r="DI219">
        <v>28018.799999999999</v>
      </c>
      <c r="DJ219">
        <v>36805.800000000003</v>
      </c>
      <c r="DK219">
        <v>37612.5</v>
      </c>
      <c r="DL219">
        <v>44316.2</v>
      </c>
      <c r="DM219">
        <v>42433.599999999999</v>
      </c>
      <c r="DN219">
        <v>1.44313</v>
      </c>
      <c r="DO219">
        <v>2.06873</v>
      </c>
      <c r="DP219">
        <v>0.136383</v>
      </c>
      <c r="DQ219">
        <v>0.17318900000000001</v>
      </c>
      <c r="DR219">
        <v>24.752199999999998</v>
      </c>
      <c r="DS219">
        <v>24.643000000000001</v>
      </c>
      <c r="DT219">
        <v>31.1</v>
      </c>
      <c r="DU219">
        <v>26.4</v>
      </c>
      <c r="DV219">
        <v>10.851900000000001</v>
      </c>
      <c r="DW219">
        <v>61.465499999999999</v>
      </c>
      <c r="DX219">
        <v>36.7348</v>
      </c>
      <c r="DY219">
        <v>1</v>
      </c>
      <c r="DZ219">
        <v>-0.150953</v>
      </c>
      <c r="EA219">
        <v>-9.1544100000000003E-2</v>
      </c>
      <c r="EB219">
        <v>20.190999999999999</v>
      </c>
      <c r="EC219">
        <v>5.2426000000000004</v>
      </c>
      <c r="ED219">
        <v>12.039899999999999</v>
      </c>
      <c r="EE219">
        <v>5.0177500000000004</v>
      </c>
      <c r="EF219">
        <v>3.2879999999999998</v>
      </c>
      <c r="EG219">
        <v>9999</v>
      </c>
      <c r="EH219">
        <v>9999</v>
      </c>
      <c r="EI219">
        <v>9999</v>
      </c>
      <c r="EJ219">
        <v>999.9</v>
      </c>
      <c r="EK219">
        <v>1.8688800000000001</v>
      </c>
      <c r="EL219">
        <v>1.8645499999999999</v>
      </c>
      <c r="EM219">
        <v>1.86911</v>
      </c>
      <c r="EN219">
        <v>1.8672</v>
      </c>
      <c r="EO219">
        <v>1.8633200000000001</v>
      </c>
      <c r="EP219">
        <v>1.8644700000000001</v>
      </c>
      <c r="EQ219">
        <v>1.87012</v>
      </c>
      <c r="ER219">
        <v>1.8693500000000001</v>
      </c>
      <c r="ES219">
        <v>0</v>
      </c>
      <c r="ET219">
        <v>0</v>
      </c>
      <c r="EU219">
        <v>0</v>
      </c>
      <c r="EV219">
        <v>0</v>
      </c>
      <c r="EW219" t="s">
        <v>334</v>
      </c>
      <c r="EX219" t="s">
        <v>335</v>
      </c>
      <c r="EY219" t="s">
        <v>336</v>
      </c>
      <c r="EZ219" t="s">
        <v>336</v>
      </c>
      <c r="FA219" t="s">
        <v>336</v>
      </c>
      <c r="FB219" t="s">
        <v>336</v>
      </c>
      <c r="FC219">
        <v>0</v>
      </c>
      <c r="FD219">
        <v>100</v>
      </c>
      <c r="FE219">
        <v>100</v>
      </c>
      <c r="FF219">
        <v>-1.1919999999999999</v>
      </c>
      <c r="FG219">
        <v>0.1782</v>
      </c>
      <c r="FH219">
        <v>-0.98020551812546231</v>
      </c>
      <c r="FI219">
        <v>-6.1462078757559423E-4</v>
      </c>
      <c r="FJ219">
        <v>-1.8861989874597051E-7</v>
      </c>
      <c r="FK219">
        <v>1.1980462299894961E-10</v>
      </c>
      <c r="FL219">
        <v>0.1782306200647516</v>
      </c>
      <c r="FM219">
        <v>0</v>
      </c>
      <c r="FN219">
        <v>0</v>
      </c>
      <c r="FO219">
        <v>0</v>
      </c>
      <c r="FP219">
        <v>3</v>
      </c>
      <c r="FQ219">
        <v>2158</v>
      </c>
      <c r="FR219">
        <v>1</v>
      </c>
      <c r="FS219">
        <v>19</v>
      </c>
      <c r="FT219">
        <v>35.799999999999997</v>
      </c>
      <c r="FU219">
        <v>36</v>
      </c>
      <c r="FV219">
        <v>1.7785599999999999</v>
      </c>
      <c r="FW219">
        <v>2.5537100000000001</v>
      </c>
      <c r="FX219">
        <v>1.5490699999999999</v>
      </c>
      <c r="FY219">
        <v>2.34009</v>
      </c>
      <c r="FZ219">
        <v>1.50146</v>
      </c>
      <c r="GA219">
        <v>2.2741699999999998</v>
      </c>
      <c r="GB219">
        <v>31.455200000000001</v>
      </c>
      <c r="GC219">
        <v>23.982399999999998</v>
      </c>
      <c r="GD219">
        <v>19</v>
      </c>
      <c r="GE219">
        <v>266.06799999999998</v>
      </c>
      <c r="GF219">
        <v>601.64599999999996</v>
      </c>
      <c r="GG219">
        <v>24.370200000000001</v>
      </c>
      <c r="GH219">
        <v>25.5182</v>
      </c>
      <c r="GI219">
        <v>30.0002</v>
      </c>
      <c r="GJ219">
        <v>25.6355</v>
      </c>
      <c r="GK219">
        <v>25.6021</v>
      </c>
      <c r="GL219">
        <v>35.556600000000003</v>
      </c>
      <c r="GM219">
        <v>-30</v>
      </c>
      <c r="GN219">
        <v>-30</v>
      </c>
      <c r="GO219">
        <v>24.3764</v>
      </c>
      <c r="GP219">
        <v>800</v>
      </c>
      <c r="GQ219">
        <v>12.5298</v>
      </c>
      <c r="GR219">
        <v>99.644599999999997</v>
      </c>
      <c r="GS219">
        <v>99.297899999999998</v>
      </c>
    </row>
    <row r="220" spans="1:201" x14ac:dyDescent="0.25">
      <c r="A220">
        <v>204</v>
      </c>
      <c r="B220">
        <v>1690202925.5999999</v>
      </c>
      <c r="C220">
        <v>2078.599999904633</v>
      </c>
      <c r="D220" t="s">
        <v>741</v>
      </c>
      <c r="E220" t="s">
        <v>742</v>
      </c>
      <c r="F220" t="s">
        <v>330</v>
      </c>
      <c r="H220">
        <v>1690202925.5999999</v>
      </c>
      <c r="I220">
        <f t="shared" si="90"/>
        <v>1.8099366633043585E-3</v>
      </c>
      <c r="J220">
        <f t="shared" si="91"/>
        <v>1.8099366633043585</v>
      </c>
      <c r="K220">
        <f t="shared" si="92"/>
        <v>42.728357432738186</v>
      </c>
      <c r="L220">
        <f t="shared" si="93"/>
        <v>319.49</v>
      </c>
      <c r="M220">
        <f t="shared" si="94"/>
        <v>-11.429726283172068</v>
      </c>
      <c r="N220">
        <f t="shared" si="95"/>
        <v>-1.132852862963349</v>
      </c>
      <c r="O220">
        <f t="shared" si="96"/>
        <v>31.666126748900002</v>
      </c>
      <c r="P220">
        <f t="shared" si="97"/>
        <v>0.21826207174805101</v>
      </c>
      <c r="Q220">
        <f t="shared" si="98"/>
        <v>2.0835631726012305</v>
      </c>
      <c r="R220">
        <f t="shared" si="99"/>
        <v>0.2063089630906759</v>
      </c>
      <c r="S220">
        <f t="shared" si="100"/>
        <v>0.12996246161490621</v>
      </c>
      <c r="T220">
        <f t="shared" si="101"/>
        <v>276.11589000600003</v>
      </c>
      <c r="U220">
        <f t="shared" si="102"/>
        <v>27.472356327885024</v>
      </c>
      <c r="V220">
        <f t="shared" si="103"/>
        <v>27.472356327885024</v>
      </c>
      <c r="W220">
        <f t="shared" si="104"/>
        <v>3.6796656424314458</v>
      </c>
      <c r="X220">
        <f t="shared" si="105"/>
        <v>84.692709276851787</v>
      </c>
      <c r="Y220">
        <f t="shared" si="106"/>
        <v>2.838731633549</v>
      </c>
      <c r="Z220">
        <f t="shared" si="107"/>
        <v>3.3518016577666412</v>
      </c>
      <c r="AA220">
        <f t="shared" si="108"/>
        <v>0.84093400888244574</v>
      </c>
      <c r="AB220">
        <f t="shared" si="109"/>
        <v>-79.818206851722209</v>
      </c>
      <c r="AC220">
        <f t="shared" si="110"/>
        <v>-178.05911671565141</v>
      </c>
      <c r="AD220">
        <f t="shared" si="111"/>
        <v>-18.38417321588971</v>
      </c>
      <c r="AE220">
        <f t="shared" si="112"/>
        <v>-0.14560677726328208</v>
      </c>
      <c r="AF220">
        <v>13</v>
      </c>
      <c r="AG220">
        <v>4</v>
      </c>
      <c r="AH220">
        <f t="shared" si="113"/>
        <v>1</v>
      </c>
      <c r="AI220">
        <f t="shared" si="114"/>
        <v>0</v>
      </c>
      <c r="AJ220">
        <f t="shared" si="115"/>
        <v>52692.623889863302</v>
      </c>
      <c r="AK220">
        <f t="shared" si="116"/>
        <v>1800</v>
      </c>
      <c r="AL220">
        <f t="shared" si="117"/>
        <v>1499.1136056</v>
      </c>
      <c r="AM220">
        <f t="shared" si="118"/>
        <v>0.832840892</v>
      </c>
      <c r="AN220">
        <f t="shared" si="119"/>
        <v>0.15339771667000002</v>
      </c>
      <c r="AO220">
        <v>33.299999999999997</v>
      </c>
      <c r="AP220">
        <v>0.5</v>
      </c>
      <c r="AQ220" t="s">
        <v>331</v>
      </c>
      <c r="AR220">
        <v>2</v>
      </c>
      <c r="AS220">
        <v>1690202925.5999999</v>
      </c>
      <c r="AT220">
        <v>319.49</v>
      </c>
      <c r="AU220">
        <v>799.98199999999997</v>
      </c>
      <c r="AV220">
        <v>28.640899999999998</v>
      </c>
      <c r="AW220">
        <v>9.1345899999999993</v>
      </c>
      <c r="AX220">
        <v>320.68299999999999</v>
      </c>
      <c r="AY220">
        <v>28.462700000000002</v>
      </c>
      <c r="AZ220">
        <v>300.13200000000001</v>
      </c>
      <c r="BA220">
        <v>99.014600000000002</v>
      </c>
      <c r="BB220">
        <v>0.10001</v>
      </c>
      <c r="BC220">
        <v>25.8872</v>
      </c>
      <c r="BD220">
        <v>27.007899999999999</v>
      </c>
      <c r="BE220">
        <v>27.472000000000001</v>
      </c>
      <c r="BF220">
        <v>0</v>
      </c>
      <c r="BG220">
        <v>0</v>
      </c>
      <c r="BH220">
        <v>10028.1</v>
      </c>
      <c r="BI220">
        <v>1074.76</v>
      </c>
      <c r="BJ220">
        <v>1.5137799999999999</v>
      </c>
      <c r="BK220">
        <v>-480.49200000000002</v>
      </c>
      <c r="BL220">
        <v>328.91</v>
      </c>
      <c r="BM220">
        <v>807.35699999999997</v>
      </c>
      <c r="BN220">
        <v>19.506399999999999</v>
      </c>
      <c r="BO220">
        <v>799.98199999999997</v>
      </c>
      <c r="BP220">
        <v>9.1345899999999993</v>
      </c>
      <c r="BQ220">
        <v>2.8358699999999999</v>
      </c>
      <c r="BR220">
        <v>0.90445799999999998</v>
      </c>
      <c r="BS220">
        <v>23.0944</v>
      </c>
      <c r="BT220">
        <v>5.4618700000000002</v>
      </c>
      <c r="BU220">
        <v>1800</v>
      </c>
      <c r="BV220">
        <v>0.90999799999999997</v>
      </c>
      <c r="BW220">
        <v>3.39929E-2</v>
      </c>
      <c r="BX220">
        <v>2.2004099999999999E-2</v>
      </c>
      <c r="BY220">
        <v>3.4005300000000002E-2</v>
      </c>
      <c r="BZ220">
        <v>25</v>
      </c>
      <c r="CA220">
        <v>33528.400000000001</v>
      </c>
      <c r="CB220">
        <v>1690200769.5</v>
      </c>
      <c r="CC220" t="s">
        <v>332</v>
      </c>
      <c r="CD220">
        <v>1690200769.5</v>
      </c>
      <c r="CE220">
        <v>1690200753</v>
      </c>
      <c r="CF220">
        <v>2</v>
      </c>
      <c r="CG220">
        <v>-0.245</v>
      </c>
      <c r="CH220">
        <v>3.0000000000000001E-3</v>
      </c>
      <c r="CI220">
        <v>-1.5169999999999999</v>
      </c>
      <c r="CJ220">
        <v>-1.6E-2</v>
      </c>
      <c r="CK220">
        <v>778</v>
      </c>
      <c r="CL220">
        <v>12</v>
      </c>
      <c r="CM220">
        <v>0.01</v>
      </c>
      <c r="CN220">
        <v>0.03</v>
      </c>
      <c r="CO220">
        <v>-480.23534999999998</v>
      </c>
      <c r="CP220">
        <v>-1.287039399622907</v>
      </c>
      <c r="CQ220">
        <v>0.13414945955910251</v>
      </c>
      <c r="CR220">
        <v>-1</v>
      </c>
      <c r="CS220">
        <v>19.487715000000001</v>
      </c>
      <c r="CT220">
        <v>9.0724953095645391E-2</v>
      </c>
      <c r="CU220">
        <v>8.7447570006262774E-3</v>
      </c>
      <c r="CV220">
        <v>-1</v>
      </c>
      <c r="CW220">
        <v>0</v>
      </c>
      <c r="CX220">
        <v>0</v>
      </c>
      <c r="CY220" t="s">
        <v>333</v>
      </c>
      <c r="CZ220">
        <v>2.3651499999999999</v>
      </c>
      <c r="DA220">
        <v>2.7138300000000002</v>
      </c>
      <c r="DB220">
        <v>7.5362899999999997E-2</v>
      </c>
      <c r="DC220">
        <v>0.14629700000000001</v>
      </c>
      <c r="DD220">
        <v>0.129047</v>
      </c>
      <c r="DE220">
        <v>5.5223000000000001E-2</v>
      </c>
      <c r="DF220">
        <v>33736.800000000003</v>
      </c>
      <c r="DG220">
        <v>27453.1</v>
      </c>
      <c r="DH220">
        <v>31145.9</v>
      </c>
      <c r="DI220">
        <v>28018.400000000001</v>
      </c>
      <c r="DJ220">
        <v>36804.5</v>
      </c>
      <c r="DK220">
        <v>37614.1</v>
      </c>
      <c r="DL220">
        <v>44315.5</v>
      </c>
      <c r="DM220">
        <v>42433.2</v>
      </c>
      <c r="DN220">
        <v>1.44248</v>
      </c>
      <c r="DO220">
        <v>2.0689700000000002</v>
      </c>
      <c r="DP220">
        <v>0.13761200000000001</v>
      </c>
      <c r="DQ220">
        <v>0.172593</v>
      </c>
      <c r="DR220">
        <v>24.7532</v>
      </c>
      <c r="DS220">
        <v>24.645099999999999</v>
      </c>
      <c r="DT220">
        <v>31</v>
      </c>
      <c r="DU220">
        <v>26.4</v>
      </c>
      <c r="DV220">
        <v>10.817299999999999</v>
      </c>
      <c r="DW220">
        <v>61.515500000000003</v>
      </c>
      <c r="DX220">
        <v>35.813299999999998</v>
      </c>
      <c r="DY220">
        <v>1</v>
      </c>
      <c r="DZ220">
        <v>-0.15054400000000001</v>
      </c>
      <c r="EA220">
        <v>-7.3894299999999996E-2</v>
      </c>
      <c r="EB220">
        <v>20.191400000000002</v>
      </c>
      <c r="EC220">
        <v>5.2423000000000002</v>
      </c>
      <c r="ED220">
        <v>12.039899999999999</v>
      </c>
      <c r="EE220">
        <v>5.01755</v>
      </c>
      <c r="EF220">
        <v>3.2879999999999998</v>
      </c>
      <c r="EG220">
        <v>9999</v>
      </c>
      <c r="EH220">
        <v>9999</v>
      </c>
      <c r="EI220">
        <v>9999</v>
      </c>
      <c r="EJ220">
        <v>999.9</v>
      </c>
      <c r="EK220">
        <v>1.8688800000000001</v>
      </c>
      <c r="EL220">
        <v>1.86456</v>
      </c>
      <c r="EM220">
        <v>1.86911</v>
      </c>
      <c r="EN220">
        <v>1.8671899999999999</v>
      </c>
      <c r="EO220">
        <v>1.8633599999999999</v>
      </c>
      <c r="EP220">
        <v>1.86446</v>
      </c>
      <c r="EQ220">
        <v>1.87012</v>
      </c>
      <c r="ER220">
        <v>1.8693500000000001</v>
      </c>
      <c r="ES220">
        <v>0</v>
      </c>
      <c r="ET220">
        <v>0</v>
      </c>
      <c r="EU220">
        <v>0</v>
      </c>
      <c r="EV220">
        <v>0</v>
      </c>
      <c r="EW220" t="s">
        <v>334</v>
      </c>
      <c r="EX220" t="s">
        <v>335</v>
      </c>
      <c r="EY220" t="s">
        <v>336</v>
      </c>
      <c r="EZ220" t="s">
        <v>336</v>
      </c>
      <c r="FA220" t="s">
        <v>336</v>
      </c>
      <c r="FB220" t="s">
        <v>336</v>
      </c>
      <c r="FC220">
        <v>0</v>
      </c>
      <c r="FD220">
        <v>100</v>
      </c>
      <c r="FE220">
        <v>100</v>
      </c>
      <c r="FF220">
        <v>-1.1930000000000001</v>
      </c>
      <c r="FG220">
        <v>0.1782</v>
      </c>
      <c r="FH220">
        <v>-0.98020551812546231</v>
      </c>
      <c r="FI220">
        <v>-6.1462078757559423E-4</v>
      </c>
      <c r="FJ220">
        <v>-1.8861989874597051E-7</v>
      </c>
      <c r="FK220">
        <v>1.1980462299894961E-10</v>
      </c>
      <c r="FL220">
        <v>0.1782306200647516</v>
      </c>
      <c r="FM220">
        <v>0</v>
      </c>
      <c r="FN220">
        <v>0</v>
      </c>
      <c r="FO220">
        <v>0</v>
      </c>
      <c r="FP220">
        <v>3</v>
      </c>
      <c r="FQ220">
        <v>2158</v>
      </c>
      <c r="FR220">
        <v>1</v>
      </c>
      <c r="FS220">
        <v>19</v>
      </c>
      <c r="FT220">
        <v>35.9</v>
      </c>
      <c r="FU220">
        <v>36.200000000000003</v>
      </c>
      <c r="FV220">
        <v>1.7785599999999999</v>
      </c>
      <c r="FW220">
        <v>2.5476100000000002</v>
      </c>
      <c r="FX220">
        <v>1.5490699999999999</v>
      </c>
      <c r="FY220">
        <v>2.34009</v>
      </c>
      <c r="FZ220">
        <v>1.50146</v>
      </c>
      <c r="GA220">
        <v>2.3815900000000001</v>
      </c>
      <c r="GB220">
        <v>31.477</v>
      </c>
      <c r="GC220">
        <v>23.991199999999999</v>
      </c>
      <c r="GD220">
        <v>19</v>
      </c>
      <c r="GE220">
        <v>265.80500000000001</v>
      </c>
      <c r="GF220">
        <v>601.88099999999997</v>
      </c>
      <c r="GG220">
        <v>24.380400000000002</v>
      </c>
      <c r="GH220">
        <v>25.520299999999999</v>
      </c>
      <c r="GI220">
        <v>30.0002</v>
      </c>
      <c r="GJ220">
        <v>25.6355</v>
      </c>
      <c r="GK220">
        <v>25.604099999999999</v>
      </c>
      <c r="GL220">
        <v>35.555900000000001</v>
      </c>
      <c r="GM220">
        <v>-30</v>
      </c>
      <c r="GN220">
        <v>-30</v>
      </c>
      <c r="GO220">
        <v>24.366800000000001</v>
      </c>
      <c r="GP220">
        <v>800</v>
      </c>
      <c r="GQ220">
        <v>12.5298</v>
      </c>
      <c r="GR220">
        <v>99.643000000000001</v>
      </c>
      <c r="GS220">
        <v>99.296599999999998</v>
      </c>
    </row>
    <row r="221" spans="1:201" x14ac:dyDescent="0.25">
      <c r="A221">
        <v>205</v>
      </c>
      <c r="B221">
        <v>1690202935.5999999</v>
      </c>
      <c r="C221">
        <v>2088.599999904633</v>
      </c>
      <c r="D221" t="s">
        <v>743</v>
      </c>
      <c r="E221" t="s">
        <v>744</v>
      </c>
      <c r="F221" t="s">
        <v>330</v>
      </c>
      <c r="H221">
        <v>1690202935.5999999</v>
      </c>
      <c r="I221">
        <f t="shared" si="90"/>
        <v>1.8112657677387956E-3</v>
      </c>
      <c r="J221">
        <f t="shared" si="91"/>
        <v>1.8112657677387956</v>
      </c>
      <c r="K221">
        <f t="shared" si="92"/>
        <v>42.766887210113623</v>
      </c>
      <c r="L221">
        <f t="shared" si="93"/>
        <v>319.11500000000001</v>
      </c>
      <c r="M221">
        <f t="shared" si="94"/>
        <v>-11.897072106929576</v>
      </c>
      <c r="N221">
        <f t="shared" si="95"/>
        <v>-1.1791545315282554</v>
      </c>
      <c r="O221">
        <f t="shared" si="96"/>
        <v>31.628445633230005</v>
      </c>
      <c r="P221">
        <f t="shared" si="97"/>
        <v>0.21842944397391731</v>
      </c>
      <c r="Q221">
        <f t="shared" si="98"/>
        <v>2.0779698402003701</v>
      </c>
      <c r="R221">
        <f t="shared" si="99"/>
        <v>0.20642821421554647</v>
      </c>
      <c r="S221">
        <f t="shared" si="100"/>
        <v>0.1300409184297743</v>
      </c>
      <c r="T221">
        <f t="shared" si="101"/>
        <v>276.11573218199999</v>
      </c>
      <c r="U221">
        <f t="shared" si="102"/>
        <v>27.473553245000804</v>
      </c>
      <c r="V221">
        <f t="shared" si="103"/>
        <v>27.473553245000804</v>
      </c>
      <c r="W221">
        <f t="shared" si="104"/>
        <v>3.6799234135657439</v>
      </c>
      <c r="X221">
        <f t="shared" si="105"/>
        <v>84.70798965338777</v>
      </c>
      <c r="Y221">
        <f t="shared" si="106"/>
        <v>2.8388738936856002</v>
      </c>
      <c r="Z221">
        <f t="shared" si="107"/>
        <v>3.3513649719487395</v>
      </c>
      <c r="AA221">
        <f t="shared" si="108"/>
        <v>0.84104951988014376</v>
      </c>
      <c r="AB221">
        <f t="shared" si="109"/>
        <v>-79.876820357280877</v>
      </c>
      <c r="AC221">
        <f t="shared" si="110"/>
        <v>-177.96166457938685</v>
      </c>
      <c r="AD221">
        <f t="shared" si="111"/>
        <v>-18.423477706592863</v>
      </c>
      <c r="AE221">
        <f t="shared" si="112"/>
        <v>-0.14623046126058625</v>
      </c>
      <c r="AF221">
        <v>13</v>
      </c>
      <c r="AG221">
        <v>4</v>
      </c>
      <c r="AH221">
        <f t="shared" si="113"/>
        <v>1</v>
      </c>
      <c r="AI221">
        <f t="shared" si="114"/>
        <v>0</v>
      </c>
      <c r="AJ221">
        <f t="shared" si="115"/>
        <v>52440.270398480345</v>
      </c>
      <c r="AK221">
        <f t="shared" si="116"/>
        <v>1800</v>
      </c>
      <c r="AL221">
        <f t="shared" si="117"/>
        <v>1499.1112872000003</v>
      </c>
      <c r="AM221">
        <f t="shared" si="118"/>
        <v>0.83283960400000012</v>
      </c>
      <c r="AN221">
        <f t="shared" si="119"/>
        <v>0.15339762899000001</v>
      </c>
      <c r="AO221">
        <v>33.299999999999997</v>
      </c>
      <c r="AP221">
        <v>0.5</v>
      </c>
      <c r="AQ221" t="s">
        <v>331</v>
      </c>
      <c r="AR221">
        <v>2</v>
      </c>
      <c r="AS221">
        <v>1690202935.5999999</v>
      </c>
      <c r="AT221">
        <v>319.11500000000001</v>
      </c>
      <c r="AU221">
        <v>799.98199999999997</v>
      </c>
      <c r="AV221">
        <v>28.642800000000001</v>
      </c>
      <c r="AW221">
        <v>9.1242199999999993</v>
      </c>
      <c r="AX221">
        <v>320.30799999999999</v>
      </c>
      <c r="AY221">
        <v>28.464600000000001</v>
      </c>
      <c r="AZ221">
        <v>300.16300000000001</v>
      </c>
      <c r="BA221">
        <v>99.013000000000005</v>
      </c>
      <c r="BB221">
        <v>0.10000199999999999</v>
      </c>
      <c r="BC221">
        <v>25.885000000000002</v>
      </c>
      <c r="BD221">
        <v>27.001200000000001</v>
      </c>
      <c r="BE221">
        <v>27.494800000000001</v>
      </c>
      <c r="BF221">
        <v>0</v>
      </c>
      <c r="BG221">
        <v>0</v>
      </c>
      <c r="BH221">
        <v>9978.1200000000008</v>
      </c>
      <c r="BI221">
        <v>1074.8599999999999</v>
      </c>
      <c r="BJ221">
        <v>1.5137799999999999</v>
      </c>
      <c r="BK221">
        <v>-480.86700000000002</v>
      </c>
      <c r="BL221">
        <v>328.52499999999998</v>
      </c>
      <c r="BM221">
        <v>807.34900000000005</v>
      </c>
      <c r="BN221">
        <v>19.518599999999999</v>
      </c>
      <c r="BO221">
        <v>799.98199999999997</v>
      </c>
      <c r="BP221">
        <v>9.1242199999999993</v>
      </c>
      <c r="BQ221">
        <v>2.8360099999999999</v>
      </c>
      <c r="BR221">
        <v>0.90341700000000003</v>
      </c>
      <c r="BS221">
        <v>23.095199999999998</v>
      </c>
      <c r="BT221">
        <v>5.44529</v>
      </c>
      <c r="BU221">
        <v>1800</v>
      </c>
      <c r="BV221">
        <v>0.90999300000000005</v>
      </c>
      <c r="BW221">
        <v>3.3998199999999999E-2</v>
      </c>
      <c r="BX221">
        <v>2.2003700000000001E-2</v>
      </c>
      <c r="BY221">
        <v>3.4004699999999999E-2</v>
      </c>
      <c r="BZ221">
        <v>25</v>
      </c>
      <c r="CA221">
        <v>33528.300000000003</v>
      </c>
      <c r="CB221">
        <v>1690200769.5</v>
      </c>
      <c r="CC221" t="s">
        <v>332</v>
      </c>
      <c r="CD221">
        <v>1690200769.5</v>
      </c>
      <c r="CE221">
        <v>1690200753</v>
      </c>
      <c r="CF221">
        <v>2</v>
      </c>
      <c r="CG221">
        <v>-0.245</v>
      </c>
      <c r="CH221">
        <v>3.0000000000000001E-3</v>
      </c>
      <c r="CI221">
        <v>-1.5169999999999999</v>
      </c>
      <c r="CJ221">
        <v>-1.6E-2</v>
      </c>
      <c r="CK221">
        <v>778</v>
      </c>
      <c r="CL221">
        <v>12</v>
      </c>
      <c r="CM221">
        <v>0.01</v>
      </c>
      <c r="CN221">
        <v>0.03</v>
      </c>
      <c r="CO221">
        <v>-480.53743902439021</v>
      </c>
      <c r="CP221">
        <v>-2.0244668989551271</v>
      </c>
      <c r="CQ221">
        <v>0.21119705845841361</v>
      </c>
      <c r="CR221">
        <v>-1</v>
      </c>
      <c r="CS221">
        <v>19.503609756097561</v>
      </c>
      <c r="CT221">
        <v>9.4701742160306135E-2</v>
      </c>
      <c r="CU221">
        <v>9.3583875220937564E-3</v>
      </c>
      <c r="CV221">
        <v>-1</v>
      </c>
      <c r="CW221">
        <v>0</v>
      </c>
      <c r="CX221">
        <v>0</v>
      </c>
      <c r="CY221" t="s">
        <v>333</v>
      </c>
      <c r="CZ221">
        <v>2.3652500000000001</v>
      </c>
      <c r="DA221">
        <v>2.7137699999999998</v>
      </c>
      <c r="DB221">
        <v>7.5290700000000002E-2</v>
      </c>
      <c r="DC221">
        <v>0.14629400000000001</v>
      </c>
      <c r="DD221">
        <v>0.129051</v>
      </c>
      <c r="DE221">
        <v>5.5173399999999997E-2</v>
      </c>
      <c r="DF221">
        <v>33739.5</v>
      </c>
      <c r="DG221">
        <v>27453.200000000001</v>
      </c>
      <c r="DH221">
        <v>31146</v>
      </c>
      <c r="DI221">
        <v>28018.400000000001</v>
      </c>
      <c r="DJ221">
        <v>36804.400000000001</v>
      </c>
      <c r="DK221">
        <v>37616.1</v>
      </c>
      <c r="DL221">
        <v>44315.6</v>
      </c>
      <c r="DM221">
        <v>42433.1</v>
      </c>
      <c r="DN221">
        <v>1.4428000000000001</v>
      </c>
      <c r="DO221">
        <v>2.0689500000000001</v>
      </c>
      <c r="DP221">
        <v>0.13709099999999999</v>
      </c>
      <c r="DQ221">
        <v>0.17385900000000001</v>
      </c>
      <c r="DR221">
        <v>24.755099999999999</v>
      </c>
      <c r="DS221">
        <v>24.647200000000002</v>
      </c>
      <c r="DT221">
        <v>31</v>
      </c>
      <c r="DU221">
        <v>26.4</v>
      </c>
      <c r="DV221">
        <v>10.8169</v>
      </c>
      <c r="DW221">
        <v>61.7455</v>
      </c>
      <c r="DX221">
        <v>36.935099999999998</v>
      </c>
      <c r="DY221">
        <v>1</v>
      </c>
      <c r="DZ221">
        <v>-0.15087700000000001</v>
      </c>
      <c r="EA221">
        <v>-2.5999499999999998E-2</v>
      </c>
      <c r="EB221">
        <v>20.191099999999999</v>
      </c>
      <c r="EC221">
        <v>5.2424499999999998</v>
      </c>
      <c r="ED221">
        <v>12.039899999999999</v>
      </c>
      <c r="EE221">
        <v>5.01755</v>
      </c>
      <c r="EF221">
        <v>3.2879999999999998</v>
      </c>
      <c r="EG221">
        <v>9999</v>
      </c>
      <c r="EH221">
        <v>9999</v>
      </c>
      <c r="EI221">
        <v>9999</v>
      </c>
      <c r="EJ221">
        <v>999.9</v>
      </c>
      <c r="EK221">
        <v>1.8688899999999999</v>
      </c>
      <c r="EL221">
        <v>1.8645499999999999</v>
      </c>
      <c r="EM221">
        <v>1.8690800000000001</v>
      </c>
      <c r="EN221">
        <v>1.8671899999999999</v>
      </c>
      <c r="EO221">
        <v>1.86334</v>
      </c>
      <c r="EP221">
        <v>1.86446</v>
      </c>
      <c r="EQ221">
        <v>1.87012</v>
      </c>
      <c r="ER221">
        <v>1.8693599999999999</v>
      </c>
      <c r="ES221">
        <v>0</v>
      </c>
      <c r="ET221">
        <v>0</v>
      </c>
      <c r="EU221">
        <v>0</v>
      </c>
      <c r="EV221">
        <v>0</v>
      </c>
      <c r="EW221" t="s">
        <v>334</v>
      </c>
      <c r="EX221" t="s">
        <v>335</v>
      </c>
      <c r="EY221" t="s">
        <v>336</v>
      </c>
      <c r="EZ221" t="s">
        <v>336</v>
      </c>
      <c r="FA221" t="s">
        <v>336</v>
      </c>
      <c r="FB221" t="s">
        <v>336</v>
      </c>
      <c r="FC221">
        <v>0</v>
      </c>
      <c r="FD221">
        <v>100</v>
      </c>
      <c r="FE221">
        <v>100</v>
      </c>
      <c r="FF221">
        <v>-1.1930000000000001</v>
      </c>
      <c r="FG221">
        <v>0.1782</v>
      </c>
      <c r="FH221">
        <v>-0.98020551812546231</v>
      </c>
      <c r="FI221">
        <v>-6.1462078757559423E-4</v>
      </c>
      <c r="FJ221">
        <v>-1.8861989874597051E-7</v>
      </c>
      <c r="FK221">
        <v>1.1980462299894961E-10</v>
      </c>
      <c r="FL221">
        <v>0.1782306200647516</v>
      </c>
      <c r="FM221">
        <v>0</v>
      </c>
      <c r="FN221">
        <v>0</v>
      </c>
      <c r="FO221">
        <v>0</v>
      </c>
      <c r="FP221">
        <v>3</v>
      </c>
      <c r="FQ221">
        <v>2158</v>
      </c>
      <c r="FR221">
        <v>1</v>
      </c>
      <c r="FS221">
        <v>19</v>
      </c>
      <c r="FT221">
        <v>36.1</v>
      </c>
      <c r="FU221">
        <v>36.4</v>
      </c>
      <c r="FV221">
        <v>1.7785599999999999</v>
      </c>
      <c r="FW221">
        <v>2.5549300000000001</v>
      </c>
      <c r="FX221">
        <v>1.5490699999999999</v>
      </c>
      <c r="FY221">
        <v>2.34009</v>
      </c>
      <c r="FZ221">
        <v>1.50146</v>
      </c>
      <c r="GA221">
        <v>2.2973599999999998</v>
      </c>
      <c r="GB221">
        <v>31.477</v>
      </c>
      <c r="GC221">
        <v>23.982399999999998</v>
      </c>
      <c r="GD221">
        <v>19</v>
      </c>
      <c r="GE221">
        <v>265.94499999999999</v>
      </c>
      <c r="GF221">
        <v>601.86199999999997</v>
      </c>
      <c r="GG221">
        <v>24.362500000000001</v>
      </c>
      <c r="GH221">
        <v>25.520299999999999</v>
      </c>
      <c r="GI221">
        <v>29.9999</v>
      </c>
      <c r="GJ221">
        <v>25.637599999999999</v>
      </c>
      <c r="GK221">
        <v>25.604199999999999</v>
      </c>
      <c r="GL221">
        <v>35.554400000000001</v>
      </c>
      <c r="GM221">
        <v>-30</v>
      </c>
      <c r="GN221">
        <v>-30</v>
      </c>
      <c r="GO221">
        <v>24.358899999999998</v>
      </c>
      <c r="GP221">
        <v>800</v>
      </c>
      <c r="GQ221">
        <v>12.5298</v>
      </c>
      <c r="GR221">
        <v>99.643100000000004</v>
      </c>
      <c r="GS221">
        <v>99.296700000000001</v>
      </c>
    </row>
    <row r="222" spans="1:201" x14ac:dyDescent="0.25">
      <c r="A222">
        <v>206</v>
      </c>
      <c r="B222">
        <v>1690202945.5999999</v>
      </c>
      <c r="C222">
        <v>2098.599999904633</v>
      </c>
      <c r="D222" t="s">
        <v>745</v>
      </c>
      <c r="E222" t="s">
        <v>746</v>
      </c>
      <c r="F222" t="s">
        <v>330</v>
      </c>
      <c r="H222">
        <v>1690202945.5999999</v>
      </c>
      <c r="I222">
        <f t="shared" si="90"/>
        <v>1.8121628043961504E-3</v>
      </c>
      <c r="J222">
        <f t="shared" si="91"/>
        <v>1.8121628043961504</v>
      </c>
      <c r="K222">
        <f t="shared" si="92"/>
        <v>42.789203668638763</v>
      </c>
      <c r="L222">
        <f t="shared" si="93"/>
        <v>318.863</v>
      </c>
      <c r="M222">
        <f t="shared" si="94"/>
        <v>-11.755456260257143</v>
      </c>
      <c r="N222">
        <f t="shared" si="95"/>
        <v>-1.1651090320364799</v>
      </c>
      <c r="O222">
        <f t="shared" si="96"/>
        <v>31.603210718264503</v>
      </c>
      <c r="P222">
        <f t="shared" si="97"/>
        <v>0.21880820611234211</v>
      </c>
      <c r="Q222">
        <f t="shared" si="98"/>
        <v>2.0805387312811927</v>
      </c>
      <c r="R222">
        <f t="shared" si="99"/>
        <v>0.20678054178958744</v>
      </c>
      <c r="S222">
        <f t="shared" si="100"/>
        <v>0.13026335126492186</v>
      </c>
      <c r="T222">
        <f t="shared" si="101"/>
        <v>276.11576832600002</v>
      </c>
      <c r="U222">
        <f t="shared" si="102"/>
        <v>27.469257975785215</v>
      </c>
      <c r="V222">
        <f t="shared" si="103"/>
        <v>27.469257975785215</v>
      </c>
      <c r="W222">
        <f t="shared" si="104"/>
        <v>3.6789984465807191</v>
      </c>
      <c r="X222">
        <f t="shared" si="105"/>
        <v>84.721883872427469</v>
      </c>
      <c r="Y222">
        <f t="shared" si="106"/>
        <v>2.8389696133259998</v>
      </c>
      <c r="Z222">
        <f t="shared" si="107"/>
        <v>3.3509283358250905</v>
      </c>
      <c r="AA222">
        <f t="shared" si="108"/>
        <v>0.84002883325471922</v>
      </c>
      <c r="AB222">
        <f t="shared" si="109"/>
        <v>-79.916379673870225</v>
      </c>
      <c r="AC222">
        <f t="shared" si="110"/>
        <v>-177.94665178599243</v>
      </c>
      <c r="AD222">
        <f t="shared" si="111"/>
        <v>-18.398579007595902</v>
      </c>
      <c r="AE222">
        <f t="shared" si="112"/>
        <v>-0.14584214145853025</v>
      </c>
      <c r="AF222">
        <v>13</v>
      </c>
      <c r="AG222">
        <v>4</v>
      </c>
      <c r="AH222">
        <f t="shared" si="113"/>
        <v>1</v>
      </c>
      <c r="AI222">
        <f t="shared" si="114"/>
        <v>0</v>
      </c>
      <c r="AJ222">
        <f t="shared" si="115"/>
        <v>52556.597165637679</v>
      </c>
      <c r="AK222">
        <f t="shared" si="116"/>
        <v>1800</v>
      </c>
      <c r="AL222">
        <f t="shared" si="117"/>
        <v>1499.1111125999998</v>
      </c>
      <c r="AM222">
        <f t="shared" si="118"/>
        <v>0.83283950699999987</v>
      </c>
      <c r="AN222">
        <f t="shared" si="119"/>
        <v>0.15339764907</v>
      </c>
      <c r="AO222">
        <v>33.299999999999997</v>
      </c>
      <c r="AP222">
        <v>0.5</v>
      </c>
      <c r="AQ222" t="s">
        <v>331</v>
      </c>
      <c r="AR222">
        <v>2</v>
      </c>
      <c r="AS222">
        <v>1690202945.5999999</v>
      </c>
      <c r="AT222">
        <v>318.863</v>
      </c>
      <c r="AU222">
        <v>800.03499999999997</v>
      </c>
      <c r="AV222">
        <v>28.643999999999998</v>
      </c>
      <c r="AW222">
        <v>9.1133699999999997</v>
      </c>
      <c r="AX222">
        <v>320.05599999999998</v>
      </c>
      <c r="AY222">
        <v>28.465800000000002</v>
      </c>
      <c r="AZ222">
        <v>300.12599999999998</v>
      </c>
      <c r="BA222">
        <v>99.012200000000007</v>
      </c>
      <c r="BB222">
        <v>9.9991499999999997E-2</v>
      </c>
      <c r="BC222">
        <v>25.8828</v>
      </c>
      <c r="BD222">
        <v>26.9986</v>
      </c>
      <c r="BE222">
        <v>27.479600000000001</v>
      </c>
      <c r="BF222">
        <v>0</v>
      </c>
      <c r="BG222">
        <v>0</v>
      </c>
      <c r="BH222">
        <v>10001.200000000001</v>
      </c>
      <c r="BI222">
        <v>1074.98</v>
      </c>
      <c r="BJ222">
        <v>1.1914</v>
      </c>
      <c r="BK222">
        <v>-481.17099999999999</v>
      </c>
      <c r="BL222">
        <v>328.26600000000002</v>
      </c>
      <c r="BM222">
        <v>807.39300000000003</v>
      </c>
      <c r="BN222">
        <v>19.5306</v>
      </c>
      <c r="BO222">
        <v>800.03499999999997</v>
      </c>
      <c r="BP222">
        <v>9.1133699999999997</v>
      </c>
      <c r="BQ222">
        <v>2.8361000000000001</v>
      </c>
      <c r="BR222">
        <v>0.902335</v>
      </c>
      <c r="BS222">
        <v>23.095700000000001</v>
      </c>
      <c r="BT222">
        <v>5.4280299999999997</v>
      </c>
      <c r="BU222">
        <v>1800</v>
      </c>
      <c r="BV222">
        <v>0.90999200000000002</v>
      </c>
      <c r="BW222">
        <v>3.3999599999999998E-2</v>
      </c>
      <c r="BX222">
        <v>2.2003600000000002E-2</v>
      </c>
      <c r="BY222">
        <v>3.40045E-2</v>
      </c>
      <c r="BZ222">
        <v>25</v>
      </c>
      <c r="CA222">
        <v>33528.300000000003</v>
      </c>
      <c r="CB222">
        <v>1690200769.5</v>
      </c>
      <c r="CC222" t="s">
        <v>332</v>
      </c>
      <c r="CD222">
        <v>1690200769.5</v>
      </c>
      <c r="CE222">
        <v>1690200753</v>
      </c>
      <c r="CF222">
        <v>2</v>
      </c>
      <c r="CG222">
        <v>-0.245</v>
      </c>
      <c r="CH222">
        <v>3.0000000000000001E-3</v>
      </c>
      <c r="CI222">
        <v>-1.5169999999999999</v>
      </c>
      <c r="CJ222">
        <v>-1.6E-2</v>
      </c>
      <c r="CK222">
        <v>778</v>
      </c>
      <c r="CL222">
        <v>12</v>
      </c>
      <c r="CM222">
        <v>0.01</v>
      </c>
      <c r="CN222">
        <v>0.03</v>
      </c>
      <c r="CO222">
        <v>-480.82646341463419</v>
      </c>
      <c r="CP222">
        <v>-1.5831010452959959</v>
      </c>
      <c r="CQ222">
        <v>0.17221428760887561</v>
      </c>
      <c r="CR222">
        <v>-1</v>
      </c>
      <c r="CS222">
        <v>19.517331707317069</v>
      </c>
      <c r="CT222">
        <v>6.992822299655313E-2</v>
      </c>
      <c r="CU222">
        <v>6.9194825347333186E-3</v>
      </c>
      <c r="CV222">
        <v>-1</v>
      </c>
      <c r="CW222">
        <v>0</v>
      </c>
      <c r="CX222">
        <v>0</v>
      </c>
      <c r="CY222" t="s">
        <v>333</v>
      </c>
      <c r="CZ222">
        <v>2.3651300000000002</v>
      </c>
      <c r="DA222">
        <v>2.7137799999999999</v>
      </c>
      <c r="DB222">
        <v>7.5242600000000007E-2</v>
      </c>
      <c r="DC222">
        <v>0.14629900000000001</v>
      </c>
      <c r="DD222">
        <v>0.129053</v>
      </c>
      <c r="DE222">
        <v>5.51216E-2</v>
      </c>
      <c r="DF222">
        <v>33741.199999999997</v>
      </c>
      <c r="DG222">
        <v>27453</v>
      </c>
      <c r="DH222">
        <v>31145.9</v>
      </c>
      <c r="DI222">
        <v>28018.400000000001</v>
      </c>
      <c r="DJ222">
        <v>36804.199999999997</v>
      </c>
      <c r="DK222">
        <v>37618.300000000003</v>
      </c>
      <c r="DL222">
        <v>44315.5</v>
      </c>
      <c r="DM222">
        <v>42433.4</v>
      </c>
      <c r="DN222">
        <v>1.4427000000000001</v>
      </c>
      <c r="DO222">
        <v>2.0688300000000002</v>
      </c>
      <c r="DP222">
        <v>0.136793</v>
      </c>
      <c r="DQ222">
        <v>0.172928</v>
      </c>
      <c r="DR222">
        <v>24.757400000000001</v>
      </c>
      <c r="DS222">
        <v>24.647200000000002</v>
      </c>
      <c r="DT222">
        <v>30.9</v>
      </c>
      <c r="DU222">
        <v>26.4</v>
      </c>
      <c r="DV222">
        <v>10.782999999999999</v>
      </c>
      <c r="DW222">
        <v>61.585500000000003</v>
      </c>
      <c r="DX222">
        <v>36.037700000000001</v>
      </c>
      <c r="DY222">
        <v>1</v>
      </c>
      <c r="DZ222">
        <v>-0.15060000000000001</v>
      </c>
      <c r="EA222">
        <v>-4.6634000000000002E-2</v>
      </c>
      <c r="EB222">
        <v>20.191099999999999</v>
      </c>
      <c r="EC222">
        <v>5.2415500000000002</v>
      </c>
      <c r="ED222">
        <v>12.039899999999999</v>
      </c>
      <c r="EE222">
        <v>5.0174500000000002</v>
      </c>
      <c r="EF222">
        <v>3.2879999999999998</v>
      </c>
      <c r="EG222">
        <v>9999</v>
      </c>
      <c r="EH222">
        <v>9999</v>
      </c>
      <c r="EI222">
        <v>9999</v>
      </c>
      <c r="EJ222">
        <v>999.9</v>
      </c>
      <c r="EK222">
        <v>1.8688899999999999</v>
      </c>
      <c r="EL222">
        <v>1.8645400000000001</v>
      </c>
      <c r="EM222">
        <v>1.8690899999999999</v>
      </c>
      <c r="EN222">
        <v>1.8671800000000001</v>
      </c>
      <c r="EO222">
        <v>1.8633500000000001</v>
      </c>
      <c r="EP222">
        <v>1.86446</v>
      </c>
      <c r="EQ222">
        <v>1.87012</v>
      </c>
      <c r="ER222">
        <v>1.8693500000000001</v>
      </c>
      <c r="ES222">
        <v>0</v>
      </c>
      <c r="ET222">
        <v>0</v>
      </c>
      <c r="EU222">
        <v>0</v>
      </c>
      <c r="EV222">
        <v>0</v>
      </c>
      <c r="EW222" t="s">
        <v>334</v>
      </c>
      <c r="EX222" t="s">
        <v>335</v>
      </c>
      <c r="EY222" t="s">
        <v>336</v>
      </c>
      <c r="EZ222" t="s">
        <v>336</v>
      </c>
      <c r="FA222" t="s">
        <v>336</v>
      </c>
      <c r="FB222" t="s">
        <v>336</v>
      </c>
      <c r="FC222">
        <v>0</v>
      </c>
      <c r="FD222">
        <v>100</v>
      </c>
      <c r="FE222">
        <v>100</v>
      </c>
      <c r="FF222">
        <v>-1.1930000000000001</v>
      </c>
      <c r="FG222">
        <v>0.1782</v>
      </c>
      <c r="FH222">
        <v>-0.98020551812546231</v>
      </c>
      <c r="FI222">
        <v>-6.1462078757559423E-4</v>
      </c>
      <c r="FJ222">
        <v>-1.8861989874597051E-7</v>
      </c>
      <c r="FK222">
        <v>1.1980462299894961E-10</v>
      </c>
      <c r="FL222">
        <v>0.1782306200647516</v>
      </c>
      <c r="FM222">
        <v>0</v>
      </c>
      <c r="FN222">
        <v>0</v>
      </c>
      <c r="FO222">
        <v>0</v>
      </c>
      <c r="FP222">
        <v>3</v>
      </c>
      <c r="FQ222">
        <v>2158</v>
      </c>
      <c r="FR222">
        <v>1</v>
      </c>
      <c r="FS222">
        <v>19</v>
      </c>
      <c r="FT222">
        <v>36.299999999999997</v>
      </c>
      <c r="FU222">
        <v>36.5</v>
      </c>
      <c r="FV222">
        <v>1.7785599999999999</v>
      </c>
      <c r="FW222">
        <v>2.5439500000000002</v>
      </c>
      <c r="FX222">
        <v>1.5490699999999999</v>
      </c>
      <c r="FY222">
        <v>2.34009</v>
      </c>
      <c r="FZ222">
        <v>1.50146</v>
      </c>
      <c r="GA222">
        <v>2.3877000000000002</v>
      </c>
      <c r="GB222">
        <v>31.477</v>
      </c>
      <c r="GC222">
        <v>23.991199999999999</v>
      </c>
      <c r="GD222">
        <v>19</v>
      </c>
      <c r="GE222">
        <v>265.90499999999997</v>
      </c>
      <c r="GF222">
        <v>601.78099999999995</v>
      </c>
      <c r="GG222">
        <v>24.356300000000001</v>
      </c>
      <c r="GH222">
        <v>25.522500000000001</v>
      </c>
      <c r="GI222">
        <v>30</v>
      </c>
      <c r="GJ222">
        <v>25.637599999999999</v>
      </c>
      <c r="GK222">
        <v>25.606400000000001</v>
      </c>
      <c r="GL222">
        <v>35.557699999999997</v>
      </c>
      <c r="GM222">
        <v>-30</v>
      </c>
      <c r="GN222">
        <v>-30</v>
      </c>
      <c r="GO222">
        <v>24.361599999999999</v>
      </c>
      <c r="GP222">
        <v>800</v>
      </c>
      <c r="GQ222">
        <v>12.5298</v>
      </c>
      <c r="GR222">
        <v>99.643000000000001</v>
      </c>
      <c r="GS222">
        <v>99.296899999999994</v>
      </c>
    </row>
    <row r="223" spans="1:201" x14ac:dyDescent="0.25">
      <c r="A223">
        <v>207</v>
      </c>
      <c r="B223">
        <v>1690202955.5999999</v>
      </c>
      <c r="C223">
        <v>2108.599999904633</v>
      </c>
      <c r="D223" t="s">
        <v>747</v>
      </c>
      <c r="E223" t="s">
        <v>748</v>
      </c>
      <c r="F223" t="s">
        <v>330</v>
      </c>
      <c r="H223">
        <v>1690202955.5999999</v>
      </c>
      <c r="I223">
        <f t="shared" si="90"/>
        <v>1.81446842815296E-3</v>
      </c>
      <c r="J223">
        <f t="shared" si="91"/>
        <v>1.8144684281529599</v>
      </c>
      <c r="K223">
        <f t="shared" si="92"/>
        <v>42.812631696576318</v>
      </c>
      <c r="L223">
        <f t="shared" si="93"/>
        <v>318.65100000000001</v>
      </c>
      <c r="M223">
        <f t="shared" si="94"/>
        <v>-11.128940620231809</v>
      </c>
      <c r="N223">
        <f t="shared" si="95"/>
        <v>-1.1030461181130409</v>
      </c>
      <c r="O223">
        <f t="shared" si="96"/>
        <v>31.583127323355001</v>
      </c>
      <c r="P223">
        <f t="shared" si="97"/>
        <v>0.21953299334255746</v>
      </c>
      <c r="Q223">
        <f t="shared" si="98"/>
        <v>2.0783434415125335</v>
      </c>
      <c r="R223">
        <f t="shared" si="99"/>
        <v>0.20741585334690435</v>
      </c>
      <c r="S223">
        <f t="shared" si="100"/>
        <v>0.13066782093957735</v>
      </c>
      <c r="T223">
        <f t="shared" si="101"/>
        <v>276.115719888</v>
      </c>
      <c r="U223">
        <f t="shared" si="102"/>
        <v>27.466759061892756</v>
      </c>
      <c r="V223">
        <f t="shared" si="103"/>
        <v>27.466759061892756</v>
      </c>
      <c r="W223">
        <f t="shared" si="104"/>
        <v>3.6784604100323421</v>
      </c>
      <c r="X223">
        <f t="shared" si="105"/>
        <v>84.76617119620704</v>
      </c>
      <c r="Y223">
        <f t="shared" si="106"/>
        <v>2.8399153690335002</v>
      </c>
      <c r="Z223">
        <f t="shared" si="107"/>
        <v>3.3502933174367269</v>
      </c>
      <c r="AA223">
        <f t="shared" si="108"/>
        <v>0.83854504099884197</v>
      </c>
      <c r="AB223">
        <f t="shared" si="109"/>
        <v>-80.018057681545542</v>
      </c>
      <c r="AC223">
        <f t="shared" si="110"/>
        <v>-177.83744563061853</v>
      </c>
      <c r="AD223">
        <f t="shared" si="111"/>
        <v>-18.406184754552921</v>
      </c>
      <c r="AE223">
        <f t="shared" si="112"/>
        <v>-0.14596817871696999</v>
      </c>
      <c r="AF223">
        <v>13</v>
      </c>
      <c r="AG223">
        <v>4</v>
      </c>
      <c r="AH223">
        <f t="shared" si="113"/>
        <v>1</v>
      </c>
      <c r="AI223">
        <f t="shared" si="114"/>
        <v>0</v>
      </c>
      <c r="AJ223">
        <f t="shared" si="115"/>
        <v>52458.116130443996</v>
      </c>
      <c r="AK223">
        <f t="shared" si="116"/>
        <v>1800</v>
      </c>
      <c r="AL223">
        <f t="shared" si="117"/>
        <v>1499.1095898000001</v>
      </c>
      <c r="AM223">
        <f t="shared" si="118"/>
        <v>0.83283866100000004</v>
      </c>
      <c r="AN223">
        <f t="shared" si="119"/>
        <v>0.15339762216</v>
      </c>
      <c r="AO223">
        <v>33.299999999999997</v>
      </c>
      <c r="AP223">
        <v>0.5</v>
      </c>
      <c r="AQ223" t="s">
        <v>331</v>
      </c>
      <c r="AR223">
        <v>2</v>
      </c>
      <c r="AS223">
        <v>1690202955.5999999</v>
      </c>
      <c r="AT223">
        <v>318.65100000000001</v>
      </c>
      <c r="AU223">
        <v>799.98900000000003</v>
      </c>
      <c r="AV223">
        <v>28.652699999999999</v>
      </c>
      <c r="AW223">
        <v>9.1013699999999993</v>
      </c>
      <c r="AX223">
        <v>319.84300000000002</v>
      </c>
      <c r="AY223">
        <v>28.474499999999999</v>
      </c>
      <c r="AZ223">
        <v>300.18700000000001</v>
      </c>
      <c r="BA223">
        <v>99.015100000000004</v>
      </c>
      <c r="BB223">
        <v>0.100005</v>
      </c>
      <c r="BC223">
        <v>25.8796</v>
      </c>
      <c r="BD223">
        <v>27.014600000000002</v>
      </c>
      <c r="BE223">
        <v>27.503699999999998</v>
      </c>
      <c r="BF223">
        <v>0</v>
      </c>
      <c r="BG223">
        <v>0</v>
      </c>
      <c r="BH223">
        <v>9981.25</v>
      </c>
      <c r="BI223">
        <v>1075.02</v>
      </c>
      <c r="BJ223">
        <v>1.3455900000000001</v>
      </c>
      <c r="BK223">
        <v>-481.339</v>
      </c>
      <c r="BL223">
        <v>328.05</v>
      </c>
      <c r="BM223">
        <v>807.33699999999999</v>
      </c>
      <c r="BN223">
        <v>19.551400000000001</v>
      </c>
      <c r="BO223">
        <v>799.98900000000003</v>
      </c>
      <c r="BP223">
        <v>9.1013699999999993</v>
      </c>
      <c r="BQ223">
        <v>2.8370500000000001</v>
      </c>
      <c r="BR223">
        <v>0.901173</v>
      </c>
      <c r="BS223">
        <v>23.101299999999998</v>
      </c>
      <c r="BT223">
        <v>5.4094899999999999</v>
      </c>
      <c r="BU223">
        <v>1800</v>
      </c>
      <c r="BV223">
        <v>0.90998800000000002</v>
      </c>
      <c r="BW223">
        <v>3.4004100000000002E-2</v>
      </c>
      <c r="BX223">
        <v>2.20033E-2</v>
      </c>
      <c r="BY223">
        <v>3.4004E-2</v>
      </c>
      <c r="BZ223">
        <v>25</v>
      </c>
      <c r="CA223">
        <v>33528.199999999997</v>
      </c>
      <c r="CB223">
        <v>1690200769.5</v>
      </c>
      <c r="CC223" t="s">
        <v>332</v>
      </c>
      <c r="CD223">
        <v>1690200769.5</v>
      </c>
      <c r="CE223">
        <v>1690200753</v>
      </c>
      <c r="CF223">
        <v>2</v>
      </c>
      <c r="CG223">
        <v>-0.245</v>
      </c>
      <c r="CH223">
        <v>3.0000000000000001E-3</v>
      </c>
      <c r="CI223">
        <v>-1.5169999999999999</v>
      </c>
      <c r="CJ223">
        <v>-1.6E-2</v>
      </c>
      <c r="CK223">
        <v>778</v>
      </c>
      <c r="CL223">
        <v>12</v>
      </c>
      <c r="CM223">
        <v>0.01</v>
      </c>
      <c r="CN223">
        <v>0.03</v>
      </c>
      <c r="CO223">
        <v>-481.03122500000001</v>
      </c>
      <c r="CP223">
        <v>-1.150863039398321</v>
      </c>
      <c r="CQ223">
        <v>0.12935232651560349</v>
      </c>
      <c r="CR223">
        <v>-1</v>
      </c>
      <c r="CS223">
        <v>19.529562500000001</v>
      </c>
      <c r="CT223">
        <v>8.2731332082534317E-2</v>
      </c>
      <c r="CU223">
        <v>8.0797489905319979E-3</v>
      </c>
      <c r="CV223">
        <v>-1</v>
      </c>
      <c r="CW223">
        <v>0</v>
      </c>
      <c r="CX223">
        <v>0</v>
      </c>
      <c r="CY223" t="s">
        <v>333</v>
      </c>
      <c r="CZ223">
        <v>2.3653499999999998</v>
      </c>
      <c r="DA223">
        <v>2.7137799999999999</v>
      </c>
      <c r="DB223">
        <v>7.5204199999999999E-2</v>
      </c>
      <c r="DC223">
        <v>0.14629700000000001</v>
      </c>
      <c r="DD223">
        <v>0.129083</v>
      </c>
      <c r="DE223">
        <v>5.5066700000000003E-2</v>
      </c>
      <c r="DF223">
        <v>33742.800000000003</v>
      </c>
      <c r="DG223">
        <v>27452.7</v>
      </c>
      <c r="DH223">
        <v>31146.1</v>
      </c>
      <c r="DI223">
        <v>28018</v>
      </c>
      <c r="DJ223">
        <v>36803.199999999997</v>
      </c>
      <c r="DK223">
        <v>37619.800000000003</v>
      </c>
      <c r="DL223">
        <v>44315.8</v>
      </c>
      <c r="DM223">
        <v>42432.6</v>
      </c>
      <c r="DN223">
        <v>1.4426000000000001</v>
      </c>
      <c r="DO223">
        <v>2.0686</v>
      </c>
      <c r="DP223">
        <v>0.13764899999999999</v>
      </c>
      <c r="DQ223">
        <v>0.17438100000000001</v>
      </c>
      <c r="DR223">
        <v>24.759399999999999</v>
      </c>
      <c r="DS223">
        <v>24.647600000000001</v>
      </c>
      <c r="DT223">
        <v>30.9</v>
      </c>
      <c r="DU223">
        <v>26.4</v>
      </c>
      <c r="DV223">
        <v>10.780900000000001</v>
      </c>
      <c r="DW223">
        <v>61.545499999999997</v>
      </c>
      <c r="DX223">
        <v>36.494399999999999</v>
      </c>
      <c r="DY223">
        <v>1</v>
      </c>
      <c r="DZ223">
        <v>-0.150417</v>
      </c>
      <c r="EA223">
        <v>-4.6124699999999998E-2</v>
      </c>
      <c r="EB223">
        <v>20.190999999999999</v>
      </c>
      <c r="EC223">
        <v>5.2413999999999996</v>
      </c>
      <c r="ED223">
        <v>12.039899999999999</v>
      </c>
      <c r="EE223">
        <v>5.0176499999999997</v>
      </c>
      <c r="EF223">
        <v>3.2879999999999998</v>
      </c>
      <c r="EG223">
        <v>9999</v>
      </c>
      <c r="EH223">
        <v>9999</v>
      </c>
      <c r="EI223">
        <v>9999</v>
      </c>
      <c r="EJ223">
        <v>999.9</v>
      </c>
      <c r="EK223">
        <v>1.8689</v>
      </c>
      <c r="EL223">
        <v>1.86452</v>
      </c>
      <c r="EM223">
        <v>1.8690800000000001</v>
      </c>
      <c r="EN223">
        <v>1.8671800000000001</v>
      </c>
      <c r="EO223">
        <v>1.86331</v>
      </c>
      <c r="EP223">
        <v>1.86446</v>
      </c>
      <c r="EQ223">
        <v>1.87012</v>
      </c>
      <c r="ER223">
        <v>1.8693500000000001</v>
      </c>
      <c r="ES223">
        <v>0</v>
      </c>
      <c r="ET223">
        <v>0</v>
      </c>
      <c r="EU223">
        <v>0</v>
      </c>
      <c r="EV223">
        <v>0</v>
      </c>
      <c r="EW223" t="s">
        <v>334</v>
      </c>
      <c r="EX223" t="s">
        <v>335</v>
      </c>
      <c r="EY223" t="s">
        <v>336</v>
      </c>
      <c r="EZ223" t="s">
        <v>336</v>
      </c>
      <c r="FA223" t="s">
        <v>336</v>
      </c>
      <c r="FB223" t="s">
        <v>336</v>
      </c>
      <c r="FC223">
        <v>0</v>
      </c>
      <c r="FD223">
        <v>100</v>
      </c>
      <c r="FE223">
        <v>100</v>
      </c>
      <c r="FF223">
        <v>-1.1919999999999999</v>
      </c>
      <c r="FG223">
        <v>0.1782</v>
      </c>
      <c r="FH223">
        <v>-0.98020551812546231</v>
      </c>
      <c r="FI223">
        <v>-6.1462078757559423E-4</v>
      </c>
      <c r="FJ223">
        <v>-1.8861989874597051E-7</v>
      </c>
      <c r="FK223">
        <v>1.1980462299894961E-10</v>
      </c>
      <c r="FL223">
        <v>0.1782306200647516</v>
      </c>
      <c r="FM223">
        <v>0</v>
      </c>
      <c r="FN223">
        <v>0</v>
      </c>
      <c r="FO223">
        <v>0</v>
      </c>
      <c r="FP223">
        <v>3</v>
      </c>
      <c r="FQ223">
        <v>2158</v>
      </c>
      <c r="FR223">
        <v>1</v>
      </c>
      <c r="FS223">
        <v>19</v>
      </c>
      <c r="FT223">
        <v>36.4</v>
      </c>
      <c r="FU223">
        <v>36.700000000000003</v>
      </c>
      <c r="FV223">
        <v>1.7785599999999999</v>
      </c>
      <c r="FW223">
        <v>2.5512700000000001</v>
      </c>
      <c r="FX223">
        <v>1.5490699999999999</v>
      </c>
      <c r="FY223">
        <v>2.34009</v>
      </c>
      <c r="FZ223">
        <v>1.50146</v>
      </c>
      <c r="GA223">
        <v>2.2949199999999998</v>
      </c>
      <c r="GB223">
        <v>31.498799999999999</v>
      </c>
      <c r="GC223">
        <v>23.982399999999998</v>
      </c>
      <c r="GD223">
        <v>19</v>
      </c>
      <c r="GE223">
        <v>265.87400000000002</v>
      </c>
      <c r="GF223">
        <v>601.596</v>
      </c>
      <c r="GG223">
        <v>24.360499999999998</v>
      </c>
      <c r="GH223">
        <v>25.522500000000001</v>
      </c>
      <c r="GI223">
        <v>30.0002</v>
      </c>
      <c r="GJ223">
        <v>25.639800000000001</v>
      </c>
      <c r="GK223">
        <v>25.6068</v>
      </c>
      <c r="GL223">
        <v>35.558599999999998</v>
      </c>
      <c r="GM223">
        <v>-30</v>
      </c>
      <c r="GN223">
        <v>-30</v>
      </c>
      <c r="GO223">
        <v>24.3505</v>
      </c>
      <c r="GP223">
        <v>800</v>
      </c>
      <c r="GQ223">
        <v>12.5298</v>
      </c>
      <c r="GR223">
        <v>99.643600000000006</v>
      </c>
      <c r="GS223">
        <v>99.295299999999997</v>
      </c>
    </row>
    <row r="224" spans="1:201" x14ac:dyDescent="0.25">
      <c r="A224">
        <v>208</v>
      </c>
      <c r="B224">
        <v>1690202965.5999999</v>
      </c>
      <c r="C224">
        <v>2118.599999904633</v>
      </c>
      <c r="D224" t="s">
        <v>749</v>
      </c>
      <c r="E224" t="s">
        <v>750</v>
      </c>
      <c r="F224" t="s">
        <v>330</v>
      </c>
      <c r="H224">
        <v>1690202965.5999999</v>
      </c>
      <c r="I224">
        <f t="shared" si="90"/>
        <v>1.8154946084149978E-3</v>
      </c>
      <c r="J224">
        <f t="shared" si="91"/>
        <v>1.8154946084149979</v>
      </c>
      <c r="K224">
        <f t="shared" si="92"/>
        <v>42.826046378973345</v>
      </c>
      <c r="L224">
        <f t="shared" si="93"/>
        <v>318.34399999999999</v>
      </c>
      <c r="M224">
        <f t="shared" si="94"/>
        <v>-11.221441908997569</v>
      </c>
      <c r="N224">
        <f t="shared" si="95"/>
        <v>-1.1121939341288061</v>
      </c>
      <c r="O224">
        <f t="shared" si="96"/>
        <v>31.552118581339204</v>
      </c>
      <c r="P224">
        <f t="shared" si="97"/>
        <v>0.21976489389168699</v>
      </c>
      <c r="Q224">
        <f t="shared" si="98"/>
        <v>2.0762264491975007</v>
      </c>
      <c r="R224">
        <f t="shared" si="99"/>
        <v>0.20761125559805099</v>
      </c>
      <c r="S224">
        <f t="shared" si="100"/>
        <v>0.13079294905272332</v>
      </c>
      <c r="T224">
        <f t="shared" si="101"/>
        <v>276.11585580600001</v>
      </c>
      <c r="U224">
        <f t="shared" si="102"/>
        <v>27.467861034861819</v>
      </c>
      <c r="V224">
        <f t="shared" si="103"/>
        <v>27.467861034861819</v>
      </c>
      <c r="W224">
        <f t="shared" si="104"/>
        <v>3.6786976653383934</v>
      </c>
      <c r="X224">
        <f t="shared" si="105"/>
        <v>84.783249523937982</v>
      </c>
      <c r="Y224">
        <f t="shared" si="106"/>
        <v>2.8404875431062</v>
      </c>
      <c r="Z224">
        <f t="shared" si="107"/>
        <v>3.3502933174367269</v>
      </c>
      <c r="AA224">
        <f t="shared" si="108"/>
        <v>0.83821012223219338</v>
      </c>
      <c r="AB224">
        <f t="shared" si="109"/>
        <v>-80.063312231101406</v>
      </c>
      <c r="AC224">
        <f t="shared" si="110"/>
        <v>-177.77964883367952</v>
      </c>
      <c r="AD224">
        <f t="shared" si="111"/>
        <v>-18.419066042236679</v>
      </c>
      <c r="AE224">
        <f t="shared" si="112"/>
        <v>-0.14617130101760267</v>
      </c>
      <c r="AF224">
        <v>13</v>
      </c>
      <c r="AG224">
        <v>4</v>
      </c>
      <c r="AH224">
        <f t="shared" si="113"/>
        <v>1</v>
      </c>
      <c r="AI224">
        <f t="shared" si="114"/>
        <v>0</v>
      </c>
      <c r="AJ224">
        <f t="shared" si="115"/>
        <v>52362.630677263332</v>
      </c>
      <c r="AK224">
        <f t="shared" si="116"/>
        <v>1800</v>
      </c>
      <c r="AL224">
        <f t="shared" si="117"/>
        <v>1499.1088715999999</v>
      </c>
      <c r="AM224">
        <f t="shared" si="118"/>
        <v>0.832838262</v>
      </c>
      <c r="AN224">
        <f t="shared" si="119"/>
        <v>0.15339769767</v>
      </c>
      <c r="AO224">
        <v>33.299999999999997</v>
      </c>
      <c r="AP224">
        <v>0.5</v>
      </c>
      <c r="AQ224" t="s">
        <v>331</v>
      </c>
      <c r="AR224">
        <v>2</v>
      </c>
      <c r="AS224">
        <v>1690202965.5999999</v>
      </c>
      <c r="AT224">
        <v>318.34399999999999</v>
      </c>
      <c r="AU224">
        <v>799.95500000000004</v>
      </c>
      <c r="AV224">
        <v>28.658999999999999</v>
      </c>
      <c r="AW224">
        <v>9.0915900000000001</v>
      </c>
      <c r="AX224">
        <v>319.536</v>
      </c>
      <c r="AY224">
        <v>28.480799999999999</v>
      </c>
      <c r="AZ224">
        <v>300.108</v>
      </c>
      <c r="BA224">
        <v>99.013400000000004</v>
      </c>
      <c r="BB224">
        <v>9.9881800000000007E-2</v>
      </c>
      <c r="BC224">
        <v>25.8796</v>
      </c>
      <c r="BD224">
        <v>27.013500000000001</v>
      </c>
      <c r="BE224">
        <v>27.490200000000002</v>
      </c>
      <c r="BF224">
        <v>0</v>
      </c>
      <c r="BG224">
        <v>0</v>
      </c>
      <c r="BH224">
        <v>9962.5</v>
      </c>
      <c r="BI224">
        <v>1074.98</v>
      </c>
      <c r="BJ224">
        <v>1.3455900000000001</v>
      </c>
      <c r="BK224">
        <v>-481.61099999999999</v>
      </c>
      <c r="BL224">
        <v>327.73700000000002</v>
      </c>
      <c r="BM224">
        <v>807.29499999999996</v>
      </c>
      <c r="BN224">
        <v>19.567399999999999</v>
      </c>
      <c r="BO224">
        <v>799.95500000000004</v>
      </c>
      <c r="BP224">
        <v>9.0915900000000001</v>
      </c>
      <c r="BQ224">
        <v>2.8376299999999999</v>
      </c>
      <c r="BR224">
        <v>0.90018900000000002</v>
      </c>
      <c r="BS224">
        <v>23.104600000000001</v>
      </c>
      <c r="BT224">
        <v>5.39377</v>
      </c>
      <c r="BU224">
        <v>1800</v>
      </c>
      <c r="BV224">
        <v>0.90998400000000002</v>
      </c>
      <c r="BW224">
        <v>3.4008900000000002E-2</v>
      </c>
      <c r="BX224">
        <v>2.2003100000000001E-2</v>
      </c>
      <c r="BY224">
        <v>3.4003699999999998E-2</v>
      </c>
      <c r="BZ224">
        <v>25</v>
      </c>
      <c r="CA224">
        <v>33528.199999999997</v>
      </c>
      <c r="CB224">
        <v>1690200769.5</v>
      </c>
      <c r="CC224" t="s">
        <v>332</v>
      </c>
      <c r="CD224">
        <v>1690200769.5</v>
      </c>
      <c r="CE224">
        <v>1690200753</v>
      </c>
      <c r="CF224">
        <v>2</v>
      </c>
      <c r="CG224">
        <v>-0.245</v>
      </c>
      <c r="CH224">
        <v>3.0000000000000001E-3</v>
      </c>
      <c r="CI224">
        <v>-1.5169999999999999</v>
      </c>
      <c r="CJ224">
        <v>-1.6E-2</v>
      </c>
      <c r="CK224">
        <v>778</v>
      </c>
      <c r="CL224">
        <v>12</v>
      </c>
      <c r="CM224">
        <v>0.01</v>
      </c>
      <c r="CN224">
        <v>0.03</v>
      </c>
      <c r="CO224">
        <v>-481.2927560975611</v>
      </c>
      <c r="CP224">
        <v>-1.691707317074576</v>
      </c>
      <c r="CQ224">
        <v>0.1785305576751364</v>
      </c>
      <c r="CR224">
        <v>-1</v>
      </c>
      <c r="CS224">
        <v>19.547329268292689</v>
      </c>
      <c r="CT224">
        <v>0.1190571428571701</v>
      </c>
      <c r="CU224">
        <v>1.182529830289334E-2</v>
      </c>
      <c r="CV224">
        <v>-1</v>
      </c>
      <c r="CW224">
        <v>0</v>
      </c>
      <c r="CX224">
        <v>0</v>
      </c>
      <c r="CY224" t="s">
        <v>333</v>
      </c>
      <c r="CZ224">
        <v>2.3650699999999998</v>
      </c>
      <c r="DA224">
        <v>2.7136399999999998</v>
      </c>
      <c r="DB224">
        <v>7.5145199999999995E-2</v>
      </c>
      <c r="DC224">
        <v>0.14629</v>
      </c>
      <c r="DD224">
        <v>0.12910099999999999</v>
      </c>
      <c r="DE224">
        <v>5.5019499999999999E-2</v>
      </c>
      <c r="DF224">
        <v>33745.199999999997</v>
      </c>
      <c r="DG224">
        <v>27452.9</v>
      </c>
      <c r="DH224">
        <v>31146.3</v>
      </c>
      <c r="DI224">
        <v>28018</v>
      </c>
      <c r="DJ224">
        <v>36802.800000000003</v>
      </c>
      <c r="DK224">
        <v>37621.9</v>
      </c>
      <c r="DL224">
        <v>44316.2</v>
      </c>
      <c r="DM224">
        <v>42432.800000000003</v>
      </c>
      <c r="DN224">
        <v>1.4422999999999999</v>
      </c>
      <c r="DO224">
        <v>2.0687700000000002</v>
      </c>
      <c r="DP224">
        <v>0.137575</v>
      </c>
      <c r="DQ224">
        <v>0.17344999999999999</v>
      </c>
      <c r="DR224">
        <v>24.759499999999999</v>
      </c>
      <c r="DS224">
        <v>24.6492</v>
      </c>
      <c r="DT224">
        <v>30.8</v>
      </c>
      <c r="DU224">
        <v>26.4</v>
      </c>
      <c r="DV224">
        <v>10.7479</v>
      </c>
      <c r="DW224">
        <v>61.985500000000002</v>
      </c>
      <c r="DX224">
        <v>36.6066</v>
      </c>
      <c r="DY224">
        <v>1</v>
      </c>
      <c r="DZ224">
        <v>-0.15030199999999999</v>
      </c>
      <c r="EA224">
        <v>-5.7796800000000002E-2</v>
      </c>
      <c r="EB224">
        <v>20.190899999999999</v>
      </c>
      <c r="EC224">
        <v>5.2415500000000002</v>
      </c>
      <c r="ED224">
        <v>12.039899999999999</v>
      </c>
      <c r="EE224">
        <v>5.0169499999999996</v>
      </c>
      <c r="EF224">
        <v>3.2879999999999998</v>
      </c>
      <c r="EG224">
        <v>9999</v>
      </c>
      <c r="EH224">
        <v>9999</v>
      </c>
      <c r="EI224">
        <v>9999</v>
      </c>
      <c r="EJ224">
        <v>999.9</v>
      </c>
      <c r="EK224">
        <v>1.8688899999999999</v>
      </c>
      <c r="EL224">
        <v>1.86456</v>
      </c>
      <c r="EM224">
        <v>1.8691</v>
      </c>
      <c r="EN224">
        <v>1.86721</v>
      </c>
      <c r="EO224">
        <v>1.8633599999999999</v>
      </c>
      <c r="EP224">
        <v>1.8644700000000001</v>
      </c>
      <c r="EQ224">
        <v>1.87012</v>
      </c>
      <c r="ER224">
        <v>1.8693500000000001</v>
      </c>
      <c r="ES224">
        <v>0</v>
      </c>
      <c r="ET224">
        <v>0</v>
      </c>
      <c r="EU224">
        <v>0</v>
      </c>
      <c r="EV224">
        <v>0</v>
      </c>
      <c r="EW224" t="s">
        <v>334</v>
      </c>
      <c r="EX224" t="s">
        <v>335</v>
      </c>
      <c r="EY224" t="s">
        <v>336</v>
      </c>
      <c r="EZ224" t="s">
        <v>336</v>
      </c>
      <c r="FA224" t="s">
        <v>336</v>
      </c>
      <c r="FB224" t="s">
        <v>336</v>
      </c>
      <c r="FC224">
        <v>0</v>
      </c>
      <c r="FD224">
        <v>100</v>
      </c>
      <c r="FE224">
        <v>100</v>
      </c>
      <c r="FF224">
        <v>-1.1919999999999999</v>
      </c>
      <c r="FG224">
        <v>0.1782</v>
      </c>
      <c r="FH224">
        <v>-0.98020551812546231</v>
      </c>
      <c r="FI224">
        <v>-6.1462078757559423E-4</v>
      </c>
      <c r="FJ224">
        <v>-1.8861989874597051E-7</v>
      </c>
      <c r="FK224">
        <v>1.1980462299894961E-10</v>
      </c>
      <c r="FL224">
        <v>0.1782306200647516</v>
      </c>
      <c r="FM224">
        <v>0</v>
      </c>
      <c r="FN224">
        <v>0</v>
      </c>
      <c r="FO224">
        <v>0</v>
      </c>
      <c r="FP224">
        <v>3</v>
      </c>
      <c r="FQ224">
        <v>2158</v>
      </c>
      <c r="FR224">
        <v>1</v>
      </c>
      <c r="FS224">
        <v>19</v>
      </c>
      <c r="FT224">
        <v>36.6</v>
      </c>
      <c r="FU224">
        <v>36.9</v>
      </c>
      <c r="FV224">
        <v>1.7785599999999999</v>
      </c>
      <c r="FW224">
        <v>2.5537100000000001</v>
      </c>
      <c r="FX224">
        <v>1.5490699999999999</v>
      </c>
      <c r="FY224">
        <v>2.34009</v>
      </c>
      <c r="FZ224">
        <v>1.50146</v>
      </c>
      <c r="GA224">
        <v>2.2802699999999998</v>
      </c>
      <c r="GB224">
        <v>31.498799999999999</v>
      </c>
      <c r="GC224">
        <v>23.982399999999998</v>
      </c>
      <c r="GD224">
        <v>19</v>
      </c>
      <c r="GE224">
        <v>265.75200000000001</v>
      </c>
      <c r="GF224">
        <v>601.76499999999999</v>
      </c>
      <c r="GG224">
        <v>24.354900000000001</v>
      </c>
      <c r="GH224">
        <v>25.5246</v>
      </c>
      <c r="GI224">
        <v>30.000299999999999</v>
      </c>
      <c r="GJ224">
        <v>25.639800000000001</v>
      </c>
      <c r="GK224">
        <v>25.608499999999999</v>
      </c>
      <c r="GL224">
        <v>35.558999999999997</v>
      </c>
      <c r="GM224">
        <v>-30</v>
      </c>
      <c r="GN224">
        <v>-30</v>
      </c>
      <c r="GO224">
        <v>24.36</v>
      </c>
      <c r="GP224">
        <v>800</v>
      </c>
      <c r="GQ224">
        <v>12.5298</v>
      </c>
      <c r="GR224">
        <v>99.644499999999994</v>
      </c>
      <c r="GS224">
        <v>99.295599999999993</v>
      </c>
    </row>
    <row r="225" spans="1:201" x14ac:dyDescent="0.25">
      <c r="A225">
        <v>209</v>
      </c>
      <c r="B225">
        <v>1690202975.5999999</v>
      </c>
      <c r="C225">
        <v>2128.599999904633</v>
      </c>
      <c r="D225" t="s">
        <v>751</v>
      </c>
      <c r="E225" t="s">
        <v>752</v>
      </c>
      <c r="F225" t="s">
        <v>330</v>
      </c>
      <c r="H225">
        <v>1690202975.5999999</v>
      </c>
      <c r="I225">
        <f t="shared" si="90"/>
        <v>1.8170825901012719E-3</v>
      </c>
      <c r="J225">
        <f t="shared" si="91"/>
        <v>1.8170825901012719</v>
      </c>
      <c r="K225">
        <f t="shared" si="92"/>
        <v>42.841772362765468</v>
      </c>
      <c r="L225">
        <f t="shared" si="93"/>
        <v>318.16500000000002</v>
      </c>
      <c r="M225">
        <f t="shared" si="94"/>
        <v>-11.209699554400252</v>
      </c>
      <c r="N225">
        <f t="shared" si="95"/>
        <v>-1.1110562361543881</v>
      </c>
      <c r="O225">
        <f t="shared" si="96"/>
        <v>31.535118819245998</v>
      </c>
      <c r="P225">
        <f t="shared" si="97"/>
        <v>0.21996573612708295</v>
      </c>
      <c r="Q225">
        <f t="shared" si="98"/>
        <v>2.0795378672765068</v>
      </c>
      <c r="R225">
        <f t="shared" si="99"/>
        <v>0.20780877118745147</v>
      </c>
      <c r="S225">
        <f t="shared" si="100"/>
        <v>0.13091671578688777</v>
      </c>
      <c r="T225">
        <f t="shared" si="101"/>
        <v>276.11438765465761</v>
      </c>
      <c r="U225">
        <f t="shared" si="102"/>
        <v>27.471479289410333</v>
      </c>
      <c r="V225">
        <f t="shared" si="103"/>
        <v>27.471479289410333</v>
      </c>
      <c r="W225">
        <f t="shared" si="104"/>
        <v>3.6794767711839107</v>
      </c>
      <c r="X225">
        <f t="shared" si="105"/>
        <v>84.775381195440659</v>
      </c>
      <c r="Y225">
        <f t="shared" si="106"/>
        <v>2.8413175259870793</v>
      </c>
      <c r="Z225">
        <f t="shared" si="107"/>
        <v>3.351583308645611</v>
      </c>
      <c r="AA225">
        <f t="shared" si="108"/>
        <v>0.83815924519683138</v>
      </c>
      <c r="AB225">
        <f t="shared" si="109"/>
        <v>-80.133342223466087</v>
      </c>
      <c r="AC225">
        <f t="shared" si="110"/>
        <v>-177.74011503009771</v>
      </c>
      <c r="AD225">
        <f t="shared" si="111"/>
        <v>-18.386577144334687</v>
      </c>
      <c r="AE225">
        <f t="shared" si="112"/>
        <v>-0.14564674324088855</v>
      </c>
      <c r="AF225">
        <v>13</v>
      </c>
      <c r="AG225">
        <v>4</v>
      </c>
      <c r="AH225">
        <f t="shared" si="113"/>
        <v>1</v>
      </c>
      <c r="AI225">
        <f t="shared" si="114"/>
        <v>0</v>
      </c>
      <c r="AJ225">
        <f t="shared" si="115"/>
        <v>52510.893529498047</v>
      </c>
      <c r="AK225">
        <f t="shared" si="116"/>
        <v>1799.99</v>
      </c>
      <c r="AL225">
        <f t="shared" si="117"/>
        <v>1499.1015098120101</v>
      </c>
      <c r="AM225">
        <f t="shared" si="118"/>
        <v>0.83283879900000002</v>
      </c>
      <c r="AN225">
        <f t="shared" si="119"/>
        <v>0.15339773424</v>
      </c>
      <c r="AO225">
        <v>33.299999999999997</v>
      </c>
      <c r="AP225">
        <v>0.5</v>
      </c>
      <c r="AQ225" t="s">
        <v>331</v>
      </c>
      <c r="AR225">
        <v>2</v>
      </c>
      <c r="AS225">
        <v>1690202975.5999999</v>
      </c>
      <c r="AT225">
        <v>318.16500000000002</v>
      </c>
      <c r="AU225">
        <v>799.98299999999995</v>
      </c>
      <c r="AV225">
        <v>28.666699999999999</v>
      </c>
      <c r="AW225">
        <v>9.0810899999999997</v>
      </c>
      <c r="AX225">
        <v>319.35700000000003</v>
      </c>
      <c r="AY225">
        <v>28.488499999999998</v>
      </c>
      <c r="AZ225">
        <v>300.089</v>
      </c>
      <c r="BA225">
        <v>99.015699999999995</v>
      </c>
      <c r="BB225">
        <v>9.9912399999999998E-2</v>
      </c>
      <c r="BC225">
        <v>25.886099999999999</v>
      </c>
      <c r="BD225">
        <v>27.004300000000001</v>
      </c>
      <c r="BE225">
        <v>27.465</v>
      </c>
      <c r="BF225">
        <v>0</v>
      </c>
      <c r="BG225">
        <v>0</v>
      </c>
      <c r="BH225">
        <v>9991.8799999999992</v>
      </c>
      <c r="BI225">
        <v>1074.8599999999999</v>
      </c>
      <c r="BJ225">
        <v>1.5137799999999999</v>
      </c>
      <c r="BK225">
        <v>-481.81700000000001</v>
      </c>
      <c r="BL225">
        <v>327.55500000000001</v>
      </c>
      <c r="BM225">
        <v>807.31399999999996</v>
      </c>
      <c r="BN225">
        <v>19.585599999999999</v>
      </c>
      <c r="BO225">
        <v>799.98299999999995</v>
      </c>
      <c r="BP225">
        <v>9.0810899999999997</v>
      </c>
      <c r="BQ225">
        <v>2.83846</v>
      </c>
      <c r="BR225">
        <v>0.89917000000000002</v>
      </c>
      <c r="BS225">
        <v>23.109500000000001</v>
      </c>
      <c r="BT225">
        <v>5.3774699999999998</v>
      </c>
      <c r="BU225">
        <v>1799.99</v>
      </c>
      <c r="BV225">
        <v>0.90998599999999996</v>
      </c>
      <c r="BW225">
        <v>3.4008299999999998E-2</v>
      </c>
      <c r="BX225">
        <v>2.20027E-2</v>
      </c>
      <c r="BY225">
        <v>3.4003199999999997E-2</v>
      </c>
      <c r="BZ225">
        <v>25</v>
      </c>
      <c r="CA225">
        <v>33528.1</v>
      </c>
      <c r="CB225">
        <v>1690200769.5</v>
      </c>
      <c r="CC225" t="s">
        <v>332</v>
      </c>
      <c r="CD225">
        <v>1690200769.5</v>
      </c>
      <c r="CE225">
        <v>1690200753</v>
      </c>
      <c r="CF225">
        <v>2</v>
      </c>
      <c r="CG225">
        <v>-0.245</v>
      </c>
      <c r="CH225">
        <v>3.0000000000000001E-3</v>
      </c>
      <c r="CI225">
        <v>-1.5169999999999999</v>
      </c>
      <c r="CJ225">
        <v>-1.6E-2</v>
      </c>
      <c r="CK225">
        <v>778</v>
      </c>
      <c r="CL225">
        <v>12</v>
      </c>
      <c r="CM225">
        <v>0.01</v>
      </c>
      <c r="CN225">
        <v>0.03</v>
      </c>
      <c r="CO225">
        <v>-481.62880000000013</v>
      </c>
      <c r="CP225">
        <v>-1.8260487804873271</v>
      </c>
      <c r="CQ225">
        <v>0.18409511128761841</v>
      </c>
      <c r="CR225">
        <v>-1</v>
      </c>
      <c r="CS225">
        <v>19.567162499999998</v>
      </c>
      <c r="CT225">
        <v>0.1002810506566184</v>
      </c>
      <c r="CU225">
        <v>9.7027492882169261E-3</v>
      </c>
      <c r="CV225">
        <v>-1</v>
      </c>
      <c r="CW225">
        <v>0</v>
      </c>
      <c r="CX225">
        <v>0</v>
      </c>
      <c r="CY225" t="s">
        <v>333</v>
      </c>
      <c r="CZ225">
        <v>2.3650099999999998</v>
      </c>
      <c r="DA225">
        <v>2.7136999999999998</v>
      </c>
      <c r="DB225">
        <v>7.5112700000000004E-2</v>
      </c>
      <c r="DC225">
        <v>0.14629600000000001</v>
      </c>
      <c r="DD225">
        <v>0.12912699999999999</v>
      </c>
      <c r="DE225">
        <v>5.4971199999999998E-2</v>
      </c>
      <c r="DF225">
        <v>33746.400000000001</v>
      </c>
      <c r="DG225">
        <v>27453.1</v>
      </c>
      <c r="DH225">
        <v>31146.400000000001</v>
      </c>
      <c r="DI225">
        <v>28018.400000000001</v>
      </c>
      <c r="DJ225">
        <v>36801.599999999999</v>
      </c>
      <c r="DK225">
        <v>37624.300000000003</v>
      </c>
      <c r="DL225">
        <v>44316.2</v>
      </c>
      <c r="DM225">
        <v>42433.3</v>
      </c>
      <c r="DN225">
        <v>1.4422999999999999</v>
      </c>
      <c r="DO225">
        <v>2.0686</v>
      </c>
      <c r="DP225">
        <v>0.137016</v>
      </c>
      <c r="DQ225">
        <v>0.17203399999999999</v>
      </c>
      <c r="DR225">
        <v>24.759499999999999</v>
      </c>
      <c r="DS225">
        <v>24.647200000000002</v>
      </c>
      <c r="DT225">
        <v>30.8</v>
      </c>
      <c r="DU225">
        <v>26.4</v>
      </c>
      <c r="DV225">
        <v>10.747299999999999</v>
      </c>
      <c r="DW225">
        <v>61.555500000000002</v>
      </c>
      <c r="DX225">
        <v>35.897399999999998</v>
      </c>
      <c r="DY225">
        <v>1</v>
      </c>
      <c r="DZ225">
        <v>-0.149947</v>
      </c>
      <c r="EA225">
        <v>-4.6527800000000001E-2</v>
      </c>
      <c r="EB225">
        <v>20.190799999999999</v>
      </c>
      <c r="EC225">
        <v>5.2413999999999996</v>
      </c>
      <c r="ED225">
        <v>12.039899999999999</v>
      </c>
      <c r="EE225">
        <v>5.0175000000000001</v>
      </c>
      <c r="EF225">
        <v>3.2879999999999998</v>
      </c>
      <c r="EG225">
        <v>9999</v>
      </c>
      <c r="EH225">
        <v>9999</v>
      </c>
      <c r="EI225">
        <v>9999</v>
      </c>
      <c r="EJ225">
        <v>999.9</v>
      </c>
      <c r="EK225">
        <v>1.8688800000000001</v>
      </c>
      <c r="EL225">
        <v>1.86453</v>
      </c>
      <c r="EM225">
        <v>1.8690899999999999</v>
      </c>
      <c r="EN225">
        <v>1.86717</v>
      </c>
      <c r="EO225">
        <v>1.8633299999999999</v>
      </c>
      <c r="EP225">
        <v>1.8644700000000001</v>
      </c>
      <c r="EQ225">
        <v>1.87012</v>
      </c>
      <c r="ER225">
        <v>1.8693500000000001</v>
      </c>
      <c r="ES225">
        <v>0</v>
      </c>
      <c r="ET225">
        <v>0</v>
      </c>
      <c r="EU225">
        <v>0</v>
      </c>
      <c r="EV225">
        <v>0</v>
      </c>
      <c r="EW225" t="s">
        <v>334</v>
      </c>
      <c r="EX225" t="s">
        <v>335</v>
      </c>
      <c r="EY225" t="s">
        <v>336</v>
      </c>
      <c r="EZ225" t="s">
        <v>336</v>
      </c>
      <c r="FA225" t="s">
        <v>336</v>
      </c>
      <c r="FB225" t="s">
        <v>336</v>
      </c>
      <c r="FC225">
        <v>0</v>
      </c>
      <c r="FD225">
        <v>100</v>
      </c>
      <c r="FE225">
        <v>100</v>
      </c>
      <c r="FF225">
        <v>-1.1919999999999999</v>
      </c>
      <c r="FG225">
        <v>0.1782</v>
      </c>
      <c r="FH225">
        <v>-0.98020551812546231</v>
      </c>
      <c r="FI225">
        <v>-6.1462078757559423E-4</v>
      </c>
      <c r="FJ225">
        <v>-1.8861989874597051E-7</v>
      </c>
      <c r="FK225">
        <v>1.1980462299894961E-10</v>
      </c>
      <c r="FL225">
        <v>0.1782306200647516</v>
      </c>
      <c r="FM225">
        <v>0</v>
      </c>
      <c r="FN225">
        <v>0</v>
      </c>
      <c r="FO225">
        <v>0</v>
      </c>
      <c r="FP225">
        <v>3</v>
      </c>
      <c r="FQ225">
        <v>2158</v>
      </c>
      <c r="FR225">
        <v>1</v>
      </c>
      <c r="FS225">
        <v>19</v>
      </c>
      <c r="FT225">
        <v>36.799999999999997</v>
      </c>
      <c r="FU225">
        <v>37</v>
      </c>
      <c r="FV225">
        <v>1.7785599999999999</v>
      </c>
      <c r="FW225">
        <v>2.5476100000000002</v>
      </c>
      <c r="FX225">
        <v>1.5490699999999999</v>
      </c>
      <c r="FY225">
        <v>2.34009</v>
      </c>
      <c r="FZ225">
        <v>1.50146</v>
      </c>
      <c r="GA225">
        <v>2.3327599999999999</v>
      </c>
      <c r="GB225">
        <v>31.498799999999999</v>
      </c>
      <c r="GC225">
        <v>23.982399999999998</v>
      </c>
      <c r="GD225">
        <v>19</v>
      </c>
      <c r="GE225">
        <v>265.76100000000002</v>
      </c>
      <c r="GF225">
        <v>601.62800000000004</v>
      </c>
      <c r="GG225">
        <v>24.358799999999999</v>
      </c>
      <c r="GH225">
        <v>25.525099999999998</v>
      </c>
      <c r="GI225">
        <v>30.0002</v>
      </c>
      <c r="GJ225">
        <v>25.6419</v>
      </c>
      <c r="GK225">
        <v>25.609400000000001</v>
      </c>
      <c r="GL225">
        <v>35.557400000000001</v>
      </c>
      <c r="GM225">
        <v>-30</v>
      </c>
      <c r="GN225">
        <v>-30</v>
      </c>
      <c r="GO225">
        <v>24.357700000000001</v>
      </c>
      <c r="GP225">
        <v>800</v>
      </c>
      <c r="GQ225">
        <v>12.5298</v>
      </c>
      <c r="GR225">
        <v>99.644499999999994</v>
      </c>
      <c r="GS225">
        <v>99.296800000000005</v>
      </c>
    </row>
    <row r="226" spans="1:201" x14ac:dyDescent="0.25">
      <c r="A226">
        <v>210</v>
      </c>
      <c r="B226">
        <v>1690202985.5999999</v>
      </c>
      <c r="C226">
        <v>2138.599999904633</v>
      </c>
      <c r="D226" t="s">
        <v>753</v>
      </c>
      <c r="E226" t="s">
        <v>754</v>
      </c>
      <c r="F226" t="s">
        <v>330</v>
      </c>
      <c r="H226">
        <v>1690202985.5999999</v>
      </c>
      <c r="I226">
        <f t="shared" si="90"/>
        <v>1.8190997149279942E-3</v>
      </c>
      <c r="J226">
        <f t="shared" si="91"/>
        <v>1.8190997149279942</v>
      </c>
      <c r="K226">
        <f t="shared" si="92"/>
        <v>42.881531731151213</v>
      </c>
      <c r="L226">
        <f t="shared" si="93"/>
        <v>317.77600000000001</v>
      </c>
      <c r="M226">
        <f t="shared" si="94"/>
        <v>-10.089283818375867</v>
      </c>
      <c r="N226">
        <f t="shared" si="95"/>
        <v>-0.99999573553400622</v>
      </c>
      <c r="O226">
        <f t="shared" si="96"/>
        <v>31.496253904195203</v>
      </c>
      <c r="P226">
        <f t="shared" si="97"/>
        <v>0.22123663181785883</v>
      </c>
      <c r="Q226">
        <f t="shared" si="98"/>
        <v>2.0817601040988012</v>
      </c>
      <c r="R226">
        <f t="shared" si="99"/>
        <v>0.20895533818565651</v>
      </c>
      <c r="S226">
        <f t="shared" si="100"/>
        <v>0.13164366668325714</v>
      </c>
      <c r="T226">
        <f t="shared" si="101"/>
        <v>276.11411438017575</v>
      </c>
      <c r="U226">
        <f t="shared" si="102"/>
        <v>27.457240912407855</v>
      </c>
      <c r="V226">
        <f t="shared" si="103"/>
        <v>27.457240912407855</v>
      </c>
      <c r="W226">
        <f t="shared" si="104"/>
        <v>3.6764117036381223</v>
      </c>
      <c r="X226">
        <f t="shared" si="105"/>
        <v>84.853761693468371</v>
      </c>
      <c r="Y226">
        <f t="shared" si="106"/>
        <v>2.8419239899186204</v>
      </c>
      <c r="Z226">
        <f t="shared" si="107"/>
        <v>3.3492021251632709</v>
      </c>
      <c r="AA226">
        <f t="shared" si="108"/>
        <v>0.83448771371950192</v>
      </c>
      <c r="AB226">
        <f t="shared" si="109"/>
        <v>-80.222297428324538</v>
      </c>
      <c r="AC226">
        <f t="shared" si="110"/>
        <v>-177.67883456935718</v>
      </c>
      <c r="AD226">
        <f t="shared" si="111"/>
        <v>-18.358205776700199</v>
      </c>
      <c r="AE226">
        <f t="shared" si="112"/>
        <v>-0.14522339420614117</v>
      </c>
      <c r="AF226">
        <v>13</v>
      </c>
      <c r="AG226">
        <v>4</v>
      </c>
      <c r="AH226">
        <f t="shared" si="113"/>
        <v>1</v>
      </c>
      <c r="AI226">
        <f t="shared" si="114"/>
        <v>0</v>
      </c>
      <c r="AJ226">
        <f t="shared" si="115"/>
        <v>52613.377583395813</v>
      </c>
      <c r="AK226">
        <f t="shared" si="116"/>
        <v>1799.99</v>
      </c>
      <c r="AL226">
        <f t="shared" si="117"/>
        <v>1499.1009842149299</v>
      </c>
      <c r="AM226">
        <f t="shared" si="118"/>
        <v>0.83283850699999995</v>
      </c>
      <c r="AN226">
        <f t="shared" si="119"/>
        <v>0.15339758241999998</v>
      </c>
      <c r="AO226">
        <v>33.299999999999997</v>
      </c>
      <c r="AP226">
        <v>0.5</v>
      </c>
      <c r="AQ226" t="s">
        <v>331</v>
      </c>
      <c r="AR226">
        <v>2</v>
      </c>
      <c r="AS226">
        <v>1690202985.5999999</v>
      </c>
      <c r="AT226">
        <v>317.77600000000001</v>
      </c>
      <c r="AU226">
        <v>799.92200000000003</v>
      </c>
      <c r="AV226">
        <v>28.673100000000002</v>
      </c>
      <c r="AW226">
        <v>9.0704499999999992</v>
      </c>
      <c r="AX226">
        <v>318.96800000000002</v>
      </c>
      <c r="AY226">
        <v>28.494900000000001</v>
      </c>
      <c r="AZ226">
        <v>300.15899999999999</v>
      </c>
      <c r="BA226">
        <v>99.014700000000005</v>
      </c>
      <c r="BB226">
        <v>9.9940200000000007E-2</v>
      </c>
      <c r="BC226">
        <v>25.874099999999999</v>
      </c>
      <c r="BD226">
        <v>26.994</v>
      </c>
      <c r="BE226">
        <v>27.453600000000002</v>
      </c>
      <c r="BF226">
        <v>0</v>
      </c>
      <c r="BG226">
        <v>0</v>
      </c>
      <c r="BH226">
        <v>10011.9</v>
      </c>
      <c r="BI226">
        <v>1074.73</v>
      </c>
      <c r="BJ226">
        <v>1.1914</v>
      </c>
      <c r="BK226">
        <v>-482.14600000000002</v>
      </c>
      <c r="BL226">
        <v>327.15699999999998</v>
      </c>
      <c r="BM226">
        <v>807.24400000000003</v>
      </c>
      <c r="BN226">
        <v>19.602699999999999</v>
      </c>
      <c r="BO226">
        <v>799.92200000000003</v>
      </c>
      <c r="BP226">
        <v>9.0704499999999992</v>
      </c>
      <c r="BQ226">
        <v>2.8390599999999999</v>
      </c>
      <c r="BR226">
        <v>0.89810699999999999</v>
      </c>
      <c r="BS226">
        <v>23.113</v>
      </c>
      <c r="BT226">
        <v>5.3604500000000002</v>
      </c>
      <c r="BU226">
        <v>1799.99</v>
      </c>
      <c r="BV226">
        <v>0.90998800000000002</v>
      </c>
      <c r="BW226">
        <v>3.4007299999999997E-2</v>
      </c>
      <c r="BX226">
        <v>2.20021E-2</v>
      </c>
      <c r="BY226">
        <v>3.4002200000000003E-2</v>
      </c>
      <c r="BZ226">
        <v>25</v>
      </c>
      <c r="CA226">
        <v>33528.1</v>
      </c>
      <c r="CB226">
        <v>1690200769.5</v>
      </c>
      <c r="CC226" t="s">
        <v>332</v>
      </c>
      <c r="CD226">
        <v>1690200769.5</v>
      </c>
      <c r="CE226">
        <v>1690200753</v>
      </c>
      <c r="CF226">
        <v>2</v>
      </c>
      <c r="CG226">
        <v>-0.245</v>
      </c>
      <c r="CH226">
        <v>3.0000000000000001E-3</v>
      </c>
      <c r="CI226">
        <v>-1.5169999999999999</v>
      </c>
      <c r="CJ226">
        <v>-1.6E-2</v>
      </c>
      <c r="CK226">
        <v>778</v>
      </c>
      <c r="CL226">
        <v>12</v>
      </c>
      <c r="CM226">
        <v>0.01</v>
      </c>
      <c r="CN226">
        <v>0.03</v>
      </c>
      <c r="CO226">
        <v>-481.87310000000002</v>
      </c>
      <c r="CP226">
        <v>-1.1569756097537709</v>
      </c>
      <c r="CQ226">
        <v>0.12824601358326809</v>
      </c>
      <c r="CR226">
        <v>-1</v>
      </c>
      <c r="CS226">
        <v>19.584787500000001</v>
      </c>
      <c r="CT226">
        <v>0.112519699812326</v>
      </c>
      <c r="CU226">
        <v>1.087290640767245E-2</v>
      </c>
      <c r="CV226">
        <v>-1</v>
      </c>
      <c r="CW226">
        <v>0</v>
      </c>
      <c r="CX226">
        <v>0</v>
      </c>
      <c r="CY226" t="s">
        <v>333</v>
      </c>
      <c r="CZ226">
        <v>2.3652299999999999</v>
      </c>
      <c r="DA226">
        <v>2.71374</v>
      </c>
      <c r="DB226">
        <v>7.5038300000000002E-2</v>
      </c>
      <c r="DC226">
        <v>0.146286</v>
      </c>
      <c r="DD226">
        <v>0.12914600000000001</v>
      </c>
      <c r="DE226">
        <v>5.4920400000000001E-2</v>
      </c>
      <c r="DF226">
        <v>33749.4</v>
      </c>
      <c r="DG226">
        <v>27453.599999999999</v>
      </c>
      <c r="DH226">
        <v>31146.7</v>
      </c>
      <c r="DI226">
        <v>28018.6</v>
      </c>
      <c r="DJ226">
        <v>36801.199999999997</v>
      </c>
      <c r="DK226">
        <v>37626.6</v>
      </c>
      <c r="DL226">
        <v>44316.6</v>
      </c>
      <c r="DM226">
        <v>42433.7</v>
      </c>
      <c r="DN226">
        <v>1.4427000000000001</v>
      </c>
      <c r="DO226">
        <v>2.0686200000000001</v>
      </c>
      <c r="DP226">
        <v>0.136383</v>
      </c>
      <c r="DQ226">
        <v>0.17121400000000001</v>
      </c>
      <c r="DR226">
        <v>24.759499999999999</v>
      </c>
      <c r="DS226">
        <v>24.6492</v>
      </c>
      <c r="DT226">
        <v>30.7</v>
      </c>
      <c r="DU226">
        <v>26.4</v>
      </c>
      <c r="DV226">
        <v>10.7128</v>
      </c>
      <c r="DW226">
        <v>61.8155</v>
      </c>
      <c r="DX226">
        <v>36.963099999999997</v>
      </c>
      <c r="DY226">
        <v>1</v>
      </c>
      <c r="DZ226">
        <v>-0.15018799999999999</v>
      </c>
      <c r="EA226">
        <v>-2.1146499999999999E-2</v>
      </c>
      <c r="EB226">
        <v>20.191099999999999</v>
      </c>
      <c r="EC226">
        <v>5.24125</v>
      </c>
      <c r="ED226">
        <v>12.039899999999999</v>
      </c>
      <c r="EE226">
        <v>5.0175999999999998</v>
      </c>
      <c r="EF226">
        <v>3.2879999999999998</v>
      </c>
      <c r="EG226">
        <v>9999</v>
      </c>
      <c r="EH226">
        <v>9999</v>
      </c>
      <c r="EI226">
        <v>9999</v>
      </c>
      <c r="EJ226">
        <v>999.9</v>
      </c>
      <c r="EK226">
        <v>1.86886</v>
      </c>
      <c r="EL226">
        <v>1.86456</v>
      </c>
      <c r="EM226">
        <v>1.8691</v>
      </c>
      <c r="EN226">
        <v>1.8672</v>
      </c>
      <c r="EO226">
        <v>1.8633500000000001</v>
      </c>
      <c r="EP226">
        <v>1.8644700000000001</v>
      </c>
      <c r="EQ226">
        <v>1.87012</v>
      </c>
      <c r="ER226">
        <v>1.8693500000000001</v>
      </c>
      <c r="ES226">
        <v>0</v>
      </c>
      <c r="ET226">
        <v>0</v>
      </c>
      <c r="EU226">
        <v>0</v>
      </c>
      <c r="EV226">
        <v>0</v>
      </c>
      <c r="EW226" t="s">
        <v>334</v>
      </c>
      <c r="EX226" t="s">
        <v>335</v>
      </c>
      <c r="EY226" t="s">
        <v>336</v>
      </c>
      <c r="EZ226" t="s">
        <v>336</v>
      </c>
      <c r="FA226" t="s">
        <v>336</v>
      </c>
      <c r="FB226" t="s">
        <v>336</v>
      </c>
      <c r="FC226">
        <v>0</v>
      </c>
      <c r="FD226">
        <v>100</v>
      </c>
      <c r="FE226">
        <v>100</v>
      </c>
      <c r="FF226">
        <v>-1.1919999999999999</v>
      </c>
      <c r="FG226">
        <v>0.1782</v>
      </c>
      <c r="FH226">
        <v>-0.98020551812546231</v>
      </c>
      <c r="FI226">
        <v>-6.1462078757559423E-4</v>
      </c>
      <c r="FJ226">
        <v>-1.8861989874597051E-7</v>
      </c>
      <c r="FK226">
        <v>1.1980462299894961E-10</v>
      </c>
      <c r="FL226">
        <v>0.1782306200647516</v>
      </c>
      <c r="FM226">
        <v>0</v>
      </c>
      <c r="FN226">
        <v>0</v>
      </c>
      <c r="FO226">
        <v>0</v>
      </c>
      <c r="FP226">
        <v>3</v>
      </c>
      <c r="FQ226">
        <v>2158</v>
      </c>
      <c r="FR226">
        <v>1</v>
      </c>
      <c r="FS226">
        <v>19</v>
      </c>
      <c r="FT226">
        <v>36.9</v>
      </c>
      <c r="FU226">
        <v>37.200000000000003</v>
      </c>
      <c r="FV226">
        <v>1.7785599999999999</v>
      </c>
      <c r="FW226">
        <v>2.5500500000000001</v>
      </c>
      <c r="FX226">
        <v>1.5490699999999999</v>
      </c>
      <c r="FY226">
        <v>2.34009</v>
      </c>
      <c r="FZ226">
        <v>1.50146</v>
      </c>
      <c r="GA226">
        <v>2.32178</v>
      </c>
      <c r="GB226">
        <v>31.520600000000002</v>
      </c>
      <c r="GC226">
        <v>23.982399999999998</v>
      </c>
      <c r="GD226">
        <v>19</v>
      </c>
      <c r="GE226">
        <v>265.92700000000002</v>
      </c>
      <c r="GF226">
        <v>601.66300000000001</v>
      </c>
      <c r="GG226">
        <v>24.351199999999999</v>
      </c>
      <c r="GH226">
        <v>25.526800000000001</v>
      </c>
      <c r="GI226">
        <v>30</v>
      </c>
      <c r="GJ226">
        <v>25.643000000000001</v>
      </c>
      <c r="GK226">
        <v>25.610600000000002</v>
      </c>
      <c r="GL226">
        <v>35.56</v>
      </c>
      <c r="GM226">
        <v>-30</v>
      </c>
      <c r="GN226">
        <v>-30</v>
      </c>
      <c r="GO226">
        <v>24.355</v>
      </c>
      <c r="GP226">
        <v>800</v>
      </c>
      <c r="GQ226">
        <v>12.5298</v>
      </c>
      <c r="GR226">
        <v>99.645499999999998</v>
      </c>
      <c r="GS226">
        <v>99.297600000000003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IGB</cp:lastModifiedBy>
  <dcterms:created xsi:type="dcterms:W3CDTF">2023-07-24T12:52:12Z</dcterms:created>
  <dcterms:modified xsi:type="dcterms:W3CDTF">2023-07-24T22:20:35Z</dcterms:modified>
</cp:coreProperties>
</file>