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6" i="1" l="1"/>
  <c r="AM226" i="1"/>
  <c r="AK226" i="1"/>
  <c r="AL226" i="1" s="1"/>
  <c r="AJ226" i="1"/>
  <c r="AH226" i="1"/>
  <c r="Z226" i="1"/>
  <c r="Y226" i="1"/>
  <c r="X226" i="1"/>
  <c r="Q226" i="1"/>
  <c r="AN225" i="1"/>
  <c r="AM225" i="1"/>
  <c r="AK225" i="1"/>
  <c r="AL225" i="1" s="1"/>
  <c r="AJ225" i="1"/>
  <c r="AH225" i="1"/>
  <c r="L225" i="1" s="1"/>
  <c r="Z225" i="1"/>
  <c r="Y225" i="1"/>
  <c r="X225" i="1"/>
  <c r="Q225" i="1"/>
  <c r="O225" i="1"/>
  <c r="AN224" i="1"/>
  <c r="AM224" i="1"/>
  <c r="AL224" i="1"/>
  <c r="AK224" i="1"/>
  <c r="AJ224" i="1"/>
  <c r="AH224" i="1"/>
  <c r="J224" i="1" s="1"/>
  <c r="I224" i="1" s="1"/>
  <c r="AB224" i="1"/>
  <c r="Z224" i="1"/>
  <c r="Y224" i="1"/>
  <c r="X224" i="1"/>
  <c r="T224" i="1"/>
  <c r="Q224" i="1"/>
  <c r="O224" i="1"/>
  <c r="L224" i="1"/>
  <c r="K224" i="1"/>
  <c r="AN223" i="1"/>
  <c r="AM223" i="1"/>
  <c r="AK223" i="1"/>
  <c r="AL223" i="1" s="1"/>
  <c r="AJ223" i="1"/>
  <c r="AH223" i="1" s="1"/>
  <c r="Z223" i="1"/>
  <c r="Y223" i="1"/>
  <c r="Q223" i="1"/>
  <c r="J223" i="1"/>
  <c r="I223" i="1" s="1"/>
  <c r="AN222" i="1"/>
  <c r="AM222" i="1"/>
  <c r="AK222" i="1"/>
  <c r="AL222" i="1" s="1"/>
  <c r="AJ222" i="1"/>
  <c r="AH222" i="1"/>
  <c r="Z222" i="1"/>
  <c r="Y222" i="1"/>
  <c r="X222" i="1"/>
  <c r="Q222" i="1"/>
  <c r="AN221" i="1"/>
  <c r="AM221" i="1"/>
  <c r="AK221" i="1"/>
  <c r="AL221" i="1" s="1"/>
  <c r="AJ221" i="1"/>
  <c r="AI221" i="1"/>
  <c r="AH221" i="1"/>
  <c r="L221" i="1" s="1"/>
  <c r="Z221" i="1"/>
  <c r="Y221" i="1"/>
  <c r="X221" i="1" s="1"/>
  <c r="Q221" i="1"/>
  <c r="O221" i="1"/>
  <c r="K221" i="1"/>
  <c r="AN220" i="1"/>
  <c r="AM220" i="1"/>
  <c r="AL220" i="1"/>
  <c r="AK220" i="1"/>
  <c r="AJ220" i="1"/>
  <c r="AI220" i="1"/>
  <c r="AH220" i="1"/>
  <c r="J220" i="1" s="1"/>
  <c r="I220" i="1" s="1"/>
  <c r="AB220" i="1"/>
  <c r="Z220" i="1"/>
  <c r="Y220" i="1"/>
  <c r="X220" i="1" s="1"/>
  <c r="T220" i="1"/>
  <c r="Q220" i="1"/>
  <c r="O220" i="1"/>
  <c r="L220" i="1"/>
  <c r="K220" i="1"/>
  <c r="AN219" i="1"/>
  <c r="AM219" i="1"/>
  <c r="AK219" i="1"/>
  <c r="AL219" i="1" s="1"/>
  <c r="AJ219" i="1"/>
  <c r="AH219" i="1" s="1"/>
  <c r="Z219" i="1"/>
  <c r="Y219" i="1"/>
  <c r="Q219" i="1"/>
  <c r="J219" i="1"/>
  <c r="I219" i="1" s="1"/>
  <c r="AN218" i="1"/>
  <c r="AM218" i="1"/>
  <c r="AK218" i="1"/>
  <c r="AL218" i="1" s="1"/>
  <c r="AJ218" i="1"/>
  <c r="AH218" i="1"/>
  <c r="Z218" i="1"/>
  <c r="Y218" i="1"/>
  <c r="X218" i="1"/>
  <c r="Q218" i="1"/>
  <c r="AN217" i="1"/>
  <c r="AM217" i="1"/>
  <c r="AK217" i="1"/>
  <c r="AL217" i="1" s="1"/>
  <c r="AJ217" i="1"/>
  <c r="AI217" i="1"/>
  <c r="AH217" i="1"/>
  <c r="L217" i="1" s="1"/>
  <c r="Z217" i="1"/>
  <c r="Y217" i="1"/>
  <c r="X217" i="1" s="1"/>
  <c r="Q217" i="1"/>
  <c r="O217" i="1"/>
  <c r="K217" i="1"/>
  <c r="AN216" i="1"/>
  <c r="AM216" i="1"/>
  <c r="AL216" i="1"/>
  <c r="AK216" i="1"/>
  <c r="AJ216" i="1"/>
  <c r="AI216" i="1"/>
  <c r="AH216" i="1"/>
  <c r="J216" i="1" s="1"/>
  <c r="I216" i="1" s="1"/>
  <c r="AB216" i="1"/>
  <c r="Z216" i="1"/>
  <c r="Y216" i="1"/>
  <c r="X216" i="1" s="1"/>
  <c r="T216" i="1"/>
  <c r="Q216" i="1"/>
  <c r="O216" i="1"/>
  <c r="L216" i="1"/>
  <c r="K216" i="1"/>
  <c r="AN215" i="1"/>
  <c r="AM215" i="1"/>
  <c r="AK215" i="1"/>
  <c r="AL215" i="1" s="1"/>
  <c r="AJ215" i="1"/>
  <c r="AH215" i="1" s="1"/>
  <c r="Z215" i="1"/>
  <c r="Y215" i="1"/>
  <c r="Q215" i="1"/>
  <c r="J215" i="1"/>
  <c r="I215" i="1" s="1"/>
  <c r="AN214" i="1"/>
  <c r="AM214" i="1"/>
  <c r="AK214" i="1"/>
  <c r="AL214" i="1" s="1"/>
  <c r="AJ214" i="1"/>
  <c r="AH214" i="1"/>
  <c r="Z214" i="1"/>
  <c r="Y214" i="1"/>
  <c r="X214" i="1"/>
  <c r="Q214" i="1"/>
  <c r="AN213" i="1"/>
  <c r="AM213" i="1"/>
  <c r="AK213" i="1"/>
  <c r="AL213" i="1" s="1"/>
  <c r="AJ213" i="1"/>
  <c r="AI213" i="1"/>
  <c r="AH213" i="1"/>
  <c r="L213" i="1" s="1"/>
  <c r="Z213" i="1"/>
  <c r="Y213" i="1"/>
  <c r="X213" i="1" s="1"/>
  <c r="Q213" i="1"/>
  <c r="O213" i="1"/>
  <c r="K213" i="1"/>
  <c r="J213" i="1"/>
  <c r="I213" i="1"/>
  <c r="AB213" i="1" s="1"/>
  <c r="AN212" i="1"/>
  <c r="AM212" i="1"/>
  <c r="AL212" i="1"/>
  <c r="AK212" i="1"/>
  <c r="AJ212" i="1"/>
  <c r="AI212" i="1"/>
  <c r="AH212" i="1"/>
  <c r="AB212" i="1"/>
  <c r="Z212" i="1"/>
  <c r="Y212" i="1"/>
  <c r="X212" i="1" s="1"/>
  <c r="T212" i="1"/>
  <c r="Q212" i="1"/>
  <c r="O212" i="1"/>
  <c r="L212" i="1"/>
  <c r="K212" i="1"/>
  <c r="J212" i="1"/>
  <c r="I212" i="1"/>
  <c r="AN211" i="1"/>
  <c r="AM211" i="1"/>
  <c r="AK211" i="1"/>
  <c r="AL211" i="1" s="1"/>
  <c r="AJ211" i="1"/>
  <c r="AH211" i="1" s="1"/>
  <c r="AI211" i="1"/>
  <c r="Z211" i="1"/>
  <c r="Y211" i="1"/>
  <c r="Q211" i="1"/>
  <c r="AN210" i="1"/>
  <c r="AM210" i="1"/>
  <c r="AK210" i="1"/>
  <c r="AL210" i="1" s="1"/>
  <c r="AJ210" i="1"/>
  <c r="AH210" i="1"/>
  <c r="Z210" i="1"/>
  <c r="Y210" i="1"/>
  <c r="X210" i="1"/>
  <c r="Q210" i="1"/>
  <c r="O210" i="1"/>
  <c r="AN209" i="1"/>
  <c r="AM209" i="1"/>
  <c r="AK209" i="1"/>
  <c r="AJ209" i="1"/>
  <c r="AH209" i="1" s="1"/>
  <c r="Z209" i="1"/>
  <c r="Y209" i="1"/>
  <c r="X209" i="1" s="1"/>
  <c r="Q209" i="1"/>
  <c r="AN208" i="1"/>
  <c r="AM208" i="1"/>
  <c r="AK208" i="1"/>
  <c r="AL208" i="1" s="1"/>
  <c r="AJ208" i="1"/>
  <c r="AI208" i="1"/>
  <c r="AH208" i="1"/>
  <c r="AB208" i="1"/>
  <c r="Z208" i="1"/>
  <c r="Y208" i="1"/>
  <c r="X208" i="1" s="1"/>
  <c r="T208" i="1"/>
  <c r="Q208" i="1"/>
  <c r="O208" i="1"/>
  <c r="L208" i="1"/>
  <c r="K208" i="1"/>
  <c r="J208" i="1"/>
  <c r="I208" i="1"/>
  <c r="AN207" i="1"/>
  <c r="AM207" i="1"/>
  <c r="AK207" i="1"/>
  <c r="AL207" i="1" s="1"/>
  <c r="AJ207" i="1"/>
  <c r="AH207" i="1" s="1"/>
  <c r="AI207" i="1"/>
  <c r="Z207" i="1"/>
  <c r="Y207" i="1"/>
  <c r="Q207" i="1"/>
  <c r="AN206" i="1"/>
  <c r="AM206" i="1"/>
  <c r="AK206" i="1"/>
  <c r="AL206" i="1" s="1"/>
  <c r="AJ206" i="1"/>
  <c r="AH206" i="1"/>
  <c r="Z206" i="1"/>
  <c r="Y206" i="1"/>
  <c r="X206" i="1"/>
  <c r="Q206" i="1"/>
  <c r="O206" i="1"/>
  <c r="AN205" i="1"/>
  <c r="AM205" i="1"/>
  <c r="AK205" i="1"/>
  <c r="AJ205" i="1"/>
  <c r="AH205" i="1" s="1"/>
  <c r="Z205" i="1"/>
  <c r="Y205" i="1"/>
  <c r="X205" i="1" s="1"/>
  <c r="Q205" i="1"/>
  <c r="O205" i="1"/>
  <c r="K205" i="1"/>
  <c r="AN204" i="1"/>
  <c r="AM204" i="1"/>
  <c r="AL204" i="1"/>
  <c r="AK204" i="1"/>
  <c r="T204" i="1" s="1"/>
  <c r="AJ204" i="1"/>
  <c r="AH204" i="1" s="1"/>
  <c r="AI204" i="1"/>
  <c r="Z204" i="1"/>
  <c r="Y204" i="1"/>
  <c r="X204" i="1" s="1"/>
  <c r="Q204" i="1"/>
  <c r="K204" i="1"/>
  <c r="AN203" i="1"/>
  <c r="AM203" i="1"/>
  <c r="AK203" i="1"/>
  <c r="AJ203" i="1"/>
  <c r="AH203" i="1" s="1"/>
  <c r="Z203" i="1"/>
  <c r="Y203" i="1"/>
  <c r="Q203" i="1"/>
  <c r="AN202" i="1"/>
  <c r="AM202" i="1"/>
  <c r="AK202" i="1"/>
  <c r="AL202" i="1" s="1"/>
  <c r="AJ202" i="1"/>
  <c r="AH202" i="1"/>
  <c r="O202" i="1" s="1"/>
  <c r="Z202" i="1"/>
  <c r="Y202" i="1"/>
  <c r="X202" i="1"/>
  <c r="Q202" i="1"/>
  <c r="AN201" i="1"/>
  <c r="AM201" i="1"/>
  <c r="AK201" i="1"/>
  <c r="AJ201" i="1"/>
  <c r="AH201" i="1" s="1"/>
  <c r="AI201" i="1" s="1"/>
  <c r="Z201" i="1"/>
  <c r="Y201" i="1"/>
  <c r="X201" i="1" s="1"/>
  <c r="Q201" i="1"/>
  <c r="O201" i="1"/>
  <c r="K201" i="1"/>
  <c r="AN200" i="1"/>
  <c r="AM200" i="1"/>
  <c r="AK200" i="1"/>
  <c r="AJ200" i="1"/>
  <c r="AH200" i="1" s="1"/>
  <c r="J200" i="1" s="1"/>
  <c r="I200" i="1" s="1"/>
  <c r="Z200" i="1"/>
  <c r="Y200" i="1"/>
  <c r="X200" i="1" s="1"/>
  <c r="Q200" i="1"/>
  <c r="L200" i="1"/>
  <c r="K200" i="1"/>
  <c r="AN199" i="1"/>
  <c r="AM199" i="1"/>
  <c r="AK199" i="1"/>
  <c r="AJ199" i="1"/>
  <c r="AH199" i="1" s="1"/>
  <c r="L199" i="1" s="1"/>
  <c r="AI199" i="1"/>
  <c r="Z199" i="1"/>
  <c r="Y199" i="1"/>
  <c r="Q199" i="1"/>
  <c r="K199" i="1"/>
  <c r="J199" i="1"/>
  <c r="I199" i="1" s="1"/>
  <c r="AB199" i="1" s="1"/>
  <c r="AN198" i="1"/>
  <c r="AM198" i="1"/>
  <c r="AK198" i="1"/>
  <c r="AJ198" i="1"/>
  <c r="AI198" i="1"/>
  <c r="AH198" i="1"/>
  <c r="Z198" i="1"/>
  <c r="Y198" i="1"/>
  <c r="X198" i="1" s="1"/>
  <c r="Q198" i="1"/>
  <c r="O198" i="1"/>
  <c r="AN197" i="1"/>
  <c r="AM197" i="1"/>
  <c r="AK197" i="1"/>
  <c r="T197" i="1" s="1"/>
  <c r="AJ197" i="1"/>
  <c r="AH197" i="1" s="1"/>
  <c r="Z197" i="1"/>
  <c r="Y197" i="1"/>
  <c r="X197" i="1" s="1"/>
  <c r="Q197" i="1"/>
  <c r="AN196" i="1"/>
  <c r="AM196" i="1"/>
  <c r="AK196" i="1"/>
  <c r="AL196" i="1" s="1"/>
  <c r="AJ196" i="1"/>
  <c r="AH196" i="1"/>
  <c r="J196" i="1" s="1"/>
  <c r="I196" i="1" s="1"/>
  <c r="Z196" i="1"/>
  <c r="Y196" i="1"/>
  <c r="X196" i="1"/>
  <c r="Q196" i="1"/>
  <c r="O196" i="1"/>
  <c r="L196" i="1"/>
  <c r="K196" i="1"/>
  <c r="AN195" i="1"/>
  <c r="T195" i="1" s="1"/>
  <c r="AM195" i="1"/>
  <c r="AL195" i="1" s="1"/>
  <c r="AK195" i="1"/>
  <c r="AJ195" i="1"/>
  <c r="AH195" i="1" s="1"/>
  <c r="Z195" i="1"/>
  <c r="Y195" i="1"/>
  <c r="X195" i="1" s="1"/>
  <c r="Q195" i="1"/>
  <c r="AN194" i="1"/>
  <c r="AM194" i="1"/>
  <c r="AK194" i="1"/>
  <c r="AJ194" i="1"/>
  <c r="AH194" i="1"/>
  <c r="AI194" i="1" s="1"/>
  <c r="Z194" i="1"/>
  <c r="Y194" i="1"/>
  <c r="X194" i="1"/>
  <c r="Q194" i="1"/>
  <c r="O194" i="1"/>
  <c r="K194" i="1"/>
  <c r="AN193" i="1"/>
  <c r="AM193" i="1"/>
  <c r="AK193" i="1"/>
  <c r="AL193" i="1" s="1"/>
  <c r="AJ193" i="1"/>
  <c r="AH193" i="1" s="1"/>
  <c r="AI193" i="1"/>
  <c r="Z193" i="1"/>
  <c r="Y193" i="1"/>
  <c r="X193" i="1" s="1"/>
  <c r="Q193" i="1"/>
  <c r="AN192" i="1"/>
  <c r="AM192" i="1"/>
  <c r="AK192" i="1"/>
  <c r="AL192" i="1" s="1"/>
  <c r="AJ192" i="1"/>
  <c r="AH192" i="1"/>
  <c r="J192" i="1" s="1"/>
  <c r="I192" i="1" s="1"/>
  <c r="Z192" i="1"/>
  <c r="Y192" i="1"/>
  <c r="X192" i="1"/>
  <c r="Q192" i="1"/>
  <c r="O192" i="1"/>
  <c r="L192" i="1"/>
  <c r="K192" i="1"/>
  <c r="AN191" i="1"/>
  <c r="T191" i="1" s="1"/>
  <c r="AM191" i="1"/>
  <c r="AL191" i="1" s="1"/>
  <c r="AK191" i="1"/>
  <c r="AJ191" i="1"/>
  <c r="AH191" i="1" s="1"/>
  <c r="Z191" i="1"/>
  <c r="Y191" i="1"/>
  <c r="X191" i="1" s="1"/>
  <c r="Q191" i="1"/>
  <c r="AN190" i="1"/>
  <c r="AM190" i="1"/>
  <c r="AK190" i="1"/>
  <c r="AJ190" i="1"/>
  <c r="AH190" i="1"/>
  <c r="AI190" i="1" s="1"/>
  <c r="Z190" i="1"/>
  <c r="Y190" i="1"/>
  <c r="X190" i="1"/>
  <c r="Q190" i="1"/>
  <c r="O190" i="1"/>
  <c r="K190" i="1"/>
  <c r="AN189" i="1"/>
  <c r="AM189" i="1"/>
  <c r="AK189" i="1"/>
  <c r="AL189" i="1" s="1"/>
  <c r="AJ189" i="1"/>
  <c r="AH189" i="1" s="1"/>
  <c r="AI189" i="1"/>
  <c r="Z189" i="1"/>
  <c r="Y189" i="1"/>
  <c r="X189" i="1" s="1"/>
  <c r="Q189" i="1"/>
  <c r="AN188" i="1"/>
  <c r="AM188" i="1"/>
  <c r="AK188" i="1"/>
  <c r="AL188" i="1" s="1"/>
  <c r="AJ188" i="1"/>
  <c r="AH188" i="1"/>
  <c r="J188" i="1" s="1"/>
  <c r="I188" i="1" s="1"/>
  <c r="Z188" i="1"/>
  <c r="Y188" i="1"/>
  <c r="X188" i="1"/>
  <c r="Q188" i="1"/>
  <c r="O188" i="1"/>
  <c r="L188" i="1"/>
  <c r="K188" i="1"/>
  <c r="AN187" i="1"/>
  <c r="T187" i="1" s="1"/>
  <c r="AM187" i="1"/>
  <c r="AL187" i="1" s="1"/>
  <c r="AK187" i="1"/>
  <c r="AJ187" i="1"/>
  <c r="AH187" i="1" s="1"/>
  <c r="Z187" i="1"/>
  <c r="Y187" i="1"/>
  <c r="X187" i="1" s="1"/>
  <c r="Q187" i="1"/>
  <c r="AN186" i="1"/>
  <c r="AM186" i="1"/>
  <c r="AK186" i="1"/>
  <c r="AJ186" i="1"/>
  <c r="AH186" i="1"/>
  <c r="AI186" i="1" s="1"/>
  <c r="Z186" i="1"/>
  <c r="Y186" i="1"/>
  <c r="X186" i="1"/>
  <c r="Q186" i="1"/>
  <c r="O186" i="1"/>
  <c r="L186" i="1"/>
  <c r="K186" i="1"/>
  <c r="AN185" i="1"/>
  <c r="AM185" i="1"/>
  <c r="AK185" i="1"/>
  <c r="AJ185" i="1"/>
  <c r="AH185" i="1" s="1"/>
  <c r="AI185" i="1"/>
  <c r="Z185" i="1"/>
  <c r="Y185" i="1"/>
  <c r="X185" i="1" s="1"/>
  <c r="Q185" i="1"/>
  <c r="AN184" i="1"/>
  <c r="AM184" i="1"/>
  <c r="AK184" i="1"/>
  <c r="AJ184" i="1"/>
  <c r="AH184" i="1"/>
  <c r="L184" i="1" s="1"/>
  <c r="Z184" i="1"/>
  <c r="Y184" i="1"/>
  <c r="X184" i="1"/>
  <c r="Q184" i="1"/>
  <c r="O184" i="1"/>
  <c r="K184" i="1"/>
  <c r="AN183" i="1"/>
  <c r="AM183" i="1"/>
  <c r="AK183" i="1"/>
  <c r="AJ183" i="1"/>
  <c r="AH183" i="1" s="1"/>
  <c r="AI183" i="1"/>
  <c r="Z183" i="1"/>
  <c r="Y183" i="1"/>
  <c r="X183" i="1" s="1"/>
  <c r="Q183" i="1"/>
  <c r="AN182" i="1"/>
  <c r="AM182" i="1"/>
  <c r="AK182" i="1"/>
  <c r="AJ182" i="1"/>
  <c r="AH182" i="1"/>
  <c r="AI182" i="1" s="1"/>
  <c r="Z182" i="1"/>
  <c r="Y182" i="1"/>
  <c r="X182" i="1"/>
  <c r="Q182" i="1"/>
  <c r="O182" i="1"/>
  <c r="L182" i="1"/>
  <c r="K182" i="1"/>
  <c r="AN181" i="1"/>
  <c r="AM181" i="1"/>
  <c r="AK181" i="1"/>
  <c r="AL181" i="1" s="1"/>
  <c r="AJ181" i="1"/>
  <c r="AH181" i="1" s="1"/>
  <c r="AI181" i="1"/>
  <c r="Z181" i="1"/>
  <c r="Y181" i="1"/>
  <c r="Q181" i="1"/>
  <c r="J181" i="1"/>
  <c r="I181" i="1" s="1"/>
  <c r="AN180" i="1"/>
  <c r="AM180" i="1"/>
  <c r="AL180" i="1"/>
  <c r="AK180" i="1"/>
  <c r="AJ180" i="1"/>
  <c r="AH180" i="1"/>
  <c r="Z180" i="1"/>
  <c r="Y180" i="1"/>
  <c r="X180" i="1"/>
  <c r="T180" i="1"/>
  <c r="Q180" i="1"/>
  <c r="AN179" i="1"/>
  <c r="AM179" i="1"/>
  <c r="AK179" i="1"/>
  <c r="AJ179" i="1"/>
  <c r="AH179" i="1" s="1"/>
  <c r="L179" i="1" s="1"/>
  <c r="Z179" i="1"/>
  <c r="Y179" i="1"/>
  <c r="Q179" i="1"/>
  <c r="O179" i="1"/>
  <c r="J179" i="1"/>
  <c r="I179" i="1" s="1"/>
  <c r="AN178" i="1"/>
  <c r="AM178" i="1"/>
  <c r="AL178" i="1" s="1"/>
  <c r="AK178" i="1"/>
  <c r="T178" i="1" s="1"/>
  <c r="AJ178" i="1"/>
  <c r="AH178" i="1"/>
  <c r="J178" i="1" s="1"/>
  <c r="I178" i="1" s="1"/>
  <c r="Z178" i="1"/>
  <c r="Y178" i="1"/>
  <c r="X178" i="1" s="1"/>
  <c r="Q178" i="1"/>
  <c r="L178" i="1"/>
  <c r="AN177" i="1"/>
  <c r="AM177" i="1"/>
  <c r="AK177" i="1"/>
  <c r="AJ177" i="1"/>
  <c r="AH177" i="1" s="1"/>
  <c r="AI177" i="1" s="1"/>
  <c r="Z177" i="1"/>
  <c r="Y177" i="1"/>
  <c r="Q177" i="1"/>
  <c r="O177" i="1"/>
  <c r="K177" i="1"/>
  <c r="AN176" i="1"/>
  <c r="AM176" i="1"/>
  <c r="AK176" i="1"/>
  <c r="AL176" i="1" s="1"/>
  <c r="AJ176" i="1"/>
  <c r="AI176" i="1"/>
  <c r="AH176" i="1"/>
  <c r="J176" i="1" s="1"/>
  <c r="I176" i="1" s="1"/>
  <c r="Z176" i="1"/>
  <c r="Y176" i="1"/>
  <c r="X176" i="1" s="1"/>
  <c r="Q176" i="1"/>
  <c r="K176" i="1"/>
  <c r="AN175" i="1"/>
  <c r="AM175" i="1"/>
  <c r="AL175" i="1"/>
  <c r="AK175" i="1"/>
  <c r="AJ175" i="1"/>
  <c r="AH175" i="1" s="1"/>
  <c r="Z175" i="1"/>
  <c r="Y175" i="1"/>
  <c r="X175" i="1" s="1"/>
  <c r="T175" i="1"/>
  <c r="Q175" i="1"/>
  <c r="AN174" i="1"/>
  <c r="AM174" i="1"/>
  <c r="AL174" i="1" s="1"/>
  <c r="AK174" i="1"/>
  <c r="AJ174" i="1"/>
  <c r="AH174" i="1" s="1"/>
  <c r="Z174" i="1"/>
  <c r="Y174" i="1"/>
  <c r="X174" i="1" s="1"/>
  <c r="T174" i="1"/>
  <c r="Q174" i="1"/>
  <c r="AN173" i="1"/>
  <c r="AM173" i="1"/>
  <c r="AK173" i="1"/>
  <c r="AL173" i="1" s="1"/>
  <c r="AJ173" i="1"/>
  <c r="AH173" i="1"/>
  <c r="L173" i="1" s="1"/>
  <c r="Z173" i="1"/>
  <c r="Y173" i="1"/>
  <c r="X173" i="1"/>
  <c r="Q173" i="1"/>
  <c r="AN172" i="1"/>
  <c r="AM172" i="1"/>
  <c r="AK172" i="1"/>
  <c r="AL172" i="1" s="1"/>
  <c r="AJ172" i="1"/>
  <c r="AI172" i="1"/>
  <c r="AH172" i="1"/>
  <c r="J172" i="1" s="1"/>
  <c r="I172" i="1" s="1"/>
  <c r="Z172" i="1"/>
  <c r="Y172" i="1"/>
  <c r="X172" i="1" s="1"/>
  <c r="Q172" i="1"/>
  <c r="K172" i="1"/>
  <c r="AN171" i="1"/>
  <c r="AM171" i="1"/>
  <c r="AL171" i="1"/>
  <c r="AK171" i="1"/>
  <c r="AJ171" i="1"/>
  <c r="AH171" i="1" s="1"/>
  <c r="Z171" i="1"/>
  <c r="Y171" i="1"/>
  <c r="X171" i="1" s="1"/>
  <c r="T171" i="1"/>
  <c r="Q171" i="1"/>
  <c r="AN170" i="1"/>
  <c r="AM170" i="1"/>
  <c r="AL170" i="1" s="1"/>
  <c r="AK170" i="1"/>
  <c r="AJ170" i="1"/>
  <c r="AH170" i="1" s="1"/>
  <c r="Z170" i="1"/>
  <c r="Y170" i="1"/>
  <c r="T170" i="1"/>
  <c r="Q170" i="1"/>
  <c r="AN169" i="1"/>
  <c r="AM169" i="1"/>
  <c r="AK169" i="1"/>
  <c r="AL169" i="1" s="1"/>
  <c r="AJ169" i="1"/>
  <c r="AH169" i="1"/>
  <c r="Z169" i="1"/>
  <c r="Y169" i="1"/>
  <c r="X169" i="1"/>
  <c r="Q169" i="1"/>
  <c r="AN168" i="1"/>
  <c r="AM168" i="1"/>
  <c r="AK168" i="1"/>
  <c r="AL168" i="1" s="1"/>
  <c r="AJ168" i="1"/>
  <c r="AI168" i="1"/>
  <c r="AH168" i="1"/>
  <c r="J168" i="1" s="1"/>
  <c r="Z168" i="1"/>
  <c r="Y168" i="1"/>
  <c r="X168" i="1" s="1"/>
  <c r="Q168" i="1"/>
  <c r="K168" i="1"/>
  <c r="I168" i="1"/>
  <c r="AN167" i="1"/>
  <c r="AM167" i="1"/>
  <c r="AK167" i="1"/>
  <c r="AL167" i="1" s="1"/>
  <c r="AJ167" i="1"/>
  <c r="AI167" i="1"/>
  <c r="AH167" i="1"/>
  <c r="J167" i="1" s="1"/>
  <c r="I167" i="1" s="1"/>
  <c r="AB167" i="1" s="1"/>
  <c r="Z167" i="1"/>
  <c r="Y167" i="1"/>
  <c r="X167" i="1" s="1"/>
  <c r="Q167" i="1"/>
  <c r="O167" i="1"/>
  <c r="L167" i="1"/>
  <c r="K167" i="1"/>
  <c r="AN166" i="1"/>
  <c r="AM166" i="1"/>
  <c r="AK166" i="1"/>
  <c r="AJ166" i="1"/>
  <c r="AH166" i="1" s="1"/>
  <c r="AI166" i="1" s="1"/>
  <c r="Z166" i="1"/>
  <c r="Y166" i="1"/>
  <c r="T166" i="1"/>
  <c r="Q166" i="1"/>
  <c r="AN165" i="1"/>
  <c r="AM165" i="1"/>
  <c r="AK165" i="1"/>
  <c r="AJ165" i="1"/>
  <c r="AH165" i="1"/>
  <c r="O165" i="1" s="1"/>
  <c r="Z165" i="1"/>
  <c r="Y165" i="1"/>
  <c r="X165" i="1"/>
  <c r="Q165" i="1"/>
  <c r="AN164" i="1"/>
  <c r="AM164" i="1"/>
  <c r="AK164" i="1"/>
  <c r="AJ164" i="1"/>
  <c r="AH164" i="1" s="1"/>
  <c r="AI164" i="1"/>
  <c r="Z164" i="1"/>
  <c r="Y164" i="1"/>
  <c r="X164" i="1" s="1"/>
  <c r="Q164" i="1"/>
  <c r="AN163" i="1"/>
  <c r="AM163" i="1"/>
  <c r="AL163" i="1"/>
  <c r="AK163" i="1"/>
  <c r="AJ163" i="1"/>
  <c r="AI163" i="1"/>
  <c r="AH163" i="1"/>
  <c r="J163" i="1" s="1"/>
  <c r="I163" i="1" s="1"/>
  <c r="Z163" i="1"/>
  <c r="Y163" i="1"/>
  <c r="X163" i="1" s="1"/>
  <c r="T163" i="1"/>
  <c r="U163" i="1" s="1"/>
  <c r="V163" i="1" s="1"/>
  <c r="AD163" i="1" s="1"/>
  <c r="Q163" i="1"/>
  <c r="O163" i="1"/>
  <c r="L163" i="1"/>
  <c r="K163" i="1"/>
  <c r="AN162" i="1"/>
  <c r="AM162" i="1"/>
  <c r="AK162" i="1"/>
  <c r="AL162" i="1" s="1"/>
  <c r="AJ162" i="1"/>
  <c r="AH162" i="1" s="1"/>
  <c r="AI162" i="1" s="1"/>
  <c r="Z162" i="1"/>
  <c r="Y162" i="1"/>
  <c r="X162" i="1" s="1"/>
  <c r="Q162" i="1"/>
  <c r="AN161" i="1"/>
  <c r="AM161" i="1"/>
  <c r="AK161" i="1"/>
  <c r="AJ161" i="1"/>
  <c r="AH161" i="1"/>
  <c r="Z161" i="1"/>
  <c r="Y161" i="1"/>
  <c r="X161" i="1"/>
  <c r="Q161" i="1"/>
  <c r="AN160" i="1"/>
  <c r="AM160" i="1"/>
  <c r="AK160" i="1"/>
  <c r="AJ160" i="1"/>
  <c r="AH160" i="1" s="1"/>
  <c r="Z160" i="1"/>
  <c r="Y160" i="1"/>
  <c r="X160" i="1" s="1"/>
  <c r="Q160" i="1"/>
  <c r="K160" i="1"/>
  <c r="AN159" i="1"/>
  <c r="AM159" i="1"/>
  <c r="AK159" i="1"/>
  <c r="AL159" i="1" s="1"/>
  <c r="AJ159" i="1"/>
  <c r="AH159" i="1"/>
  <c r="J159" i="1" s="1"/>
  <c r="I159" i="1" s="1"/>
  <c r="Z159" i="1"/>
  <c r="Y159" i="1"/>
  <c r="X159" i="1" s="1"/>
  <c r="T159" i="1"/>
  <c r="Q159" i="1"/>
  <c r="O159" i="1"/>
  <c r="L159" i="1"/>
  <c r="K159" i="1"/>
  <c r="AN158" i="1"/>
  <c r="AM158" i="1"/>
  <c r="AK158" i="1"/>
  <c r="AJ158" i="1"/>
  <c r="AH158" i="1" s="1"/>
  <c r="L158" i="1" s="1"/>
  <c r="Z158" i="1"/>
  <c r="Y158" i="1"/>
  <c r="X158" i="1" s="1"/>
  <c r="Q158" i="1"/>
  <c r="AN157" i="1"/>
  <c r="AM157" i="1"/>
  <c r="AK157" i="1"/>
  <c r="AL157" i="1" s="1"/>
  <c r="AJ157" i="1"/>
  <c r="AH157" i="1" s="1"/>
  <c r="Z157" i="1"/>
  <c r="Y157" i="1"/>
  <c r="X157" i="1" s="1"/>
  <c r="T157" i="1"/>
  <c r="Q157" i="1"/>
  <c r="AN156" i="1"/>
  <c r="AM156" i="1"/>
  <c r="AK156" i="1"/>
  <c r="AJ156" i="1"/>
  <c r="AH156" i="1" s="1"/>
  <c r="Z156" i="1"/>
  <c r="Y156" i="1"/>
  <c r="X156" i="1"/>
  <c r="Q156" i="1"/>
  <c r="AN155" i="1"/>
  <c r="AM155" i="1"/>
  <c r="AK155" i="1"/>
  <c r="AL155" i="1" s="1"/>
  <c r="AJ155" i="1"/>
  <c r="AH155" i="1"/>
  <c r="J155" i="1" s="1"/>
  <c r="I155" i="1" s="1"/>
  <c r="Z155" i="1"/>
  <c r="Y155" i="1"/>
  <c r="X155" i="1"/>
  <c r="Q155" i="1"/>
  <c r="AN154" i="1"/>
  <c r="AM154" i="1"/>
  <c r="AK154" i="1"/>
  <c r="AL154" i="1" s="1"/>
  <c r="AJ154" i="1"/>
  <c r="AH154" i="1" s="1"/>
  <c r="Z154" i="1"/>
  <c r="Y154" i="1"/>
  <c r="X154" i="1" s="1"/>
  <c r="Q154" i="1"/>
  <c r="AN153" i="1"/>
  <c r="AM153" i="1"/>
  <c r="AL153" i="1" s="1"/>
  <c r="AK153" i="1"/>
  <c r="AJ153" i="1"/>
  <c r="AH153" i="1" s="1"/>
  <c r="Z153" i="1"/>
  <c r="Y153" i="1"/>
  <c r="X153" i="1" s="1"/>
  <c r="T153" i="1"/>
  <c r="Q153" i="1"/>
  <c r="AN152" i="1"/>
  <c r="AM152" i="1"/>
  <c r="AK152" i="1"/>
  <c r="AL152" i="1" s="1"/>
  <c r="AJ152" i="1"/>
  <c r="AH152" i="1" s="1"/>
  <c r="Z152" i="1"/>
  <c r="X152" i="1" s="1"/>
  <c r="Y152" i="1"/>
  <c r="Q152" i="1"/>
  <c r="AN151" i="1"/>
  <c r="AM151" i="1"/>
  <c r="AK151" i="1"/>
  <c r="AL151" i="1" s="1"/>
  <c r="AJ151" i="1"/>
  <c r="AH151" i="1"/>
  <c r="J151" i="1" s="1"/>
  <c r="I151" i="1" s="1"/>
  <c r="Z151" i="1"/>
  <c r="Y151" i="1"/>
  <c r="X151" i="1"/>
  <c r="Q151" i="1"/>
  <c r="AN150" i="1"/>
  <c r="AM150" i="1"/>
  <c r="AK150" i="1"/>
  <c r="AL150" i="1" s="1"/>
  <c r="AJ150" i="1"/>
  <c r="AH150" i="1"/>
  <c r="AI150" i="1" s="1"/>
  <c r="Z150" i="1"/>
  <c r="Y150" i="1"/>
  <c r="X150" i="1" s="1"/>
  <c r="Q150" i="1"/>
  <c r="O150" i="1"/>
  <c r="L150" i="1"/>
  <c r="K150" i="1"/>
  <c r="J150" i="1"/>
  <c r="I150" i="1"/>
  <c r="AB150" i="1" s="1"/>
  <c r="AN149" i="1"/>
  <c r="AM149" i="1"/>
  <c r="AL149" i="1" s="1"/>
  <c r="AK149" i="1"/>
  <c r="AJ149" i="1"/>
  <c r="AH149" i="1" s="1"/>
  <c r="Z149" i="1"/>
  <c r="Y149" i="1"/>
  <c r="X149" i="1" s="1"/>
  <c r="T149" i="1"/>
  <c r="Q149" i="1"/>
  <c r="AN148" i="1"/>
  <c r="AM148" i="1"/>
  <c r="AK148" i="1"/>
  <c r="AL148" i="1" s="1"/>
  <c r="AJ148" i="1"/>
  <c r="AH148" i="1" s="1"/>
  <c r="Z148" i="1"/>
  <c r="X148" i="1" s="1"/>
  <c r="Y148" i="1"/>
  <c r="Q148" i="1"/>
  <c r="AN147" i="1"/>
  <c r="AM147" i="1"/>
  <c r="AK147" i="1"/>
  <c r="AL147" i="1" s="1"/>
  <c r="AJ147" i="1"/>
  <c r="AI147" i="1"/>
  <c r="AH147" i="1"/>
  <c r="J147" i="1" s="1"/>
  <c r="I147" i="1" s="1"/>
  <c r="Z147" i="1"/>
  <c r="Y147" i="1"/>
  <c r="X147" i="1" s="1"/>
  <c r="Q147" i="1"/>
  <c r="O147" i="1"/>
  <c r="AN146" i="1"/>
  <c r="AM146" i="1"/>
  <c r="AK146" i="1"/>
  <c r="AL146" i="1" s="1"/>
  <c r="AJ146" i="1"/>
  <c r="AH146" i="1" s="1"/>
  <c r="Z146" i="1"/>
  <c r="Y146" i="1"/>
  <c r="X146" i="1" s="1"/>
  <c r="Q146" i="1"/>
  <c r="AN145" i="1"/>
  <c r="AM145" i="1"/>
  <c r="AK145" i="1"/>
  <c r="AL145" i="1" s="1"/>
  <c r="AJ145" i="1"/>
  <c r="AH145" i="1" s="1"/>
  <c r="Z145" i="1"/>
  <c r="Y145" i="1"/>
  <c r="X145" i="1" s="1"/>
  <c r="Q145" i="1"/>
  <c r="AN144" i="1"/>
  <c r="AM144" i="1"/>
  <c r="AK144" i="1"/>
  <c r="AL144" i="1" s="1"/>
  <c r="AJ144" i="1"/>
  <c r="AH144" i="1" s="1"/>
  <c r="Z144" i="1"/>
  <c r="Y144" i="1"/>
  <c r="X144" i="1" s="1"/>
  <c r="Q144" i="1"/>
  <c r="AN143" i="1"/>
  <c r="AM143" i="1"/>
  <c r="AK143" i="1"/>
  <c r="AJ143" i="1"/>
  <c r="AI143" i="1"/>
  <c r="AH143" i="1"/>
  <c r="J143" i="1" s="1"/>
  <c r="I143" i="1" s="1"/>
  <c r="Z143" i="1"/>
  <c r="Y143" i="1"/>
  <c r="X143" i="1" s="1"/>
  <c r="Q143" i="1"/>
  <c r="O143" i="1"/>
  <c r="AN142" i="1"/>
  <c r="AM142" i="1"/>
  <c r="AK142" i="1"/>
  <c r="AJ142" i="1"/>
  <c r="AI142" i="1"/>
  <c r="AH142" i="1"/>
  <c r="Z142" i="1"/>
  <c r="Y142" i="1"/>
  <c r="X142" i="1" s="1"/>
  <c r="Q142" i="1"/>
  <c r="O142" i="1"/>
  <c r="L142" i="1"/>
  <c r="K142" i="1"/>
  <c r="J142" i="1"/>
  <c r="I142" i="1"/>
  <c r="AB142" i="1" s="1"/>
  <c r="AN141" i="1"/>
  <c r="AM141" i="1"/>
  <c r="AK141" i="1"/>
  <c r="AL141" i="1" s="1"/>
  <c r="AJ141" i="1"/>
  <c r="AH141" i="1" s="1"/>
  <c r="AI141" i="1"/>
  <c r="Z141" i="1"/>
  <c r="Y141" i="1"/>
  <c r="X141" i="1" s="1"/>
  <c r="Q141" i="1"/>
  <c r="AN140" i="1"/>
  <c r="AM140" i="1"/>
  <c r="AK140" i="1"/>
  <c r="AL140" i="1" s="1"/>
  <c r="AJ140" i="1"/>
  <c r="AI140" i="1"/>
  <c r="AH140" i="1"/>
  <c r="L140" i="1" s="1"/>
  <c r="Z140" i="1"/>
  <c r="Y140" i="1"/>
  <c r="X140" i="1" s="1"/>
  <c r="Q140" i="1"/>
  <c r="O140" i="1"/>
  <c r="K140" i="1"/>
  <c r="J140" i="1"/>
  <c r="I140" i="1"/>
  <c r="AN139" i="1"/>
  <c r="AM139" i="1"/>
  <c r="AK139" i="1"/>
  <c r="AL139" i="1" s="1"/>
  <c r="AJ139" i="1"/>
  <c r="AI139" i="1"/>
  <c r="AH139" i="1"/>
  <c r="J139" i="1" s="1"/>
  <c r="Z139" i="1"/>
  <c r="Y139" i="1"/>
  <c r="X139" i="1" s="1"/>
  <c r="Q139" i="1"/>
  <c r="O139" i="1"/>
  <c r="K139" i="1"/>
  <c r="I139" i="1"/>
  <c r="AN138" i="1"/>
  <c r="AM138" i="1"/>
  <c r="AK138" i="1"/>
  <c r="AJ138" i="1"/>
  <c r="AH138" i="1" s="1"/>
  <c r="Z138" i="1"/>
  <c r="Y138" i="1"/>
  <c r="X138" i="1" s="1"/>
  <c r="Q138" i="1"/>
  <c r="K138" i="1"/>
  <c r="AN137" i="1"/>
  <c r="AM137" i="1"/>
  <c r="AK137" i="1"/>
  <c r="AJ137" i="1"/>
  <c r="AH137" i="1" s="1"/>
  <c r="O137" i="1" s="1"/>
  <c r="AI137" i="1"/>
  <c r="Z137" i="1"/>
  <c r="Y137" i="1"/>
  <c r="X137" i="1" s="1"/>
  <c r="Q137" i="1"/>
  <c r="L137" i="1"/>
  <c r="K137" i="1"/>
  <c r="J137" i="1"/>
  <c r="I137" i="1"/>
  <c r="AB137" i="1" s="1"/>
  <c r="AN136" i="1"/>
  <c r="AM136" i="1"/>
  <c r="AK136" i="1"/>
  <c r="AJ136" i="1"/>
  <c r="AI136" i="1"/>
  <c r="AH136" i="1"/>
  <c r="Z136" i="1"/>
  <c r="X136" i="1" s="1"/>
  <c r="Y136" i="1"/>
  <c r="Q136" i="1"/>
  <c r="K136" i="1"/>
  <c r="J136" i="1"/>
  <c r="I136" i="1" s="1"/>
  <c r="AN135" i="1"/>
  <c r="AM135" i="1"/>
  <c r="AK135" i="1"/>
  <c r="AL135" i="1" s="1"/>
  <c r="AJ135" i="1"/>
  <c r="AH135" i="1"/>
  <c r="Z135" i="1"/>
  <c r="Y135" i="1"/>
  <c r="X135" i="1"/>
  <c r="T135" i="1"/>
  <c r="Q135" i="1"/>
  <c r="AN134" i="1"/>
  <c r="AM134" i="1"/>
  <c r="AK134" i="1"/>
  <c r="AJ134" i="1"/>
  <c r="AH134" i="1" s="1"/>
  <c r="AI134" i="1"/>
  <c r="Z134" i="1"/>
  <c r="Y134" i="1"/>
  <c r="X134" i="1" s="1"/>
  <c r="Q134" i="1"/>
  <c r="J134" i="1"/>
  <c r="I134" i="1"/>
  <c r="AB134" i="1" s="1"/>
  <c r="AN133" i="1"/>
  <c r="AM133" i="1"/>
  <c r="AK133" i="1"/>
  <c r="AL133" i="1" s="1"/>
  <c r="AJ133" i="1"/>
  <c r="AH133" i="1"/>
  <c r="Z133" i="1"/>
  <c r="Y133" i="1"/>
  <c r="X133" i="1"/>
  <c r="Q133" i="1"/>
  <c r="K133" i="1"/>
  <c r="AN132" i="1"/>
  <c r="AM132" i="1"/>
  <c r="AK132" i="1"/>
  <c r="AL132" i="1" s="1"/>
  <c r="AJ132" i="1"/>
  <c r="AH132" i="1" s="1"/>
  <c r="AI132" i="1"/>
  <c r="Z132" i="1"/>
  <c r="Y132" i="1"/>
  <c r="Q132" i="1"/>
  <c r="AN131" i="1"/>
  <c r="AM131" i="1"/>
  <c r="AK131" i="1"/>
  <c r="AJ131" i="1"/>
  <c r="AH131" i="1"/>
  <c r="Z131" i="1"/>
  <c r="Y131" i="1"/>
  <c r="X131" i="1"/>
  <c r="Q131" i="1"/>
  <c r="O131" i="1"/>
  <c r="L131" i="1"/>
  <c r="K131" i="1"/>
  <c r="AN130" i="1"/>
  <c r="AM130" i="1"/>
  <c r="AK130" i="1"/>
  <c r="AL130" i="1" s="1"/>
  <c r="AJ130" i="1"/>
  <c r="AH130" i="1" s="1"/>
  <c r="AI130" i="1"/>
  <c r="Z130" i="1"/>
  <c r="Y130" i="1"/>
  <c r="Q130" i="1"/>
  <c r="J130" i="1"/>
  <c r="I130" i="1" s="1"/>
  <c r="AN129" i="1"/>
  <c r="AM129" i="1"/>
  <c r="AK129" i="1"/>
  <c r="AL129" i="1" s="1"/>
  <c r="AJ129" i="1"/>
  <c r="AH129" i="1"/>
  <c r="Z129" i="1"/>
  <c r="Y129" i="1"/>
  <c r="X129" i="1"/>
  <c r="T129" i="1"/>
  <c r="Q129" i="1"/>
  <c r="AN128" i="1"/>
  <c r="AM128" i="1"/>
  <c r="AK128" i="1"/>
  <c r="AL128" i="1" s="1"/>
  <c r="AJ128" i="1"/>
  <c r="AH128" i="1" s="1"/>
  <c r="AI128" i="1" s="1"/>
  <c r="Z128" i="1"/>
  <c r="Y128" i="1"/>
  <c r="X128" i="1" s="1"/>
  <c r="Q128" i="1"/>
  <c r="J128" i="1"/>
  <c r="I128" i="1"/>
  <c r="AB128" i="1" s="1"/>
  <c r="AN127" i="1"/>
  <c r="AM127" i="1"/>
  <c r="AK127" i="1"/>
  <c r="AL127" i="1" s="1"/>
  <c r="AJ127" i="1"/>
  <c r="AH127" i="1"/>
  <c r="Z127" i="1"/>
  <c r="Y127" i="1"/>
  <c r="X127" i="1"/>
  <c r="Q127" i="1"/>
  <c r="O127" i="1"/>
  <c r="L127" i="1"/>
  <c r="K127" i="1"/>
  <c r="AN126" i="1"/>
  <c r="AM126" i="1"/>
  <c r="AK126" i="1"/>
  <c r="AL126" i="1" s="1"/>
  <c r="AJ126" i="1"/>
  <c r="AH126" i="1" s="1"/>
  <c r="AI126" i="1"/>
  <c r="Z126" i="1"/>
  <c r="Y126" i="1"/>
  <c r="X126" i="1" s="1"/>
  <c r="Q126" i="1"/>
  <c r="AN125" i="1"/>
  <c r="AM125" i="1"/>
  <c r="AK125" i="1"/>
  <c r="T125" i="1" s="1"/>
  <c r="AJ125" i="1"/>
  <c r="AH125" i="1"/>
  <c r="Z125" i="1"/>
  <c r="Y125" i="1"/>
  <c r="X125" i="1"/>
  <c r="Q125" i="1"/>
  <c r="O125" i="1"/>
  <c r="L125" i="1"/>
  <c r="K125" i="1"/>
  <c r="AN124" i="1"/>
  <c r="T124" i="1" s="1"/>
  <c r="AM124" i="1"/>
  <c r="AK124" i="1"/>
  <c r="AJ124" i="1"/>
  <c r="AH124" i="1" s="1"/>
  <c r="AI124" i="1" s="1"/>
  <c r="Z124" i="1"/>
  <c r="Y124" i="1"/>
  <c r="X124" i="1" s="1"/>
  <c r="Q124" i="1"/>
  <c r="J124" i="1"/>
  <c r="I124" i="1"/>
  <c r="AN123" i="1"/>
  <c r="AM123" i="1"/>
  <c r="AL123" i="1"/>
  <c r="AK123" i="1"/>
  <c r="AJ123" i="1"/>
  <c r="AH123" i="1"/>
  <c r="Z123" i="1"/>
  <c r="Y123" i="1"/>
  <c r="X123" i="1"/>
  <c r="T123" i="1"/>
  <c r="Q123" i="1"/>
  <c r="L123" i="1"/>
  <c r="AN122" i="1"/>
  <c r="AM122" i="1"/>
  <c r="AK122" i="1"/>
  <c r="AL122" i="1" s="1"/>
  <c r="AJ122" i="1"/>
  <c r="AH122" i="1" s="1"/>
  <c r="Z122" i="1"/>
  <c r="Y122" i="1"/>
  <c r="X122" i="1" s="1"/>
  <c r="Q122" i="1"/>
  <c r="AN121" i="1"/>
  <c r="AM121" i="1"/>
  <c r="AL121" i="1"/>
  <c r="AK121" i="1"/>
  <c r="AJ121" i="1"/>
  <c r="AH121" i="1"/>
  <c r="Z121" i="1"/>
  <c r="Y121" i="1"/>
  <c r="X121" i="1"/>
  <c r="T121" i="1"/>
  <c r="Q121" i="1"/>
  <c r="O121" i="1"/>
  <c r="L121" i="1"/>
  <c r="AN120" i="1"/>
  <c r="T120" i="1" s="1"/>
  <c r="AM120" i="1"/>
  <c r="AL120" i="1" s="1"/>
  <c r="AK120" i="1"/>
  <c r="AJ120" i="1"/>
  <c r="AH120" i="1" s="1"/>
  <c r="AI120" i="1"/>
  <c r="Z120" i="1"/>
  <c r="Y120" i="1"/>
  <c r="Q120" i="1"/>
  <c r="AN119" i="1"/>
  <c r="AM119" i="1"/>
  <c r="AL119" i="1" s="1"/>
  <c r="AK119" i="1"/>
  <c r="AJ119" i="1"/>
  <c r="AH119" i="1"/>
  <c r="Z119" i="1"/>
  <c r="Y119" i="1"/>
  <c r="X119" i="1"/>
  <c r="T119" i="1"/>
  <c r="Q119" i="1"/>
  <c r="L119" i="1"/>
  <c r="K119" i="1"/>
  <c r="AN118" i="1"/>
  <c r="AM118" i="1"/>
  <c r="AK118" i="1"/>
  <c r="AJ118" i="1"/>
  <c r="AH118" i="1" s="1"/>
  <c r="AI118" i="1" s="1"/>
  <c r="Z118" i="1"/>
  <c r="Y118" i="1"/>
  <c r="X118" i="1" s="1"/>
  <c r="Q118" i="1"/>
  <c r="K118" i="1"/>
  <c r="J118" i="1"/>
  <c r="I118" i="1" s="1"/>
  <c r="AN117" i="1"/>
  <c r="AM117" i="1"/>
  <c r="AK117" i="1"/>
  <c r="AL117" i="1" s="1"/>
  <c r="AJ117" i="1"/>
  <c r="AH117" i="1"/>
  <c r="Z117" i="1"/>
  <c r="Y117" i="1"/>
  <c r="X117" i="1"/>
  <c r="T117" i="1"/>
  <c r="Q117" i="1"/>
  <c r="AN116" i="1"/>
  <c r="T116" i="1" s="1"/>
  <c r="AM116" i="1"/>
  <c r="AL116" i="1" s="1"/>
  <c r="AK116" i="1"/>
  <c r="AJ116" i="1"/>
  <c r="AH116" i="1" s="1"/>
  <c r="AI116" i="1" s="1"/>
  <c r="Z116" i="1"/>
  <c r="Y116" i="1"/>
  <c r="Q116" i="1"/>
  <c r="O116" i="1"/>
  <c r="AN115" i="1"/>
  <c r="AM115" i="1"/>
  <c r="AK115" i="1"/>
  <c r="T115" i="1" s="1"/>
  <c r="AJ115" i="1"/>
  <c r="AH115" i="1"/>
  <c r="K115" i="1" s="1"/>
  <c r="Z115" i="1"/>
  <c r="Y115" i="1"/>
  <c r="X115" i="1"/>
  <c r="Q115" i="1"/>
  <c r="O115" i="1"/>
  <c r="L115" i="1"/>
  <c r="AN114" i="1"/>
  <c r="AM114" i="1"/>
  <c r="AK114" i="1"/>
  <c r="AJ114" i="1"/>
  <c r="AH114" i="1" s="1"/>
  <c r="AI114" i="1"/>
  <c r="Z114" i="1"/>
  <c r="Y114" i="1"/>
  <c r="Q114" i="1"/>
  <c r="AN113" i="1"/>
  <c r="AM113" i="1"/>
  <c r="AL113" i="1"/>
  <c r="AK113" i="1"/>
  <c r="AJ113" i="1"/>
  <c r="AH113" i="1"/>
  <c r="J113" i="1" s="1"/>
  <c r="I113" i="1" s="1"/>
  <c r="Z113" i="1"/>
  <c r="Y113" i="1"/>
  <c r="X113" i="1"/>
  <c r="T113" i="1"/>
  <c r="Q113" i="1"/>
  <c r="O113" i="1"/>
  <c r="K113" i="1"/>
  <c r="AN112" i="1"/>
  <c r="T112" i="1" s="1"/>
  <c r="AM112" i="1"/>
  <c r="AL112" i="1" s="1"/>
  <c r="AK112" i="1"/>
  <c r="AJ112" i="1"/>
  <c r="AH112" i="1" s="1"/>
  <c r="Z112" i="1"/>
  <c r="Y112" i="1"/>
  <c r="X112" i="1" s="1"/>
  <c r="Q112" i="1"/>
  <c r="AN111" i="1"/>
  <c r="AM111" i="1"/>
  <c r="AL111" i="1"/>
  <c r="AK111" i="1"/>
  <c r="AJ111" i="1"/>
  <c r="AH111" i="1"/>
  <c r="Z111" i="1"/>
  <c r="Y111" i="1"/>
  <c r="X111" i="1"/>
  <c r="T111" i="1"/>
  <c r="Q111" i="1"/>
  <c r="L111" i="1"/>
  <c r="K111" i="1"/>
  <c r="AN110" i="1"/>
  <c r="T110" i="1" s="1"/>
  <c r="AM110" i="1"/>
  <c r="AK110" i="1"/>
  <c r="AJ110" i="1"/>
  <c r="AH110" i="1" s="1"/>
  <c r="O110" i="1" s="1"/>
  <c r="Z110" i="1"/>
  <c r="Y110" i="1"/>
  <c r="Q110" i="1"/>
  <c r="J110" i="1"/>
  <c r="I110" i="1" s="1"/>
  <c r="AN109" i="1"/>
  <c r="T109" i="1" s="1"/>
  <c r="AM109" i="1"/>
  <c r="AL109" i="1"/>
  <c r="AK109" i="1"/>
  <c r="AJ109" i="1"/>
  <c r="AH109" i="1"/>
  <c r="Z109" i="1"/>
  <c r="Y109" i="1"/>
  <c r="X109" i="1"/>
  <c r="Q109" i="1"/>
  <c r="O109" i="1"/>
  <c r="AN108" i="1"/>
  <c r="AM108" i="1"/>
  <c r="AL108" i="1" s="1"/>
  <c r="AK108" i="1"/>
  <c r="AJ108" i="1"/>
  <c r="AH108" i="1" s="1"/>
  <c r="AB108" i="1"/>
  <c r="Z108" i="1"/>
  <c r="X108" i="1" s="1"/>
  <c r="Y108" i="1"/>
  <c r="T108" i="1"/>
  <c r="Q108" i="1"/>
  <c r="J108" i="1"/>
  <c r="I108" i="1" s="1"/>
  <c r="AN107" i="1"/>
  <c r="AM107" i="1"/>
  <c r="AL107" i="1"/>
  <c r="AK107" i="1"/>
  <c r="AJ107" i="1"/>
  <c r="AH107" i="1" s="1"/>
  <c r="Z107" i="1"/>
  <c r="Y107" i="1"/>
  <c r="X107" i="1"/>
  <c r="T107" i="1"/>
  <c r="Q107" i="1"/>
  <c r="AN106" i="1"/>
  <c r="AM106" i="1"/>
  <c r="AK106" i="1"/>
  <c r="AL106" i="1" s="1"/>
  <c r="AJ106" i="1"/>
  <c r="AH106" i="1" s="1"/>
  <c r="Z106" i="1"/>
  <c r="Y106" i="1"/>
  <c r="X106" i="1"/>
  <c r="Q106" i="1"/>
  <c r="AN105" i="1"/>
  <c r="T105" i="1" s="1"/>
  <c r="AM105" i="1"/>
  <c r="AL105" i="1"/>
  <c r="AK105" i="1"/>
  <c r="AJ105" i="1"/>
  <c r="AH105" i="1"/>
  <c r="Z105" i="1"/>
  <c r="Y105" i="1"/>
  <c r="X105" i="1"/>
  <c r="Q105" i="1"/>
  <c r="O105" i="1"/>
  <c r="L105" i="1"/>
  <c r="AN104" i="1"/>
  <c r="AM104" i="1"/>
  <c r="AL104" i="1" s="1"/>
  <c r="AK104" i="1"/>
  <c r="AJ104" i="1"/>
  <c r="AH104" i="1" s="1"/>
  <c r="Z104" i="1"/>
  <c r="X104" i="1" s="1"/>
  <c r="Y104" i="1"/>
  <c r="T104" i="1"/>
  <c r="Q104" i="1"/>
  <c r="AN103" i="1"/>
  <c r="AM103" i="1"/>
  <c r="AL103" i="1"/>
  <c r="AK103" i="1"/>
  <c r="AJ103" i="1"/>
  <c r="AH103" i="1" s="1"/>
  <c r="Z103" i="1"/>
  <c r="Y103" i="1"/>
  <c r="X103" i="1"/>
  <c r="T103" i="1"/>
  <c r="Q103" i="1"/>
  <c r="K103" i="1"/>
  <c r="AN102" i="1"/>
  <c r="AM102" i="1"/>
  <c r="AK102" i="1"/>
  <c r="AL102" i="1" s="1"/>
  <c r="AJ102" i="1"/>
  <c r="AH102" i="1" s="1"/>
  <c r="Z102" i="1"/>
  <c r="Y102" i="1"/>
  <c r="X102" i="1"/>
  <c r="Q102" i="1"/>
  <c r="AN101" i="1"/>
  <c r="T101" i="1" s="1"/>
  <c r="AM101" i="1"/>
  <c r="AL101" i="1"/>
  <c r="AK101" i="1"/>
  <c r="AJ101" i="1"/>
  <c r="AH101" i="1"/>
  <c r="Z101" i="1"/>
  <c r="Y101" i="1"/>
  <c r="X101" i="1"/>
  <c r="Q101" i="1"/>
  <c r="AN100" i="1"/>
  <c r="T100" i="1" s="1"/>
  <c r="AM100" i="1"/>
  <c r="AL100" i="1" s="1"/>
  <c r="AK100" i="1"/>
  <c r="AJ100" i="1"/>
  <c r="AH100" i="1" s="1"/>
  <c r="AB100" i="1"/>
  <c r="Z100" i="1"/>
  <c r="Y100" i="1"/>
  <c r="Q100" i="1"/>
  <c r="O100" i="1"/>
  <c r="L100" i="1"/>
  <c r="J100" i="1"/>
  <c r="I100" i="1" s="1"/>
  <c r="AN99" i="1"/>
  <c r="AM99" i="1"/>
  <c r="AL99" i="1"/>
  <c r="AK99" i="1"/>
  <c r="AJ99" i="1"/>
  <c r="AH99" i="1"/>
  <c r="L99" i="1" s="1"/>
  <c r="Z99" i="1"/>
  <c r="Y99" i="1"/>
  <c r="X99" i="1"/>
  <c r="T99" i="1"/>
  <c r="Q99" i="1"/>
  <c r="J99" i="1"/>
  <c r="I99" i="1" s="1"/>
  <c r="AB99" i="1" s="1"/>
  <c r="AN98" i="1"/>
  <c r="AM98" i="1"/>
  <c r="AK98" i="1"/>
  <c r="AJ98" i="1"/>
  <c r="AI98" i="1"/>
  <c r="AH98" i="1"/>
  <c r="Z98" i="1"/>
  <c r="Y98" i="1"/>
  <c r="X98" i="1"/>
  <c r="Q98" i="1"/>
  <c r="AN97" i="1"/>
  <c r="T97" i="1" s="1"/>
  <c r="AM97" i="1"/>
  <c r="AL97" i="1"/>
  <c r="AK97" i="1"/>
  <c r="AJ97" i="1"/>
  <c r="AH97" i="1"/>
  <c r="Z97" i="1"/>
  <c r="Y97" i="1"/>
  <c r="X97" i="1" s="1"/>
  <c r="Q97" i="1"/>
  <c r="AN96" i="1"/>
  <c r="T96" i="1" s="1"/>
  <c r="AM96" i="1"/>
  <c r="AL96" i="1"/>
  <c r="AK96" i="1"/>
  <c r="AJ96" i="1"/>
  <c r="AH96" i="1" s="1"/>
  <c r="O96" i="1" s="1"/>
  <c r="Z96" i="1"/>
  <c r="Y96" i="1"/>
  <c r="X96" i="1" s="1"/>
  <c r="Q96" i="1"/>
  <c r="L96" i="1"/>
  <c r="J96" i="1"/>
  <c r="I96" i="1" s="1"/>
  <c r="AN95" i="1"/>
  <c r="AM95" i="1"/>
  <c r="AK95" i="1"/>
  <c r="AJ95" i="1"/>
  <c r="AH95" i="1" s="1"/>
  <c r="Z95" i="1"/>
  <c r="Y95" i="1"/>
  <c r="X95" i="1" s="1"/>
  <c r="Q95" i="1"/>
  <c r="AN94" i="1"/>
  <c r="AM94" i="1"/>
  <c r="AK94" i="1"/>
  <c r="AJ94" i="1"/>
  <c r="AH94" i="1" s="1"/>
  <c r="Z94" i="1"/>
  <c r="Y94" i="1"/>
  <c r="X94" i="1" s="1"/>
  <c r="T94" i="1"/>
  <c r="Q94" i="1"/>
  <c r="L94" i="1"/>
  <c r="AN93" i="1"/>
  <c r="AM93" i="1"/>
  <c r="AL93" i="1"/>
  <c r="AK93" i="1"/>
  <c r="AJ93" i="1"/>
  <c r="AH93" i="1" s="1"/>
  <c r="Z93" i="1"/>
  <c r="Y93" i="1"/>
  <c r="X93" i="1" s="1"/>
  <c r="T93" i="1"/>
  <c r="U93" i="1" s="1"/>
  <c r="V93" i="1" s="1"/>
  <c r="Q93" i="1"/>
  <c r="J93" i="1"/>
  <c r="I93" i="1" s="1"/>
  <c r="AB93" i="1" s="1"/>
  <c r="AN92" i="1"/>
  <c r="AM92" i="1"/>
  <c r="AK92" i="1"/>
  <c r="AL92" i="1" s="1"/>
  <c r="AJ92" i="1"/>
  <c r="AH92" i="1"/>
  <c r="Z92" i="1"/>
  <c r="Y92" i="1"/>
  <c r="X92" i="1"/>
  <c r="Q92" i="1"/>
  <c r="AN91" i="1"/>
  <c r="AM91" i="1"/>
  <c r="AK91" i="1"/>
  <c r="AL91" i="1" s="1"/>
  <c r="AJ91" i="1"/>
  <c r="AH91" i="1"/>
  <c r="L91" i="1" s="1"/>
  <c r="Z91" i="1"/>
  <c r="Y91" i="1"/>
  <c r="X91" i="1"/>
  <c r="Q91" i="1"/>
  <c r="K91" i="1"/>
  <c r="AN90" i="1"/>
  <c r="AM90" i="1"/>
  <c r="AL90" i="1"/>
  <c r="AK90" i="1"/>
  <c r="AJ90" i="1"/>
  <c r="AH90" i="1" s="1"/>
  <c r="Z90" i="1"/>
  <c r="Y90" i="1"/>
  <c r="X90" i="1" s="1"/>
  <c r="T90" i="1"/>
  <c r="Q90" i="1"/>
  <c r="AN89" i="1"/>
  <c r="AM89" i="1"/>
  <c r="AL89" i="1"/>
  <c r="AK89" i="1"/>
  <c r="AJ89" i="1"/>
  <c r="AH89" i="1" s="1"/>
  <c r="J89" i="1" s="1"/>
  <c r="I89" i="1" s="1"/>
  <c r="Z89" i="1"/>
  <c r="Y89" i="1"/>
  <c r="T89" i="1"/>
  <c r="U89" i="1" s="1"/>
  <c r="V89" i="1" s="1"/>
  <c r="Q89" i="1"/>
  <c r="O89" i="1"/>
  <c r="AN88" i="1"/>
  <c r="AM88" i="1"/>
  <c r="AK88" i="1"/>
  <c r="AL88" i="1" s="1"/>
  <c r="AJ88" i="1"/>
  <c r="AH88" i="1"/>
  <c r="O88" i="1" s="1"/>
  <c r="Z88" i="1"/>
  <c r="Y88" i="1"/>
  <c r="X88" i="1"/>
  <c r="Q88" i="1"/>
  <c r="AN87" i="1"/>
  <c r="AM87" i="1"/>
  <c r="AK87" i="1"/>
  <c r="AJ87" i="1"/>
  <c r="AH87" i="1"/>
  <c r="L87" i="1" s="1"/>
  <c r="Z87" i="1"/>
  <c r="Y87" i="1"/>
  <c r="X87" i="1"/>
  <c r="Q87" i="1"/>
  <c r="K87" i="1"/>
  <c r="AN86" i="1"/>
  <c r="AM86" i="1"/>
  <c r="AL86" i="1"/>
  <c r="AK86" i="1"/>
  <c r="AJ86" i="1"/>
  <c r="AH86" i="1" s="1"/>
  <c r="J86" i="1" s="1"/>
  <c r="I86" i="1" s="1"/>
  <c r="Z86" i="1"/>
  <c r="Y86" i="1"/>
  <c r="X86" i="1" s="1"/>
  <c r="T86" i="1"/>
  <c r="Q86" i="1"/>
  <c r="O86" i="1"/>
  <c r="K86" i="1"/>
  <c r="AN85" i="1"/>
  <c r="AM85" i="1"/>
  <c r="AL85" i="1" s="1"/>
  <c r="AK85" i="1"/>
  <c r="AJ85" i="1"/>
  <c r="AH85" i="1" s="1"/>
  <c r="K85" i="1" s="1"/>
  <c r="Z85" i="1"/>
  <c r="Y85" i="1"/>
  <c r="T85" i="1"/>
  <c r="Q85" i="1"/>
  <c r="O85" i="1"/>
  <c r="J85" i="1"/>
  <c r="I85" i="1" s="1"/>
  <c r="AN84" i="1"/>
  <c r="AM84" i="1"/>
  <c r="AK84" i="1"/>
  <c r="AJ84" i="1"/>
  <c r="AH84" i="1" s="1"/>
  <c r="Z84" i="1"/>
  <c r="Y84" i="1"/>
  <c r="X84" i="1"/>
  <c r="Q84" i="1"/>
  <c r="O84" i="1"/>
  <c r="AN83" i="1"/>
  <c r="AM83" i="1"/>
  <c r="AK83" i="1"/>
  <c r="AJ83" i="1"/>
  <c r="AH83" i="1"/>
  <c r="K83" i="1" s="1"/>
  <c r="Z83" i="1"/>
  <c r="Y83" i="1"/>
  <c r="X83" i="1" s="1"/>
  <c r="Q83" i="1"/>
  <c r="L83" i="1"/>
  <c r="AN82" i="1"/>
  <c r="AM82" i="1"/>
  <c r="AL82" i="1"/>
  <c r="AK82" i="1"/>
  <c r="T82" i="1" s="1"/>
  <c r="AJ82" i="1"/>
  <c r="AH82" i="1" s="1"/>
  <c r="J82" i="1" s="1"/>
  <c r="I82" i="1" s="1"/>
  <c r="AI82" i="1"/>
  <c r="Z82" i="1"/>
  <c r="Y82" i="1"/>
  <c r="Q82" i="1"/>
  <c r="O82" i="1"/>
  <c r="L82" i="1"/>
  <c r="K82" i="1"/>
  <c r="AN81" i="1"/>
  <c r="AM81" i="1"/>
  <c r="AL81" i="1"/>
  <c r="AK81" i="1"/>
  <c r="AJ81" i="1"/>
  <c r="AH81" i="1" s="1"/>
  <c r="Z81" i="1"/>
  <c r="Y81" i="1"/>
  <c r="X81" i="1" s="1"/>
  <c r="T81" i="1"/>
  <c r="Q81" i="1"/>
  <c r="AN80" i="1"/>
  <c r="AM80" i="1"/>
  <c r="AK80" i="1"/>
  <c r="AJ80" i="1"/>
  <c r="AH80" i="1" s="1"/>
  <c r="Z80" i="1"/>
  <c r="Y80" i="1"/>
  <c r="X80" i="1"/>
  <c r="Q80" i="1"/>
  <c r="AN79" i="1"/>
  <c r="AM79" i="1"/>
  <c r="AL79" i="1" s="1"/>
  <c r="AK79" i="1"/>
  <c r="AJ79" i="1"/>
  <c r="AH79" i="1"/>
  <c r="J79" i="1" s="1"/>
  <c r="AC79" i="1"/>
  <c r="AB79" i="1"/>
  <c r="Z79" i="1"/>
  <c r="Y79" i="1"/>
  <c r="X79" i="1"/>
  <c r="U79" i="1"/>
  <c r="V79" i="1" s="1"/>
  <c r="T79" i="1"/>
  <c r="Q79" i="1"/>
  <c r="O79" i="1"/>
  <c r="L79" i="1"/>
  <c r="K79" i="1"/>
  <c r="I79" i="1"/>
  <c r="AN78" i="1"/>
  <c r="AM78" i="1"/>
  <c r="AK78" i="1"/>
  <c r="AL78" i="1" s="1"/>
  <c r="AJ78" i="1"/>
  <c r="AH78" i="1" s="1"/>
  <c r="L78" i="1" s="1"/>
  <c r="AI78" i="1"/>
  <c r="Z78" i="1"/>
  <c r="Y78" i="1"/>
  <c r="X78" i="1" s="1"/>
  <c r="T78" i="1"/>
  <c r="Q78" i="1"/>
  <c r="O78" i="1"/>
  <c r="AN77" i="1"/>
  <c r="AM77" i="1"/>
  <c r="AL77" i="1"/>
  <c r="AK77" i="1"/>
  <c r="T77" i="1" s="1"/>
  <c r="AJ77" i="1"/>
  <c r="AH77" i="1" s="1"/>
  <c r="Z77" i="1"/>
  <c r="X77" i="1" s="1"/>
  <c r="Y77" i="1"/>
  <c r="Q77" i="1"/>
  <c r="AN76" i="1"/>
  <c r="AM76" i="1"/>
  <c r="AK76" i="1"/>
  <c r="AL76" i="1" s="1"/>
  <c r="AJ76" i="1"/>
  <c r="AH76" i="1"/>
  <c r="J76" i="1" s="1"/>
  <c r="I76" i="1" s="1"/>
  <c r="Z76" i="1"/>
  <c r="Y76" i="1"/>
  <c r="X76" i="1"/>
  <c r="Q76" i="1"/>
  <c r="O76" i="1"/>
  <c r="L76" i="1"/>
  <c r="K76" i="1"/>
  <c r="AN75" i="1"/>
  <c r="AM75" i="1"/>
  <c r="AL75" i="1"/>
  <c r="AK75" i="1"/>
  <c r="AJ75" i="1"/>
  <c r="AH75" i="1" s="1"/>
  <c r="Z75" i="1"/>
  <c r="Y75" i="1"/>
  <c r="X75" i="1" s="1"/>
  <c r="T75" i="1"/>
  <c r="Q75" i="1"/>
  <c r="L75" i="1"/>
  <c r="AN74" i="1"/>
  <c r="AM74" i="1"/>
  <c r="AK74" i="1"/>
  <c r="AL74" i="1" s="1"/>
  <c r="AJ74" i="1"/>
  <c r="AH74" i="1" s="1"/>
  <c r="Z74" i="1"/>
  <c r="Y74" i="1"/>
  <c r="X74" i="1" s="1"/>
  <c r="Q74" i="1"/>
  <c r="AN73" i="1"/>
  <c r="AM73" i="1"/>
  <c r="AK73" i="1"/>
  <c r="AL73" i="1" s="1"/>
  <c r="AJ73" i="1"/>
  <c r="AH73" i="1"/>
  <c r="Z73" i="1"/>
  <c r="Y73" i="1"/>
  <c r="X73" i="1"/>
  <c r="Q73" i="1"/>
  <c r="AN72" i="1"/>
  <c r="AM72" i="1"/>
  <c r="AK72" i="1"/>
  <c r="AL72" i="1" s="1"/>
  <c r="AJ72" i="1"/>
  <c r="AH72" i="1"/>
  <c r="J72" i="1" s="1"/>
  <c r="I72" i="1" s="1"/>
  <c r="Z72" i="1"/>
  <c r="Y72" i="1"/>
  <c r="X72" i="1"/>
  <c r="Q72" i="1"/>
  <c r="O72" i="1"/>
  <c r="L72" i="1"/>
  <c r="K72" i="1"/>
  <c r="AN71" i="1"/>
  <c r="AM71" i="1"/>
  <c r="AL71" i="1"/>
  <c r="AK71" i="1"/>
  <c r="AJ71" i="1"/>
  <c r="AH71" i="1" s="1"/>
  <c r="Z71" i="1"/>
  <c r="Y71" i="1"/>
  <c r="X71" i="1" s="1"/>
  <c r="T71" i="1"/>
  <c r="Q71" i="1"/>
  <c r="AN70" i="1"/>
  <c r="AM70" i="1"/>
  <c r="AK70" i="1"/>
  <c r="AJ70" i="1"/>
  <c r="AH70" i="1" s="1"/>
  <c r="AI70" i="1" s="1"/>
  <c r="Z70" i="1"/>
  <c r="Y70" i="1"/>
  <c r="Q70" i="1"/>
  <c r="K70" i="1"/>
  <c r="AN69" i="1"/>
  <c r="AM69" i="1"/>
  <c r="AK69" i="1"/>
  <c r="AL69" i="1" s="1"/>
  <c r="AJ69" i="1"/>
  <c r="AH69" i="1"/>
  <c r="Z69" i="1"/>
  <c r="Y69" i="1"/>
  <c r="X69" i="1" s="1"/>
  <c r="Q69" i="1"/>
  <c r="O69" i="1"/>
  <c r="AN68" i="1"/>
  <c r="AM68" i="1"/>
  <c r="AK68" i="1"/>
  <c r="AJ68" i="1"/>
  <c r="AH68" i="1"/>
  <c r="J68" i="1" s="1"/>
  <c r="I68" i="1" s="1"/>
  <c r="Z68" i="1"/>
  <c r="Y68" i="1"/>
  <c r="X68" i="1"/>
  <c r="Q68" i="1"/>
  <c r="O68" i="1"/>
  <c r="L68" i="1"/>
  <c r="K68" i="1"/>
  <c r="AN67" i="1"/>
  <c r="AM67" i="1"/>
  <c r="AL67" i="1"/>
  <c r="AK67" i="1"/>
  <c r="AJ67" i="1"/>
  <c r="AH67" i="1" s="1"/>
  <c r="L67" i="1" s="1"/>
  <c r="Z67" i="1"/>
  <c r="Y67" i="1"/>
  <c r="X67" i="1" s="1"/>
  <c r="T67" i="1"/>
  <c r="Q67" i="1"/>
  <c r="AN66" i="1"/>
  <c r="AM66" i="1"/>
  <c r="AK66" i="1"/>
  <c r="AJ66" i="1"/>
  <c r="AH66" i="1" s="1"/>
  <c r="Z66" i="1"/>
  <c r="Y66" i="1"/>
  <c r="X66" i="1" s="1"/>
  <c r="Q66" i="1"/>
  <c r="AN65" i="1"/>
  <c r="AM65" i="1"/>
  <c r="AK65" i="1"/>
  <c r="AL65" i="1" s="1"/>
  <c r="AJ65" i="1"/>
  <c r="AH65" i="1"/>
  <c r="AI65" i="1" s="1"/>
  <c r="Z65" i="1"/>
  <c r="Y65" i="1"/>
  <c r="X65" i="1"/>
  <c r="Q65" i="1"/>
  <c r="AN64" i="1"/>
  <c r="AM64" i="1"/>
  <c r="AK64" i="1"/>
  <c r="AL64" i="1" s="1"/>
  <c r="AJ64" i="1"/>
  <c r="AH64" i="1"/>
  <c r="J64" i="1" s="1"/>
  <c r="I64" i="1" s="1"/>
  <c r="Z64" i="1"/>
  <c r="Y64" i="1"/>
  <c r="X64" i="1" s="1"/>
  <c r="Q64" i="1"/>
  <c r="O64" i="1"/>
  <c r="L64" i="1"/>
  <c r="K64" i="1"/>
  <c r="AN63" i="1"/>
  <c r="AM63" i="1"/>
  <c r="AK63" i="1"/>
  <c r="T63" i="1" s="1"/>
  <c r="AJ63" i="1"/>
  <c r="AH63" i="1" s="1"/>
  <c r="AI63" i="1" s="1"/>
  <c r="Z63" i="1"/>
  <c r="Y63" i="1"/>
  <c r="X63" i="1" s="1"/>
  <c r="Q63" i="1"/>
  <c r="L63" i="1"/>
  <c r="K63" i="1"/>
  <c r="AN62" i="1"/>
  <c r="AM62" i="1"/>
  <c r="AK62" i="1"/>
  <c r="AJ62" i="1"/>
  <c r="AH62" i="1" s="1"/>
  <c r="L62" i="1" s="1"/>
  <c r="AI62" i="1"/>
  <c r="Z62" i="1"/>
  <c r="Y62" i="1"/>
  <c r="X62" i="1" s="1"/>
  <c r="Q62" i="1"/>
  <c r="O62" i="1"/>
  <c r="K62" i="1"/>
  <c r="J62" i="1"/>
  <c r="I62" i="1"/>
  <c r="AB62" i="1" s="1"/>
  <c r="AN61" i="1"/>
  <c r="AM61" i="1"/>
  <c r="AK61" i="1"/>
  <c r="AL61" i="1" s="1"/>
  <c r="AJ61" i="1"/>
  <c r="AH61" i="1"/>
  <c r="Z61" i="1"/>
  <c r="Y61" i="1"/>
  <c r="X61" i="1"/>
  <c r="Q61" i="1"/>
  <c r="AN60" i="1"/>
  <c r="T60" i="1" s="1"/>
  <c r="AM60" i="1"/>
  <c r="AL60" i="1"/>
  <c r="AK60" i="1"/>
  <c r="AJ60" i="1"/>
  <c r="AI60" i="1"/>
  <c r="AH60" i="1"/>
  <c r="J60" i="1" s="1"/>
  <c r="I60" i="1" s="1"/>
  <c r="AB60" i="1"/>
  <c r="Z60" i="1"/>
  <c r="Y60" i="1"/>
  <c r="X60" i="1" s="1"/>
  <c r="Q60" i="1"/>
  <c r="O60" i="1"/>
  <c r="L60" i="1"/>
  <c r="K60" i="1"/>
  <c r="AN59" i="1"/>
  <c r="AM59" i="1"/>
  <c r="AL59" i="1" s="1"/>
  <c r="AK59" i="1"/>
  <c r="AJ59" i="1"/>
  <c r="AH59" i="1" s="1"/>
  <c r="O59" i="1" s="1"/>
  <c r="AI59" i="1"/>
  <c r="Z59" i="1"/>
  <c r="Y59" i="1"/>
  <c r="T59" i="1"/>
  <c r="Q59" i="1"/>
  <c r="L59" i="1"/>
  <c r="AN58" i="1"/>
  <c r="AM58" i="1"/>
  <c r="AK58" i="1"/>
  <c r="AJ58" i="1"/>
  <c r="AH58" i="1" s="1"/>
  <c r="Z58" i="1"/>
  <c r="Y58" i="1"/>
  <c r="X58" i="1"/>
  <c r="Q58" i="1"/>
  <c r="AN57" i="1"/>
  <c r="AM57" i="1"/>
  <c r="AK57" i="1"/>
  <c r="AJ57" i="1"/>
  <c r="AI57" i="1"/>
  <c r="AH57" i="1"/>
  <c r="Z57" i="1"/>
  <c r="Y57" i="1"/>
  <c r="X57" i="1"/>
  <c r="Q57" i="1"/>
  <c r="AN56" i="1"/>
  <c r="AM56" i="1"/>
  <c r="AK56" i="1"/>
  <c r="T56" i="1" s="1"/>
  <c r="AJ56" i="1"/>
  <c r="AI56" i="1"/>
  <c r="AH56" i="1"/>
  <c r="J56" i="1" s="1"/>
  <c r="Z56" i="1"/>
  <c r="Y56" i="1"/>
  <c r="X56" i="1" s="1"/>
  <c r="Q56" i="1"/>
  <c r="O56" i="1"/>
  <c r="L56" i="1"/>
  <c r="K56" i="1"/>
  <c r="I56" i="1"/>
  <c r="AB56" i="1" s="1"/>
  <c r="AN55" i="1"/>
  <c r="AM55" i="1"/>
  <c r="AL55" i="1" s="1"/>
  <c r="AK55" i="1"/>
  <c r="AJ55" i="1"/>
  <c r="AH55" i="1" s="1"/>
  <c r="O55" i="1" s="1"/>
  <c r="AI55" i="1"/>
  <c r="Z55" i="1"/>
  <c r="Y55" i="1"/>
  <c r="T55" i="1"/>
  <c r="Q55" i="1"/>
  <c r="L55" i="1"/>
  <c r="K55" i="1"/>
  <c r="J55" i="1"/>
  <c r="I55" i="1"/>
  <c r="U55" i="1" s="1"/>
  <c r="V55" i="1" s="1"/>
  <c r="AN54" i="1"/>
  <c r="AM54" i="1"/>
  <c r="AK54" i="1"/>
  <c r="AJ54" i="1"/>
  <c r="AH54" i="1"/>
  <c r="O54" i="1" s="1"/>
  <c r="Z54" i="1"/>
  <c r="Y54" i="1"/>
  <c r="X54" i="1" s="1"/>
  <c r="T54" i="1"/>
  <c r="Q54" i="1"/>
  <c r="L54" i="1"/>
  <c r="J54" i="1"/>
  <c r="I54" i="1" s="1"/>
  <c r="AN53" i="1"/>
  <c r="T53" i="1" s="1"/>
  <c r="AM53" i="1"/>
  <c r="AK53" i="1"/>
  <c r="AJ53" i="1"/>
  <c r="AI53" i="1"/>
  <c r="AH53" i="1"/>
  <c r="L53" i="1" s="1"/>
  <c r="Z53" i="1"/>
  <c r="Y53" i="1"/>
  <c r="X53" i="1" s="1"/>
  <c r="Q53" i="1"/>
  <c r="O53" i="1"/>
  <c r="AN52" i="1"/>
  <c r="AM52" i="1"/>
  <c r="AK52" i="1"/>
  <c r="AL52" i="1" s="1"/>
  <c r="AJ52" i="1"/>
  <c r="AH52" i="1"/>
  <c r="J52" i="1" s="1"/>
  <c r="I52" i="1" s="1"/>
  <c r="Z52" i="1"/>
  <c r="Y52" i="1"/>
  <c r="X52" i="1"/>
  <c r="Q52" i="1"/>
  <c r="O52" i="1"/>
  <c r="L52" i="1"/>
  <c r="K52" i="1"/>
  <c r="AN51" i="1"/>
  <c r="AM51" i="1"/>
  <c r="AK51" i="1"/>
  <c r="AL51" i="1" s="1"/>
  <c r="AJ51" i="1"/>
  <c r="AH51" i="1" s="1"/>
  <c r="Z51" i="1"/>
  <c r="Y51" i="1"/>
  <c r="X51" i="1" s="1"/>
  <c r="Q51" i="1"/>
  <c r="AN50" i="1"/>
  <c r="AM50" i="1"/>
  <c r="AK50" i="1"/>
  <c r="AL50" i="1" s="1"/>
  <c r="AJ50" i="1"/>
  <c r="AI50" i="1"/>
  <c r="AH50" i="1"/>
  <c r="L50" i="1" s="1"/>
  <c r="Z50" i="1"/>
  <c r="Y50" i="1"/>
  <c r="X50" i="1" s="1"/>
  <c r="Q50" i="1"/>
  <c r="O50" i="1"/>
  <c r="AN49" i="1"/>
  <c r="T49" i="1" s="1"/>
  <c r="AM49" i="1"/>
  <c r="AL49" i="1" s="1"/>
  <c r="AK49" i="1"/>
  <c r="AJ49" i="1"/>
  <c r="AI49" i="1"/>
  <c r="AH49" i="1"/>
  <c r="L49" i="1" s="1"/>
  <c r="Z49" i="1"/>
  <c r="Y49" i="1"/>
  <c r="X49" i="1" s="1"/>
  <c r="Q49" i="1"/>
  <c r="O49" i="1"/>
  <c r="AN48" i="1"/>
  <c r="AM48" i="1"/>
  <c r="AK48" i="1"/>
  <c r="AL48" i="1" s="1"/>
  <c r="AJ48" i="1"/>
  <c r="AH48" i="1"/>
  <c r="AI48" i="1" s="1"/>
  <c r="AB48" i="1"/>
  <c r="Z48" i="1"/>
  <c r="Y48" i="1"/>
  <c r="X48" i="1"/>
  <c r="Q48" i="1"/>
  <c r="O48" i="1"/>
  <c r="L48" i="1"/>
  <c r="K48" i="1"/>
  <c r="J48" i="1"/>
  <c r="I48" i="1"/>
  <c r="AN47" i="1"/>
  <c r="AM47" i="1"/>
  <c r="AK47" i="1"/>
  <c r="AL47" i="1" s="1"/>
  <c r="AJ47" i="1"/>
  <c r="AH47" i="1" s="1"/>
  <c r="Z47" i="1"/>
  <c r="Y47" i="1"/>
  <c r="X47" i="1" s="1"/>
  <c r="Q47" i="1"/>
  <c r="AN46" i="1"/>
  <c r="AM46" i="1"/>
  <c r="AK46" i="1"/>
  <c r="AL46" i="1" s="1"/>
  <c r="AJ46" i="1"/>
  <c r="AI46" i="1"/>
  <c r="AH46" i="1"/>
  <c r="L46" i="1" s="1"/>
  <c r="Z46" i="1"/>
  <c r="Y46" i="1"/>
  <c r="X46" i="1" s="1"/>
  <c r="Q46" i="1"/>
  <c r="O46" i="1"/>
  <c r="AN45" i="1"/>
  <c r="T45" i="1" s="1"/>
  <c r="AM45" i="1"/>
  <c r="AL45" i="1" s="1"/>
  <c r="AK45" i="1"/>
  <c r="AJ45" i="1"/>
  <c r="AI45" i="1"/>
  <c r="AH45" i="1"/>
  <c r="L45" i="1" s="1"/>
  <c r="Z45" i="1"/>
  <c r="Y45" i="1"/>
  <c r="X45" i="1" s="1"/>
  <c r="Q45" i="1"/>
  <c r="O45" i="1"/>
  <c r="AN44" i="1"/>
  <c r="AM44" i="1"/>
  <c r="AK44" i="1"/>
  <c r="AL44" i="1" s="1"/>
  <c r="AJ44" i="1"/>
  <c r="AH44" i="1" s="1"/>
  <c r="Z44" i="1"/>
  <c r="Y44" i="1"/>
  <c r="X44" i="1" s="1"/>
  <c r="Q44" i="1"/>
  <c r="AN43" i="1"/>
  <c r="AM43" i="1"/>
  <c r="AK43" i="1"/>
  <c r="AL43" i="1" s="1"/>
  <c r="AJ43" i="1"/>
  <c r="AH43" i="1" s="1"/>
  <c r="Z43" i="1"/>
  <c r="Y43" i="1"/>
  <c r="X43" i="1" s="1"/>
  <c r="Q43" i="1"/>
  <c r="AN42" i="1"/>
  <c r="AM42" i="1"/>
  <c r="AK42" i="1"/>
  <c r="AL42" i="1" s="1"/>
  <c r="AJ42" i="1"/>
  <c r="AI42" i="1"/>
  <c r="AH42" i="1"/>
  <c r="L42" i="1" s="1"/>
  <c r="Z42" i="1"/>
  <c r="Y42" i="1"/>
  <c r="X42" i="1" s="1"/>
  <c r="Q42" i="1"/>
  <c r="O42" i="1"/>
  <c r="AN41" i="1"/>
  <c r="AM41" i="1"/>
  <c r="AK41" i="1"/>
  <c r="AL41" i="1" s="1"/>
  <c r="AJ41" i="1"/>
  <c r="AI41" i="1"/>
  <c r="AH41" i="1"/>
  <c r="L41" i="1" s="1"/>
  <c r="Z41" i="1"/>
  <c r="Y41" i="1"/>
  <c r="X41" i="1" s="1"/>
  <c r="Q41" i="1"/>
  <c r="O41" i="1"/>
  <c r="AN40" i="1"/>
  <c r="AM40" i="1"/>
  <c r="AK40" i="1"/>
  <c r="AL40" i="1" s="1"/>
  <c r="AJ40" i="1"/>
  <c r="AH40" i="1"/>
  <c r="AI40" i="1" s="1"/>
  <c r="AB40" i="1"/>
  <c r="Z40" i="1"/>
  <c r="Y40" i="1"/>
  <c r="X40" i="1" s="1"/>
  <c r="Q40" i="1"/>
  <c r="O40" i="1"/>
  <c r="L40" i="1"/>
  <c r="K40" i="1"/>
  <c r="J40" i="1"/>
  <c r="I40" i="1"/>
  <c r="AN39" i="1"/>
  <c r="AM39" i="1"/>
  <c r="AK39" i="1"/>
  <c r="AL39" i="1" s="1"/>
  <c r="AJ39" i="1"/>
  <c r="AH39" i="1" s="1"/>
  <c r="Z39" i="1"/>
  <c r="Y39" i="1"/>
  <c r="X39" i="1" s="1"/>
  <c r="Q39" i="1"/>
  <c r="AN38" i="1"/>
  <c r="AM38" i="1"/>
  <c r="AK38" i="1"/>
  <c r="AL38" i="1" s="1"/>
  <c r="AJ38" i="1"/>
  <c r="AI38" i="1"/>
  <c r="AH38" i="1"/>
  <c r="L38" i="1" s="1"/>
  <c r="Z38" i="1"/>
  <c r="Y38" i="1"/>
  <c r="X38" i="1" s="1"/>
  <c r="Q38" i="1"/>
  <c r="O38" i="1"/>
  <c r="AN37" i="1"/>
  <c r="AM37" i="1"/>
  <c r="AK37" i="1"/>
  <c r="AL37" i="1" s="1"/>
  <c r="AJ37" i="1"/>
  <c r="AI37" i="1"/>
  <c r="AH37" i="1"/>
  <c r="L37" i="1" s="1"/>
  <c r="Z37" i="1"/>
  <c r="Y37" i="1"/>
  <c r="X37" i="1" s="1"/>
  <c r="Q37" i="1"/>
  <c r="O37" i="1"/>
  <c r="K37" i="1"/>
  <c r="AN36" i="1"/>
  <c r="AM36" i="1"/>
  <c r="AK36" i="1"/>
  <c r="AL36" i="1" s="1"/>
  <c r="AJ36" i="1"/>
  <c r="AH36" i="1" s="1"/>
  <c r="Z36" i="1"/>
  <c r="Y36" i="1"/>
  <c r="X36" i="1" s="1"/>
  <c r="Q36" i="1"/>
  <c r="AN35" i="1"/>
  <c r="AM35" i="1"/>
  <c r="AK35" i="1"/>
  <c r="AL35" i="1" s="1"/>
  <c r="AJ35" i="1"/>
  <c r="AH35" i="1" s="1"/>
  <c r="Z35" i="1"/>
  <c r="Y35" i="1"/>
  <c r="X35" i="1" s="1"/>
  <c r="Q35" i="1"/>
  <c r="AN34" i="1"/>
  <c r="AM34" i="1"/>
  <c r="AK34" i="1"/>
  <c r="AL34" i="1" s="1"/>
  <c r="AJ34" i="1"/>
  <c r="AI34" i="1"/>
  <c r="AH34" i="1"/>
  <c r="L34" i="1" s="1"/>
  <c r="Z34" i="1"/>
  <c r="Y34" i="1"/>
  <c r="X34" i="1" s="1"/>
  <c r="Q34" i="1"/>
  <c r="O34" i="1"/>
  <c r="AN33" i="1"/>
  <c r="AM33" i="1"/>
  <c r="AK33" i="1"/>
  <c r="AL33" i="1" s="1"/>
  <c r="AJ33" i="1"/>
  <c r="AI33" i="1"/>
  <c r="AH33" i="1"/>
  <c r="L33" i="1" s="1"/>
  <c r="Z33" i="1"/>
  <c r="Y33" i="1"/>
  <c r="X33" i="1" s="1"/>
  <c r="Q33" i="1"/>
  <c r="O33" i="1"/>
  <c r="K33" i="1"/>
  <c r="AN32" i="1"/>
  <c r="AM32" i="1"/>
  <c r="AK32" i="1"/>
  <c r="AL32" i="1" s="1"/>
  <c r="AJ32" i="1"/>
  <c r="AH32" i="1" s="1"/>
  <c r="Z32" i="1"/>
  <c r="Y32" i="1"/>
  <c r="X32" i="1" s="1"/>
  <c r="Q32" i="1"/>
  <c r="AN31" i="1"/>
  <c r="AM31" i="1"/>
  <c r="AK31" i="1"/>
  <c r="AL31" i="1" s="1"/>
  <c r="AJ31" i="1"/>
  <c r="AH31" i="1" s="1"/>
  <c r="Z31" i="1"/>
  <c r="Y31" i="1"/>
  <c r="X31" i="1" s="1"/>
  <c r="Q31" i="1"/>
  <c r="AN30" i="1"/>
  <c r="AM30" i="1"/>
  <c r="AK30" i="1"/>
  <c r="AL30" i="1" s="1"/>
  <c r="AJ30" i="1"/>
  <c r="AI30" i="1"/>
  <c r="AH30" i="1"/>
  <c r="L30" i="1" s="1"/>
  <c r="Z30" i="1"/>
  <c r="Y30" i="1"/>
  <c r="X30" i="1" s="1"/>
  <c r="Q30" i="1"/>
  <c r="O30" i="1"/>
  <c r="AN29" i="1"/>
  <c r="AM29" i="1"/>
  <c r="AK29" i="1"/>
  <c r="AL29" i="1" s="1"/>
  <c r="AJ29" i="1"/>
  <c r="AI29" i="1"/>
  <c r="AH29" i="1"/>
  <c r="Z29" i="1"/>
  <c r="Y29" i="1"/>
  <c r="X29" i="1" s="1"/>
  <c r="Q29" i="1"/>
  <c r="O29" i="1"/>
  <c r="L29" i="1"/>
  <c r="K29" i="1"/>
  <c r="J29" i="1"/>
  <c r="I29" i="1"/>
  <c r="AB29" i="1" s="1"/>
  <c r="AN28" i="1"/>
  <c r="AM28" i="1"/>
  <c r="AK28" i="1"/>
  <c r="AL28" i="1" s="1"/>
  <c r="AJ28" i="1"/>
  <c r="AH28" i="1" s="1"/>
  <c r="Z28" i="1"/>
  <c r="Y28" i="1"/>
  <c r="X28" i="1" s="1"/>
  <c r="Q28" i="1"/>
  <c r="AN27" i="1"/>
  <c r="AM27" i="1"/>
  <c r="AK27" i="1"/>
  <c r="AL27" i="1" s="1"/>
  <c r="AJ27" i="1"/>
  <c r="AH27" i="1" s="1"/>
  <c r="Z27" i="1"/>
  <c r="Y27" i="1"/>
  <c r="X27" i="1" s="1"/>
  <c r="Q27" i="1"/>
  <c r="AN26" i="1"/>
  <c r="AM26" i="1"/>
  <c r="AK26" i="1"/>
  <c r="AL26" i="1" s="1"/>
  <c r="AJ26" i="1"/>
  <c r="AI26" i="1"/>
  <c r="AH26" i="1"/>
  <c r="L26" i="1" s="1"/>
  <c r="Z26" i="1"/>
  <c r="Y26" i="1"/>
  <c r="X26" i="1" s="1"/>
  <c r="Q26" i="1"/>
  <c r="O26" i="1"/>
  <c r="AN25" i="1"/>
  <c r="AM25" i="1"/>
  <c r="AK25" i="1"/>
  <c r="AL25" i="1" s="1"/>
  <c r="AJ25" i="1"/>
  <c r="AH25" i="1" s="1"/>
  <c r="Z25" i="1"/>
  <c r="Y25" i="1"/>
  <c r="X25" i="1" s="1"/>
  <c r="Q25" i="1"/>
  <c r="AN24" i="1"/>
  <c r="AM24" i="1"/>
  <c r="AK24" i="1"/>
  <c r="AL24" i="1" s="1"/>
  <c r="AJ24" i="1"/>
  <c r="AH24" i="1" s="1"/>
  <c r="Z24" i="1"/>
  <c r="Y24" i="1"/>
  <c r="X24" i="1" s="1"/>
  <c r="Q24" i="1"/>
  <c r="AN23" i="1"/>
  <c r="AM23" i="1"/>
  <c r="AK23" i="1"/>
  <c r="AL23" i="1" s="1"/>
  <c r="AJ23" i="1"/>
  <c r="AH23" i="1" s="1"/>
  <c r="Z23" i="1"/>
  <c r="Y23" i="1"/>
  <c r="X23" i="1" s="1"/>
  <c r="Q23" i="1"/>
  <c r="AN22" i="1"/>
  <c r="AM22" i="1"/>
  <c r="AK22" i="1"/>
  <c r="AL22" i="1" s="1"/>
  <c r="AJ22" i="1"/>
  <c r="AI22" i="1"/>
  <c r="AH22" i="1"/>
  <c r="L22" i="1" s="1"/>
  <c r="Z22" i="1"/>
  <c r="Y22" i="1"/>
  <c r="X22" i="1" s="1"/>
  <c r="Q22" i="1"/>
  <c r="O22" i="1"/>
  <c r="AN21" i="1"/>
  <c r="AM21" i="1"/>
  <c r="AK21" i="1"/>
  <c r="AL21" i="1" s="1"/>
  <c r="AJ21" i="1"/>
  <c r="AH21" i="1" s="1"/>
  <c r="Z21" i="1"/>
  <c r="Y21" i="1"/>
  <c r="X21" i="1" s="1"/>
  <c r="Q21" i="1"/>
  <c r="AN20" i="1"/>
  <c r="AM20" i="1"/>
  <c r="AK20" i="1"/>
  <c r="AL20" i="1" s="1"/>
  <c r="AJ20" i="1"/>
  <c r="AH20" i="1" s="1"/>
  <c r="Z20" i="1"/>
  <c r="Y20" i="1"/>
  <c r="X20" i="1" s="1"/>
  <c r="Q20" i="1"/>
  <c r="AN19" i="1"/>
  <c r="AM19" i="1"/>
  <c r="AK19" i="1"/>
  <c r="AL19" i="1" s="1"/>
  <c r="AJ19" i="1"/>
  <c r="AH19" i="1" s="1"/>
  <c r="Z19" i="1"/>
  <c r="Y19" i="1"/>
  <c r="X19" i="1" s="1"/>
  <c r="Q19" i="1"/>
  <c r="AN18" i="1"/>
  <c r="AM18" i="1"/>
  <c r="AK18" i="1"/>
  <c r="AL18" i="1" s="1"/>
  <c r="AJ18" i="1"/>
  <c r="AI18" i="1"/>
  <c r="AH18" i="1"/>
  <c r="L18" i="1" s="1"/>
  <c r="Z18" i="1"/>
  <c r="Y18" i="1"/>
  <c r="X18" i="1" s="1"/>
  <c r="Q18" i="1"/>
  <c r="O18" i="1"/>
  <c r="AN17" i="1"/>
  <c r="AM17" i="1"/>
  <c r="AK17" i="1"/>
  <c r="AL17" i="1" s="1"/>
  <c r="AJ17" i="1"/>
  <c r="AH17" i="1" s="1"/>
  <c r="Z17" i="1"/>
  <c r="Y17" i="1"/>
  <c r="X17" i="1" s="1"/>
  <c r="Q17" i="1"/>
  <c r="O39" i="1" l="1"/>
  <c r="AI39" i="1"/>
  <c r="L39" i="1"/>
  <c r="K39" i="1"/>
  <c r="J39" i="1"/>
  <c r="I39" i="1" s="1"/>
  <c r="AB54" i="1"/>
  <c r="U54" i="1"/>
  <c r="V54" i="1" s="1"/>
  <c r="R54" i="1"/>
  <c r="P54" i="1" s="1"/>
  <c r="S54" i="1" s="1"/>
  <c r="J44" i="1"/>
  <c r="I44" i="1" s="1"/>
  <c r="AI44" i="1"/>
  <c r="K44" i="1"/>
  <c r="O44" i="1"/>
  <c r="L44" i="1"/>
  <c r="J32" i="1"/>
  <c r="I32" i="1" s="1"/>
  <c r="AI32" i="1"/>
  <c r="K32" i="1"/>
  <c r="O32" i="1"/>
  <c r="L32" i="1"/>
  <c r="O43" i="1"/>
  <c r="AI43" i="1"/>
  <c r="L43" i="1"/>
  <c r="K43" i="1"/>
  <c r="J43" i="1"/>
  <c r="I43" i="1" s="1"/>
  <c r="U56" i="1"/>
  <c r="V56" i="1" s="1"/>
  <c r="O31" i="1"/>
  <c r="AI31" i="1"/>
  <c r="L31" i="1"/>
  <c r="K31" i="1"/>
  <c r="J31" i="1"/>
  <c r="I31" i="1" s="1"/>
  <c r="AD55" i="1"/>
  <c r="AE55" i="1" s="1"/>
  <c r="W55" i="1"/>
  <c r="AA55" i="1" s="1"/>
  <c r="L58" i="1"/>
  <c r="O58" i="1"/>
  <c r="K58" i="1"/>
  <c r="J58" i="1"/>
  <c r="I58" i="1" s="1"/>
  <c r="AI58" i="1"/>
  <c r="L25" i="1"/>
  <c r="K25" i="1"/>
  <c r="J25" i="1"/>
  <c r="I25" i="1" s="1"/>
  <c r="O25" i="1"/>
  <c r="AI25" i="1"/>
  <c r="J28" i="1"/>
  <c r="I28" i="1" s="1"/>
  <c r="AI28" i="1"/>
  <c r="K28" i="1"/>
  <c r="O28" i="1"/>
  <c r="L28" i="1"/>
  <c r="O47" i="1"/>
  <c r="L47" i="1"/>
  <c r="AI47" i="1"/>
  <c r="K47" i="1"/>
  <c r="J47" i="1"/>
  <c r="I47" i="1" s="1"/>
  <c r="AB52" i="1"/>
  <c r="L21" i="1"/>
  <c r="K21" i="1"/>
  <c r="J21" i="1"/>
  <c r="I21" i="1" s="1"/>
  <c r="AI21" i="1"/>
  <c r="O21" i="1"/>
  <c r="J24" i="1"/>
  <c r="I24" i="1" s="1"/>
  <c r="AI24" i="1"/>
  <c r="O24" i="1"/>
  <c r="K24" i="1"/>
  <c r="L24" i="1"/>
  <c r="O27" i="1"/>
  <c r="L27" i="1"/>
  <c r="K27" i="1"/>
  <c r="AI27" i="1"/>
  <c r="J27" i="1"/>
  <c r="I27" i="1" s="1"/>
  <c r="J36" i="1"/>
  <c r="I36" i="1" s="1"/>
  <c r="AI36" i="1"/>
  <c r="K36" i="1"/>
  <c r="O36" i="1"/>
  <c r="L36" i="1"/>
  <c r="L17" i="1"/>
  <c r="K17" i="1"/>
  <c r="J17" i="1"/>
  <c r="I17" i="1" s="1"/>
  <c r="O17" i="1"/>
  <c r="AI17" i="1"/>
  <c r="J20" i="1"/>
  <c r="I20" i="1" s="1"/>
  <c r="AI20" i="1"/>
  <c r="O20" i="1"/>
  <c r="K20" i="1"/>
  <c r="L20" i="1"/>
  <c r="O23" i="1"/>
  <c r="L23" i="1"/>
  <c r="K23" i="1"/>
  <c r="AI23" i="1"/>
  <c r="J23" i="1"/>
  <c r="I23" i="1" s="1"/>
  <c r="O35" i="1"/>
  <c r="AI35" i="1"/>
  <c r="L35" i="1"/>
  <c r="K35" i="1"/>
  <c r="J35" i="1"/>
  <c r="I35" i="1" s="1"/>
  <c r="O51" i="1"/>
  <c r="AI51" i="1"/>
  <c r="L51" i="1"/>
  <c r="K51" i="1"/>
  <c r="J51" i="1"/>
  <c r="I51" i="1" s="1"/>
  <c r="U60" i="1"/>
  <c r="V60" i="1" s="1"/>
  <c r="O19" i="1"/>
  <c r="L19" i="1"/>
  <c r="K19" i="1"/>
  <c r="AI19" i="1"/>
  <c r="J19" i="1"/>
  <c r="I19" i="1" s="1"/>
  <c r="AC55" i="1"/>
  <c r="O66" i="1"/>
  <c r="L66" i="1"/>
  <c r="T20" i="1"/>
  <c r="T24" i="1"/>
  <c r="T28" i="1"/>
  <c r="T32" i="1"/>
  <c r="T36" i="1"/>
  <c r="T40" i="1"/>
  <c r="T44" i="1"/>
  <c r="T48" i="1"/>
  <c r="T52" i="1"/>
  <c r="R55" i="1"/>
  <c r="P55" i="1" s="1"/>
  <c r="S55" i="1" s="1"/>
  <c r="M55" i="1" s="1"/>
  <c r="N55" i="1" s="1"/>
  <c r="AB55" i="1"/>
  <c r="AL56" i="1"/>
  <c r="AL63" i="1"/>
  <c r="AL66" i="1"/>
  <c r="T66" i="1"/>
  <c r="J70" i="1"/>
  <c r="I70" i="1" s="1"/>
  <c r="L73" i="1"/>
  <c r="K73" i="1"/>
  <c r="J73" i="1"/>
  <c r="I73" i="1" s="1"/>
  <c r="AI73" i="1"/>
  <c r="O73" i="1"/>
  <c r="AD89" i="1"/>
  <c r="W89" i="1"/>
  <c r="AA89" i="1" s="1"/>
  <c r="L92" i="1"/>
  <c r="K92" i="1"/>
  <c r="J92" i="1"/>
  <c r="I92" i="1" s="1"/>
  <c r="AI92" i="1"/>
  <c r="O92" i="1"/>
  <c r="AL58" i="1"/>
  <c r="T58" i="1"/>
  <c r="L61" i="1"/>
  <c r="K61" i="1"/>
  <c r="J61" i="1"/>
  <c r="I61" i="1" s="1"/>
  <c r="AB64" i="1"/>
  <c r="L69" i="1"/>
  <c r="K69" i="1"/>
  <c r="J69" i="1"/>
  <c r="I69" i="1" s="1"/>
  <c r="O70" i="1"/>
  <c r="L70" i="1"/>
  <c r="J71" i="1"/>
  <c r="I71" i="1" s="1"/>
  <c r="AI71" i="1"/>
  <c r="O71" i="1"/>
  <c r="AL87" i="1"/>
  <c r="T87" i="1"/>
  <c r="L65" i="1"/>
  <c r="K65" i="1"/>
  <c r="J65" i="1"/>
  <c r="I65" i="1" s="1"/>
  <c r="J18" i="1"/>
  <c r="I18" i="1" s="1"/>
  <c r="T19" i="1"/>
  <c r="J22" i="1"/>
  <c r="I22" i="1" s="1"/>
  <c r="T23" i="1"/>
  <c r="J26" i="1"/>
  <c r="I26" i="1" s="1"/>
  <c r="T27" i="1"/>
  <c r="J30" i="1"/>
  <c r="I30" i="1" s="1"/>
  <c r="T31" i="1"/>
  <c r="J34" i="1"/>
  <c r="I34" i="1" s="1"/>
  <c r="T35" i="1"/>
  <c r="J38" i="1"/>
  <c r="I38" i="1" s="1"/>
  <c r="T39" i="1"/>
  <c r="J42" i="1"/>
  <c r="I42" i="1" s="1"/>
  <c r="T43" i="1"/>
  <c r="J46" i="1"/>
  <c r="I46" i="1" s="1"/>
  <c r="T47" i="1"/>
  <c r="J50" i="1"/>
  <c r="I50" i="1" s="1"/>
  <c r="T51" i="1"/>
  <c r="K54" i="1"/>
  <c r="L57" i="1"/>
  <c r="K57" i="1"/>
  <c r="J57" i="1"/>
  <c r="I57" i="1" s="1"/>
  <c r="AI61" i="1"/>
  <c r="AI69" i="1"/>
  <c r="AL70" i="1"/>
  <c r="T70" i="1"/>
  <c r="O74" i="1"/>
  <c r="L74" i="1"/>
  <c r="K74" i="1"/>
  <c r="AI74" i="1"/>
  <c r="AB82" i="1"/>
  <c r="U85" i="1"/>
  <c r="V85" i="1" s="1"/>
  <c r="R85" i="1" s="1"/>
  <c r="P85" i="1" s="1"/>
  <c r="S85" i="1" s="1"/>
  <c r="M85" i="1" s="1"/>
  <c r="N85" i="1" s="1"/>
  <c r="AB85" i="1"/>
  <c r="O65" i="1"/>
  <c r="K66" i="1"/>
  <c r="K18" i="1"/>
  <c r="K22" i="1"/>
  <c r="K26" i="1"/>
  <c r="K30" i="1"/>
  <c r="K34" i="1"/>
  <c r="K38" i="1"/>
  <c r="K42" i="1"/>
  <c r="K46" i="1"/>
  <c r="K50" i="1"/>
  <c r="R60" i="1"/>
  <c r="P60" i="1" s="1"/>
  <c r="S60" i="1" s="1"/>
  <c r="M60" i="1" s="1"/>
  <c r="N60" i="1" s="1"/>
  <c r="K67" i="1"/>
  <c r="AB68" i="1"/>
  <c r="AB76" i="1"/>
  <c r="U82" i="1"/>
  <c r="V82" i="1" s="1"/>
  <c r="AB89" i="1"/>
  <c r="R89" i="1"/>
  <c r="P89" i="1" s="1"/>
  <c r="S89" i="1" s="1"/>
  <c r="W93" i="1"/>
  <c r="AA93" i="1" s="1"/>
  <c r="AD93" i="1"/>
  <c r="R93" i="1"/>
  <c r="P93" i="1" s="1"/>
  <c r="S93" i="1" s="1"/>
  <c r="T18" i="1"/>
  <c r="T22" i="1"/>
  <c r="T26" i="1"/>
  <c r="T30" i="1"/>
  <c r="J33" i="1"/>
  <c r="I33" i="1" s="1"/>
  <c r="T34" i="1"/>
  <c r="J37" i="1"/>
  <c r="I37" i="1" s="1"/>
  <c r="T38" i="1"/>
  <c r="J41" i="1"/>
  <c r="I41" i="1" s="1"/>
  <c r="T42" i="1"/>
  <c r="J45" i="1"/>
  <c r="I45" i="1" s="1"/>
  <c r="T46" i="1"/>
  <c r="J49" i="1"/>
  <c r="I49" i="1" s="1"/>
  <c r="T50" i="1"/>
  <c r="J53" i="1"/>
  <c r="I53" i="1" s="1"/>
  <c r="AI54" i="1"/>
  <c r="J75" i="1"/>
  <c r="I75" i="1" s="1"/>
  <c r="AI75" i="1"/>
  <c r="O75" i="1"/>
  <c r="K75" i="1"/>
  <c r="R86" i="1"/>
  <c r="P86" i="1" s="1"/>
  <c r="S86" i="1" s="1"/>
  <c r="AB86" i="1"/>
  <c r="J67" i="1"/>
  <c r="I67" i="1" s="1"/>
  <c r="AI67" i="1"/>
  <c r="O67" i="1"/>
  <c r="K41" i="1"/>
  <c r="K45" i="1"/>
  <c r="K49" i="1"/>
  <c r="AI52" i="1"/>
  <c r="K53" i="1"/>
  <c r="AL53" i="1"/>
  <c r="X55" i="1"/>
  <c r="AL57" i="1"/>
  <c r="J59" i="1"/>
  <c r="I59" i="1" s="1"/>
  <c r="U59" i="1"/>
  <c r="V59" i="1" s="1"/>
  <c r="AC59" i="1" s="1"/>
  <c r="O61" i="1"/>
  <c r="AL62" i="1"/>
  <c r="T62" i="1"/>
  <c r="AL68" i="1"/>
  <c r="X70" i="1"/>
  <c r="K71" i="1"/>
  <c r="AB72" i="1"/>
  <c r="J74" i="1"/>
  <c r="I74" i="1" s="1"/>
  <c r="W79" i="1"/>
  <c r="AA79" i="1" s="1"/>
  <c r="AD79" i="1"/>
  <c r="AE79" i="1" s="1"/>
  <c r="L80" i="1"/>
  <c r="AI80" i="1"/>
  <c r="K80" i="1"/>
  <c r="J80" i="1"/>
  <c r="I80" i="1" s="1"/>
  <c r="O80" i="1"/>
  <c r="T17" i="1"/>
  <c r="T21" i="1"/>
  <c r="T25" i="1"/>
  <c r="T29" i="1"/>
  <c r="T33" i="1"/>
  <c r="T37" i="1"/>
  <c r="T41" i="1"/>
  <c r="AL54" i="1"/>
  <c r="O57" i="1"/>
  <c r="K59" i="1"/>
  <c r="X59" i="1"/>
  <c r="J63" i="1"/>
  <c r="I63" i="1" s="1"/>
  <c r="O63" i="1"/>
  <c r="J66" i="1"/>
  <c r="I66" i="1" s="1"/>
  <c r="AI66" i="1"/>
  <c r="L71" i="1"/>
  <c r="AI77" i="1"/>
  <c r="O77" i="1"/>
  <c r="L77" i="1"/>
  <c r="K77" i="1"/>
  <c r="J77" i="1"/>
  <c r="I77" i="1" s="1"/>
  <c r="AL80" i="1"/>
  <c r="T80" i="1"/>
  <c r="K81" i="1"/>
  <c r="AI81" i="1"/>
  <c r="L81" i="1"/>
  <c r="J81" i="1"/>
  <c r="I81" i="1" s="1"/>
  <c r="U81" i="1" s="1"/>
  <c r="V81" i="1" s="1"/>
  <c r="O81" i="1"/>
  <c r="T83" i="1"/>
  <c r="AL83" i="1"/>
  <c r="L84" i="1"/>
  <c r="AI84" i="1"/>
  <c r="K84" i="1"/>
  <c r="J84" i="1"/>
  <c r="I84" i="1" s="1"/>
  <c r="X82" i="1"/>
  <c r="X85" i="1"/>
  <c r="T95" i="1"/>
  <c r="AL95" i="1"/>
  <c r="K101" i="1"/>
  <c r="J101" i="1"/>
  <c r="I101" i="1" s="1"/>
  <c r="AI101" i="1"/>
  <c r="O101" i="1"/>
  <c r="L101" i="1"/>
  <c r="AC82" i="1"/>
  <c r="AL84" i="1"/>
  <c r="T84" i="1"/>
  <c r="U86" i="1"/>
  <c r="V86" i="1" s="1"/>
  <c r="J90" i="1"/>
  <c r="I90" i="1" s="1"/>
  <c r="AI90" i="1"/>
  <c r="O90" i="1"/>
  <c r="K90" i="1"/>
  <c r="U100" i="1"/>
  <c r="V100" i="1" s="1"/>
  <c r="R100" i="1" s="1"/>
  <c r="P100" i="1" s="1"/>
  <c r="S100" i="1" s="1"/>
  <c r="M100" i="1" s="1"/>
  <c r="N100" i="1" s="1"/>
  <c r="T74" i="1"/>
  <c r="AI86" i="1"/>
  <c r="X89" i="1"/>
  <c r="AB96" i="1"/>
  <c r="AI64" i="1"/>
  <c r="AI68" i="1"/>
  <c r="AI72" i="1"/>
  <c r="AI76" i="1"/>
  <c r="L90" i="1"/>
  <c r="O93" i="1"/>
  <c r="L93" i="1"/>
  <c r="K93" i="1"/>
  <c r="AI93" i="1"/>
  <c r="O102" i="1"/>
  <c r="L102" i="1"/>
  <c r="K102" i="1"/>
  <c r="AI102" i="1"/>
  <c r="J102" i="1"/>
  <c r="I102" i="1" s="1"/>
  <c r="U104" i="1"/>
  <c r="V104" i="1" s="1"/>
  <c r="AB110" i="1"/>
  <c r="T57" i="1"/>
  <c r="T61" i="1"/>
  <c r="T65" i="1"/>
  <c r="T69" i="1"/>
  <c r="T73" i="1"/>
  <c r="J78" i="1"/>
  <c r="I78" i="1" s="1"/>
  <c r="AI79" i="1"/>
  <c r="AI85" i="1"/>
  <c r="L86" i="1"/>
  <c r="U96" i="1"/>
  <c r="V96" i="1" s="1"/>
  <c r="O106" i="1"/>
  <c r="L106" i="1"/>
  <c r="K106" i="1"/>
  <c r="AI106" i="1"/>
  <c r="J106" i="1"/>
  <c r="I106" i="1" s="1"/>
  <c r="AB130" i="1"/>
  <c r="K78" i="1"/>
  <c r="J83" i="1"/>
  <c r="I83" i="1" s="1"/>
  <c r="O83" i="1"/>
  <c r="L89" i="1"/>
  <c r="K89" i="1"/>
  <c r="AI89" i="1"/>
  <c r="AI103" i="1"/>
  <c r="O103" i="1"/>
  <c r="L103" i="1"/>
  <c r="J103" i="1"/>
  <c r="I103" i="1" s="1"/>
  <c r="T64" i="1"/>
  <c r="T68" i="1"/>
  <c r="T72" i="1"/>
  <c r="T76" i="1"/>
  <c r="R79" i="1"/>
  <c r="P79" i="1" s="1"/>
  <c r="S79" i="1" s="1"/>
  <c r="M79" i="1" s="1"/>
  <c r="N79" i="1" s="1"/>
  <c r="AI83" i="1"/>
  <c r="L85" i="1"/>
  <c r="L88" i="1"/>
  <c r="K88" i="1"/>
  <c r="J88" i="1"/>
  <c r="I88" i="1" s="1"/>
  <c r="AI88" i="1"/>
  <c r="AC89" i="1"/>
  <c r="AC93" i="1"/>
  <c r="J94" i="1"/>
  <c r="I94" i="1" s="1"/>
  <c r="AI94" i="1"/>
  <c r="O94" i="1"/>
  <c r="K94" i="1"/>
  <c r="AI95" i="1"/>
  <c r="L95" i="1"/>
  <c r="K95" i="1"/>
  <c r="J95" i="1"/>
  <c r="I95" i="1" s="1"/>
  <c r="O95" i="1"/>
  <c r="U97" i="1"/>
  <c r="V97" i="1" s="1"/>
  <c r="K104" i="1"/>
  <c r="AI104" i="1"/>
  <c r="O104" i="1"/>
  <c r="L104" i="1"/>
  <c r="J104" i="1"/>
  <c r="I104" i="1" s="1"/>
  <c r="AI107" i="1"/>
  <c r="O107" i="1"/>
  <c r="L107" i="1"/>
  <c r="K107" i="1"/>
  <c r="J107" i="1"/>
  <c r="I107" i="1" s="1"/>
  <c r="U107" i="1" s="1"/>
  <c r="V107" i="1" s="1"/>
  <c r="AL94" i="1"/>
  <c r="O98" i="1"/>
  <c r="L98" i="1"/>
  <c r="L112" i="1"/>
  <c r="K112" i="1"/>
  <c r="AI112" i="1"/>
  <c r="O112" i="1"/>
  <c r="J112" i="1"/>
  <c r="I112" i="1" s="1"/>
  <c r="AB151" i="1"/>
  <c r="L152" i="1"/>
  <c r="K152" i="1"/>
  <c r="J152" i="1"/>
  <c r="I152" i="1" s="1"/>
  <c r="AI152" i="1"/>
  <c r="O152" i="1"/>
  <c r="L153" i="1"/>
  <c r="K153" i="1"/>
  <c r="J153" i="1"/>
  <c r="I153" i="1" s="1"/>
  <c r="AI153" i="1"/>
  <c r="O153" i="1"/>
  <c r="L156" i="1"/>
  <c r="K156" i="1"/>
  <c r="J156" i="1"/>
  <c r="I156" i="1" s="1"/>
  <c r="AI156" i="1"/>
  <c r="O156" i="1"/>
  <c r="AI157" i="1"/>
  <c r="O157" i="1"/>
  <c r="L157" i="1"/>
  <c r="K157" i="1"/>
  <c r="J157" i="1"/>
  <c r="I157" i="1" s="1"/>
  <c r="O87" i="1"/>
  <c r="O91" i="1"/>
  <c r="L109" i="1"/>
  <c r="K109" i="1"/>
  <c r="J109" i="1"/>
  <c r="I109" i="1" s="1"/>
  <c r="AI109" i="1"/>
  <c r="J135" i="1"/>
  <c r="I135" i="1" s="1"/>
  <c r="U135" i="1" s="1"/>
  <c r="V135" i="1" s="1"/>
  <c r="AI135" i="1"/>
  <c r="O135" i="1"/>
  <c r="L135" i="1"/>
  <c r="K135" i="1"/>
  <c r="K97" i="1"/>
  <c r="J97" i="1"/>
  <c r="I97" i="1" s="1"/>
  <c r="J98" i="1"/>
  <c r="I98" i="1" s="1"/>
  <c r="AL98" i="1"/>
  <c r="T98" i="1"/>
  <c r="K108" i="1"/>
  <c r="AI108" i="1"/>
  <c r="O108" i="1"/>
  <c r="AC109" i="1"/>
  <c r="U117" i="1"/>
  <c r="V117" i="1" s="1"/>
  <c r="AL118" i="1"/>
  <c r="T118" i="1"/>
  <c r="T131" i="1"/>
  <c r="AL131" i="1"/>
  <c r="AI87" i="1"/>
  <c r="AI91" i="1"/>
  <c r="AI97" i="1"/>
  <c r="K98" i="1"/>
  <c r="K105" i="1"/>
  <c r="J105" i="1"/>
  <c r="I105" i="1" s="1"/>
  <c r="AI105" i="1"/>
  <c r="U108" i="1"/>
  <c r="V108" i="1" s="1"/>
  <c r="U110" i="1"/>
  <c r="V110" i="1" s="1"/>
  <c r="R110" i="1" s="1"/>
  <c r="P110" i="1" s="1"/>
  <c r="S110" i="1" s="1"/>
  <c r="M110" i="1" s="1"/>
  <c r="N110" i="1" s="1"/>
  <c r="AB118" i="1"/>
  <c r="J87" i="1"/>
  <c r="I87" i="1" s="1"/>
  <c r="T88" i="1"/>
  <c r="J91" i="1"/>
  <c r="I91" i="1" s="1"/>
  <c r="T92" i="1"/>
  <c r="L97" i="1"/>
  <c r="K100" i="1"/>
  <c r="AI100" i="1"/>
  <c r="AB113" i="1"/>
  <c r="AI99" i="1"/>
  <c r="O99" i="1"/>
  <c r="R108" i="1"/>
  <c r="P108" i="1" s="1"/>
  <c r="S108" i="1" s="1"/>
  <c r="O122" i="1"/>
  <c r="L122" i="1"/>
  <c r="K122" i="1"/>
  <c r="AI122" i="1"/>
  <c r="J122" i="1"/>
  <c r="I122" i="1" s="1"/>
  <c r="T91" i="1"/>
  <c r="K96" i="1"/>
  <c r="AI96" i="1"/>
  <c r="O97" i="1"/>
  <c r="K99" i="1"/>
  <c r="U99" i="1"/>
  <c r="V99" i="1" s="1"/>
  <c r="X100" i="1"/>
  <c r="U103" i="1"/>
  <c r="V103" i="1" s="1"/>
  <c r="L108" i="1"/>
  <c r="U109" i="1"/>
  <c r="V109" i="1" s="1"/>
  <c r="J117" i="1"/>
  <c r="I117" i="1" s="1"/>
  <c r="O117" i="1"/>
  <c r="L117" i="1"/>
  <c r="K117" i="1"/>
  <c r="AI117" i="1"/>
  <c r="AB124" i="1"/>
  <c r="R124" i="1"/>
  <c r="P124" i="1" s="1"/>
  <c r="S124" i="1" s="1"/>
  <c r="M124" i="1" s="1"/>
  <c r="N124" i="1" s="1"/>
  <c r="U124" i="1"/>
  <c r="V124" i="1" s="1"/>
  <c r="AB139" i="1"/>
  <c r="J129" i="1"/>
  <c r="I129" i="1" s="1"/>
  <c r="AI129" i="1"/>
  <c r="L132" i="1"/>
  <c r="K132" i="1"/>
  <c r="O132" i="1"/>
  <c r="AL137" i="1"/>
  <c r="T137" i="1"/>
  <c r="L141" i="1"/>
  <c r="K141" i="1"/>
  <c r="J141" i="1"/>
  <c r="I141" i="1" s="1"/>
  <c r="O141" i="1"/>
  <c r="AB143" i="1"/>
  <c r="K110" i="1"/>
  <c r="J111" i="1"/>
  <c r="I111" i="1" s="1"/>
  <c r="AI111" i="1"/>
  <c r="O114" i="1"/>
  <c r="L114" i="1"/>
  <c r="AL115" i="1"/>
  <c r="L120" i="1"/>
  <c r="K120" i="1"/>
  <c r="J123" i="1"/>
  <c r="I123" i="1" s="1"/>
  <c r="AI123" i="1"/>
  <c r="AL125" i="1"/>
  <c r="O126" i="1"/>
  <c r="L126" i="1"/>
  <c r="K126" i="1"/>
  <c r="T102" i="1"/>
  <c r="T106" i="1"/>
  <c r="L110" i="1"/>
  <c r="U113" i="1"/>
  <c r="V113" i="1" s="1"/>
  <c r="J114" i="1"/>
  <c r="I114" i="1" s="1"/>
  <c r="AL114" i="1"/>
  <c r="T114" i="1"/>
  <c r="J120" i="1"/>
  <c r="I120" i="1" s="1"/>
  <c r="K129" i="1"/>
  <c r="T133" i="1"/>
  <c r="J133" i="1"/>
  <c r="I133" i="1" s="1"/>
  <c r="AI133" i="1"/>
  <c r="L144" i="1"/>
  <c r="K144" i="1"/>
  <c r="J144" i="1"/>
  <c r="I144" i="1" s="1"/>
  <c r="AI144" i="1"/>
  <c r="O144" i="1"/>
  <c r="L145" i="1"/>
  <c r="K145" i="1"/>
  <c r="J145" i="1"/>
  <c r="I145" i="1" s="1"/>
  <c r="AI145" i="1"/>
  <c r="O145" i="1"/>
  <c r="L148" i="1"/>
  <c r="K148" i="1"/>
  <c r="J148" i="1"/>
  <c r="I148" i="1" s="1"/>
  <c r="AI148" i="1"/>
  <c r="O148" i="1"/>
  <c r="L149" i="1"/>
  <c r="K149" i="1"/>
  <c r="J149" i="1"/>
  <c r="I149" i="1" s="1"/>
  <c r="AI149" i="1"/>
  <c r="O149" i="1"/>
  <c r="AI110" i="1"/>
  <c r="O111" i="1"/>
  <c r="AI113" i="1"/>
  <c r="K114" i="1"/>
  <c r="X114" i="1"/>
  <c r="J119" i="1"/>
  <c r="I119" i="1" s="1"/>
  <c r="AI119" i="1"/>
  <c r="X120" i="1"/>
  <c r="K123" i="1"/>
  <c r="T127" i="1"/>
  <c r="J127" i="1"/>
  <c r="I127" i="1" s="1"/>
  <c r="AI127" i="1"/>
  <c r="L129" i="1"/>
  <c r="O130" i="1"/>
  <c r="L130" i="1"/>
  <c r="K130" i="1"/>
  <c r="X132" i="1"/>
  <c r="L138" i="1"/>
  <c r="J138" i="1"/>
  <c r="I138" i="1" s="1"/>
  <c r="AI138" i="1"/>
  <c r="O138" i="1"/>
  <c r="L116" i="1"/>
  <c r="K116" i="1"/>
  <c r="J121" i="1"/>
  <c r="I121" i="1" s="1"/>
  <c r="U121" i="1" s="1"/>
  <c r="V121" i="1" s="1"/>
  <c r="AI121" i="1"/>
  <c r="L124" i="1"/>
  <c r="K124" i="1"/>
  <c r="O124" i="1"/>
  <c r="O129" i="1"/>
  <c r="J132" i="1"/>
  <c r="I132" i="1" s="1"/>
  <c r="AB136" i="1"/>
  <c r="AL138" i="1"/>
  <c r="T138" i="1"/>
  <c r="X110" i="1"/>
  <c r="AL110" i="1"/>
  <c r="L113" i="1"/>
  <c r="J116" i="1"/>
  <c r="I116" i="1" s="1"/>
  <c r="O119" i="1"/>
  <c r="O120" i="1"/>
  <c r="O123" i="1"/>
  <c r="AL124" i="1"/>
  <c r="J126" i="1"/>
  <c r="I126" i="1" s="1"/>
  <c r="J131" i="1"/>
  <c r="I131" i="1" s="1"/>
  <c r="AI131" i="1"/>
  <c r="L133" i="1"/>
  <c r="O134" i="1"/>
  <c r="L134" i="1"/>
  <c r="K134" i="1"/>
  <c r="L136" i="1"/>
  <c r="O136" i="1"/>
  <c r="AB140" i="1"/>
  <c r="J115" i="1"/>
  <c r="I115" i="1" s="1"/>
  <c r="U115" i="1" s="1"/>
  <c r="V115" i="1" s="1"/>
  <c r="AI115" i="1"/>
  <c r="X116" i="1"/>
  <c r="O118" i="1"/>
  <c r="L118" i="1"/>
  <c r="K121" i="1"/>
  <c r="J125" i="1"/>
  <c r="I125" i="1" s="1"/>
  <c r="AI125" i="1"/>
  <c r="L128" i="1"/>
  <c r="K128" i="1"/>
  <c r="O128" i="1"/>
  <c r="X130" i="1"/>
  <c r="O133" i="1"/>
  <c r="AL134" i="1"/>
  <c r="O154" i="1"/>
  <c r="L154" i="1"/>
  <c r="K154" i="1"/>
  <c r="J154" i="1"/>
  <c r="I154" i="1" s="1"/>
  <c r="AI154" i="1"/>
  <c r="AB155" i="1"/>
  <c r="T122" i="1"/>
  <c r="T126" i="1"/>
  <c r="T130" i="1"/>
  <c r="T134" i="1"/>
  <c r="AL143" i="1"/>
  <c r="O146" i="1"/>
  <c r="L146" i="1"/>
  <c r="K146" i="1"/>
  <c r="J146" i="1"/>
  <c r="I146" i="1" s="1"/>
  <c r="AI146" i="1"/>
  <c r="AB147" i="1"/>
  <c r="U159" i="1"/>
  <c r="V159" i="1" s="1"/>
  <c r="AB159" i="1"/>
  <c r="AL142" i="1"/>
  <c r="T142" i="1"/>
  <c r="T128" i="1"/>
  <c r="T132" i="1"/>
  <c r="AL136" i="1"/>
  <c r="T136" i="1"/>
  <c r="K143" i="1"/>
  <c r="K147" i="1"/>
  <c r="K151" i="1"/>
  <c r="K155" i="1"/>
  <c r="J160" i="1"/>
  <c r="I160" i="1" s="1"/>
  <c r="O160" i="1"/>
  <c r="L160" i="1"/>
  <c r="J162" i="1"/>
  <c r="I162" i="1" s="1"/>
  <c r="AC163" i="1"/>
  <c r="J166" i="1"/>
  <c r="I166" i="1" s="1"/>
  <c r="X170" i="1"/>
  <c r="L139" i="1"/>
  <c r="T139" i="1"/>
  <c r="L143" i="1"/>
  <c r="T143" i="1"/>
  <c r="L147" i="1"/>
  <c r="T147" i="1"/>
  <c r="L151" i="1"/>
  <c r="T151" i="1"/>
  <c r="L155" i="1"/>
  <c r="T155" i="1"/>
  <c r="AL160" i="1"/>
  <c r="T160" i="1"/>
  <c r="O162" i="1"/>
  <c r="L162" i="1"/>
  <c r="K162" i="1"/>
  <c r="R163" i="1"/>
  <c r="P163" i="1" s="1"/>
  <c r="S163" i="1" s="1"/>
  <c r="M163" i="1" s="1"/>
  <c r="N163" i="1" s="1"/>
  <c r="AB168" i="1"/>
  <c r="L161" i="1"/>
  <c r="J161" i="1"/>
  <c r="I161" i="1" s="1"/>
  <c r="AI161" i="1"/>
  <c r="L165" i="1"/>
  <c r="J165" i="1"/>
  <c r="I165" i="1" s="1"/>
  <c r="AI165" i="1"/>
  <c r="O166" i="1"/>
  <c r="L166" i="1"/>
  <c r="K166" i="1"/>
  <c r="O170" i="1"/>
  <c r="L170" i="1"/>
  <c r="K170" i="1"/>
  <c r="AI170" i="1"/>
  <c r="AI171" i="1"/>
  <c r="O171" i="1"/>
  <c r="L171" i="1"/>
  <c r="K171" i="1"/>
  <c r="J171" i="1"/>
  <c r="I171" i="1" s="1"/>
  <c r="AC175" i="1"/>
  <c r="AB178" i="1"/>
  <c r="T146" i="1"/>
  <c r="T150" i="1"/>
  <c r="T154" i="1"/>
  <c r="J158" i="1"/>
  <c r="I158" i="1" s="1"/>
  <c r="W163" i="1"/>
  <c r="AA163" i="1" s="1"/>
  <c r="K164" i="1"/>
  <c r="J164" i="1"/>
  <c r="I164" i="1" s="1"/>
  <c r="O164" i="1"/>
  <c r="L164" i="1"/>
  <c r="AL166" i="1"/>
  <c r="T167" i="1"/>
  <c r="AB172" i="1"/>
  <c r="AB181" i="1"/>
  <c r="O151" i="1"/>
  <c r="O155" i="1"/>
  <c r="AL156" i="1"/>
  <c r="T156" i="1"/>
  <c r="K158" i="1"/>
  <c r="AI158" i="1"/>
  <c r="AI159" i="1"/>
  <c r="K161" i="1"/>
  <c r="AL161" i="1"/>
  <c r="T161" i="1"/>
  <c r="AL164" i="1"/>
  <c r="AL165" i="1"/>
  <c r="T165" i="1"/>
  <c r="J170" i="1"/>
  <c r="I170" i="1" s="1"/>
  <c r="U178" i="1"/>
  <c r="V178" i="1" s="1"/>
  <c r="R178" i="1" s="1"/>
  <c r="P178" i="1" s="1"/>
  <c r="S178" i="1" s="1"/>
  <c r="M178" i="1" s="1"/>
  <c r="N178" i="1" s="1"/>
  <c r="T141" i="1"/>
  <c r="T145" i="1"/>
  <c r="U187" i="1"/>
  <c r="V187" i="1" s="1"/>
  <c r="AI151" i="1"/>
  <c r="AI155" i="1"/>
  <c r="AL158" i="1"/>
  <c r="T158" i="1"/>
  <c r="O161" i="1"/>
  <c r="X166" i="1"/>
  <c r="O174" i="1"/>
  <c r="L174" i="1"/>
  <c r="K174" i="1"/>
  <c r="J174" i="1"/>
  <c r="I174" i="1" s="1"/>
  <c r="AI174" i="1"/>
  <c r="AI175" i="1"/>
  <c r="O175" i="1"/>
  <c r="L175" i="1"/>
  <c r="K175" i="1"/>
  <c r="J175" i="1"/>
  <c r="I175" i="1" s="1"/>
  <c r="T140" i="1"/>
  <c r="T144" i="1"/>
  <c r="T148" i="1"/>
  <c r="T152" i="1"/>
  <c r="O158" i="1"/>
  <c r="AI160" i="1"/>
  <c r="AB163" i="1"/>
  <c r="AE163" i="1" s="1"/>
  <c r="K165" i="1"/>
  <c r="L169" i="1"/>
  <c r="K169" i="1"/>
  <c r="J169" i="1"/>
  <c r="I169" i="1" s="1"/>
  <c r="AI169" i="1"/>
  <c r="O169" i="1"/>
  <c r="AB176" i="1"/>
  <c r="AC178" i="1"/>
  <c r="AB179" i="1"/>
  <c r="T164" i="1"/>
  <c r="L168" i="1"/>
  <c r="T168" i="1"/>
  <c r="L172" i="1"/>
  <c r="T172" i="1"/>
  <c r="L176" i="1"/>
  <c r="T176" i="1"/>
  <c r="X177" i="1"/>
  <c r="AL177" i="1"/>
  <c r="T177" i="1"/>
  <c r="X179" i="1"/>
  <c r="AL179" i="1"/>
  <c r="X181" i="1"/>
  <c r="K183" i="1"/>
  <c r="J183" i="1"/>
  <c r="I183" i="1" s="1"/>
  <c r="O183" i="1"/>
  <c r="L183" i="1"/>
  <c r="AL184" i="1"/>
  <c r="T184" i="1"/>
  <c r="K195" i="1"/>
  <c r="J195" i="1"/>
  <c r="I195" i="1" s="1"/>
  <c r="U195" i="1" s="1"/>
  <c r="V195" i="1" s="1"/>
  <c r="AI195" i="1"/>
  <c r="O195" i="1"/>
  <c r="L195" i="1"/>
  <c r="L203" i="1"/>
  <c r="O203" i="1"/>
  <c r="K203" i="1"/>
  <c r="J203" i="1"/>
  <c r="I203" i="1" s="1"/>
  <c r="AI203" i="1"/>
  <c r="O173" i="1"/>
  <c r="AL183" i="1"/>
  <c r="AB188" i="1"/>
  <c r="AL190" i="1"/>
  <c r="T190" i="1"/>
  <c r="O193" i="1"/>
  <c r="L193" i="1"/>
  <c r="K193" i="1"/>
  <c r="J193" i="1"/>
  <c r="I193" i="1" s="1"/>
  <c r="J180" i="1"/>
  <c r="I180" i="1" s="1"/>
  <c r="U180" i="1" s="1"/>
  <c r="V180" i="1" s="1"/>
  <c r="AI180" i="1"/>
  <c r="K191" i="1"/>
  <c r="J191" i="1"/>
  <c r="I191" i="1" s="1"/>
  <c r="U191" i="1" s="1"/>
  <c r="V191" i="1" s="1"/>
  <c r="AI191" i="1"/>
  <c r="O191" i="1"/>
  <c r="L191" i="1"/>
  <c r="AB219" i="1"/>
  <c r="O168" i="1"/>
  <c r="U171" i="1"/>
  <c r="V171" i="1" s="1"/>
  <c r="AC171" i="1" s="1"/>
  <c r="O172" i="1"/>
  <c r="AI173" i="1"/>
  <c r="U175" i="1"/>
  <c r="V175" i="1" s="1"/>
  <c r="O176" i="1"/>
  <c r="O185" i="1"/>
  <c r="L185" i="1"/>
  <c r="K185" i="1"/>
  <c r="J185" i="1"/>
  <c r="I185" i="1" s="1"/>
  <c r="AL186" i="1"/>
  <c r="T186" i="1"/>
  <c r="O189" i="1"/>
  <c r="L189" i="1"/>
  <c r="K189" i="1"/>
  <c r="J189" i="1"/>
  <c r="I189" i="1" s="1"/>
  <c r="T162" i="1"/>
  <c r="J173" i="1"/>
  <c r="I173" i="1" s="1"/>
  <c r="J177" i="1"/>
  <c r="I177" i="1" s="1"/>
  <c r="K178" i="1"/>
  <c r="K180" i="1"/>
  <c r="O181" i="1"/>
  <c r="L181" i="1"/>
  <c r="K181" i="1"/>
  <c r="AL185" i="1"/>
  <c r="K187" i="1"/>
  <c r="J187" i="1"/>
  <c r="I187" i="1" s="1"/>
  <c r="AI187" i="1"/>
  <c r="O187" i="1"/>
  <c r="L187" i="1"/>
  <c r="K173" i="1"/>
  <c r="L180" i="1"/>
  <c r="AL182" i="1"/>
  <c r="T182" i="1"/>
  <c r="AB196" i="1"/>
  <c r="AB200" i="1"/>
  <c r="AB223" i="1"/>
  <c r="T169" i="1"/>
  <c r="T173" i="1"/>
  <c r="L177" i="1"/>
  <c r="AI178" i="1"/>
  <c r="K179" i="1"/>
  <c r="AI179" i="1"/>
  <c r="O180" i="1"/>
  <c r="O197" i="1"/>
  <c r="L197" i="1"/>
  <c r="K197" i="1"/>
  <c r="J197" i="1"/>
  <c r="I197" i="1" s="1"/>
  <c r="AI197" i="1"/>
  <c r="T200" i="1"/>
  <c r="AL200" i="1"/>
  <c r="O178" i="1"/>
  <c r="AB192" i="1"/>
  <c r="AL194" i="1"/>
  <c r="T194" i="1"/>
  <c r="U197" i="1"/>
  <c r="V197" i="1" s="1"/>
  <c r="AB215" i="1"/>
  <c r="T179" i="1"/>
  <c r="J182" i="1"/>
  <c r="I182" i="1" s="1"/>
  <c r="T183" i="1"/>
  <c r="J186" i="1"/>
  <c r="I186" i="1" s="1"/>
  <c r="J190" i="1"/>
  <c r="I190" i="1" s="1"/>
  <c r="J194" i="1"/>
  <c r="I194" i="1" s="1"/>
  <c r="AL198" i="1"/>
  <c r="T198" i="1"/>
  <c r="AL205" i="1"/>
  <c r="T205" i="1"/>
  <c r="L190" i="1"/>
  <c r="L194" i="1"/>
  <c r="AL203" i="1"/>
  <c r="T203" i="1"/>
  <c r="O207" i="1"/>
  <c r="L207" i="1"/>
  <c r="K207" i="1"/>
  <c r="L209" i="1"/>
  <c r="K209" i="1"/>
  <c r="J209" i="1"/>
  <c r="I209" i="1" s="1"/>
  <c r="AI209" i="1"/>
  <c r="O209" i="1"/>
  <c r="O211" i="1"/>
  <c r="L211" i="1"/>
  <c r="K211" i="1"/>
  <c r="AI184" i="1"/>
  <c r="AI188" i="1"/>
  <c r="AI192" i="1"/>
  <c r="AI196" i="1"/>
  <c r="AL197" i="1"/>
  <c r="O200" i="1"/>
  <c r="J204" i="1"/>
  <c r="I204" i="1" s="1"/>
  <c r="U204" i="1" s="1"/>
  <c r="V204" i="1" s="1"/>
  <c r="O204" i="1"/>
  <c r="AL209" i="1"/>
  <c r="R224" i="1"/>
  <c r="P224" i="1" s="1"/>
  <c r="S224" i="1" s="1"/>
  <c r="M224" i="1" s="1"/>
  <c r="N224" i="1" s="1"/>
  <c r="L226" i="1"/>
  <c r="K226" i="1"/>
  <c r="J226" i="1"/>
  <c r="I226" i="1" s="1"/>
  <c r="AI226" i="1"/>
  <c r="O226" i="1"/>
  <c r="T181" i="1"/>
  <c r="J184" i="1"/>
  <c r="I184" i="1" s="1"/>
  <c r="T185" i="1"/>
  <c r="T189" i="1"/>
  <c r="T193" i="1"/>
  <c r="AL199" i="1"/>
  <c r="T199" i="1"/>
  <c r="X203" i="1"/>
  <c r="J207" i="1"/>
  <c r="I207" i="1" s="1"/>
  <c r="J211" i="1"/>
  <c r="I211" i="1" s="1"/>
  <c r="U212" i="1"/>
  <c r="V212" i="1" s="1"/>
  <c r="L214" i="1"/>
  <c r="K214" i="1"/>
  <c r="J214" i="1"/>
  <c r="I214" i="1" s="1"/>
  <c r="AI214" i="1"/>
  <c r="O214" i="1"/>
  <c r="X215" i="1"/>
  <c r="L218" i="1"/>
  <c r="K218" i="1"/>
  <c r="J218" i="1"/>
  <c r="I218" i="1" s="1"/>
  <c r="AI218" i="1"/>
  <c r="O218" i="1"/>
  <c r="X219" i="1"/>
  <c r="L222" i="1"/>
  <c r="K222" i="1"/>
  <c r="J222" i="1"/>
  <c r="I222" i="1" s="1"/>
  <c r="AI222" i="1"/>
  <c r="O222" i="1"/>
  <c r="X223" i="1"/>
  <c r="L198" i="1"/>
  <c r="J198" i="1"/>
  <c r="I198" i="1" s="1"/>
  <c r="X199" i="1"/>
  <c r="U208" i="1"/>
  <c r="V208" i="1" s="1"/>
  <c r="T188" i="1"/>
  <c r="T192" i="1"/>
  <c r="T196" i="1"/>
  <c r="L201" i="1"/>
  <c r="J201" i="1"/>
  <c r="I201" i="1" s="1"/>
  <c r="L202" i="1"/>
  <c r="K202" i="1"/>
  <c r="J202" i="1"/>
  <c r="I202" i="1" s="1"/>
  <c r="L206" i="1"/>
  <c r="K206" i="1"/>
  <c r="J206" i="1"/>
  <c r="I206" i="1" s="1"/>
  <c r="AI206" i="1"/>
  <c r="R208" i="1"/>
  <c r="P208" i="1" s="1"/>
  <c r="S208" i="1" s="1"/>
  <c r="M208" i="1" s="1"/>
  <c r="N208" i="1" s="1"/>
  <c r="L210" i="1"/>
  <c r="K210" i="1"/>
  <c r="J210" i="1"/>
  <c r="I210" i="1" s="1"/>
  <c r="AI210" i="1"/>
  <c r="R212" i="1"/>
  <c r="P212" i="1" s="1"/>
  <c r="S212" i="1" s="1"/>
  <c r="M212" i="1" s="1"/>
  <c r="N212" i="1" s="1"/>
  <c r="O215" i="1"/>
  <c r="L215" i="1"/>
  <c r="K215" i="1"/>
  <c r="AI215" i="1"/>
  <c r="U216" i="1"/>
  <c r="V216" i="1" s="1"/>
  <c r="O219" i="1"/>
  <c r="L219" i="1"/>
  <c r="K219" i="1"/>
  <c r="AI219" i="1"/>
  <c r="U220" i="1"/>
  <c r="V220" i="1" s="1"/>
  <c r="O223" i="1"/>
  <c r="L223" i="1"/>
  <c r="K223" i="1"/>
  <c r="AI223" i="1"/>
  <c r="U224" i="1"/>
  <c r="V224" i="1" s="1"/>
  <c r="K198" i="1"/>
  <c r="O199" i="1"/>
  <c r="AI200" i="1"/>
  <c r="AL201" i="1"/>
  <c r="T201" i="1"/>
  <c r="AI202" i="1"/>
  <c r="L204" i="1"/>
  <c r="L205" i="1"/>
  <c r="J205" i="1"/>
  <c r="I205" i="1" s="1"/>
  <c r="AI205" i="1"/>
  <c r="X207" i="1"/>
  <c r="X211" i="1"/>
  <c r="T207" i="1"/>
  <c r="T211" i="1"/>
  <c r="T215" i="1"/>
  <c r="T219" i="1"/>
  <c r="T223" i="1"/>
  <c r="AI225" i="1"/>
  <c r="T202" i="1"/>
  <c r="T206" i="1"/>
  <c r="T210" i="1"/>
  <c r="T214" i="1"/>
  <c r="J217" i="1"/>
  <c r="I217" i="1" s="1"/>
  <c r="T218" i="1"/>
  <c r="J221" i="1"/>
  <c r="I221" i="1" s="1"/>
  <c r="T222" i="1"/>
  <c r="J225" i="1"/>
  <c r="I225" i="1" s="1"/>
  <c r="T226" i="1"/>
  <c r="AI224" i="1"/>
  <c r="K225" i="1"/>
  <c r="T209" i="1"/>
  <c r="T213" i="1"/>
  <c r="T217" i="1"/>
  <c r="T221" i="1"/>
  <c r="T225" i="1"/>
  <c r="AD135" i="1" l="1"/>
  <c r="AC135" i="1"/>
  <c r="W135" i="1"/>
  <c r="AA135" i="1" s="1"/>
  <c r="W195" i="1"/>
  <c r="AA195" i="1" s="1"/>
  <c r="AD195" i="1"/>
  <c r="AE195" i="1" s="1"/>
  <c r="AC195" i="1"/>
  <c r="W191" i="1"/>
  <c r="AA191" i="1" s="1"/>
  <c r="AD191" i="1"/>
  <c r="AC191" i="1"/>
  <c r="W107" i="1"/>
  <c r="AA107" i="1" s="1"/>
  <c r="AD107" i="1"/>
  <c r="AC107" i="1"/>
  <c r="AD81" i="1"/>
  <c r="AE81" i="1" s="1"/>
  <c r="W81" i="1"/>
  <c r="AA81" i="1" s="1"/>
  <c r="AC81" i="1"/>
  <c r="AD115" i="1"/>
  <c r="AE115" i="1" s="1"/>
  <c r="W115" i="1"/>
  <c r="AA115" i="1" s="1"/>
  <c r="AC115" i="1"/>
  <c r="W204" i="1"/>
  <c r="AA204" i="1" s="1"/>
  <c r="AD204" i="1"/>
  <c r="AC204" i="1"/>
  <c r="AD180" i="1"/>
  <c r="W180" i="1"/>
  <c r="AA180" i="1" s="1"/>
  <c r="AC180" i="1"/>
  <c r="AD121" i="1"/>
  <c r="W121" i="1"/>
  <c r="AA121" i="1" s="1"/>
  <c r="AC121" i="1"/>
  <c r="U147" i="1"/>
  <c r="V147" i="1" s="1"/>
  <c r="AB125" i="1"/>
  <c r="U114" i="1"/>
  <c r="V114" i="1" s="1"/>
  <c r="AD117" i="1"/>
  <c r="W117" i="1"/>
  <c r="AA117" i="1" s="1"/>
  <c r="AB84" i="1"/>
  <c r="AB63" i="1"/>
  <c r="AB33" i="1"/>
  <c r="AB30" i="1"/>
  <c r="AB20" i="1"/>
  <c r="AB58" i="1"/>
  <c r="U217" i="1"/>
  <c r="V217" i="1" s="1"/>
  <c r="AB221" i="1"/>
  <c r="W216" i="1"/>
  <c r="AA216" i="1" s="1"/>
  <c r="AD216" i="1"/>
  <c r="AE216" i="1" s="1"/>
  <c r="AC216" i="1"/>
  <c r="AB210" i="1"/>
  <c r="R210" i="1"/>
  <c r="P210" i="1" s="1"/>
  <c r="S210" i="1" s="1"/>
  <c r="M210" i="1" s="1"/>
  <c r="N210" i="1" s="1"/>
  <c r="AB202" i="1"/>
  <c r="AB218" i="1"/>
  <c r="U193" i="1"/>
  <c r="V193" i="1" s="1"/>
  <c r="R216" i="1"/>
  <c r="P216" i="1" s="1"/>
  <c r="S216" i="1" s="1"/>
  <c r="M216" i="1" s="1"/>
  <c r="N216" i="1" s="1"/>
  <c r="U198" i="1"/>
  <c r="V198" i="1" s="1"/>
  <c r="AB197" i="1"/>
  <c r="R197" i="1"/>
  <c r="P197" i="1" s="1"/>
  <c r="S197" i="1" s="1"/>
  <c r="M197" i="1" s="1"/>
  <c r="N197" i="1" s="1"/>
  <c r="AB203" i="1"/>
  <c r="R203" i="1"/>
  <c r="P203" i="1" s="1"/>
  <c r="S203" i="1" s="1"/>
  <c r="M203" i="1" s="1"/>
  <c r="N203" i="1" s="1"/>
  <c r="U172" i="1"/>
  <c r="V172" i="1" s="1"/>
  <c r="U140" i="1"/>
  <c r="V140" i="1" s="1"/>
  <c r="U160" i="1"/>
  <c r="V160" i="1" s="1"/>
  <c r="U132" i="1"/>
  <c r="V132" i="1" s="1"/>
  <c r="AD159" i="1"/>
  <c r="W159" i="1"/>
  <c r="AA159" i="1" s="1"/>
  <c r="AC159" i="1"/>
  <c r="AB131" i="1"/>
  <c r="AB132" i="1"/>
  <c r="AB145" i="1"/>
  <c r="W124" i="1"/>
  <c r="AA124" i="1" s="1"/>
  <c r="AD124" i="1"/>
  <c r="AE124" i="1" s="1"/>
  <c r="AC124" i="1"/>
  <c r="R117" i="1"/>
  <c r="P117" i="1" s="1"/>
  <c r="S117" i="1" s="1"/>
  <c r="M117" i="1" s="1"/>
  <c r="N117" i="1" s="1"/>
  <c r="AB117" i="1"/>
  <c r="U88" i="1"/>
  <c r="V88" i="1" s="1"/>
  <c r="R88" i="1" s="1"/>
  <c r="P88" i="1" s="1"/>
  <c r="S88" i="1" s="1"/>
  <c r="M88" i="1" s="1"/>
  <c r="N88" i="1" s="1"/>
  <c r="W108" i="1"/>
  <c r="AA108" i="1" s="1"/>
  <c r="AD108" i="1"/>
  <c r="AC108" i="1"/>
  <c r="U98" i="1"/>
  <c r="V98" i="1" s="1"/>
  <c r="AB152" i="1"/>
  <c r="R94" i="1"/>
  <c r="P94" i="1" s="1"/>
  <c r="S94" i="1" s="1"/>
  <c r="M94" i="1" s="1"/>
  <c r="N94" i="1" s="1"/>
  <c r="AB94" i="1"/>
  <c r="U25" i="1"/>
  <c r="V25" i="1" s="1"/>
  <c r="U62" i="1"/>
  <c r="V62" i="1" s="1"/>
  <c r="AB67" i="1"/>
  <c r="U67" i="1"/>
  <c r="V67" i="1" s="1"/>
  <c r="R67" i="1" s="1"/>
  <c r="P67" i="1" s="1"/>
  <c r="S67" i="1" s="1"/>
  <c r="M67" i="1" s="1"/>
  <c r="N67" i="1" s="1"/>
  <c r="AB75" i="1"/>
  <c r="U46" i="1"/>
  <c r="V46" i="1" s="1"/>
  <c r="U30" i="1"/>
  <c r="V30" i="1" s="1"/>
  <c r="R30" i="1" s="1"/>
  <c r="P30" i="1" s="1"/>
  <c r="S30" i="1" s="1"/>
  <c r="M30" i="1" s="1"/>
  <c r="N30" i="1" s="1"/>
  <c r="M89" i="1"/>
  <c r="N89" i="1" s="1"/>
  <c r="AB57" i="1"/>
  <c r="U43" i="1"/>
  <c r="V43" i="1" s="1"/>
  <c r="U27" i="1"/>
  <c r="V27" i="1" s="1"/>
  <c r="AB61" i="1"/>
  <c r="AB92" i="1"/>
  <c r="U40" i="1"/>
  <c r="V40" i="1" s="1"/>
  <c r="AB19" i="1"/>
  <c r="AB51" i="1"/>
  <c r="AB31" i="1"/>
  <c r="U63" i="1"/>
  <c r="V63" i="1" s="1"/>
  <c r="R32" i="1"/>
  <c r="P32" i="1" s="1"/>
  <c r="S32" i="1" s="1"/>
  <c r="M32" i="1" s="1"/>
  <c r="N32" i="1" s="1"/>
  <c r="AB32" i="1"/>
  <c r="U188" i="1"/>
  <c r="V188" i="1" s="1"/>
  <c r="AB209" i="1"/>
  <c r="U179" i="1"/>
  <c r="V179" i="1" s="1"/>
  <c r="AB116" i="1"/>
  <c r="W99" i="1"/>
  <c r="AA99" i="1" s="1"/>
  <c r="AD99" i="1"/>
  <c r="AE99" i="1" s="1"/>
  <c r="AC99" i="1"/>
  <c r="AB91" i="1"/>
  <c r="U157" i="1"/>
  <c r="V157" i="1" s="1"/>
  <c r="R157" i="1" s="1"/>
  <c r="P157" i="1" s="1"/>
  <c r="S157" i="1" s="1"/>
  <c r="M157" i="1" s="1"/>
  <c r="N157" i="1" s="1"/>
  <c r="AB157" i="1"/>
  <c r="W97" i="1"/>
  <c r="AA97" i="1" s="1"/>
  <c r="AD97" i="1"/>
  <c r="U57" i="1"/>
  <c r="V57" i="1" s="1"/>
  <c r="R57" i="1" s="1"/>
  <c r="P57" i="1" s="1"/>
  <c r="S57" i="1" s="1"/>
  <c r="M57" i="1" s="1"/>
  <c r="N57" i="1" s="1"/>
  <c r="AB101" i="1"/>
  <c r="U29" i="1"/>
  <c r="V29" i="1" s="1"/>
  <c r="AB49" i="1"/>
  <c r="AB46" i="1"/>
  <c r="U71" i="1"/>
  <c r="V71" i="1" s="1"/>
  <c r="AB71" i="1"/>
  <c r="U44" i="1"/>
  <c r="V44" i="1" s="1"/>
  <c r="AB28" i="1"/>
  <c r="R44" i="1"/>
  <c r="P44" i="1" s="1"/>
  <c r="S44" i="1" s="1"/>
  <c r="M44" i="1" s="1"/>
  <c r="N44" i="1" s="1"/>
  <c r="AB44" i="1"/>
  <c r="U213" i="1"/>
  <c r="V213" i="1" s="1"/>
  <c r="U218" i="1"/>
  <c r="V218" i="1" s="1"/>
  <c r="R218" i="1" s="1"/>
  <c r="P218" i="1" s="1"/>
  <c r="S218" i="1" s="1"/>
  <c r="M218" i="1" s="1"/>
  <c r="N218" i="1" s="1"/>
  <c r="U223" i="1"/>
  <c r="V223" i="1" s="1"/>
  <c r="W208" i="1"/>
  <c r="AA208" i="1" s="1"/>
  <c r="AD208" i="1"/>
  <c r="W212" i="1"/>
  <c r="AA212" i="1" s="1"/>
  <c r="AD212" i="1"/>
  <c r="AE212" i="1" s="1"/>
  <c r="AC212" i="1"/>
  <c r="U189" i="1"/>
  <c r="V189" i="1" s="1"/>
  <c r="U190" i="1"/>
  <c r="V190" i="1" s="1"/>
  <c r="U184" i="1"/>
  <c r="V184" i="1" s="1"/>
  <c r="AB175" i="1"/>
  <c r="R175" i="1"/>
  <c r="P175" i="1" s="1"/>
  <c r="S175" i="1" s="1"/>
  <c r="M175" i="1" s="1"/>
  <c r="N175" i="1" s="1"/>
  <c r="U170" i="1"/>
  <c r="V170" i="1" s="1"/>
  <c r="R170" i="1" s="1"/>
  <c r="P170" i="1" s="1"/>
  <c r="S170" i="1" s="1"/>
  <c r="M170" i="1" s="1"/>
  <c r="N170" i="1" s="1"/>
  <c r="AB170" i="1"/>
  <c r="AB164" i="1"/>
  <c r="U143" i="1"/>
  <c r="V143" i="1" s="1"/>
  <c r="AB166" i="1"/>
  <c r="U166" i="1"/>
  <c r="V166" i="1" s="1"/>
  <c r="R166" i="1" s="1"/>
  <c r="P166" i="1" s="1"/>
  <c r="S166" i="1" s="1"/>
  <c r="M166" i="1" s="1"/>
  <c r="N166" i="1" s="1"/>
  <c r="U128" i="1"/>
  <c r="V128" i="1" s="1"/>
  <c r="R159" i="1"/>
  <c r="P159" i="1" s="1"/>
  <c r="S159" i="1" s="1"/>
  <c r="M159" i="1" s="1"/>
  <c r="N159" i="1" s="1"/>
  <c r="AB154" i="1"/>
  <c r="R154" i="1"/>
  <c r="P154" i="1" s="1"/>
  <c r="S154" i="1" s="1"/>
  <c r="M154" i="1" s="1"/>
  <c r="N154" i="1" s="1"/>
  <c r="AB126" i="1"/>
  <c r="AB138" i="1"/>
  <c r="R127" i="1"/>
  <c r="P127" i="1" s="1"/>
  <c r="S127" i="1" s="1"/>
  <c r="M127" i="1" s="1"/>
  <c r="N127" i="1" s="1"/>
  <c r="AB127" i="1"/>
  <c r="AB133" i="1"/>
  <c r="AB114" i="1"/>
  <c r="R114" i="1"/>
  <c r="P114" i="1" s="1"/>
  <c r="S114" i="1" s="1"/>
  <c r="M114" i="1" s="1"/>
  <c r="N114" i="1" s="1"/>
  <c r="AB141" i="1"/>
  <c r="AD109" i="1"/>
  <c r="AE109" i="1" s="1"/>
  <c r="W109" i="1"/>
  <c r="AA109" i="1" s="1"/>
  <c r="AB87" i="1"/>
  <c r="R87" i="1"/>
  <c r="P87" i="1" s="1"/>
  <c r="S87" i="1" s="1"/>
  <c r="M87" i="1" s="1"/>
  <c r="N87" i="1" s="1"/>
  <c r="AB112" i="1"/>
  <c r="U112" i="1"/>
  <c r="V112" i="1" s="1"/>
  <c r="R112" i="1" s="1"/>
  <c r="P112" i="1" s="1"/>
  <c r="S112" i="1" s="1"/>
  <c r="M112" i="1" s="1"/>
  <c r="N112" i="1" s="1"/>
  <c r="AB104" i="1"/>
  <c r="R104" i="1"/>
  <c r="P104" i="1" s="1"/>
  <c r="S104" i="1" s="1"/>
  <c r="M104" i="1" s="1"/>
  <c r="N104" i="1" s="1"/>
  <c r="AB95" i="1"/>
  <c r="R83" i="1"/>
  <c r="P83" i="1" s="1"/>
  <c r="S83" i="1" s="1"/>
  <c r="M83" i="1" s="1"/>
  <c r="N83" i="1" s="1"/>
  <c r="AB83" i="1"/>
  <c r="U116" i="1"/>
  <c r="V116" i="1" s="1"/>
  <c r="U21" i="1"/>
  <c r="V21" i="1" s="1"/>
  <c r="R21" i="1" s="1"/>
  <c r="P21" i="1" s="1"/>
  <c r="S21" i="1" s="1"/>
  <c r="M21" i="1" s="1"/>
  <c r="N21" i="1" s="1"/>
  <c r="AB45" i="1"/>
  <c r="AB42" i="1"/>
  <c r="AB26" i="1"/>
  <c r="U87" i="1"/>
  <c r="V87" i="1" s="1"/>
  <c r="AB73" i="1"/>
  <c r="U36" i="1"/>
  <c r="V36" i="1" s="1"/>
  <c r="AB35" i="1"/>
  <c r="AB21" i="1"/>
  <c r="AB222" i="1"/>
  <c r="W197" i="1"/>
  <c r="AA197" i="1" s="1"/>
  <c r="AD197" i="1"/>
  <c r="AE197" i="1" s="1"/>
  <c r="U168" i="1"/>
  <c r="V168" i="1" s="1"/>
  <c r="W187" i="1"/>
  <c r="AA187" i="1" s="1"/>
  <c r="AD187" i="1"/>
  <c r="AC187" i="1"/>
  <c r="U165" i="1"/>
  <c r="V165" i="1" s="1"/>
  <c r="AB165" i="1"/>
  <c r="U155" i="1"/>
  <c r="V155" i="1" s="1"/>
  <c r="U134" i="1"/>
  <c r="V134" i="1" s="1"/>
  <c r="U127" i="1"/>
  <c r="V127" i="1" s="1"/>
  <c r="U133" i="1"/>
  <c r="V133" i="1" s="1"/>
  <c r="R133" i="1" s="1"/>
  <c r="P133" i="1" s="1"/>
  <c r="S133" i="1" s="1"/>
  <c r="M133" i="1" s="1"/>
  <c r="N133" i="1" s="1"/>
  <c r="AD113" i="1"/>
  <c r="W113" i="1"/>
  <c r="AA113" i="1" s="1"/>
  <c r="R113" i="1"/>
  <c r="P113" i="1" s="1"/>
  <c r="S113" i="1" s="1"/>
  <c r="M113" i="1" s="1"/>
  <c r="N113" i="1" s="1"/>
  <c r="R105" i="1"/>
  <c r="P105" i="1" s="1"/>
  <c r="S105" i="1" s="1"/>
  <c r="M105" i="1" s="1"/>
  <c r="N105" i="1" s="1"/>
  <c r="AB105" i="1"/>
  <c r="U131" i="1"/>
  <c r="V131" i="1" s="1"/>
  <c r="AB98" i="1"/>
  <c r="R98" i="1"/>
  <c r="P98" i="1" s="1"/>
  <c r="S98" i="1" s="1"/>
  <c r="M98" i="1" s="1"/>
  <c r="N98" i="1" s="1"/>
  <c r="R135" i="1"/>
  <c r="P135" i="1" s="1"/>
  <c r="S135" i="1" s="1"/>
  <c r="M135" i="1" s="1"/>
  <c r="N135" i="1" s="1"/>
  <c r="AB135" i="1"/>
  <c r="U76" i="1"/>
  <c r="V76" i="1" s="1"/>
  <c r="AC97" i="1"/>
  <c r="AB78" i="1"/>
  <c r="W104" i="1"/>
  <c r="AA104" i="1" s="1"/>
  <c r="AC104" i="1"/>
  <c r="AD104" i="1"/>
  <c r="U74" i="1"/>
  <c r="V74" i="1" s="1"/>
  <c r="AB90" i="1"/>
  <c r="U80" i="1"/>
  <c r="V80" i="1" s="1"/>
  <c r="R80" i="1" s="1"/>
  <c r="P80" i="1" s="1"/>
  <c r="S80" i="1" s="1"/>
  <c r="M80" i="1" s="1"/>
  <c r="N80" i="1" s="1"/>
  <c r="U17" i="1"/>
  <c r="V17" i="1" s="1"/>
  <c r="AB74" i="1"/>
  <c r="R74" i="1"/>
  <c r="P74" i="1" s="1"/>
  <c r="S74" i="1" s="1"/>
  <c r="M74" i="1" s="1"/>
  <c r="N74" i="1" s="1"/>
  <c r="M86" i="1"/>
  <c r="N86" i="1" s="1"/>
  <c r="U42" i="1"/>
  <c r="V42" i="1" s="1"/>
  <c r="U26" i="1"/>
  <c r="V26" i="1" s="1"/>
  <c r="AD85" i="1"/>
  <c r="W85" i="1"/>
  <c r="AA85" i="1" s="1"/>
  <c r="U39" i="1"/>
  <c r="V39" i="1" s="1"/>
  <c r="U23" i="1"/>
  <c r="V23" i="1" s="1"/>
  <c r="AB69" i="1"/>
  <c r="U32" i="1"/>
  <c r="V32" i="1" s="1"/>
  <c r="AB17" i="1"/>
  <c r="R17" i="1"/>
  <c r="P17" i="1" s="1"/>
  <c r="S17" i="1" s="1"/>
  <c r="M17" i="1" s="1"/>
  <c r="N17" i="1" s="1"/>
  <c r="AB25" i="1"/>
  <c r="W56" i="1"/>
  <c r="AA56" i="1" s="1"/>
  <c r="AD56" i="1"/>
  <c r="AE56" i="1" s="1"/>
  <c r="AC56" i="1"/>
  <c r="M54" i="1"/>
  <c r="N54" i="1" s="1"/>
  <c r="AB39" i="1"/>
  <c r="R39" i="1"/>
  <c r="P39" i="1" s="1"/>
  <c r="S39" i="1" s="1"/>
  <c r="M39" i="1" s="1"/>
  <c r="N39" i="1" s="1"/>
  <c r="U144" i="1"/>
  <c r="V144" i="1" s="1"/>
  <c r="AB217" i="1"/>
  <c r="R217" i="1"/>
  <c r="P217" i="1" s="1"/>
  <c r="S217" i="1" s="1"/>
  <c r="M217" i="1" s="1"/>
  <c r="N217" i="1" s="1"/>
  <c r="AB205" i="1"/>
  <c r="R205" i="1"/>
  <c r="P205" i="1" s="1"/>
  <c r="S205" i="1" s="1"/>
  <c r="M205" i="1" s="1"/>
  <c r="N205" i="1" s="1"/>
  <c r="AB201" i="1"/>
  <c r="AB211" i="1"/>
  <c r="AB184" i="1"/>
  <c r="R184" i="1"/>
  <c r="P184" i="1" s="1"/>
  <c r="S184" i="1" s="1"/>
  <c r="M184" i="1" s="1"/>
  <c r="N184" i="1" s="1"/>
  <c r="AB190" i="1"/>
  <c r="R190" i="1"/>
  <c r="P190" i="1" s="1"/>
  <c r="S190" i="1" s="1"/>
  <c r="M190" i="1" s="1"/>
  <c r="N190" i="1" s="1"/>
  <c r="U173" i="1"/>
  <c r="V173" i="1" s="1"/>
  <c r="U177" i="1"/>
  <c r="V177" i="1" s="1"/>
  <c r="U156" i="1"/>
  <c r="V156" i="1" s="1"/>
  <c r="U130" i="1"/>
  <c r="V130" i="1" s="1"/>
  <c r="AB148" i="1"/>
  <c r="R129" i="1"/>
  <c r="P129" i="1" s="1"/>
  <c r="S129" i="1" s="1"/>
  <c r="M129" i="1" s="1"/>
  <c r="N129" i="1" s="1"/>
  <c r="AB129" i="1"/>
  <c r="W103" i="1"/>
  <c r="AA103" i="1" s="1"/>
  <c r="AD103" i="1"/>
  <c r="AC103" i="1"/>
  <c r="AB122" i="1"/>
  <c r="M108" i="1"/>
  <c r="N108" i="1" s="1"/>
  <c r="R97" i="1"/>
  <c r="P97" i="1" s="1"/>
  <c r="S97" i="1" s="1"/>
  <c r="M97" i="1" s="1"/>
  <c r="N97" i="1" s="1"/>
  <c r="AB97" i="1"/>
  <c r="U153" i="1"/>
  <c r="V153" i="1" s="1"/>
  <c r="R153" i="1" s="1"/>
  <c r="P153" i="1" s="1"/>
  <c r="S153" i="1" s="1"/>
  <c r="M153" i="1" s="1"/>
  <c r="N153" i="1" s="1"/>
  <c r="AB153" i="1"/>
  <c r="U72" i="1"/>
  <c r="V72" i="1" s="1"/>
  <c r="U90" i="1"/>
  <c r="V90" i="1" s="1"/>
  <c r="U101" i="1"/>
  <c r="V101" i="1" s="1"/>
  <c r="R101" i="1" s="1"/>
  <c r="P101" i="1" s="1"/>
  <c r="S101" i="1" s="1"/>
  <c r="M101" i="1" s="1"/>
  <c r="N101" i="1" s="1"/>
  <c r="U73" i="1"/>
  <c r="V73" i="1" s="1"/>
  <c r="R73" i="1" s="1"/>
  <c r="P73" i="1" s="1"/>
  <c r="S73" i="1" s="1"/>
  <c r="M73" i="1" s="1"/>
  <c r="N73" i="1" s="1"/>
  <c r="U105" i="1"/>
  <c r="V105" i="1" s="1"/>
  <c r="U95" i="1"/>
  <c r="V95" i="1" s="1"/>
  <c r="R95" i="1" s="1"/>
  <c r="P95" i="1" s="1"/>
  <c r="S95" i="1" s="1"/>
  <c r="M95" i="1" s="1"/>
  <c r="N95" i="1" s="1"/>
  <c r="W59" i="1"/>
  <c r="AA59" i="1" s="1"/>
  <c r="AD59" i="1"/>
  <c r="AE59" i="1" s="1"/>
  <c r="AC85" i="1"/>
  <c r="AB41" i="1"/>
  <c r="R41" i="1"/>
  <c r="P41" i="1" s="1"/>
  <c r="S41" i="1" s="1"/>
  <c r="M41" i="1" s="1"/>
  <c r="N41" i="1" s="1"/>
  <c r="U22" i="1"/>
  <c r="V22" i="1" s="1"/>
  <c r="W82" i="1"/>
  <c r="AA82" i="1" s="1"/>
  <c r="AD82" i="1"/>
  <c r="AE82" i="1" s="1"/>
  <c r="R82" i="1"/>
  <c r="P82" i="1" s="1"/>
  <c r="S82" i="1" s="1"/>
  <c r="M82" i="1" s="1"/>
  <c r="N82" i="1" s="1"/>
  <c r="U70" i="1"/>
  <c r="V70" i="1" s="1"/>
  <c r="AB38" i="1"/>
  <c r="AB22" i="1"/>
  <c r="R22" i="1"/>
  <c r="P22" i="1" s="1"/>
  <c r="S22" i="1" s="1"/>
  <c r="M22" i="1" s="1"/>
  <c r="N22" i="1" s="1"/>
  <c r="U58" i="1"/>
  <c r="V58" i="1" s="1"/>
  <c r="R58" i="1" s="1"/>
  <c r="P58" i="1" s="1"/>
  <c r="S58" i="1" s="1"/>
  <c r="M58" i="1" s="1"/>
  <c r="N58" i="1" s="1"/>
  <c r="U28" i="1"/>
  <c r="V28" i="1" s="1"/>
  <c r="R28" i="1" s="1"/>
  <c r="P28" i="1" s="1"/>
  <c r="S28" i="1" s="1"/>
  <c r="M28" i="1" s="1"/>
  <c r="N28" i="1" s="1"/>
  <c r="AD54" i="1"/>
  <c r="W54" i="1"/>
  <c r="AA54" i="1" s="1"/>
  <c r="U202" i="1"/>
  <c r="V202" i="1" s="1"/>
  <c r="U201" i="1"/>
  <c r="V201" i="1" s="1"/>
  <c r="U162" i="1"/>
  <c r="V162" i="1" s="1"/>
  <c r="R195" i="1"/>
  <c r="P195" i="1" s="1"/>
  <c r="S195" i="1" s="1"/>
  <c r="M195" i="1" s="1"/>
  <c r="N195" i="1" s="1"/>
  <c r="AB195" i="1"/>
  <c r="U146" i="1"/>
  <c r="V146" i="1" s="1"/>
  <c r="AB194" i="1"/>
  <c r="U211" i="1"/>
  <c r="V211" i="1" s="1"/>
  <c r="W224" i="1"/>
  <c r="AA224" i="1" s="1"/>
  <c r="AD224" i="1"/>
  <c r="AE224" i="1" s="1"/>
  <c r="AC224" i="1"/>
  <c r="AB207" i="1"/>
  <c r="U181" i="1"/>
  <c r="V181" i="1" s="1"/>
  <c r="AC208" i="1"/>
  <c r="AB186" i="1"/>
  <c r="U169" i="1"/>
  <c r="V169" i="1" s="1"/>
  <c r="U186" i="1"/>
  <c r="V186" i="1" s="1"/>
  <c r="W175" i="1"/>
  <c r="AA175" i="1" s="1"/>
  <c r="AD175" i="1"/>
  <c r="AB193" i="1"/>
  <c r="R193" i="1"/>
  <c r="P193" i="1" s="1"/>
  <c r="S193" i="1" s="1"/>
  <c r="M193" i="1" s="1"/>
  <c r="N193" i="1" s="1"/>
  <c r="U164" i="1"/>
  <c r="V164" i="1" s="1"/>
  <c r="U145" i="1"/>
  <c r="V145" i="1" s="1"/>
  <c r="AB158" i="1"/>
  <c r="AB171" i="1"/>
  <c r="R171" i="1"/>
  <c r="P171" i="1" s="1"/>
  <c r="S171" i="1" s="1"/>
  <c r="M171" i="1" s="1"/>
  <c r="N171" i="1" s="1"/>
  <c r="U151" i="1"/>
  <c r="V151" i="1" s="1"/>
  <c r="U139" i="1"/>
  <c r="V139" i="1" s="1"/>
  <c r="AB162" i="1"/>
  <c r="R162" i="1"/>
  <c r="P162" i="1" s="1"/>
  <c r="S162" i="1" s="1"/>
  <c r="M162" i="1" s="1"/>
  <c r="N162" i="1" s="1"/>
  <c r="U126" i="1"/>
  <c r="V126" i="1" s="1"/>
  <c r="U138" i="1"/>
  <c r="V138" i="1" s="1"/>
  <c r="R138" i="1" s="1"/>
  <c r="P138" i="1" s="1"/>
  <c r="S138" i="1" s="1"/>
  <c r="M138" i="1" s="1"/>
  <c r="N138" i="1" s="1"/>
  <c r="U106" i="1"/>
  <c r="V106" i="1" s="1"/>
  <c r="R123" i="1"/>
  <c r="P123" i="1" s="1"/>
  <c r="S123" i="1" s="1"/>
  <c r="M123" i="1" s="1"/>
  <c r="N123" i="1" s="1"/>
  <c r="AB123" i="1"/>
  <c r="AB111" i="1"/>
  <c r="U137" i="1"/>
  <c r="V137" i="1" s="1"/>
  <c r="U129" i="1"/>
  <c r="V129" i="1" s="1"/>
  <c r="R99" i="1"/>
  <c r="P99" i="1" s="1"/>
  <c r="S99" i="1" s="1"/>
  <c r="M99" i="1" s="1"/>
  <c r="N99" i="1" s="1"/>
  <c r="U118" i="1"/>
  <c r="V118" i="1" s="1"/>
  <c r="U125" i="1"/>
  <c r="V125" i="1" s="1"/>
  <c r="R125" i="1" s="1"/>
  <c r="P125" i="1" s="1"/>
  <c r="S125" i="1" s="1"/>
  <c r="M125" i="1" s="1"/>
  <c r="N125" i="1" s="1"/>
  <c r="AB107" i="1"/>
  <c r="R107" i="1"/>
  <c r="P107" i="1" s="1"/>
  <c r="S107" i="1" s="1"/>
  <c r="M107" i="1" s="1"/>
  <c r="N107" i="1" s="1"/>
  <c r="AB88" i="1"/>
  <c r="U68" i="1"/>
  <c r="V68" i="1" s="1"/>
  <c r="AD96" i="1"/>
  <c r="AC96" i="1"/>
  <c r="W96" i="1"/>
  <c r="AA96" i="1" s="1"/>
  <c r="U69" i="1"/>
  <c r="V69" i="1" s="1"/>
  <c r="AB102" i="1"/>
  <c r="W100" i="1"/>
  <c r="AA100" i="1" s="1"/>
  <c r="AD100" i="1"/>
  <c r="AC100" i="1"/>
  <c r="W86" i="1"/>
  <c r="AA86" i="1" s="1"/>
  <c r="AD86" i="1"/>
  <c r="AC86" i="1"/>
  <c r="U83" i="1"/>
  <c r="V83" i="1" s="1"/>
  <c r="U78" i="1"/>
  <c r="V78" i="1" s="1"/>
  <c r="U41" i="1"/>
  <c r="V41" i="1" s="1"/>
  <c r="AB80" i="1"/>
  <c r="R59" i="1"/>
  <c r="P59" i="1" s="1"/>
  <c r="S59" i="1" s="1"/>
  <c r="M59" i="1" s="1"/>
  <c r="N59" i="1" s="1"/>
  <c r="AB59" i="1"/>
  <c r="U38" i="1"/>
  <c r="V38" i="1" s="1"/>
  <c r="U18" i="1"/>
  <c r="V18" i="1" s="1"/>
  <c r="U51" i="1"/>
  <c r="V51" i="1" s="1"/>
  <c r="U35" i="1"/>
  <c r="V35" i="1" s="1"/>
  <c r="U19" i="1"/>
  <c r="V19" i="1" s="1"/>
  <c r="AE89" i="1"/>
  <c r="AB70" i="1"/>
  <c r="R70" i="1"/>
  <c r="P70" i="1" s="1"/>
  <c r="S70" i="1" s="1"/>
  <c r="M70" i="1" s="1"/>
  <c r="N70" i="1" s="1"/>
  <c r="U24" i="1"/>
  <c r="V24" i="1" s="1"/>
  <c r="R24" i="1" s="1"/>
  <c r="P24" i="1" s="1"/>
  <c r="S24" i="1" s="1"/>
  <c r="M24" i="1" s="1"/>
  <c r="N24" i="1" s="1"/>
  <c r="AB36" i="1"/>
  <c r="AC54" i="1"/>
  <c r="U222" i="1"/>
  <c r="V222" i="1" s="1"/>
  <c r="R222" i="1" s="1"/>
  <c r="P222" i="1" s="1"/>
  <c r="S222" i="1" s="1"/>
  <c r="M222" i="1" s="1"/>
  <c r="N222" i="1" s="1"/>
  <c r="AB226" i="1"/>
  <c r="W171" i="1"/>
  <c r="AA171" i="1" s="1"/>
  <c r="AD171" i="1"/>
  <c r="R121" i="1"/>
  <c r="P121" i="1" s="1"/>
  <c r="S121" i="1" s="1"/>
  <c r="M121" i="1" s="1"/>
  <c r="N121" i="1" s="1"/>
  <c r="AB121" i="1"/>
  <c r="W220" i="1"/>
  <c r="AA220" i="1" s="1"/>
  <c r="AD220" i="1"/>
  <c r="AC220" i="1"/>
  <c r="U185" i="1"/>
  <c r="V185" i="1" s="1"/>
  <c r="R185" i="1" s="1"/>
  <c r="P185" i="1" s="1"/>
  <c r="S185" i="1" s="1"/>
  <c r="M185" i="1" s="1"/>
  <c r="N185" i="1" s="1"/>
  <c r="U214" i="1"/>
  <c r="V214" i="1" s="1"/>
  <c r="U215" i="1"/>
  <c r="V215" i="1" s="1"/>
  <c r="U226" i="1"/>
  <c r="V226" i="1" s="1"/>
  <c r="R226" i="1" s="1"/>
  <c r="P226" i="1" s="1"/>
  <c r="S226" i="1" s="1"/>
  <c r="M226" i="1" s="1"/>
  <c r="N226" i="1" s="1"/>
  <c r="U210" i="1"/>
  <c r="V210" i="1" s="1"/>
  <c r="U207" i="1"/>
  <c r="V207" i="1" s="1"/>
  <c r="AB206" i="1"/>
  <c r="U196" i="1"/>
  <c r="V196" i="1" s="1"/>
  <c r="AB198" i="1"/>
  <c r="R198" i="1"/>
  <c r="P198" i="1" s="1"/>
  <c r="S198" i="1" s="1"/>
  <c r="M198" i="1" s="1"/>
  <c r="N198" i="1" s="1"/>
  <c r="U203" i="1"/>
  <c r="V203" i="1" s="1"/>
  <c r="U205" i="1"/>
  <c r="V205" i="1" s="1"/>
  <c r="U183" i="1"/>
  <c r="V183" i="1" s="1"/>
  <c r="U194" i="1"/>
  <c r="V194" i="1" s="1"/>
  <c r="R194" i="1" s="1"/>
  <c r="P194" i="1" s="1"/>
  <c r="S194" i="1" s="1"/>
  <c r="M194" i="1" s="1"/>
  <c r="N194" i="1" s="1"/>
  <c r="U200" i="1"/>
  <c r="V200" i="1" s="1"/>
  <c r="U182" i="1"/>
  <c r="V182" i="1" s="1"/>
  <c r="R182" i="1" s="1"/>
  <c r="P182" i="1" s="1"/>
  <c r="S182" i="1" s="1"/>
  <c r="M182" i="1" s="1"/>
  <c r="N182" i="1" s="1"/>
  <c r="R187" i="1"/>
  <c r="P187" i="1" s="1"/>
  <c r="S187" i="1" s="1"/>
  <c r="M187" i="1" s="1"/>
  <c r="N187" i="1" s="1"/>
  <c r="AB187" i="1"/>
  <c r="AB177" i="1"/>
  <c r="R177" i="1"/>
  <c r="P177" i="1" s="1"/>
  <c r="S177" i="1" s="1"/>
  <c r="M177" i="1" s="1"/>
  <c r="N177" i="1" s="1"/>
  <c r="AC197" i="1"/>
  <c r="R183" i="1"/>
  <c r="P183" i="1" s="1"/>
  <c r="S183" i="1" s="1"/>
  <c r="M183" i="1" s="1"/>
  <c r="N183" i="1" s="1"/>
  <c r="AB183" i="1"/>
  <c r="U152" i="1"/>
  <c r="V152" i="1" s="1"/>
  <c r="R152" i="1" s="1"/>
  <c r="P152" i="1" s="1"/>
  <c r="S152" i="1" s="1"/>
  <c r="M152" i="1" s="1"/>
  <c r="N152" i="1" s="1"/>
  <c r="U141" i="1"/>
  <c r="V141" i="1" s="1"/>
  <c r="R141" i="1" s="1"/>
  <c r="P141" i="1" s="1"/>
  <c r="S141" i="1" s="1"/>
  <c r="M141" i="1" s="1"/>
  <c r="N141" i="1" s="1"/>
  <c r="U161" i="1"/>
  <c r="V161" i="1" s="1"/>
  <c r="R161" i="1" s="1"/>
  <c r="P161" i="1" s="1"/>
  <c r="S161" i="1" s="1"/>
  <c r="M161" i="1" s="1"/>
  <c r="N161" i="1" s="1"/>
  <c r="U167" i="1"/>
  <c r="V167" i="1" s="1"/>
  <c r="U154" i="1"/>
  <c r="V154" i="1" s="1"/>
  <c r="AB161" i="1"/>
  <c r="U142" i="1"/>
  <c r="V142" i="1" s="1"/>
  <c r="AB146" i="1"/>
  <c r="R146" i="1"/>
  <c r="P146" i="1" s="1"/>
  <c r="S146" i="1" s="1"/>
  <c r="M146" i="1" s="1"/>
  <c r="N146" i="1" s="1"/>
  <c r="U122" i="1"/>
  <c r="V122" i="1" s="1"/>
  <c r="R122" i="1" s="1"/>
  <c r="P122" i="1" s="1"/>
  <c r="S122" i="1" s="1"/>
  <c r="M122" i="1" s="1"/>
  <c r="N122" i="1" s="1"/>
  <c r="R115" i="1"/>
  <c r="P115" i="1" s="1"/>
  <c r="S115" i="1" s="1"/>
  <c r="M115" i="1" s="1"/>
  <c r="N115" i="1" s="1"/>
  <c r="AB115" i="1"/>
  <c r="AB144" i="1"/>
  <c r="AB120" i="1"/>
  <c r="U120" i="1"/>
  <c r="V120" i="1" s="1"/>
  <c r="U102" i="1"/>
  <c r="V102" i="1" s="1"/>
  <c r="R102" i="1" s="1"/>
  <c r="P102" i="1" s="1"/>
  <c r="S102" i="1" s="1"/>
  <c r="M102" i="1" s="1"/>
  <c r="N102" i="1" s="1"/>
  <c r="U123" i="1"/>
  <c r="V123" i="1" s="1"/>
  <c r="AC113" i="1"/>
  <c r="U91" i="1"/>
  <c r="V91" i="1" s="1"/>
  <c r="U64" i="1"/>
  <c r="V64" i="1" s="1"/>
  <c r="AB106" i="1"/>
  <c r="R106" i="1"/>
  <c r="P106" i="1" s="1"/>
  <c r="S106" i="1" s="1"/>
  <c r="M106" i="1" s="1"/>
  <c r="N106" i="1" s="1"/>
  <c r="U65" i="1"/>
  <c r="V65" i="1" s="1"/>
  <c r="R96" i="1"/>
  <c r="P96" i="1" s="1"/>
  <c r="S96" i="1" s="1"/>
  <c r="M96" i="1" s="1"/>
  <c r="N96" i="1" s="1"/>
  <c r="U84" i="1"/>
  <c r="V84" i="1" s="1"/>
  <c r="AB77" i="1"/>
  <c r="AB66" i="1"/>
  <c r="U37" i="1"/>
  <c r="V37" i="1" s="1"/>
  <c r="AB53" i="1"/>
  <c r="AB37" i="1"/>
  <c r="M93" i="1"/>
  <c r="N93" i="1" s="1"/>
  <c r="AB50" i="1"/>
  <c r="R50" i="1"/>
  <c r="P50" i="1" s="1"/>
  <c r="S50" i="1" s="1"/>
  <c r="M50" i="1" s="1"/>
  <c r="N50" i="1" s="1"/>
  <c r="AB34" i="1"/>
  <c r="AB18" i="1"/>
  <c r="R18" i="1"/>
  <c r="P18" i="1" s="1"/>
  <c r="S18" i="1" s="1"/>
  <c r="M18" i="1" s="1"/>
  <c r="N18" i="1" s="1"/>
  <c r="R56" i="1"/>
  <c r="P56" i="1" s="1"/>
  <c r="S56" i="1" s="1"/>
  <c r="M56" i="1" s="1"/>
  <c r="N56" i="1" s="1"/>
  <c r="U75" i="1"/>
  <c r="V75" i="1" s="1"/>
  <c r="R75" i="1" s="1"/>
  <c r="P75" i="1" s="1"/>
  <c r="S75" i="1" s="1"/>
  <c r="M75" i="1" s="1"/>
  <c r="N75" i="1" s="1"/>
  <c r="U52" i="1"/>
  <c r="V52" i="1" s="1"/>
  <c r="U20" i="1"/>
  <c r="V20" i="1" s="1"/>
  <c r="U53" i="1"/>
  <c r="V53" i="1" s="1"/>
  <c r="R53" i="1" s="1"/>
  <c r="P53" i="1" s="1"/>
  <c r="S53" i="1" s="1"/>
  <c r="M53" i="1" s="1"/>
  <c r="N53" i="1" s="1"/>
  <c r="AB27" i="1"/>
  <c r="R27" i="1"/>
  <c r="P27" i="1" s="1"/>
  <c r="S27" i="1" s="1"/>
  <c r="M27" i="1" s="1"/>
  <c r="N27" i="1" s="1"/>
  <c r="U221" i="1"/>
  <c r="V221" i="1" s="1"/>
  <c r="AB189" i="1"/>
  <c r="R189" i="1"/>
  <c r="P189" i="1" s="1"/>
  <c r="S189" i="1" s="1"/>
  <c r="M189" i="1" s="1"/>
  <c r="N189" i="1" s="1"/>
  <c r="U174" i="1"/>
  <c r="V174" i="1" s="1"/>
  <c r="AB174" i="1"/>
  <c r="R160" i="1"/>
  <c r="P160" i="1" s="1"/>
  <c r="S160" i="1" s="1"/>
  <c r="M160" i="1" s="1"/>
  <c r="N160" i="1" s="1"/>
  <c r="AB160" i="1"/>
  <c r="U209" i="1"/>
  <c r="V209" i="1" s="1"/>
  <c r="U219" i="1"/>
  <c r="V219" i="1" s="1"/>
  <c r="R180" i="1"/>
  <c r="P180" i="1" s="1"/>
  <c r="S180" i="1" s="1"/>
  <c r="M180" i="1" s="1"/>
  <c r="N180" i="1" s="1"/>
  <c r="AB180" i="1"/>
  <c r="U225" i="1"/>
  <c r="V225" i="1" s="1"/>
  <c r="AB225" i="1"/>
  <c r="R225" i="1"/>
  <c r="P225" i="1" s="1"/>
  <c r="S225" i="1" s="1"/>
  <c r="M225" i="1" s="1"/>
  <c r="N225" i="1" s="1"/>
  <c r="U206" i="1"/>
  <c r="V206" i="1" s="1"/>
  <c r="U192" i="1"/>
  <c r="V192" i="1" s="1"/>
  <c r="AB214" i="1"/>
  <c r="R214" i="1"/>
  <c r="P214" i="1" s="1"/>
  <c r="S214" i="1" s="1"/>
  <c r="M214" i="1" s="1"/>
  <c r="N214" i="1" s="1"/>
  <c r="U199" i="1"/>
  <c r="V199" i="1" s="1"/>
  <c r="R204" i="1"/>
  <c r="P204" i="1" s="1"/>
  <c r="S204" i="1" s="1"/>
  <c r="M204" i="1" s="1"/>
  <c r="N204" i="1" s="1"/>
  <c r="AB204" i="1"/>
  <c r="R220" i="1"/>
  <c r="P220" i="1" s="1"/>
  <c r="S220" i="1" s="1"/>
  <c r="M220" i="1" s="1"/>
  <c r="N220" i="1" s="1"/>
  <c r="AB182" i="1"/>
  <c r="AB173" i="1"/>
  <c r="R173" i="1"/>
  <c r="P173" i="1" s="1"/>
  <c r="S173" i="1" s="1"/>
  <c r="M173" i="1" s="1"/>
  <c r="N173" i="1" s="1"/>
  <c r="AB185" i="1"/>
  <c r="R191" i="1"/>
  <c r="P191" i="1" s="1"/>
  <c r="S191" i="1" s="1"/>
  <c r="M191" i="1" s="1"/>
  <c r="N191" i="1" s="1"/>
  <c r="AB191" i="1"/>
  <c r="U176" i="1"/>
  <c r="V176" i="1" s="1"/>
  <c r="AB169" i="1"/>
  <c r="R169" i="1"/>
  <c r="P169" i="1" s="1"/>
  <c r="S169" i="1" s="1"/>
  <c r="M169" i="1" s="1"/>
  <c r="N169" i="1" s="1"/>
  <c r="U148" i="1"/>
  <c r="V148" i="1" s="1"/>
  <c r="R148" i="1" s="1"/>
  <c r="P148" i="1" s="1"/>
  <c r="S148" i="1" s="1"/>
  <c r="M148" i="1" s="1"/>
  <c r="N148" i="1" s="1"/>
  <c r="U158" i="1"/>
  <c r="V158" i="1" s="1"/>
  <c r="AD178" i="1"/>
  <c r="AE178" i="1" s="1"/>
  <c r="W178" i="1"/>
  <c r="AA178" i="1" s="1"/>
  <c r="U150" i="1"/>
  <c r="V150" i="1" s="1"/>
  <c r="U136" i="1"/>
  <c r="V136" i="1" s="1"/>
  <c r="AC117" i="1"/>
  <c r="R119" i="1"/>
  <c r="P119" i="1" s="1"/>
  <c r="S119" i="1" s="1"/>
  <c r="M119" i="1" s="1"/>
  <c r="N119" i="1" s="1"/>
  <c r="AB119" i="1"/>
  <c r="U149" i="1"/>
  <c r="V149" i="1" s="1"/>
  <c r="R149" i="1" s="1"/>
  <c r="P149" i="1" s="1"/>
  <c r="S149" i="1" s="1"/>
  <c r="M149" i="1" s="1"/>
  <c r="N149" i="1" s="1"/>
  <c r="AB149" i="1"/>
  <c r="U119" i="1"/>
  <c r="V119" i="1" s="1"/>
  <c r="U92" i="1"/>
  <c r="V92" i="1" s="1"/>
  <c r="W110" i="1"/>
  <c r="AA110" i="1" s="1"/>
  <c r="AD110" i="1"/>
  <c r="AC110" i="1"/>
  <c r="AB109" i="1"/>
  <c r="R109" i="1"/>
  <c r="P109" i="1" s="1"/>
  <c r="S109" i="1" s="1"/>
  <c r="M109" i="1" s="1"/>
  <c r="N109" i="1" s="1"/>
  <c r="AB156" i="1"/>
  <c r="R156" i="1"/>
  <c r="P156" i="1" s="1"/>
  <c r="S156" i="1" s="1"/>
  <c r="M156" i="1" s="1"/>
  <c r="N156" i="1" s="1"/>
  <c r="U111" i="1"/>
  <c r="V111" i="1" s="1"/>
  <c r="R103" i="1"/>
  <c r="P103" i="1" s="1"/>
  <c r="S103" i="1" s="1"/>
  <c r="M103" i="1" s="1"/>
  <c r="N103" i="1" s="1"/>
  <c r="AB103" i="1"/>
  <c r="U61" i="1"/>
  <c r="V61" i="1" s="1"/>
  <c r="R61" i="1" s="1"/>
  <c r="P61" i="1" s="1"/>
  <c r="S61" i="1" s="1"/>
  <c r="M61" i="1" s="1"/>
  <c r="N61" i="1" s="1"/>
  <c r="U94" i="1"/>
  <c r="V94" i="1" s="1"/>
  <c r="R81" i="1"/>
  <c r="P81" i="1" s="1"/>
  <c r="S81" i="1" s="1"/>
  <c r="M81" i="1" s="1"/>
  <c r="N81" i="1" s="1"/>
  <c r="AB81" i="1"/>
  <c r="U33" i="1"/>
  <c r="V33" i="1" s="1"/>
  <c r="U50" i="1"/>
  <c r="V50" i="1" s="1"/>
  <c r="U34" i="1"/>
  <c r="V34" i="1" s="1"/>
  <c r="R34" i="1" s="1"/>
  <c r="P34" i="1" s="1"/>
  <c r="S34" i="1" s="1"/>
  <c r="M34" i="1" s="1"/>
  <c r="N34" i="1" s="1"/>
  <c r="AE93" i="1"/>
  <c r="U47" i="1"/>
  <c r="V47" i="1" s="1"/>
  <c r="U31" i="1"/>
  <c r="V31" i="1" s="1"/>
  <c r="R31" i="1" s="1"/>
  <c r="P31" i="1" s="1"/>
  <c r="S31" i="1" s="1"/>
  <c r="M31" i="1" s="1"/>
  <c r="N31" i="1" s="1"/>
  <c r="AB65" i="1"/>
  <c r="R65" i="1"/>
  <c r="P65" i="1" s="1"/>
  <c r="S65" i="1" s="1"/>
  <c r="M65" i="1" s="1"/>
  <c r="N65" i="1" s="1"/>
  <c r="U66" i="1"/>
  <c r="V66" i="1" s="1"/>
  <c r="R66" i="1" s="1"/>
  <c r="P66" i="1" s="1"/>
  <c r="S66" i="1" s="1"/>
  <c r="M66" i="1" s="1"/>
  <c r="N66" i="1" s="1"/>
  <c r="U48" i="1"/>
  <c r="V48" i="1" s="1"/>
  <c r="U77" i="1"/>
  <c r="V77" i="1" s="1"/>
  <c r="W60" i="1"/>
  <c r="AA60" i="1" s="1"/>
  <c r="AD60" i="1"/>
  <c r="AC60" i="1"/>
  <c r="U45" i="1"/>
  <c r="V45" i="1" s="1"/>
  <c r="R45" i="1" s="1"/>
  <c r="P45" i="1" s="1"/>
  <c r="S45" i="1" s="1"/>
  <c r="M45" i="1" s="1"/>
  <c r="N45" i="1" s="1"/>
  <c r="AB23" i="1"/>
  <c r="R23" i="1"/>
  <c r="P23" i="1" s="1"/>
  <c r="S23" i="1" s="1"/>
  <c r="M23" i="1" s="1"/>
  <c r="N23" i="1" s="1"/>
  <c r="AB24" i="1"/>
  <c r="AB47" i="1"/>
  <c r="AB43" i="1"/>
  <c r="U49" i="1"/>
  <c r="V49" i="1" s="1"/>
  <c r="AC64" i="1" l="1"/>
  <c r="W64" i="1"/>
  <c r="AA64" i="1" s="1"/>
  <c r="AD64" i="1"/>
  <c r="AE64" i="1" s="1"/>
  <c r="R64" i="1"/>
  <c r="P64" i="1" s="1"/>
  <c r="S64" i="1" s="1"/>
  <c r="M64" i="1" s="1"/>
  <c r="N64" i="1" s="1"/>
  <c r="AD42" i="1"/>
  <c r="AE42" i="1" s="1"/>
  <c r="W42" i="1"/>
  <c r="AA42" i="1" s="1"/>
  <c r="AC42" i="1"/>
  <c r="W36" i="1"/>
  <c r="AA36" i="1" s="1"/>
  <c r="AD36" i="1"/>
  <c r="AC36" i="1"/>
  <c r="R42" i="1"/>
  <c r="P42" i="1" s="1"/>
  <c r="S42" i="1" s="1"/>
  <c r="M42" i="1" s="1"/>
  <c r="N42" i="1" s="1"/>
  <c r="W43" i="1"/>
  <c r="AA43" i="1" s="1"/>
  <c r="AD43" i="1"/>
  <c r="AE43" i="1" s="1"/>
  <c r="AC43" i="1"/>
  <c r="W25" i="1"/>
  <c r="AA25" i="1" s="1"/>
  <c r="AC25" i="1"/>
  <c r="AD25" i="1"/>
  <c r="W48" i="1"/>
  <c r="AA48" i="1" s="1"/>
  <c r="AD48" i="1"/>
  <c r="AC48" i="1"/>
  <c r="R48" i="1"/>
  <c r="P48" i="1" s="1"/>
  <c r="S48" i="1" s="1"/>
  <c r="M48" i="1" s="1"/>
  <c r="N48" i="1" s="1"/>
  <c r="AD111" i="1"/>
  <c r="W111" i="1"/>
  <c r="AA111" i="1" s="1"/>
  <c r="AC111" i="1"/>
  <c r="AD206" i="1"/>
  <c r="W206" i="1"/>
  <c r="AA206" i="1" s="1"/>
  <c r="AC206" i="1"/>
  <c r="W174" i="1"/>
  <c r="AA174" i="1" s="1"/>
  <c r="AD174" i="1"/>
  <c r="AE174" i="1" s="1"/>
  <c r="AC174" i="1"/>
  <c r="W91" i="1"/>
  <c r="AA91" i="1" s="1"/>
  <c r="AC91" i="1"/>
  <c r="AD91" i="1"/>
  <c r="W207" i="1"/>
  <c r="AA207" i="1" s="1"/>
  <c r="AD207" i="1"/>
  <c r="AC207" i="1"/>
  <c r="AD38" i="1"/>
  <c r="AE38" i="1" s="1"/>
  <c r="W38" i="1"/>
  <c r="AA38" i="1" s="1"/>
  <c r="AC38" i="1"/>
  <c r="W83" i="1"/>
  <c r="AA83" i="1" s="1"/>
  <c r="AD83" i="1"/>
  <c r="AC83" i="1"/>
  <c r="W106" i="1"/>
  <c r="AA106" i="1" s="1"/>
  <c r="AD106" i="1"/>
  <c r="AC106" i="1"/>
  <c r="AD139" i="1"/>
  <c r="W139" i="1"/>
  <c r="AA139" i="1" s="1"/>
  <c r="AC139" i="1"/>
  <c r="R139" i="1"/>
  <c r="P139" i="1" s="1"/>
  <c r="S139" i="1" s="1"/>
  <c r="M139" i="1" s="1"/>
  <c r="N139" i="1" s="1"/>
  <c r="AD186" i="1"/>
  <c r="W186" i="1"/>
  <c r="AA186" i="1" s="1"/>
  <c r="AC186" i="1"/>
  <c r="W201" i="1"/>
  <c r="AA201" i="1" s="1"/>
  <c r="AD201" i="1"/>
  <c r="AE201" i="1" s="1"/>
  <c r="AC201" i="1"/>
  <c r="W90" i="1"/>
  <c r="AA90" i="1" s="1"/>
  <c r="AD90" i="1"/>
  <c r="AE90" i="1" s="1"/>
  <c r="AC90" i="1"/>
  <c r="R201" i="1"/>
  <c r="P201" i="1" s="1"/>
  <c r="S201" i="1" s="1"/>
  <c r="M201" i="1" s="1"/>
  <c r="N201" i="1" s="1"/>
  <c r="W39" i="1"/>
  <c r="AA39" i="1" s="1"/>
  <c r="AD39" i="1"/>
  <c r="AE39" i="1" s="1"/>
  <c r="AC39" i="1"/>
  <c r="R90" i="1"/>
  <c r="P90" i="1" s="1"/>
  <c r="S90" i="1" s="1"/>
  <c r="M90" i="1" s="1"/>
  <c r="N90" i="1" s="1"/>
  <c r="AD131" i="1"/>
  <c r="AE131" i="1" s="1"/>
  <c r="AC131" i="1"/>
  <c r="W131" i="1"/>
  <c r="AA131" i="1" s="1"/>
  <c r="W71" i="1"/>
  <c r="AA71" i="1" s="1"/>
  <c r="AD71" i="1"/>
  <c r="AC71" i="1"/>
  <c r="W179" i="1"/>
  <c r="AA179" i="1" s="1"/>
  <c r="AD179" i="1"/>
  <c r="AE179" i="1" s="1"/>
  <c r="R179" i="1"/>
  <c r="P179" i="1" s="1"/>
  <c r="S179" i="1" s="1"/>
  <c r="M179" i="1" s="1"/>
  <c r="N179" i="1" s="1"/>
  <c r="AC179" i="1"/>
  <c r="W63" i="1"/>
  <c r="AA63" i="1" s="1"/>
  <c r="AD63" i="1"/>
  <c r="AE63" i="1" s="1"/>
  <c r="AC63" i="1"/>
  <c r="AE108" i="1"/>
  <c r="W172" i="1"/>
  <c r="AA172" i="1" s="1"/>
  <c r="AD172" i="1"/>
  <c r="AE172" i="1" s="1"/>
  <c r="R172" i="1"/>
  <c r="P172" i="1" s="1"/>
  <c r="S172" i="1" s="1"/>
  <c r="M172" i="1" s="1"/>
  <c r="N172" i="1" s="1"/>
  <c r="AC172" i="1"/>
  <c r="AD77" i="1"/>
  <c r="W77" i="1"/>
  <c r="AA77" i="1" s="1"/>
  <c r="AC77" i="1"/>
  <c r="AD84" i="1"/>
  <c r="AE84" i="1" s="1"/>
  <c r="AC84" i="1"/>
  <c r="W84" i="1"/>
  <c r="AA84" i="1" s="1"/>
  <c r="W19" i="1"/>
  <c r="AA19" i="1" s="1"/>
  <c r="AD19" i="1"/>
  <c r="AE19" i="1" s="1"/>
  <c r="AC19" i="1"/>
  <c r="AD144" i="1"/>
  <c r="W144" i="1"/>
  <c r="AA144" i="1" s="1"/>
  <c r="AC144" i="1"/>
  <c r="W143" i="1"/>
  <c r="AA143" i="1" s="1"/>
  <c r="AD143" i="1"/>
  <c r="AC143" i="1"/>
  <c r="R143" i="1"/>
  <c r="P143" i="1" s="1"/>
  <c r="S143" i="1" s="1"/>
  <c r="M143" i="1" s="1"/>
  <c r="N143" i="1" s="1"/>
  <c r="W213" i="1"/>
  <c r="AA213" i="1" s="1"/>
  <c r="AC213" i="1"/>
  <c r="AD213" i="1"/>
  <c r="R213" i="1"/>
  <c r="P213" i="1" s="1"/>
  <c r="S213" i="1" s="1"/>
  <c r="M213" i="1" s="1"/>
  <c r="N213" i="1" s="1"/>
  <c r="AC29" i="1"/>
  <c r="W29" i="1"/>
  <c r="AA29" i="1" s="1"/>
  <c r="AD29" i="1"/>
  <c r="AE29" i="1" s="1"/>
  <c r="R29" i="1"/>
  <c r="P29" i="1" s="1"/>
  <c r="S29" i="1" s="1"/>
  <c r="M29" i="1" s="1"/>
  <c r="N29" i="1" s="1"/>
  <c r="AD157" i="1"/>
  <c r="W157" i="1"/>
  <c r="AA157" i="1" s="1"/>
  <c r="AC157" i="1"/>
  <c r="W40" i="1"/>
  <c r="AA40" i="1" s="1"/>
  <c r="AD40" i="1"/>
  <c r="AC40" i="1"/>
  <c r="R40" i="1"/>
  <c r="P40" i="1" s="1"/>
  <c r="S40" i="1" s="1"/>
  <c r="M40" i="1" s="1"/>
  <c r="N40" i="1" s="1"/>
  <c r="AD46" i="1"/>
  <c r="AE46" i="1" s="1"/>
  <c r="W46" i="1"/>
  <c r="AA46" i="1" s="1"/>
  <c r="AC46" i="1"/>
  <c r="AD140" i="1"/>
  <c r="AE140" i="1" s="1"/>
  <c r="W140" i="1"/>
  <c r="AA140" i="1" s="1"/>
  <c r="AC140" i="1"/>
  <c r="R140" i="1"/>
  <c r="P140" i="1" s="1"/>
  <c r="S140" i="1" s="1"/>
  <c r="M140" i="1" s="1"/>
  <c r="N140" i="1" s="1"/>
  <c r="AD198" i="1"/>
  <c r="AE198" i="1" s="1"/>
  <c r="W198" i="1"/>
  <c r="AA198" i="1" s="1"/>
  <c r="AC198" i="1"/>
  <c r="AE191" i="1"/>
  <c r="W47" i="1"/>
  <c r="AA47" i="1" s="1"/>
  <c r="AD47" i="1"/>
  <c r="AE47" i="1" s="1"/>
  <c r="AC47" i="1"/>
  <c r="W219" i="1"/>
  <c r="AA219" i="1" s="1"/>
  <c r="AD219" i="1"/>
  <c r="AE219" i="1" s="1"/>
  <c r="AC219" i="1"/>
  <c r="R219" i="1"/>
  <c r="P219" i="1" s="1"/>
  <c r="S219" i="1" s="1"/>
  <c r="M219" i="1" s="1"/>
  <c r="N219" i="1" s="1"/>
  <c r="W20" i="1"/>
  <c r="AA20" i="1" s="1"/>
  <c r="AD20" i="1"/>
  <c r="AC20" i="1"/>
  <c r="AD167" i="1"/>
  <c r="W167" i="1"/>
  <c r="AA167" i="1" s="1"/>
  <c r="R167" i="1"/>
  <c r="P167" i="1" s="1"/>
  <c r="S167" i="1" s="1"/>
  <c r="M167" i="1" s="1"/>
  <c r="N167" i="1" s="1"/>
  <c r="AC167" i="1"/>
  <c r="AD92" i="1"/>
  <c r="AC92" i="1"/>
  <c r="W92" i="1"/>
  <c r="AA92" i="1" s="1"/>
  <c r="AD136" i="1"/>
  <c r="W136" i="1"/>
  <c r="AA136" i="1" s="1"/>
  <c r="R136" i="1"/>
  <c r="P136" i="1" s="1"/>
  <c r="S136" i="1" s="1"/>
  <c r="M136" i="1" s="1"/>
  <c r="N136" i="1" s="1"/>
  <c r="AC136" i="1"/>
  <c r="W148" i="1"/>
  <c r="AA148" i="1" s="1"/>
  <c r="AD148" i="1"/>
  <c r="AC148" i="1"/>
  <c r="R144" i="1"/>
  <c r="P144" i="1" s="1"/>
  <c r="S144" i="1" s="1"/>
  <c r="M144" i="1" s="1"/>
  <c r="N144" i="1" s="1"/>
  <c r="W142" i="1"/>
  <c r="AA142" i="1" s="1"/>
  <c r="AD142" i="1"/>
  <c r="AC142" i="1"/>
  <c r="R142" i="1"/>
  <c r="P142" i="1" s="1"/>
  <c r="S142" i="1" s="1"/>
  <c r="M142" i="1" s="1"/>
  <c r="N142" i="1" s="1"/>
  <c r="AD200" i="1"/>
  <c r="AE200" i="1" s="1"/>
  <c r="AC200" i="1"/>
  <c r="W200" i="1"/>
  <c r="AA200" i="1" s="1"/>
  <c r="R200" i="1"/>
  <c r="P200" i="1" s="1"/>
  <c r="S200" i="1" s="1"/>
  <c r="M200" i="1" s="1"/>
  <c r="N200" i="1" s="1"/>
  <c r="AD203" i="1"/>
  <c r="AE203" i="1" s="1"/>
  <c r="W203" i="1"/>
  <c r="AA203" i="1" s="1"/>
  <c r="AC203" i="1"/>
  <c r="AD214" i="1"/>
  <c r="AE214" i="1" s="1"/>
  <c r="W214" i="1"/>
  <c r="AA214" i="1" s="1"/>
  <c r="AC214" i="1"/>
  <c r="AE171" i="1"/>
  <c r="R36" i="1"/>
  <c r="P36" i="1" s="1"/>
  <c r="S36" i="1" s="1"/>
  <c r="M36" i="1" s="1"/>
  <c r="N36" i="1" s="1"/>
  <c r="W35" i="1"/>
  <c r="AA35" i="1" s="1"/>
  <c r="AD35" i="1"/>
  <c r="AC35" i="1"/>
  <c r="AD129" i="1"/>
  <c r="AE129" i="1" s="1"/>
  <c r="W129" i="1"/>
  <c r="AA129" i="1" s="1"/>
  <c r="AC129" i="1"/>
  <c r="AD145" i="1"/>
  <c r="W145" i="1"/>
  <c r="AA145" i="1" s="1"/>
  <c r="AC145" i="1"/>
  <c r="R207" i="1"/>
  <c r="P207" i="1" s="1"/>
  <c r="S207" i="1" s="1"/>
  <c r="M207" i="1" s="1"/>
  <c r="N207" i="1" s="1"/>
  <c r="AD58" i="1"/>
  <c r="AE58" i="1" s="1"/>
  <c r="W58" i="1"/>
  <c r="AA58" i="1" s="1"/>
  <c r="AC58" i="1"/>
  <c r="W72" i="1"/>
  <c r="AA72" i="1" s="1"/>
  <c r="AD72" i="1"/>
  <c r="AC72" i="1"/>
  <c r="R72" i="1"/>
  <c r="P72" i="1" s="1"/>
  <c r="S72" i="1" s="1"/>
  <c r="M72" i="1" s="1"/>
  <c r="N72" i="1" s="1"/>
  <c r="AC173" i="1"/>
  <c r="W173" i="1"/>
  <c r="AA173" i="1" s="1"/>
  <c r="AD173" i="1"/>
  <c r="AE173" i="1" s="1"/>
  <c r="W74" i="1"/>
  <c r="AA74" i="1" s="1"/>
  <c r="AD74" i="1"/>
  <c r="AC74" i="1"/>
  <c r="W76" i="1"/>
  <c r="AA76" i="1" s="1"/>
  <c r="AC76" i="1"/>
  <c r="AD76" i="1"/>
  <c r="R76" i="1"/>
  <c r="P76" i="1" s="1"/>
  <c r="S76" i="1" s="1"/>
  <c r="M76" i="1" s="1"/>
  <c r="N76" i="1" s="1"/>
  <c r="AD127" i="1"/>
  <c r="AE127" i="1" s="1"/>
  <c r="AC127" i="1"/>
  <c r="W127" i="1"/>
  <c r="AA127" i="1" s="1"/>
  <c r="AC165" i="1"/>
  <c r="AD165" i="1"/>
  <c r="AE165" i="1" s="1"/>
  <c r="W165" i="1"/>
  <c r="AA165" i="1" s="1"/>
  <c r="AD184" i="1"/>
  <c r="W184" i="1"/>
  <c r="AA184" i="1" s="1"/>
  <c r="AC184" i="1"/>
  <c r="AE208" i="1"/>
  <c r="R71" i="1"/>
  <c r="P71" i="1" s="1"/>
  <c r="S71" i="1" s="1"/>
  <c r="M71" i="1" s="1"/>
  <c r="N71" i="1" s="1"/>
  <c r="R91" i="1"/>
  <c r="P91" i="1" s="1"/>
  <c r="S91" i="1" s="1"/>
  <c r="M91" i="1" s="1"/>
  <c r="N91" i="1" s="1"/>
  <c r="R92" i="1"/>
  <c r="P92" i="1" s="1"/>
  <c r="S92" i="1" s="1"/>
  <c r="M92" i="1" s="1"/>
  <c r="N92" i="1" s="1"/>
  <c r="R145" i="1"/>
  <c r="P145" i="1" s="1"/>
  <c r="S145" i="1" s="1"/>
  <c r="M145" i="1" s="1"/>
  <c r="N145" i="1" s="1"/>
  <c r="AE159" i="1"/>
  <c r="W193" i="1"/>
  <c r="AA193" i="1" s="1"/>
  <c r="AD193" i="1"/>
  <c r="AE193" i="1" s="1"/>
  <c r="AC193" i="1"/>
  <c r="R63" i="1"/>
  <c r="P63" i="1" s="1"/>
  <c r="S63" i="1" s="1"/>
  <c r="M63" i="1" s="1"/>
  <c r="N63" i="1" s="1"/>
  <c r="AE180" i="1"/>
  <c r="W158" i="1"/>
  <c r="AA158" i="1" s="1"/>
  <c r="AD158" i="1"/>
  <c r="AE158" i="1" s="1"/>
  <c r="AC158" i="1"/>
  <c r="AD192" i="1"/>
  <c r="AE192" i="1" s="1"/>
  <c r="W192" i="1"/>
  <c r="AA192" i="1" s="1"/>
  <c r="R192" i="1"/>
  <c r="P192" i="1" s="1"/>
  <c r="S192" i="1" s="1"/>
  <c r="M192" i="1" s="1"/>
  <c r="N192" i="1" s="1"/>
  <c r="AC192" i="1"/>
  <c r="AD101" i="1"/>
  <c r="W101" i="1"/>
  <c r="AA101" i="1" s="1"/>
  <c r="AC101" i="1"/>
  <c r="W209" i="1"/>
  <c r="AA209" i="1" s="1"/>
  <c r="AC209" i="1"/>
  <c r="AD209" i="1"/>
  <c r="AE209" i="1" s="1"/>
  <c r="W52" i="1"/>
  <c r="AA52" i="1" s="1"/>
  <c r="AD52" i="1"/>
  <c r="AE52" i="1" s="1"/>
  <c r="AC52" i="1"/>
  <c r="R52" i="1"/>
  <c r="P52" i="1" s="1"/>
  <c r="S52" i="1" s="1"/>
  <c r="M52" i="1" s="1"/>
  <c r="N52" i="1" s="1"/>
  <c r="AC24" i="1"/>
  <c r="W24" i="1"/>
  <c r="AA24" i="1" s="1"/>
  <c r="AD24" i="1"/>
  <c r="W151" i="1"/>
  <c r="AA151" i="1" s="1"/>
  <c r="AD151" i="1"/>
  <c r="AE151" i="1" s="1"/>
  <c r="AC151" i="1"/>
  <c r="R151" i="1"/>
  <c r="P151" i="1" s="1"/>
  <c r="S151" i="1" s="1"/>
  <c r="M151" i="1" s="1"/>
  <c r="N151" i="1" s="1"/>
  <c r="R46" i="1"/>
  <c r="P46" i="1" s="1"/>
  <c r="S46" i="1" s="1"/>
  <c r="M46" i="1" s="1"/>
  <c r="N46" i="1" s="1"/>
  <c r="W57" i="1"/>
  <c r="AA57" i="1" s="1"/>
  <c r="AC57" i="1"/>
  <c r="AD57" i="1"/>
  <c r="AE57" i="1" s="1"/>
  <c r="R209" i="1"/>
  <c r="P209" i="1" s="1"/>
  <c r="S209" i="1" s="1"/>
  <c r="M209" i="1" s="1"/>
  <c r="N209" i="1" s="1"/>
  <c r="AD88" i="1"/>
  <c r="AE88" i="1" s="1"/>
  <c r="AC88" i="1"/>
  <c r="W88" i="1"/>
  <c r="AA88" i="1" s="1"/>
  <c r="W132" i="1"/>
  <c r="AA132" i="1" s="1"/>
  <c r="AD132" i="1"/>
  <c r="AE132" i="1" s="1"/>
  <c r="AC132" i="1"/>
  <c r="R84" i="1"/>
  <c r="P84" i="1" s="1"/>
  <c r="S84" i="1" s="1"/>
  <c r="M84" i="1" s="1"/>
  <c r="N84" i="1" s="1"/>
  <c r="W147" i="1"/>
  <c r="AA147" i="1" s="1"/>
  <c r="AD147" i="1"/>
  <c r="AE147" i="1" s="1"/>
  <c r="AC147" i="1"/>
  <c r="R147" i="1"/>
  <c r="P147" i="1" s="1"/>
  <c r="S147" i="1" s="1"/>
  <c r="M147" i="1" s="1"/>
  <c r="N147" i="1" s="1"/>
  <c r="R43" i="1"/>
  <c r="P43" i="1" s="1"/>
  <c r="S43" i="1" s="1"/>
  <c r="M43" i="1" s="1"/>
  <c r="N43" i="1" s="1"/>
  <c r="AC45" i="1"/>
  <c r="W45" i="1"/>
  <c r="AA45" i="1" s="1"/>
  <c r="AD45" i="1"/>
  <c r="W94" i="1"/>
  <c r="AA94" i="1" s="1"/>
  <c r="AD94" i="1"/>
  <c r="AE94" i="1" s="1"/>
  <c r="AC94" i="1"/>
  <c r="W150" i="1"/>
  <c r="AA150" i="1" s="1"/>
  <c r="AD150" i="1"/>
  <c r="AC150" i="1"/>
  <c r="R150" i="1"/>
  <c r="P150" i="1" s="1"/>
  <c r="S150" i="1" s="1"/>
  <c r="M150" i="1" s="1"/>
  <c r="N150" i="1" s="1"/>
  <c r="AD199" i="1"/>
  <c r="AE199" i="1" s="1"/>
  <c r="W199" i="1"/>
  <c r="AA199" i="1" s="1"/>
  <c r="R199" i="1"/>
  <c r="P199" i="1" s="1"/>
  <c r="S199" i="1" s="1"/>
  <c r="M199" i="1" s="1"/>
  <c r="N199" i="1" s="1"/>
  <c r="AC199" i="1"/>
  <c r="W221" i="1"/>
  <c r="AA221" i="1" s="1"/>
  <c r="AC221" i="1"/>
  <c r="AD221" i="1"/>
  <c r="AE221" i="1" s="1"/>
  <c r="AD65" i="1"/>
  <c r="W65" i="1"/>
  <c r="AA65" i="1" s="1"/>
  <c r="AC65" i="1"/>
  <c r="AD123" i="1"/>
  <c r="AE123" i="1" s="1"/>
  <c r="AC123" i="1"/>
  <c r="W123" i="1"/>
  <c r="AA123" i="1" s="1"/>
  <c r="AD210" i="1"/>
  <c r="AE210" i="1" s="1"/>
  <c r="W210" i="1"/>
  <c r="AA210" i="1" s="1"/>
  <c r="AC210" i="1"/>
  <c r="W51" i="1"/>
  <c r="AA51" i="1" s="1"/>
  <c r="AD51" i="1"/>
  <c r="AE51" i="1" s="1"/>
  <c r="AC51" i="1"/>
  <c r="AE86" i="1"/>
  <c r="AD69" i="1"/>
  <c r="W69" i="1"/>
  <c r="AA69" i="1" s="1"/>
  <c r="AC69" i="1"/>
  <c r="AD137" i="1"/>
  <c r="W137" i="1"/>
  <c r="AA137" i="1" s="1"/>
  <c r="R137" i="1"/>
  <c r="P137" i="1" s="1"/>
  <c r="S137" i="1" s="1"/>
  <c r="M137" i="1" s="1"/>
  <c r="N137" i="1" s="1"/>
  <c r="AC137" i="1"/>
  <c r="AC169" i="1"/>
  <c r="W169" i="1"/>
  <c r="AA169" i="1" s="1"/>
  <c r="AD169" i="1"/>
  <c r="AE169" i="1" s="1"/>
  <c r="AD202" i="1"/>
  <c r="AE202" i="1" s="1"/>
  <c r="W202" i="1"/>
  <c r="AA202" i="1" s="1"/>
  <c r="AC202" i="1"/>
  <c r="AE85" i="1"/>
  <c r="W17" i="1"/>
  <c r="AA17" i="1" s="1"/>
  <c r="AD17" i="1"/>
  <c r="AC17" i="1"/>
  <c r="AE104" i="1"/>
  <c r="AE187" i="1"/>
  <c r="W87" i="1"/>
  <c r="AA87" i="1" s="1"/>
  <c r="AD87" i="1"/>
  <c r="AC87" i="1"/>
  <c r="W223" i="1"/>
  <c r="AA223" i="1" s="1"/>
  <c r="AD223" i="1"/>
  <c r="R223" i="1"/>
  <c r="P223" i="1" s="1"/>
  <c r="S223" i="1" s="1"/>
  <c r="M223" i="1" s="1"/>
  <c r="N223" i="1" s="1"/>
  <c r="AC223" i="1"/>
  <c r="R51" i="1"/>
  <c r="P51" i="1" s="1"/>
  <c r="S51" i="1" s="1"/>
  <c r="M51" i="1" s="1"/>
  <c r="N51" i="1" s="1"/>
  <c r="R132" i="1"/>
  <c r="P132" i="1" s="1"/>
  <c r="S132" i="1" s="1"/>
  <c r="M132" i="1" s="1"/>
  <c r="N132" i="1" s="1"/>
  <c r="R20" i="1"/>
  <c r="P20" i="1" s="1"/>
  <c r="S20" i="1" s="1"/>
  <c r="M20" i="1" s="1"/>
  <c r="N20" i="1" s="1"/>
  <c r="AE204" i="1"/>
  <c r="AC49" i="1"/>
  <c r="W49" i="1"/>
  <c r="AA49" i="1" s="1"/>
  <c r="AD49" i="1"/>
  <c r="AE49" i="1" s="1"/>
  <c r="AD119" i="1"/>
  <c r="AE119" i="1" s="1"/>
  <c r="W119" i="1"/>
  <c r="AA119" i="1" s="1"/>
  <c r="AC119" i="1"/>
  <c r="W37" i="1"/>
  <c r="AA37" i="1" s="1"/>
  <c r="AD37" i="1"/>
  <c r="AE37" i="1" s="1"/>
  <c r="AC37" i="1"/>
  <c r="W164" i="1"/>
  <c r="AA164" i="1" s="1"/>
  <c r="AD164" i="1"/>
  <c r="AC164" i="1"/>
  <c r="AD95" i="1"/>
  <c r="AE95" i="1" s="1"/>
  <c r="W95" i="1"/>
  <c r="AA95" i="1" s="1"/>
  <c r="AC95" i="1"/>
  <c r="W32" i="1"/>
  <c r="AA32" i="1" s="1"/>
  <c r="AD32" i="1"/>
  <c r="AE32" i="1" s="1"/>
  <c r="AC32" i="1"/>
  <c r="W134" i="1"/>
  <c r="AA134" i="1" s="1"/>
  <c r="AD134" i="1"/>
  <c r="AE134" i="1" s="1"/>
  <c r="R134" i="1"/>
  <c r="P134" i="1" s="1"/>
  <c r="S134" i="1" s="1"/>
  <c r="M134" i="1" s="1"/>
  <c r="N134" i="1" s="1"/>
  <c r="AC134" i="1"/>
  <c r="AD61" i="1"/>
  <c r="AE61" i="1" s="1"/>
  <c r="W61" i="1"/>
  <c r="AA61" i="1" s="1"/>
  <c r="AC61" i="1"/>
  <c r="W225" i="1"/>
  <c r="AA225" i="1" s="1"/>
  <c r="AC225" i="1"/>
  <c r="AD225" i="1"/>
  <c r="AE225" i="1" s="1"/>
  <c r="W75" i="1"/>
  <c r="AA75" i="1" s="1"/>
  <c r="AD75" i="1"/>
  <c r="AC75" i="1"/>
  <c r="W102" i="1"/>
  <c r="AA102" i="1" s="1"/>
  <c r="AD102" i="1"/>
  <c r="AE102" i="1" s="1"/>
  <c r="AC102" i="1"/>
  <c r="AD141" i="1"/>
  <c r="W141" i="1"/>
  <c r="AA141" i="1" s="1"/>
  <c r="AC141" i="1"/>
  <c r="W183" i="1"/>
  <c r="AA183" i="1" s="1"/>
  <c r="AD183" i="1"/>
  <c r="AC183" i="1"/>
  <c r="W126" i="1"/>
  <c r="AA126" i="1" s="1"/>
  <c r="AD126" i="1"/>
  <c r="AC126" i="1"/>
  <c r="R186" i="1"/>
  <c r="P186" i="1" s="1"/>
  <c r="S186" i="1" s="1"/>
  <c r="M186" i="1" s="1"/>
  <c r="N186" i="1" s="1"/>
  <c r="R38" i="1"/>
  <c r="P38" i="1" s="1"/>
  <c r="S38" i="1" s="1"/>
  <c r="M38" i="1" s="1"/>
  <c r="N38" i="1" s="1"/>
  <c r="AD22" i="1"/>
  <c r="W22" i="1"/>
  <c r="AA22" i="1" s="1"/>
  <c r="AC22" i="1"/>
  <c r="W105" i="1"/>
  <c r="AA105" i="1" s="1"/>
  <c r="AD105" i="1"/>
  <c r="AC105" i="1"/>
  <c r="AE103" i="1"/>
  <c r="R69" i="1"/>
  <c r="P69" i="1" s="1"/>
  <c r="S69" i="1" s="1"/>
  <c r="M69" i="1" s="1"/>
  <c r="N69" i="1" s="1"/>
  <c r="W155" i="1"/>
  <c r="AA155" i="1" s="1"/>
  <c r="AD155" i="1"/>
  <c r="AC155" i="1"/>
  <c r="R155" i="1"/>
  <c r="P155" i="1" s="1"/>
  <c r="S155" i="1" s="1"/>
  <c r="M155" i="1" s="1"/>
  <c r="N155" i="1" s="1"/>
  <c r="AC21" i="1"/>
  <c r="W21" i="1"/>
  <c r="AA21" i="1" s="1"/>
  <c r="AD21" i="1"/>
  <c r="AE21" i="1" s="1"/>
  <c r="W189" i="1"/>
  <c r="AA189" i="1" s="1"/>
  <c r="AD189" i="1"/>
  <c r="AC189" i="1"/>
  <c r="R49" i="1"/>
  <c r="P49" i="1" s="1"/>
  <c r="S49" i="1" s="1"/>
  <c r="M49" i="1" s="1"/>
  <c r="N49" i="1" s="1"/>
  <c r="AE97" i="1"/>
  <c r="W160" i="1"/>
  <c r="AA160" i="1" s="1"/>
  <c r="AD160" i="1"/>
  <c r="AC160" i="1"/>
  <c r="R221" i="1"/>
  <c r="P221" i="1" s="1"/>
  <c r="S221" i="1" s="1"/>
  <c r="M221" i="1" s="1"/>
  <c r="N221" i="1" s="1"/>
  <c r="AE107" i="1"/>
  <c r="AC53" i="1"/>
  <c r="W53" i="1"/>
  <c r="AA53" i="1" s="1"/>
  <c r="AD53" i="1"/>
  <c r="AD120" i="1"/>
  <c r="W120" i="1"/>
  <c r="AA120" i="1" s="1"/>
  <c r="AC120" i="1"/>
  <c r="W68" i="1"/>
  <c r="AA68" i="1" s="1"/>
  <c r="AD68" i="1"/>
  <c r="AC68" i="1"/>
  <c r="R68" i="1"/>
  <c r="P68" i="1" s="1"/>
  <c r="S68" i="1" s="1"/>
  <c r="M68" i="1" s="1"/>
  <c r="N68" i="1" s="1"/>
  <c r="AD133" i="1"/>
  <c r="AE133" i="1" s="1"/>
  <c r="W133" i="1"/>
  <c r="AA133" i="1" s="1"/>
  <c r="AC133" i="1"/>
  <c r="W185" i="1"/>
  <c r="AA185" i="1" s="1"/>
  <c r="AD185" i="1"/>
  <c r="AE185" i="1" s="1"/>
  <c r="AC185" i="1"/>
  <c r="W130" i="1"/>
  <c r="AA130" i="1" s="1"/>
  <c r="AD130" i="1"/>
  <c r="AE130" i="1" s="1"/>
  <c r="AC130" i="1"/>
  <c r="R130" i="1"/>
  <c r="P130" i="1" s="1"/>
  <c r="S130" i="1" s="1"/>
  <c r="M130" i="1" s="1"/>
  <c r="N130" i="1" s="1"/>
  <c r="W128" i="1"/>
  <c r="AA128" i="1" s="1"/>
  <c r="AD128" i="1"/>
  <c r="AE128" i="1" s="1"/>
  <c r="R128" i="1"/>
  <c r="P128" i="1" s="1"/>
  <c r="S128" i="1" s="1"/>
  <c r="M128" i="1" s="1"/>
  <c r="N128" i="1" s="1"/>
  <c r="AC128" i="1"/>
  <c r="R164" i="1"/>
  <c r="P164" i="1" s="1"/>
  <c r="S164" i="1" s="1"/>
  <c r="M164" i="1" s="1"/>
  <c r="N164" i="1" s="1"/>
  <c r="AD34" i="1"/>
  <c r="AE34" i="1" s="1"/>
  <c r="W34" i="1"/>
  <c r="AA34" i="1" s="1"/>
  <c r="AC34" i="1"/>
  <c r="AE60" i="1"/>
  <c r="AD149" i="1"/>
  <c r="AE149" i="1" s="1"/>
  <c r="W149" i="1"/>
  <c r="AA149" i="1" s="1"/>
  <c r="AC149" i="1"/>
  <c r="W176" i="1"/>
  <c r="AA176" i="1" s="1"/>
  <c r="AD176" i="1"/>
  <c r="AE176" i="1" s="1"/>
  <c r="R176" i="1"/>
  <c r="P176" i="1" s="1"/>
  <c r="S176" i="1" s="1"/>
  <c r="M176" i="1" s="1"/>
  <c r="N176" i="1" s="1"/>
  <c r="AC176" i="1"/>
  <c r="R37" i="1"/>
  <c r="P37" i="1" s="1"/>
  <c r="S37" i="1" s="1"/>
  <c r="M37" i="1" s="1"/>
  <c r="N37" i="1" s="1"/>
  <c r="R77" i="1"/>
  <c r="P77" i="1" s="1"/>
  <c r="S77" i="1" s="1"/>
  <c r="M77" i="1" s="1"/>
  <c r="N77" i="1" s="1"/>
  <c r="W122" i="1"/>
  <c r="AA122" i="1" s="1"/>
  <c r="AD122" i="1"/>
  <c r="AC122" i="1"/>
  <c r="W154" i="1"/>
  <c r="AA154" i="1" s="1"/>
  <c r="AD154" i="1"/>
  <c r="AE154" i="1" s="1"/>
  <c r="AC154" i="1"/>
  <c r="W152" i="1"/>
  <c r="AA152" i="1" s="1"/>
  <c r="AD152" i="1"/>
  <c r="AC152" i="1"/>
  <c r="AD196" i="1"/>
  <c r="W196" i="1"/>
  <c r="AA196" i="1" s="1"/>
  <c r="AC196" i="1"/>
  <c r="R196" i="1"/>
  <c r="P196" i="1" s="1"/>
  <c r="S196" i="1" s="1"/>
  <c r="M196" i="1" s="1"/>
  <c r="N196" i="1" s="1"/>
  <c r="AD226" i="1"/>
  <c r="W226" i="1"/>
  <c r="AA226" i="1" s="1"/>
  <c r="AC226" i="1"/>
  <c r="AE220" i="1"/>
  <c r="AD125" i="1"/>
  <c r="W125" i="1"/>
  <c r="AA125" i="1" s="1"/>
  <c r="AC125" i="1"/>
  <c r="R111" i="1"/>
  <c r="P111" i="1" s="1"/>
  <c r="S111" i="1" s="1"/>
  <c r="M111" i="1" s="1"/>
  <c r="N111" i="1" s="1"/>
  <c r="AE54" i="1"/>
  <c r="AD153" i="1"/>
  <c r="W153" i="1"/>
  <c r="AA153" i="1" s="1"/>
  <c r="AC153" i="1"/>
  <c r="AD156" i="1"/>
  <c r="AC156" i="1"/>
  <c r="W156" i="1"/>
  <c r="AA156" i="1" s="1"/>
  <c r="AD26" i="1"/>
  <c r="AE26" i="1" s="1"/>
  <c r="W26" i="1"/>
  <c r="AA26" i="1" s="1"/>
  <c r="AC26" i="1"/>
  <c r="W80" i="1"/>
  <c r="AA80" i="1" s="1"/>
  <c r="AD80" i="1"/>
  <c r="AE80" i="1" s="1"/>
  <c r="AC80" i="1"/>
  <c r="AE113" i="1"/>
  <c r="W168" i="1"/>
  <c r="AA168" i="1" s="1"/>
  <c r="AD168" i="1"/>
  <c r="AE168" i="1" s="1"/>
  <c r="AC168" i="1"/>
  <c r="R168" i="1"/>
  <c r="P168" i="1" s="1"/>
  <c r="S168" i="1" s="1"/>
  <c r="M168" i="1" s="1"/>
  <c r="N168" i="1" s="1"/>
  <c r="R35" i="1"/>
  <c r="P35" i="1" s="1"/>
  <c r="S35" i="1" s="1"/>
  <c r="M35" i="1" s="1"/>
  <c r="N35" i="1" s="1"/>
  <c r="R26" i="1"/>
  <c r="P26" i="1" s="1"/>
  <c r="S26" i="1" s="1"/>
  <c r="M26" i="1" s="1"/>
  <c r="N26" i="1" s="1"/>
  <c r="W116" i="1"/>
  <c r="AA116" i="1" s="1"/>
  <c r="AD116" i="1"/>
  <c r="AC116" i="1"/>
  <c r="AD112" i="1"/>
  <c r="AE112" i="1" s="1"/>
  <c r="W112" i="1"/>
  <c r="AA112" i="1" s="1"/>
  <c r="AC112" i="1"/>
  <c r="R126" i="1"/>
  <c r="P126" i="1" s="1"/>
  <c r="S126" i="1" s="1"/>
  <c r="M126" i="1" s="1"/>
  <c r="N126" i="1" s="1"/>
  <c r="W166" i="1"/>
  <c r="AA166" i="1" s="1"/>
  <c r="AD166" i="1"/>
  <c r="AC166" i="1"/>
  <c r="W170" i="1"/>
  <c r="AA170" i="1" s="1"/>
  <c r="AD170" i="1"/>
  <c r="AE170" i="1" s="1"/>
  <c r="AC170" i="1"/>
  <c r="W44" i="1"/>
  <c r="AA44" i="1" s="1"/>
  <c r="AD44" i="1"/>
  <c r="AC44" i="1"/>
  <c r="AD188" i="1"/>
  <c r="W188" i="1"/>
  <c r="AA188" i="1" s="1"/>
  <c r="R188" i="1"/>
  <c r="P188" i="1" s="1"/>
  <c r="S188" i="1" s="1"/>
  <c r="M188" i="1" s="1"/>
  <c r="N188" i="1" s="1"/>
  <c r="AC188" i="1"/>
  <c r="R19" i="1"/>
  <c r="P19" i="1" s="1"/>
  <c r="S19" i="1" s="1"/>
  <c r="M19" i="1" s="1"/>
  <c r="N19" i="1" s="1"/>
  <c r="W27" i="1"/>
  <c r="AA27" i="1" s="1"/>
  <c r="AD27" i="1"/>
  <c r="AC27" i="1"/>
  <c r="AD30" i="1"/>
  <c r="W30" i="1"/>
  <c r="AA30" i="1" s="1"/>
  <c r="AC30" i="1"/>
  <c r="W98" i="1"/>
  <c r="AA98" i="1" s="1"/>
  <c r="AD98" i="1"/>
  <c r="AC98" i="1"/>
  <c r="R202" i="1"/>
  <c r="P202" i="1" s="1"/>
  <c r="S202" i="1" s="1"/>
  <c r="M202" i="1" s="1"/>
  <c r="N202" i="1" s="1"/>
  <c r="AE117" i="1"/>
  <c r="W33" i="1"/>
  <c r="AA33" i="1" s="1"/>
  <c r="AC33" i="1"/>
  <c r="AD33" i="1"/>
  <c r="AE33" i="1" s="1"/>
  <c r="AD182" i="1"/>
  <c r="AE182" i="1" s="1"/>
  <c r="W182" i="1"/>
  <c r="AA182" i="1" s="1"/>
  <c r="AC182" i="1"/>
  <c r="AD78" i="1"/>
  <c r="AC78" i="1"/>
  <c r="W78" i="1"/>
  <c r="AA78" i="1" s="1"/>
  <c r="W181" i="1"/>
  <c r="AA181" i="1" s="1"/>
  <c r="AD181" i="1"/>
  <c r="AE181" i="1" s="1"/>
  <c r="AC181" i="1"/>
  <c r="R181" i="1"/>
  <c r="P181" i="1" s="1"/>
  <c r="S181" i="1" s="1"/>
  <c r="M181" i="1" s="1"/>
  <c r="N181" i="1" s="1"/>
  <c r="W66" i="1"/>
  <c r="AA66" i="1" s="1"/>
  <c r="AD66" i="1"/>
  <c r="AC66" i="1"/>
  <c r="AD161" i="1"/>
  <c r="W161" i="1"/>
  <c r="AA161" i="1" s="1"/>
  <c r="AC161" i="1"/>
  <c r="W194" i="1"/>
  <c r="AA194" i="1" s="1"/>
  <c r="AD194" i="1"/>
  <c r="AC194" i="1"/>
  <c r="AD138" i="1"/>
  <c r="AE138" i="1" s="1"/>
  <c r="W138" i="1"/>
  <c r="AA138" i="1" s="1"/>
  <c r="AC138" i="1"/>
  <c r="W146" i="1"/>
  <c r="AA146" i="1" s="1"/>
  <c r="AD146" i="1"/>
  <c r="AE146" i="1" s="1"/>
  <c r="AC146" i="1"/>
  <c r="W190" i="1"/>
  <c r="AA190" i="1" s="1"/>
  <c r="AD190" i="1"/>
  <c r="AC190" i="1"/>
  <c r="W67" i="1"/>
  <c r="AA67" i="1" s="1"/>
  <c r="AD67" i="1"/>
  <c r="AC67" i="1"/>
  <c r="R47" i="1"/>
  <c r="P47" i="1" s="1"/>
  <c r="S47" i="1" s="1"/>
  <c r="M47" i="1" s="1"/>
  <c r="N47" i="1" s="1"/>
  <c r="W31" i="1"/>
  <c r="AA31" i="1" s="1"/>
  <c r="AD31" i="1"/>
  <c r="AC31" i="1"/>
  <c r="AD50" i="1"/>
  <c r="AE50" i="1" s="1"/>
  <c r="W50" i="1"/>
  <c r="AA50" i="1" s="1"/>
  <c r="AC50" i="1"/>
  <c r="AE110" i="1"/>
  <c r="R174" i="1"/>
  <c r="P174" i="1" s="1"/>
  <c r="S174" i="1" s="1"/>
  <c r="M174" i="1" s="1"/>
  <c r="N174" i="1" s="1"/>
  <c r="R120" i="1"/>
  <c r="P120" i="1" s="1"/>
  <c r="S120" i="1" s="1"/>
  <c r="M120" i="1" s="1"/>
  <c r="N120" i="1" s="1"/>
  <c r="AD205" i="1"/>
  <c r="AC205" i="1"/>
  <c r="W205" i="1"/>
  <c r="AA205" i="1" s="1"/>
  <c r="R206" i="1"/>
  <c r="P206" i="1" s="1"/>
  <c r="S206" i="1" s="1"/>
  <c r="M206" i="1" s="1"/>
  <c r="N206" i="1" s="1"/>
  <c r="W215" i="1"/>
  <c r="AA215" i="1" s="1"/>
  <c r="AD215" i="1"/>
  <c r="AC215" i="1"/>
  <c r="R215" i="1"/>
  <c r="P215" i="1" s="1"/>
  <c r="S215" i="1" s="1"/>
  <c r="M215" i="1" s="1"/>
  <c r="N215" i="1" s="1"/>
  <c r="AD222" i="1"/>
  <c r="W222" i="1"/>
  <c r="AA222" i="1" s="1"/>
  <c r="AC222" i="1"/>
  <c r="AD18" i="1"/>
  <c r="AE18" i="1" s="1"/>
  <c r="W18" i="1"/>
  <c r="AA18" i="1" s="1"/>
  <c r="AC18" i="1"/>
  <c r="AC41" i="1"/>
  <c r="W41" i="1"/>
  <c r="AA41" i="1" s="1"/>
  <c r="AD41" i="1"/>
  <c r="AE100" i="1"/>
  <c r="AE96" i="1"/>
  <c r="W118" i="1"/>
  <c r="AA118" i="1" s="1"/>
  <c r="AD118" i="1"/>
  <c r="R118" i="1"/>
  <c r="P118" i="1" s="1"/>
  <c r="S118" i="1" s="1"/>
  <c r="M118" i="1" s="1"/>
  <c r="N118" i="1" s="1"/>
  <c r="AC118" i="1"/>
  <c r="R158" i="1"/>
  <c r="P158" i="1" s="1"/>
  <c r="S158" i="1" s="1"/>
  <c r="M158" i="1" s="1"/>
  <c r="N158" i="1" s="1"/>
  <c r="AE175" i="1"/>
  <c r="W211" i="1"/>
  <c r="AA211" i="1" s="1"/>
  <c r="AD211" i="1"/>
  <c r="AC211" i="1"/>
  <c r="W162" i="1"/>
  <c r="AA162" i="1" s="1"/>
  <c r="AD162" i="1"/>
  <c r="AC162" i="1"/>
  <c r="W28" i="1"/>
  <c r="AA28" i="1" s="1"/>
  <c r="AD28" i="1"/>
  <c r="AC28" i="1"/>
  <c r="W70" i="1"/>
  <c r="AA70" i="1" s="1"/>
  <c r="AD70" i="1"/>
  <c r="AE70" i="1" s="1"/>
  <c r="AC70" i="1"/>
  <c r="AD73" i="1"/>
  <c r="W73" i="1"/>
  <c r="AA73" i="1" s="1"/>
  <c r="AC73" i="1"/>
  <c r="W177" i="1"/>
  <c r="AA177" i="1" s="1"/>
  <c r="AD177" i="1"/>
  <c r="AC177" i="1"/>
  <c r="R211" i="1"/>
  <c r="P211" i="1" s="1"/>
  <c r="S211" i="1" s="1"/>
  <c r="M211" i="1" s="1"/>
  <c r="N211" i="1" s="1"/>
  <c r="R25" i="1"/>
  <c r="P25" i="1" s="1"/>
  <c r="S25" i="1" s="1"/>
  <c r="M25" i="1" s="1"/>
  <c r="N25" i="1" s="1"/>
  <c r="W23" i="1"/>
  <c r="AA23" i="1" s="1"/>
  <c r="AD23" i="1"/>
  <c r="AE23" i="1" s="1"/>
  <c r="AC23" i="1"/>
  <c r="R78" i="1"/>
  <c r="P78" i="1" s="1"/>
  <c r="S78" i="1" s="1"/>
  <c r="M78" i="1" s="1"/>
  <c r="N78" i="1" s="1"/>
  <c r="R165" i="1"/>
  <c r="P165" i="1" s="1"/>
  <c r="S165" i="1" s="1"/>
  <c r="M165" i="1" s="1"/>
  <c r="N165" i="1" s="1"/>
  <c r="AD218" i="1"/>
  <c r="AE218" i="1" s="1"/>
  <c r="W218" i="1"/>
  <c r="AA218" i="1" s="1"/>
  <c r="AC218" i="1"/>
  <c r="R116" i="1"/>
  <c r="P116" i="1" s="1"/>
  <c r="S116" i="1" s="1"/>
  <c r="M116" i="1" s="1"/>
  <c r="N116" i="1" s="1"/>
  <c r="AD62" i="1"/>
  <c r="AE62" i="1" s="1"/>
  <c r="W62" i="1"/>
  <c r="AA62" i="1" s="1"/>
  <c r="AC62" i="1"/>
  <c r="R62" i="1"/>
  <c r="P62" i="1" s="1"/>
  <c r="S62" i="1" s="1"/>
  <c r="M62" i="1" s="1"/>
  <c r="N62" i="1" s="1"/>
  <c r="R131" i="1"/>
  <c r="P131" i="1" s="1"/>
  <c r="S131" i="1" s="1"/>
  <c r="M131" i="1" s="1"/>
  <c r="N131" i="1" s="1"/>
  <c r="W217" i="1"/>
  <c r="AA217" i="1" s="1"/>
  <c r="AC217" i="1"/>
  <c r="AD217" i="1"/>
  <c r="AE217" i="1" s="1"/>
  <c r="R33" i="1"/>
  <c r="P33" i="1" s="1"/>
  <c r="S33" i="1" s="1"/>
  <c r="M33" i="1" s="1"/>
  <c r="N33" i="1" s="1"/>
  <c r="W114" i="1"/>
  <c r="AA114" i="1" s="1"/>
  <c r="AD114" i="1"/>
  <c r="AC114" i="1"/>
  <c r="AE121" i="1"/>
  <c r="AE135" i="1"/>
  <c r="AE73" i="1" l="1"/>
  <c r="AE162" i="1"/>
  <c r="AE215" i="1"/>
  <c r="AE116" i="1"/>
  <c r="AE155" i="1"/>
  <c r="AE183" i="1"/>
  <c r="AE87" i="1"/>
  <c r="AE45" i="1"/>
  <c r="AE24" i="1"/>
  <c r="AE143" i="1"/>
  <c r="AE118" i="1"/>
  <c r="AE67" i="1"/>
  <c r="AE161" i="1"/>
  <c r="AE30" i="1"/>
  <c r="AE188" i="1"/>
  <c r="AE166" i="1"/>
  <c r="AE156" i="1"/>
  <c r="AE125" i="1"/>
  <c r="AE196" i="1"/>
  <c r="AE122" i="1"/>
  <c r="AE68" i="1"/>
  <c r="AE189" i="1"/>
  <c r="AE22" i="1"/>
  <c r="AE75" i="1"/>
  <c r="AE137" i="1"/>
  <c r="AE65" i="1"/>
  <c r="AE184" i="1"/>
  <c r="AE76" i="1"/>
  <c r="AE35" i="1"/>
  <c r="AE142" i="1"/>
  <c r="AE167" i="1"/>
  <c r="AE40" i="1"/>
  <c r="AE139" i="1"/>
  <c r="AE111" i="1"/>
  <c r="AE136" i="1"/>
  <c r="AE211" i="1"/>
  <c r="AE66" i="1"/>
  <c r="AE78" i="1"/>
  <c r="AE27" i="1"/>
  <c r="AE152" i="1"/>
  <c r="AE150" i="1"/>
  <c r="AE20" i="1"/>
  <c r="AE213" i="1"/>
  <c r="AE71" i="1"/>
  <c r="AE106" i="1"/>
  <c r="AE44" i="1"/>
  <c r="AE177" i="1"/>
  <c r="AE190" i="1"/>
  <c r="AE153" i="1"/>
  <c r="AE160" i="1"/>
  <c r="AE141" i="1"/>
  <c r="AE164" i="1"/>
  <c r="AE69" i="1"/>
  <c r="AE101" i="1"/>
  <c r="AE72" i="1"/>
  <c r="AE145" i="1"/>
  <c r="AE144" i="1"/>
  <c r="AE207" i="1"/>
  <c r="AE48" i="1"/>
  <c r="AE114" i="1"/>
  <c r="AE28" i="1"/>
  <c r="AE41" i="1"/>
  <c r="AE222" i="1"/>
  <c r="AE205" i="1"/>
  <c r="AE31" i="1"/>
  <c r="AE194" i="1"/>
  <c r="AE98" i="1"/>
  <c r="AE226" i="1"/>
  <c r="AE120" i="1"/>
  <c r="AE105" i="1"/>
  <c r="AE126" i="1"/>
  <c r="AE223" i="1"/>
  <c r="AE17" i="1"/>
  <c r="AE74" i="1"/>
  <c r="AE148" i="1"/>
  <c r="AE92" i="1"/>
  <c r="AE157" i="1"/>
  <c r="AE77" i="1"/>
  <c r="AE186" i="1"/>
  <c r="AE53" i="1"/>
  <c r="AE83" i="1"/>
  <c r="AE91" i="1"/>
  <c r="AE206" i="1"/>
  <c r="AE25" i="1"/>
  <c r="AE36" i="1"/>
</calcChain>
</file>

<file path=xl/sharedStrings.xml><?xml version="1.0" encoding="utf-8"?>
<sst xmlns="http://schemas.openxmlformats.org/spreadsheetml/2006/main" count="3165" uniqueCount="755">
  <si>
    <t>File opened</t>
  </si>
  <si>
    <t>2023-07-24 07:54:27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</si>
  <si>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</si>
  <si>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</si>
  <si>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</si>
  <si>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</si>
  <si>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</si>
  <si>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</si>
  <si>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</si>
  <si>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</si>
  <si>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</si>
  <si>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</si>
  <si>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</si>
  <si>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</si>
  <si>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</si>
  <si>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</si>
  <si>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</si>
  <si>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</si>
  <si>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</si>
  <si>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</si>
  <si>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</si>
  <si>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</si>
  <si>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</si>
  <si>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</si>
  <si>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</si>
  <si>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</si>
  <si>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</si>
  <si>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</si>
  <si>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</si>
  <si>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</si>
  <si>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</si>
  <si>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</si>
  <si>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</si>
  <si>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</si>
  <si>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07:54:27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</si>
  <si>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</si>
  <si>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</si>
  <si>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</si>
  <si>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</si>
  <si>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</si>
  <si>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</si>
  <si>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</si>
  <si>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</si>
  <si>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</si>
  <si>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</si>
  <si>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</si>
  <si>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</si>
  <si>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</si>
  <si>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</si>
  <si>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</si>
  <si>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</si>
  <si>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</si>
  <si>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</si>
  <si>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</si>
  <si>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</si>
  <si>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</si>
  <si>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</si>
  <si>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</si>
  <si>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</si>
  <si>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</si>
  <si>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</si>
  <si>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</si>
  <si>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</si>
  <si>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</si>
  <si>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</si>
  <si>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</si>
  <si>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</si>
  <si>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</si>
  <si>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</si>
  <si>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</si>
  <si>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</si>
  <si>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</si>
  <si>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</si>
  <si>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</si>
  <si>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</si>
  <si>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</si>
  <si>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</si>
  <si>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</si>
  <si>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</si>
  <si>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</si>
  <si>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</si>
  <si>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</si>
  <si>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</si>
  <si>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</si>
  <si>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</si>
  <si>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</si>
  <si>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</si>
  <si>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</si>
  <si>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</si>
  <si>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</si>
  <si>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</si>
  <si>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</si>
  <si>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</si>
  <si>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</si>
  <si>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</si>
  <si>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</si>
  <si>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</si>
  <si>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</si>
  <si>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</si>
  <si>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</si>
  <si>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</si>
  <si>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</si>
  <si>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</si>
  <si>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</si>
  <si>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</si>
  <si>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</si>
  <si>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</si>
  <si>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</si>
  <si>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</si>
  <si>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</si>
  <si>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</si>
  <si>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</si>
  <si>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</si>
  <si>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</si>
  <si>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</si>
  <si>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</si>
  <si>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</si>
  <si>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</si>
  <si>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</si>
  <si>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</si>
  <si>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</si>
  <si>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</si>
  <si>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</si>
  <si>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</si>
  <si>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</si>
  <si>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</si>
  <si>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</si>
  <si>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</si>
  <si>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</si>
  <si>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</si>
  <si>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</si>
  <si>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</si>
  <si>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</si>
  <si>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</si>
  <si>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</si>
  <si>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</si>
  <si>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</si>
  <si>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</si>
  <si>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</si>
  <si>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</si>
  <si>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</si>
  <si>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</si>
  <si>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</si>
  <si>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</si>
  <si>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</si>
  <si>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</si>
  <si>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</si>
  <si>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</si>
  <si>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</si>
  <si>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</si>
  <si>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</si>
  <si>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</si>
  <si>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</si>
  <si>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</si>
  <si>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</si>
  <si>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</si>
  <si>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</si>
  <si>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</si>
  <si>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</si>
  <si>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</si>
  <si>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</si>
  <si>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</si>
  <si>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</si>
  <si>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</si>
  <si>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</si>
  <si>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</si>
  <si>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</si>
  <si>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</si>
  <si>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</si>
  <si>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</si>
  <si>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</si>
  <si>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</si>
  <si>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</si>
  <si>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</si>
  <si>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</si>
  <si>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</si>
  <si>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</si>
  <si>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</si>
  <si>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</si>
  <si>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</si>
  <si>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</si>
  <si>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</si>
  <si>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</si>
  <si>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</si>
  <si>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</si>
  <si>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</si>
  <si>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</si>
  <si>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</si>
  <si>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</si>
  <si>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</si>
  <si>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</si>
  <si>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</si>
  <si>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</si>
  <si>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</si>
  <si>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</si>
  <si>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</si>
  <si>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</si>
  <si>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</si>
  <si>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</si>
  <si>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</si>
  <si>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</si>
  <si>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</si>
  <si>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</si>
  <si>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</si>
  <si>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</si>
  <si>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</si>
  <si>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</si>
  <si>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</si>
  <si>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</si>
  <si>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</si>
  <si>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</si>
  <si>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</si>
  <si>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</si>
  <si>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</si>
  <si>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</si>
  <si>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</si>
  <si>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</si>
  <si>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</si>
  <si>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</si>
  <si>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</si>
  <si>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</si>
  <si>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</si>
  <si>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</si>
  <si>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</si>
  <si>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</si>
  <si>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</si>
  <si>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</si>
  <si>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</si>
  <si>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</si>
  <si>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</si>
  <si>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</si>
  <si>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</si>
  <si>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</si>
  <si>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</si>
  <si>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</si>
  <si>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</si>
  <si>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</si>
  <si>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</si>
  <si>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</si>
  <si>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</si>
  <si>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</si>
  <si>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</si>
  <si>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</si>
  <si>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</si>
  <si>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</si>
  <si>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</si>
  <si>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</si>
  <si>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</si>
  <si>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</si>
  <si>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</si>
  <si>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</si>
  <si>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</si>
  <si>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</si>
  <si>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</si>
  <si>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</si>
  <si>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</si>
  <si>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</si>
  <si>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</si>
  <si>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</si>
  <si>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</si>
  <si>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</si>
  <si>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</si>
  <si>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</si>
  <si>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</si>
  <si>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</si>
  <si>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</si>
  <si>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</si>
  <si>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</si>
  <si>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</si>
  <si>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</si>
  <si>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</si>
  <si>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</si>
  <si>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</si>
  <si>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</si>
  <si>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</si>
  <si>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</si>
  <si>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</si>
  <si>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</si>
  <si>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</si>
  <si>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</si>
  <si>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</si>
  <si>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</si>
  <si>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</si>
  <si>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</si>
  <si>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</si>
  <si>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</si>
  <si>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</si>
  <si>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</si>
  <si>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</si>
  <si>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</si>
  <si>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</si>
  <si>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</si>
  <si>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</si>
  <si>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</si>
  <si>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</si>
  <si>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</si>
  <si>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</si>
  <si>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</si>
  <si>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</si>
  <si>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</si>
  <si>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</si>
  <si>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</si>
  <si>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</si>
  <si>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</si>
  <si>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</si>
  <si>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</si>
  <si>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</si>
  <si>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</si>
  <si>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</si>
  <si>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</si>
  <si>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</si>
  <si>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</si>
  <si>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</si>
  <si>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</si>
  <si>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</si>
  <si>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</si>
  <si>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</si>
  <si>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</si>
  <si>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</si>
  <si>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</si>
  <si>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</si>
  <si>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</si>
  <si>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</si>
  <si>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</si>
  <si>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</si>
  <si>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</si>
  <si>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</si>
  <si>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</si>
  <si>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07:57:19</t>
  </si>
  <si>
    <t>07:57:19</t>
  </si>
  <si>
    <t>none</t>
  </si>
  <si>
    <t>0: Broadleaf</t>
  </si>
  <si>
    <t>07:52:01</t>
  </si>
  <si>
    <t>0/0</t>
  </si>
  <si>
    <t>00000000</t>
  </si>
  <si>
    <t>iiiiiiii</t>
  </si>
  <si>
    <t>off</t>
  </si>
  <si>
    <t>20230724 07:57:20</t>
  </si>
  <si>
    <t>07:57:20</t>
  </si>
  <si>
    <t>20230724 07:57:21</t>
  </si>
  <si>
    <t>07:57:21</t>
  </si>
  <si>
    <t>20230724 07:57:23</t>
  </si>
  <si>
    <t>07:57:23</t>
  </si>
  <si>
    <t>20230724 07:57:24</t>
  </si>
  <si>
    <t>07:57:24</t>
  </si>
  <si>
    <t>20230724 08:03:45</t>
  </si>
  <si>
    <t>08:03:45</t>
  </si>
  <si>
    <t>20230724 08:03:55</t>
  </si>
  <si>
    <t>08:03:55</t>
  </si>
  <si>
    <t>20230724 08:04:05</t>
  </si>
  <si>
    <t>08:04:05</t>
  </si>
  <si>
    <t>20230724 08:04:15</t>
  </si>
  <si>
    <t>08:04:15</t>
  </si>
  <si>
    <t>20230724 08:04:25</t>
  </si>
  <si>
    <t>08:04:25</t>
  </si>
  <si>
    <t>20230724 08:04:35</t>
  </si>
  <si>
    <t>08:04:35</t>
  </si>
  <si>
    <t>20230724 08:04:45</t>
  </si>
  <si>
    <t>08:04:45</t>
  </si>
  <si>
    <t>20230724 08:04:55</t>
  </si>
  <si>
    <t>08:04:55</t>
  </si>
  <si>
    <t>20230724 08:05:05</t>
  </si>
  <si>
    <t>08:05:05</t>
  </si>
  <si>
    <t>20230724 08:05:15</t>
  </si>
  <si>
    <t>08:05:15</t>
  </si>
  <si>
    <t>20230724 08:05:25</t>
  </si>
  <si>
    <t>08:05:25</t>
  </si>
  <si>
    <t>20230724 08:05:35</t>
  </si>
  <si>
    <t>08:05:35</t>
  </si>
  <si>
    <t>20230724 08:05:45</t>
  </si>
  <si>
    <t>08:05:45</t>
  </si>
  <si>
    <t>20230724 08:05:55</t>
  </si>
  <si>
    <t>08:05:55</t>
  </si>
  <si>
    <t>20230724 08:06:05</t>
  </si>
  <si>
    <t>08:06:05</t>
  </si>
  <si>
    <t>20230724 08:06:15</t>
  </si>
  <si>
    <t>08:06:15</t>
  </si>
  <si>
    <t>20230724 08:06:25</t>
  </si>
  <si>
    <t>08:06:25</t>
  </si>
  <si>
    <t>20230724 08:06:35</t>
  </si>
  <si>
    <t>08:06:35</t>
  </si>
  <si>
    <t>20230724 08:06:45</t>
  </si>
  <si>
    <t>08:06:45</t>
  </si>
  <si>
    <t>20230724 08:06:55</t>
  </si>
  <si>
    <t>08:06:55</t>
  </si>
  <si>
    <t>20230724 08:07:05</t>
  </si>
  <si>
    <t>08:07:05</t>
  </si>
  <si>
    <t>20230724 08:07:15</t>
  </si>
  <si>
    <t>08:07:15</t>
  </si>
  <si>
    <t>20230724 08:07:25</t>
  </si>
  <si>
    <t>08:07:25</t>
  </si>
  <si>
    <t>20230724 08:07:35</t>
  </si>
  <si>
    <t>08:07:35</t>
  </si>
  <si>
    <t>20230724 08:07:45</t>
  </si>
  <si>
    <t>08:07:45</t>
  </si>
  <si>
    <t>20230724 08:07:55</t>
  </si>
  <si>
    <t>08:07:55</t>
  </si>
  <si>
    <t>20230724 08:08:05</t>
  </si>
  <si>
    <t>08:08:05</t>
  </si>
  <si>
    <t>20230724 08:08:15</t>
  </si>
  <si>
    <t>08:08:15</t>
  </si>
  <si>
    <t>20230724 08:08:25</t>
  </si>
  <si>
    <t>08:08:25</t>
  </si>
  <si>
    <t>20230724 08:08:35</t>
  </si>
  <si>
    <t>08:08:35</t>
  </si>
  <si>
    <t>20230724 08:08:45</t>
  </si>
  <si>
    <t>08:08:45</t>
  </si>
  <si>
    <t>20230724 08:08:55</t>
  </si>
  <si>
    <t>08:08:55</t>
  </si>
  <si>
    <t>20230724 08:09:05</t>
  </si>
  <si>
    <t>08:09:05</t>
  </si>
  <si>
    <t>20230724 08:09:15</t>
  </si>
  <si>
    <t>08:09:15</t>
  </si>
  <si>
    <t>20230724 08:09:25</t>
  </si>
  <si>
    <t>08:09:25</t>
  </si>
  <si>
    <t>20230724 08:09:35</t>
  </si>
  <si>
    <t>08:09:35</t>
  </si>
  <si>
    <t>20230724 08:09:45</t>
  </si>
  <si>
    <t>08:09:45</t>
  </si>
  <si>
    <t>20230724 08:09:55</t>
  </si>
  <si>
    <t>08:09:55</t>
  </si>
  <si>
    <t>20230724 08:10:05</t>
  </si>
  <si>
    <t>08:10:05</t>
  </si>
  <si>
    <t>20230724 08:10:15</t>
  </si>
  <si>
    <t>08:10:15</t>
  </si>
  <si>
    <t>20230724 08:10:25</t>
  </si>
  <si>
    <t>08:10:25</t>
  </si>
  <si>
    <t>20230724 08:10:35</t>
  </si>
  <si>
    <t>08:10:35</t>
  </si>
  <si>
    <t>20230724 08:10:45</t>
  </si>
  <si>
    <t>08:10:45</t>
  </si>
  <si>
    <t>20230724 08:10:55</t>
  </si>
  <si>
    <t>08:10:55</t>
  </si>
  <si>
    <t>20230724 08:11:05</t>
  </si>
  <si>
    <t>08:11:05</t>
  </si>
  <si>
    <t>20230724 08:11:15</t>
  </si>
  <si>
    <t>08:11:15</t>
  </si>
  <si>
    <t>20230724 08:11:25</t>
  </si>
  <si>
    <t>08:11:25</t>
  </si>
  <si>
    <t>20230724 08:11:35</t>
  </si>
  <si>
    <t>08:11:35</t>
  </si>
  <si>
    <t>20230724 08:11:45</t>
  </si>
  <si>
    <t>08:11:45</t>
  </si>
  <si>
    <t>20230724 08:11:55</t>
  </si>
  <si>
    <t>08:11:55</t>
  </si>
  <si>
    <t>20230724 08:12:05</t>
  </si>
  <si>
    <t>08:12:05</t>
  </si>
  <si>
    <t>20230724 08:12:15</t>
  </si>
  <si>
    <t>08:12:15</t>
  </si>
  <si>
    <t>20230724 08:12:25</t>
  </si>
  <si>
    <t>08:12:25</t>
  </si>
  <si>
    <t>20230724 08:12:35</t>
  </si>
  <si>
    <t>08:12:35</t>
  </si>
  <si>
    <t>20230724 08:12:45</t>
  </si>
  <si>
    <t>08:12:45</t>
  </si>
  <si>
    <t>20230724 08:12:55</t>
  </si>
  <si>
    <t>08:12:55</t>
  </si>
  <si>
    <t>20230724 08:13:05</t>
  </si>
  <si>
    <t>08:13:05</t>
  </si>
  <si>
    <t>20230724 08:13:15</t>
  </si>
  <si>
    <t>08:13:15</t>
  </si>
  <si>
    <t>20230724 08:13:25</t>
  </si>
  <si>
    <t>08:13:25</t>
  </si>
  <si>
    <t>20230724 08:13:35</t>
  </si>
  <si>
    <t>08:13:35</t>
  </si>
  <si>
    <t>20230724 08:13:45</t>
  </si>
  <si>
    <t>08:13:45</t>
  </si>
  <si>
    <t>20230724 08:13:55</t>
  </si>
  <si>
    <t>08:13:55</t>
  </si>
  <si>
    <t>20230724 08:14:05</t>
  </si>
  <si>
    <t>08:14:05</t>
  </si>
  <si>
    <t>20230724 08:14:15</t>
  </si>
  <si>
    <t>08:14:15</t>
  </si>
  <si>
    <t>20230724 08:14:25</t>
  </si>
  <si>
    <t>08:14:25</t>
  </si>
  <si>
    <t>20230724 08:14:35</t>
  </si>
  <si>
    <t>08:14:35</t>
  </si>
  <si>
    <t>20230724 08:14:45</t>
  </si>
  <si>
    <t>08:14:45</t>
  </si>
  <si>
    <t>20230724 08:14:55</t>
  </si>
  <si>
    <t>08:14:55</t>
  </si>
  <si>
    <t>20230724 08:15:05</t>
  </si>
  <si>
    <t>08:15:05</t>
  </si>
  <si>
    <t>20230724 08:15:15</t>
  </si>
  <si>
    <t>08:15:15</t>
  </si>
  <si>
    <t>20230724 08:15:25</t>
  </si>
  <si>
    <t>08:15:25</t>
  </si>
  <si>
    <t>20230724 08:15:35</t>
  </si>
  <si>
    <t>08:15:35</t>
  </si>
  <si>
    <t>20230724 08:15:45</t>
  </si>
  <si>
    <t>08:15:45</t>
  </si>
  <si>
    <t>20230724 08:15:55</t>
  </si>
  <si>
    <t>08:15:55</t>
  </si>
  <si>
    <t>20230724 08:16:05</t>
  </si>
  <si>
    <t>08:16:05</t>
  </si>
  <si>
    <t>20230724 08:16:15</t>
  </si>
  <si>
    <t>08:16:15</t>
  </si>
  <si>
    <t>20230724 08:16:25</t>
  </si>
  <si>
    <t>08:16:25</t>
  </si>
  <si>
    <t>20230724 08:16:35</t>
  </si>
  <si>
    <t>08:16:35</t>
  </si>
  <si>
    <t>20230724 08:16:45</t>
  </si>
  <si>
    <t>08:16:45</t>
  </si>
  <si>
    <t>20230724 08:16:55</t>
  </si>
  <si>
    <t>08:16:55</t>
  </si>
  <si>
    <t>20230724 08:17:05</t>
  </si>
  <si>
    <t>08:17:05</t>
  </si>
  <si>
    <t>20230724 08:17:15</t>
  </si>
  <si>
    <t>08:17:15</t>
  </si>
  <si>
    <t>20230724 08:17:25</t>
  </si>
  <si>
    <t>08:17:25</t>
  </si>
  <si>
    <t>20230724 08:17:35</t>
  </si>
  <si>
    <t>08:17:35</t>
  </si>
  <si>
    <t>20230724 08:17:45</t>
  </si>
  <si>
    <t>08:17:45</t>
  </si>
  <si>
    <t>20230724 08:17:55</t>
  </si>
  <si>
    <t>08:17:55</t>
  </si>
  <si>
    <t>20230724 08:18:05</t>
  </si>
  <si>
    <t>08:18:05</t>
  </si>
  <si>
    <t>20230724 08:18:15</t>
  </si>
  <si>
    <t>08:18:15</t>
  </si>
  <si>
    <t>20230724 08:18:25</t>
  </si>
  <si>
    <t>08:18:25</t>
  </si>
  <si>
    <t>20230724 08:18:35</t>
  </si>
  <si>
    <t>08:18:35</t>
  </si>
  <si>
    <t>20230724 08:18:45</t>
  </si>
  <si>
    <t>08:18:45</t>
  </si>
  <si>
    <t>20230724 08:18:55</t>
  </si>
  <si>
    <t>08:18:55</t>
  </si>
  <si>
    <t>20230724 08:19:05</t>
  </si>
  <si>
    <t>08:19:05</t>
  </si>
  <si>
    <t>20230724 08:19:15</t>
  </si>
  <si>
    <t>08:19:15</t>
  </si>
  <si>
    <t>20230724 08:19:25</t>
  </si>
  <si>
    <t>08:19:25</t>
  </si>
  <si>
    <t>20230724 08:19:35</t>
  </si>
  <si>
    <t>08:19:35</t>
  </si>
  <si>
    <t>20230724 08:19:45</t>
  </si>
  <si>
    <t>08:19:45</t>
  </si>
  <si>
    <t>20230724 08:19:55</t>
  </si>
  <si>
    <t>08:19:55</t>
  </si>
  <si>
    <t>20230724 08:20:05</t>
  </si>
  <si>
    <t>08:20:05</t>
  </si>
  <si>
    <t>20230724 08:20:15</t>
  </si>
  <si>
    <t>08:20:15</t>
  </si>
  <si>
    <t>20230724 08:20:25</t>
  </si>
  <si>
    <t>08:20:25</t>
  </si>
  <si>
    <t>20230724 08:20:35</t>
  </si>
  <si>
    <t>08:20:35</t>
  </si>
  <si>
    <t>20230724 08:20:45</t>
  </si>
  <si>
    <t>08:20:45</t>
  </si>
  <si>
    <t>20230724 08:20:55</t>
  </si>
  <si>
    <t>08:20:55</t>
  </si>
  <si>
    <t>20230724 08:21:05</t>
  </si>
  <si>
    <t>08:21:05</t>
  </si>
  <si>
    <t>20230724 08:21:15</t>
  </si>
  <si>
    <t>08:21:15</t>
  </si>
  <si>
    <t>20230724 08:21:25</t>
  </si>
  <si>
    <t>08:21:25</t>
  </si>
  <si>
    <t>20230724 08:21:35</t>
  </si>
  <si>
    <t>08:21:35</t>
  </si>
  <si>
    <t>20230724 08:21:45</t>
  </si>
  <si>
    <t>08:21:45</t>
  </si>
  <si>
    <t>20230724 08:21:55</t>
  </si>
  <si>
    <t>08:21:55</t>
  </si>
  <si>
    <t>20230724 08:22:05</t>
  </si>
  <si>
    <t>08:22:05</t>
  </si>
  <si>
    <t>20230724 08:22:15</t>
  </si>
  <si>
    <t>08:22:15</t>
  </si>
  <si>
    <t>20230724 08:22:25</t>
  </si>
  <si>
    <t>08:22:25</t>
  </si>
  <si>
    <t>20230724 08:22:35</t>
  </si>
  <si>
    <t>08:22:35</t>
  </si>
  <si>
    <t>20230724 08:22:45</t>
  </si>
  <si>
    <t>08:22:45</t>
  </si>
  <si>
    <t>20230724 08:22:55</t>
  </si>
  <si>
    <t>08:22:55</t>
  </si>
  <si>
    <t>20230724 08:23:05</t>
  </si>
  <si>
    <t>08:23:05</t>
  </si>
  <si>
    <t>20230724 08:23:15</t>
  </si>
  <si>
    <t>08:23:15</t>
  </si>
  <si>
    <t>20230724 08:23:25</t>
  </si>
  <si>
    <t>08:23:25</t>
  </si>
  <si>
    <t>20230724 08:23:35</t>
  </si>
  <si>
    <t>08:23:35</t>
  </si>
  <si>
    <t>20230724 08:23:45</t>
  </si>
  <si>
    <t>08:23:45</t>
  </si>
  <si>
    <t>20230724 08:23:55</t>
  </si>
  <si>
    <t>08:23:55</t>
  </si>
  <si>
    <t>20230724 08:24:05</t>
  </si>
  <si>
    <t>08:24:05</t>
  </si>
  <si>
    <t>20230724 08:24:15</t>
  </si>
  <si>
    <t>08:24:15</t>
  </si>
  <si>
    <t>20230724 08:24:25</t>
  </si>
  <si>
    <t>08:24:25</t>
  </si>
  <si>
    <t>20230724 08:24:35</t>
  </si>
  <si>
    <t>08:24:35</t>
  </si>
  <si>
    <t>20230724 08:24:45</t>
  </si>
  <si>
    <t>08:24:45</t>
  </si>
  <si>
    <t>20230724 08:24:55</t>
  </si>
  <si>
    <t>08:24:55</t>
  </si>
  <si>
    <t>20230724 08:25:05</t>
  </si>
  <si>
    <t>08:25:05</t>
  </si>
  <si>
    <t>20230724 08:25:15</t>
  </si>
  <si>
    <t>08:25:15</t>
  </si>
  <si>
    <t>20230724 08:25:25</t>
  </si>
  <si>
    <t>08:25:25</t>
  </si>
  <si>
    <t>20230724 08:25:35</t>
  </si>
  <si>
    <t>08:25:35</t>
  </si>
  <si>
    <t>20230724 08:25:45</t>
  </si>
  <si>
    <t>08:25:45</t>
  </si>
  <si>
    <t>20230724 08:25:55</t>
  </si>
  <si>
    <t>08:25:55</t>
  </si>
  <si>
    <t>20230724 08:26:05</t>
  </si>
  <si>
    <t>08:26:05</t>
  </si>
  <si>
    <t>20230724 08:26:15</t>
  </si>
  <si>
    <t>08:26:15</t>
  </si>
  <si>
    <t>20230724 08:26:25</t>
  </si>
  <si>
    <t>08:26:25</t>
  </si>
  <si>
    <t>20230724 08:26:35</t>
  </si>
  <si>
    <t>08:26:35</t>
  </si>
  <si>
    <t>20230724 08:26:45</t>
  </si>
  <si>
    <t>08:26:45</t>
  </si>
  <si>
    <t>20230724 08:26:55</t>
  </si>
  <si>
    <t>08:26:55</t>
  </si>
  <si>
    <t>20230724 08:27:05</t>
  </si>
  <si>
    <t>08:27:05</t>
  </si>
  <si>
    <t>20230724 08:27:15</t>
  </si>
  <si>
    <t>08:27:15</t>
  </si>
  <si>
    <t>20230724 08:27:25</t>
  </si>
  <si>
    <t>08:27:25</t>
  </si>
  <si>
    <t>20230724 08:27:35</t>
  </si>
  <si>
    <t>08:27:35</t>
  </si>
  <si>
    <t>20230724 08:27:45</t>
  </si>
  <si>
    <t>08:27:45</t>
  </si>
  <si>
    <t>20230724 08:27:55</t>
  </si>
  <si>
    <t>08:27:55</t>
  </si>
  <si>
    <t>20230724 08:28:05</t>
  </si>
  <si>
    <t>08:28:05</t>
  </si>
  <si>
    <t>20230724 08:28:15</t>
  </si>
  <si>
    <t>08:28:15</t>
  </si>
  <si>
    <t>20230724 08:28:25</t>
  </si>
  <si>
    <t>08:28:25</t>
  </si>
  <si>
    <t>20230724 08:28:35</t>
  </si>
  <si>
    <t>08:28:35</t>
  </si>
  <si>
    <t>20230724 08:28:45</t>
  </si>
  <si>
    <t>08:28:45</t>
  </si>
  <si>
    <t>20230724 08:28:55</t>
  </si>
  <si>
    <t>08:28:55</t>
  </si>
  <si>
    <t>20230724 08:29:05</t>
  </si>
  <si>
    <t>08:29:05</t>
  </si>
  <si>
    <t>20230724 08:29:15</t>
  </si>
  <si>
    <t>08:29:15</t>
  </si>
  <si>
    <t>20230724 08:29:25</t>
  </si>
  <si>
    <t>08:29:25</t>
  </si>
  <si>
    <t>20230724 08:29:35</t>
  </si>
  <si>
    <t>08:29:35</t>
  </si>
  <si>
    <t>20230724 08:29:45</t>
  </si>
  <si>
    <t>08:29:45</t>
  </si>
  <si>
    <t>20230724 08:29:55</t>
  </si>
  <si>
    <t>08:29:55</t>
  </si>
  <si>
    <t>20230724 08:30:05</t>
  </si>
  <si>
    <t>08:30:05</t>
  </si>
  <si>
    <t>20230724 08:30:15</t>
  </si>
  <si>
    <t>08:30:15</t>
  </si>
  <si>
    <t>20230724 08:30:25</t>
  </si>
  <si>
    <t>08:30:25</t>
  </si>
  <si>
    <t>20230724 08:30:35</t>
  </si>
  <si>
    <t>08:30:35</t>
  </si>
  <si>
    <t>20230724 08:30:45</t>
  </si>
  <si>
    <t>08:30:45</t>
  </si>
  <si>
    <t>20230724 08:30:55</t>
  </si>
  <si>
    <t>08:30:55</t>
  </si>
  <si>
    <t>20230724 08:31:05</t>
  </si>
  <si>
    <t>08:31:05</t>
  </si>
  <si>
    <t>20230724 08:31:15</t>
  </si>
  <si>
    <t>08:31:15</t>
  </si>
  <si>
    <t>20230724 08:31:25</t>
  </si>
  <si>
    <t>08:31:25</t>
  </si>
  <si>
    <t>20230724 08:31:35</t>
  </si>
  <si>
    <t>08:31:35</t>
  </si>
  <si>
    <t>20230724 08:31:45</t>
  </si>
  <si>
    <t>08:31:45</t>
  </si>
  <si>
    <t>20230724 08:31:55</t>
  </si>
  <si>
    <t>08:31:55</t>
  </si>
  <si>
    <t>20230724 08:32:05</t>
  </si>
  <si>
    <t>08:32:05</t>
  </si>
  <si>
    <t>20230724 08:32:15</t>
  </si>
  <si>
    <t>08:32:15</t>
  </si>
  <si>
    <t>20230724 08:32:25</t>
  </si>
  <si>
    <t>08:32:25</t>
  </si>
  <si>
    <t>20230724 08:32:35</t>
  </si>
  <si>
    <t>08:32:35</t>
  </si>
  <si>
    <t>20230724 08:32:45</t>
  </si>
  <si>
    <t>08:32:45</t>
  </si>
  <si>
    <t>20230724 08:32:55</t>
  </si>
  <si>
    <t>08:32:55</t>
  </si>
  <si>
    <t>20230724 08:33:05</t>
  </si>
  <si>
    <t>08:33:05</t>
  </si>
  <si>
    <t>20230724 08:33:15</t>
  </si>
  <si>
    <t>08:33:15</t>
  </si>
  <si>
    <t>20230724 08:33:25</t>
  </si>
  <si>
    <t>08:33:25</t>
  </si>
  <si>
    <t>20230724 08:33:35</t>
  </si>
  <si>
    <t>08:33:35</t>
  </si>
  <si>
    <t>20230724 08:33:45</t>
  </si>
  <si>
    <t>08:33:45</t>
  </si>
  <si>
    <t>20230724 08:33:55</t>
  </si>
  <si>
    <t>08:33:55</t>
  </si>
  <si>
    <t>20230724 08:34:05</t>
  </si>
  <si>
    <t>08:34:05</t>
  </si>
  <si>
    <t>20230724 08:34:15</t>
  </si>
  <si>
    <t>08:34:15</t>
  </si>
  <si>
    <t>20230724 08:34:25</t>
  </si>
  <si>
    <t>08:34:25</t>
  </si>
  <si>
    <t>20230724 08:34:35</t>
  </si>
  <si>
    <t>08:34:35</t>
  </si>
  <si>
    <t>20230724 08:34:45</t>
  </si>
  <si>
    <t>08:34:45</t>
  </si>
  <si>
    <t>20230724 08:34:55</t>
  </si>
  <si>
    <t>08:34:55</t>
  </si>
  <si>
    <t>20230724 08:35:05</t>
  </si>
  <si>
    <t>08:35:05</t>
  </si>
  <si>
    <t>20230724 08:35:15</t>
  </si>
  <si>
    <t>08:35:15</t>
  </si>
  <si>
    <t>20230724 08:35:25</t>
  </si>
  <si>
    <t>08:35:25</t>
  </si>
  <si>
    <t>20230724 08:35:35</t>
  </si>
  <si>
    <t>08:35:35</t>
  </si>
  <si>
    <t>20230724 08:35:45</t>
  </si>
  <si>
    <t>08:35:45</t>
  </si>
  <si>
    <t>20230724 08:35:55</t>
  </si>
  <si>
    <t>08:35:55</t>
  </si>
  <si>
    <t>20230724 08:36:05</t>
  </si>
  <si>
    <t>08:36:05</t>
  </si>
  <si>
    <t>20230724 08:36:15</t>
  </si>
  <si>
    <t>08:36:15</t>
  </si>
  <si>
    <t>20230724 08:36:25</t>
  </si>
  <si>
    <t>08:36:25</t>
  </si>
  <si>
    <t>20230724 08:36:35</t>
  </si>
  <si>
    <t>08:36:35</t>
  </si>
  <si>
    <t>20230724 08:36:45</t>
  </si>
  <si>
    <t>08:36:45</t>
  </si>
  <si>
    <t>20230724 08:36:55</t>
  </si>
  <si>
    <t>08:36:55</t>
  </si>
  <si>
    <t>20230724 08:37:05</t>
  </si>
  <si>
    <t>08:37:05</t>
  </si>
  <si>
    <t>20230724 08:37:15</t>
  </si>
  <si>
    <t>08:37:15</t>
  </si>
  <si>
    <t>20230724 08:37:25</t>
  </si>
  <si>
    <t>08:37:25</t>
  </si>
  <si>
    <t>20230724 08:37:35</t>
  </si>
  <si>
    <t>08:37:35</t>
  </si>
  <si>
    <t>20230724 08:37:45</t>
  </si>
  <si>
    <t>08:37:45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</si>
</sst>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6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1690203439.5999999</v>
      </c>
      <c r="C17">
        <v>0</v>
      </c>
      <c r="D17" t="s">
        <v>328</v>
      </c>
      <c r="E17" t="s">
        <v>329</v>
      </c>
      <c r="F17" t="s">
        <v>330</v>
      </c>
      <c r="H17">
        <v>1690203439.5999999</v>
      </c>
      <c r="I17">
        <f t="shared" ref="I17:I80" si="0">(J17)/1000</f>
        <v>6.5758125028643954E-4</v>
      </c>
      <c r="J17">
        <f t="shared" ref="J17:J80" si="1">1000*AZ17*AH17*(AV17-AW17)/(100*AO17*(1000-AH17*AV17))</f>
        <v>0.65758125028643954</v>
      </c>
      <c r="K17">
        <f t="shared" ref="K17:K80" si="2">AZ17*AH17*(AU17-AT17*(1000-AH17*AW17)/(1000-AH17*AV17))/(100*AO17)</f>
        <v>-1.4906466009420949</v>
      </c>
      <c r="L17">
        <f t="shared" ref="L17:L80" si="3">AT17 - IF(AH17&gt;1, K17*AO17*100/(AJ17*BH17), 0)</f>
        <v>809.93299999999999</v>
      </c>
      <c r="M17">
        <f t="shared" ref="M17:M80" si="4">((S17-I17/2)*L17-K17)/(S17+I17/2)</f>
        <v>858.33111896775563</v>
      </c>
      <c r="N17">
        <f t="shared" ref="N17:N80" si="5">M17*(BA17+BB17)/1000</f>
        <v>85.0770206315443</v>
      </c>
      <c r="O17">
        <f t="shared" ref="O17:O80" si="6">(AT17 - IF(AH17&gt;1, K17*AO17*100/(AJ17*BH17), 0))*(BA17+BB17)/1000</f>
        <v>80.2798419263151</v>
      </c>
      <c r="P17">
        <f t="shared" ref="P17:P80" si="7">2/((1/R17-1/Q17)+SIGN(R17)*SQRT((1/R17-1/Q17)*(1/R17-1/Q17) + 4*AP17/((AP17+1)*(AP17+1))*(2*1/R17*1/Q17-1/Q17*1/Q17)))</f>
        <v>3.135792486141066E-2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2.1935436738138838</v>
      </c>
      <c r="R17">
        <f t="shared" ref="R17:R80" si="9">I17*(1000-(1000*0.61365*EXP(17.502*V17/(240.97+V17))/(BA17+BB17)+AV17)/2)/(1000*0.61365*EXP(17.502*V17/(240.97+V17))/(BA17+BB17)-AV17)</f>
        <v>3.1110998082365275E-2</v>
      </c>
      <c r="S17">
        <f t="shared" ref="S17:S80" si="10">1/((AP17+1)/(P17/1.6)+1/(Q17/1.37)) + AP17/((AP17+1)/(P17/1.6) + AP17/(Q17/1.37))</f>
        <v>1.946639700998222E-2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26.933876164500138</v>
      </c>
      <c r="V17">
        <f t="shared" ref="V17:V80" si="13">($C$7*BD17+$D$7*BE17+$E$7*U17)</f>
        <v>26.933876164500138</v>
      </c>
      <c r="W17">
        <f t="shared" ref="W17:W80" si="14">0.61365*EXP(17.502*V17/(240.97+V17))</f>
        <v>3.5652831478952636</v>
      </c>
      <c r="X17">
        <f t="shared" ref="X17:X80" si="15">(Y17/Z17*100)</f>
        <v>42.189696730773022</v>
      </c>
      <c r="Y17">
        <f t="shared" ref="Y17:Y80" si="16">AV17*(BA17+BB17)/1000</f>
        <v>1.5240257718927899</v>
      </c>
      <c r="Z17">
        <f t="shared" ref="Z17:Z80" si="17">0.61365*EXP(17.502*BC17/(240.97+BC17))</f>
        <v>3.6123174376391542</v>
      </c>
      <c r="AA17">
        <f t="shared" ref="AA17:AA80" si="18">(W17-AV17*(BA17+BB17)/1000)</f>
        <v>2.0412573760024735</v>
      </c>
      <c r="AB17">
        <f t="shared" ref="AB17:AB80" si="19">(-I17*44100)</f>
        <v>-28.999333137631982</v>
      </c>
      <c r="AC17">
        <f t="shared" ref="AC17:AC80" si="20">2*29.3*Q17*0.92*(BC17-V17)</f>
        <v>26.398077230646404</v>
      </c>
      <c r="AD17">
        <f t="shared" ref="AD17:AD80" si="21">2*0.95*0.0000000567*(((BC17+$B$7)+273)^4-(V17+273)^4)</f>
        <v>2.5983555533758227</v>
      </c>
      <c r="AE17">
        <f t="shared" ref="AE17:AE80" si="22">T17+AD17+AB17+AC17</f>
        <v>-2.9003536097569338E-3</v>
      </c>
      <c r="AF17">
        <v>0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52334.159539133543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31.2</v>
      </c>
      <c r="AP17">
        <v>0.5</v>
      </c>
      <c r="AQ17" t="s">
        <v>331</v>
      </c>
      <c r="AR17">
        <v>2</v>
      </c>
      <c r="AS17">
        <v>1690203439.5999999</v>
      </c>
      <c r="AT17">
        <v>809.93299999999999</v>
      </c>
      <c r="AU17">
        <v>799.97299999999996</v>
      </c>
      <c r="AV17">
        <v>15.3757</v>
      </c>
      <c r="AW17">
        <v>8.64452</v>
      </c>
      <c r="AX17">
        <v>810.93600000000004</v>
      </c>
      <c r="AY17">
        <v>15.3218</v>
      </c>
      <c r="AZ17">
        <v>300.11200000000002</v>
      </c>
      <c r="BA17">
        <v>99.019199999999998</v>
      </c>
      <c r="BB17">
        <v>9.9914699999999995E-2</v>
      </c>
      <c r="BC17">
        <v>27.1571</v>
      </c>
      <c r="BD17">
        <v>27.001000000000001</v>
      </c>
      <c r="BE17">
        <v>27.191299999999998</v>
      </c>
      <c r="BF17">
        <v>0</v>
      </c>
      <c r="BG17">
        <v>0</v>
      </c>
      <c r="BH17">
        <v>10000.6</v>
      </c>
      <c r="BI17">
        <v>0.73937200000000003</v>
      </c>
      <c r="BJ17">
        <v>1.28952</v>
      </c>
      <c r="BK17">
        <v>9.9604499999999998</v>
      </c>
      <c r="BL17">
        <v>822.58100000000002</v>
      </c>
      <c r="BM17">
        <v>806.94899999999996</v>
      </c>
      <c r="BN17">
        <v>6.7311699999999997</v>
      </c>
      <c r="BO17">
        <v>799.97299999999996</v>
      </c>
      <c r="BP17">
        <v>8.64452</v>
      </c>
      <c r="BQ17">
        <v>1.5224899999999999</v>
      </c>
      <c r="BR17">
        <v>0.85597299999999998</v>
      </c>
      <c r="BS17">
        <v>13.1959</v>
      </c>
      <c r="BT17">
        <v>4.6710500000000001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1690203121.0999999</v>
      </c>
      <c r="CC17" t="s">
        <v>332</v>
      </c>
      <c r="CD17">
        <v>1690203121.0999999</v>
      </c>
      <c r="CE17">
        <v>1690203121.0999999</v>
      </c>
      <c r="CF17">
        <v>3</v>
      </c>
      <c r="CG17">
        <v>0.53600000000000003</v>
      </c>
      <c r="CH17">
        <v>-0.01</v>
      </c>
      <c r="CI17">
        <v>-0.996</v>
      </c>
      <c r="CJ17">
        <v>-6.6000000000000003E-2</v>
      </c>
      <c r="CK17">
        <v>800</v>
      </c>
      <c r="CL17">
        <v>9</v>
      </c>
      <c r="CM17">
        <v>0.82</v>
      </c>
      <c r="CN17">
        <v>0.01</v>
      </c>
      <c r="CO17">
        <v>9.8919660975609744</v>
      </c>
      <c r="CP17">
        <v>0.77590473867595966</v>
      </c>
      <c r="CQ17">
        <v>8.3145177144149221E-2</v>
      </c>
      <c r="CR17">
        <v>-1</v>
      </c>
      <c r="CS17">
        <v>6.8099390243902436</v>
      </c>
      <c r="CT17">
        <v>-0.43602313588850589</v>
      </c>
      <c r="CU17">
        <v>4.3005013763563443E-2</v>
      </c>
      <c r="CV17">
        <v>-1</v>
      </c>
      <c r="CW17">
        <v>0</v>
      </c>
      <c r="CX17">
        <v>0</v>
      </c>
      <c r="CY17" t="s">
        <v>333</v>
      </c>
      <c r="CZ17">
        <v>2.3647900000000002</v>
      </c>
      <c r="DA17">
        <v>2.7137099999999998</v>
      </c>
      <c r="DB17">
        <v>0.14801300000000001</v>
      </c>
      <c r="DC17">
        <v>0.14624100000000001</v>
      </c>
      <c r="DD17">
        <v>8.3037700000000006E-2</v>
      </c>
      <c r="DE17">
        <v>5.2879000000000002E-2</v>
      </c>
      <c r="DF17">
        <v>31084.3</v>
      </c>
      <c r="DG17">
        <v>27450.799999999999</v>
      </c>
      <c r="DH17">
        <v>31145.200000000001</v>
      </c>
      <c r="DI17">
        <v>28015.200000000001</v>
      </c>
      <c r="DJ17">
        <v>38777.699999999997</v>
      </c>
      <c r="DK17">
        <v>37705.1</v>
      </c>
      <c r="DL17">
        <v>44314.2</v>
      </c>
      <c r="DM17">
        <v>42430.6</v>
      </c>
      <c r="DN17">
        <v>1.47333</v>
      </c>
      <c r="DO17">
        <v>2.0617299999999998</v>
      </c>
      <c r="DP17">
        <v>9.0748099999999998E-2</v>
      </c>
      <c r="DQ17">
        <v>9.1642100000000004E-2</v>
      </c>
      <c r="DR17">
        <v>25.5151</v>
      </c>
      <c r="DS17">
        <v>25.691199999999998</v>
      </c>
      <c r="DT17">
        <v>28.7</v>
      </c>
      <c r="DU17">
        <v>26.8</v>
      </c>
      <c r="DV17">
        <v>10.251899999999999</v>
      </c>
      <c r="DW17">
        <v>61.805500000000002</v>
      </c>
      <c r="DX17">
        <v>36.738799999999998</v>
      </c>
      <c r="DY17">
        <v>1</v>
      </c>
      <c r="DZ17">
        <v>-0.130856</v>
      </c>
      <c r="EA17">
        <v>-1.76247</v>
      </c>
      <c r="EB17">
        <v>20.295400000000001</v>
      </c>
      <c r="EC17">
        <v>5.24125</v>
      </c>
      <c r="ED17">
        <v>12.039899999999999</v>
      </c>
      <c r="EE17">
        <v>5.0174500000000002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1.8688800000000001</v>
      </c>
      <c r="EL17">
        <v>1.8645</v>
      </c>
      <c r="EM17">
        <v>1.86907</v>
      </c>
      <c r="EN17">
        <v>1.8672</v>
      </c>
      <c r="EO17">
        <v>1.8633599999999999</v>
      </c>
      <c r="EP17">
        <v>1.86446</v>
      </c>
      <c r="EQ17">
        <v>1.87012</v>
      </c>
      <c r="ER17">
        <v>1.8693599999999999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-1.0029999999999999</v>
      </c>
      <c r="FG17">
        <v>5.3900000000000003E-2</v>
      </c>
      <c r="FH17">
        <v>-0.44422204735670362</v>
      </c>
      <c r="FI17">
        <v>-6.1462078757559423E-4</v>
      </c>
      <c r="FJ17">
        <v>-1.8861989874597051E-7</v>
      </c>
      <c r="FK17">
        <v>1.1980462299894961E-10</v>
      </c>
      <c r="FL17">
        <v>-5.4907600448225742E-2</v>
      </c>
      <c r="FM17">
        <v>-1.6848085045870601E-2</v>
      </c>
      <c r="FN17">
        <v>1.9789084769509481E-3</v>
      </c>
      <c r="FO17">
        <v>-2.7142391389806329E-5</v>
      </c>
      <c r="FP17">
        <v>3</v>
      </c>
      <c r="FQ17">
        <v>2158</v>
      </c>
      <c r="FR17">
        <v>1</v>
      </c>
      <c r="FS17">
        <v>19</v>
      </c>
      <c r="FT17">
        <v>5.3</v>
      </c>
      <c r="FU17">
        <v>5.3</v>
      </c>
      <c r="FV17">
        <v>1.77979</v>
      </c>
      <c r="FW17">
        <v>2.5476100000000002</v>
      </c>
      <c r="FX17">
        <v>1.5490699999999999</v>
      </c>
      <c r="FY17">
        <v>2.33765</v>
      </c>
      <c r="FZ17">
        <v>1.50146</v>
      </c>
      <c r="GA17">
        <v>2.31934</v>
      </c>
      <c r="GB17">
        <v>31.7392</v>
      </c>
      <c r="GC17">
        <v>24.017499999999998</v>
      </c>
      <c r="GD17">
        <v>19</v>
      </c>
      <c r="GE17">
        <v>279.25900000000001</v>
      </c>
      <c r="GF17">
        <v>597.67100000000005</v>
      </c>
      <c r="GG17">
        <v>29.2395</v>
      </c>
      <c r="GH17">
        <v>25.796800000000001</v>
      </c>
      <c r="GI17">
        <v>30.0001</v>
      </c>
      <c r="GJ17">
        <v>25.805700000000002</v>
      </c>
      <c r="GK17">
        <v>25.764900000000001</v>
      </c>
      <c r="GL17">
        <v>35.586199999999998</v>
      </c>
      <c r="GM17">
        <v>-30</v>
      </c>
      <c r="GN17">
        <v>-30</v>
      </c>
      <c r="GO17">
        <v>29.240300000000001</v>
      </c>
      <c r="GP17">
        <v>800</v>
      </c>
      <c r="GQ17">
        <v>12.5298</v>
      </c>
      <c r="GR17">
        <v>99.640299999999996</v>
      </c>
      <c r="GS17">
        <v>99.288499999999999</v>
      </c>
    </row>
    <row r="18" spans="1:201" x14ac:dyDescent="0.25">
      <c r="A18">
        <v>2</v>
      </c>
      <c r="B18">
        <v>1690203440.5999999</v>
      </c>
      <c r="C18">
        <v>1</v>
      </c>
      <c r="D18" t="s">
        <v>337</v>
      </c>
      <c r="E18" t="s">
        <v>338</v>
      </c>
      <c r="F18" t="s">
        <v>330</v>
      </c>
      <c r="H18">
        <v>1690203440.5999999</v>
      </c>
      <c r="I18">
        <f t="shared" si="0"/>
        <v>6.5693087197373845E-4</v>
      </c>
      <c r="J18">
        <f t="shared" si="1"/>
        <v>0.65693087197373845</v>
      </c>
      <c r="K18">
        <f t="shared" si="2"/>
        <v>-1.4911033250972807</v>
      </c>
      <c r="L18">
        <f t="shared" si="3"/>
        <v>809.96100000000001</v>
      </c>
      <c r="M18">
        <f t="shared" si="4"/>
        <v>858.4691034395853</v>
      </c>
      <c r="N18">
        <f t="shared" si="5"/>
        <v>85.090390198295395</v>
      </c>
      <c r="O18">
        <f t="shared" si="6"/>
        <v>80.282327295488713</v>
      </c>
      <c r="P18">
        <f t="shared" si="7"/>
        <v>3.1317824146821972E-2</v>
      </c>
      <c r="Q18">
        <f t="shared" si="8"/>
        <v>2.1946196070824437</v>
      </c>
      <c r="R18">
        <f t="shared" si="9"/>
        <v>3.107164555653788E-2</v>
      </c>
      <c r="S18">
        <f t="shared" si="10"/>
        <v>1.9441735233618168E-2</v>
      </c>
      <c r="T18">
        <f t="shared" si="11"/>
        <v>0</v>
      </c>
      <c r="U18">
        <f t="shared" si="12"/>
        <v>26.933096250340729</v>
      </c>
      <c r="V18">
        <f t="shared" si="13"/>
        <v>26.933096250340729</v>
      </c>
      <c r="W18">
        <f t="shared" si="14"/>
        <v>3.5651197581458036</v>
      </c>
      <c r="X18">
        <f t="shared" si="15"/>
        <v>42.172235102148811</v>
      </c>
      <c r="Y18">
        <f t="shared" si="16"/>
        <v>1.52329670046828</v>
      </c>
      <c r="Z18">
        <f t="shared" si="17"/>
        <v>3.6120843412225572</v>
      </c>
      <c r="AA18">
        <f t="shared" si="18"/>
        <v>2.0418230576775236</v>
      </c>
      <c r="AB18">
        <f t="shared" si="19"/>
        <v>-28.970651454041867</v>
      </c>
      <c r="AC18">
        <f t="shared" si="20"/>
        <v>26.373154106023772</v>
      </c>
      <c r="AD18">
        <f t="shared" si="21"/>
        <v>2.594605325360047</v>
      </c>
      <c r="AE18">
        <f t="shared" si="22"/>
        <v>-2.8920226580488873E-3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52378.302621905292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31.2</v>
      </c>
      <c r="AP18">
        <v>0.5</v>
      </c>
      <c r="AQ18" t="s">
        <v>331</v>
      </c>
      <c r="AR18">
        <v>2</v>
      </c>
      <c r="AS18">
        <v>1690203440.5999999</v>
      </c>
      <c r="AT18">
        <v>809.96100000000001</v>
      </c>
      <c r="AU18">
        <v>799.99099999999999</v>
      </c>
      <c r="AV18">
        <v>15.368399999999999</v>
      </c>
      <c r="AW18">
        <v>8.6438500000000005</v>
      </c>
      <c r="AX18">
        <v>810.96400000000006</v>
      </c>
      <c r="AY18">
        <v>15.3147</v>
      </c>
      <c r="AZ18">
        <v>300.113</v>
      </c>
      <c r="BA18">
        <v>99.018799999999999</v>
      </c>
      <c r="BB18">
        <v>9.9956699999999996E-2</v>
      </c>
      <c r="BC18">
        <v>27.155999999999999</v>
      </c>
      <c r="BD18">
        <v>27.003299999999999</v>
      </c>
      <c r="BE18">
        <v>27.194199999999999</v>
      </c>
      <c r="BF18">
        <v>0</v>
      </c>
      <c r="BG18">
        <v>0</v>
      </c>
      <c r="BH18">
        <v>10009.4</v>
      </c>
      <c r="BI18">
        <v>0.73694700000000002</v>
      </c>
      <c r="BJ18">
        <v>1.2783100000000001</v>
      </c>
      <c r="BK18">
        <v>9.9697300000000002</v>
      </c>
      <c r="BL18">
        <v>822.60299999999995</v>
      </c>
      <c r="BM18">
        <v>806.96699999999998</v>
      </c>
      <c r="BN18">
        <v>6.7245400000000002</v>
      </c>
      <c r="BO18">
        <v>799.99099999999999</v>
      </c>
      <c r="BP18">
        <v>8.6438500000000005</v>
      </c>
      <c r="BQ18">
        <v>1.52176</v>
      </c>
      <c r="BR18">
        <v>0.855904</v>
      </c>
      <c r="BS18">
        <v>13.188599999999999</v>
      </c>
      <c r="BT18">
        <v>4.6698899999999997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1690203121.0999999</v>
      </c>
      <c r="CC18" t="s">
        <v>332</v>
      </c>
      <c r="CD18">
        <v>1690203121.0999999</v>
      </c>
      <c r="CE18">
        <v>1690203121.0999999</v>
      </c>
      <c r="CF18">
        <v>3</v>
      </c>
      <c r="CG18">
        <v>0.53600000000000003</v>
      </c>
      <c r="CH18">
        <v>-0.01</v>
      </c>
      <c r="CI18">
        <v>-0.996</v>
      </c>
      <c r="CJ18">
        <v>-6.6000000000000003E-2</v>
      </c>
      <c r="CK18">
        <v>800</v>
      </c>
      <c r="CL18">
        <v>9</v>
      </c>
      <c r="CM18">
        <v>0.82</v>
      </c>
      <c r="CN18">
        <v>0.01</v>
      </c>
      <c r="CO18">
        <v>9.9014890243902425</v>
      </c>
      <c r="CP18">
        <v>0.73290815331009362</v>
      </c>
      <c r="CQ18">
        <v>8.0228407985131298E-2</v>
      </c>
      <c r="CR18">
        <v>-1</v>
      </c>
      <c r="CS18">
        <v>6.8027370731707331</v>
      </c>
      <c r="CT18">
        <v>-0.43567777003484909</v>
      </c>
      <c r="CU18">
        <v>4.2971291508083542E-2</v>
      </c>
      <c r="CV18">
        <v>-1</v>
      </c>
      <c r="CW18">
        <v>0</v>
      </c>
      <c r="CX18">
        <v>0</v>
      </c>
      <c r="CY18" t="s">
        <v>333</v>
      </c>
      <c r="CZ18">
        <v>2.3647999999999998</v>
      </c>
      <c r="DA18">
        <v>2.7137600000000002</v>
      </c>
      <c r="DB18">
        <v>0.14801600000000001</v>
      </c>
      <c r="DC18">
        <v>0.14624200000000001</v>
      </c>
      <c r="DD18">
        <v>8.3008899999999997E-2</v>
      </c>
      <c r="DE18">
        <v>5.2875600000000002E-2</v>
      </c>
      <c r="DF18">
        <v>31084.400000000001</v>
      </c>
      <c r="DG18">
        <v>27450.7</v>
      </c>
      <c r="DH18">
        <v>31145.3</v>
      </c>
      <c r="DI18">
        <v>28015.200000000001</v>
      </c>
      <c r="DJ18">
        <v>38779.1</v>
      </c>
      <c r="DK18">
        <v>37705.300000000003</v>
      </c>
      <c r="DL18">
        <v>44314.5</v>
      </c>
      <c r="DM18">
        <v>42430.6</v>
      </c>
      <c r="DN18">
        <v>1.47333</v>
      </c>
      <c r="DO18">
        <v>2.0617999999999999</v>
      </c>
      <c r="DP18">
        <v>9.0822600000000003E-2</v>
      </c>
      <c r="DQ18">
        <v>9.1791200000000003E-2</v>
      </c>
      <c r="DR18">
        <v>25.516200000000001</v>
      </c>
      <c r="DS18">
        <v>25.691700000000001</v>
      </c>
      <c r="DT18">
        <v>28.7</v>
      </c>
      <c r="DU18">
        <v>26.8</v>
      </c>
      <c r="DV18">
        <v>10.253</v>
      </c>
      <c r="DW18">
        <v>61.8855</v>
      </c>
      <c r="DX18">
        <v>35.965499999999999</v>
      </c>
      <c r="DY18">
        <v>1</v>
      </c>
      <c r="DZ18">
        <v>-0.13075999999999999</v>
      </c>
      <c r="EA18">
        <v>-1.7707200000000001</v>
      </c>
      <c r="EB18">
        <v>20.295200000000001</v>
      </c>
      <c r="EC18">
        <v>5.24125</v>
      </c>
      <c r="ED18">
        <v>12.039899999999999</v>
      </c>
      <c r="EE18">
        <v>5.01755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1.8688899999999999</v>
      </c>
      <c r="EL18">
        <v>1.8645</v>
      </c>
      <c r="EM18">
        <v>1.86907</v>
      </c>
      <c r="EN18">
        <v>1.86721</v>
      </c>
      <c r="EO18">
        <v>1.8633599999999999</v>
      </c>
      <c r="EP18">
        <v>1.8644700000000001</v>
      </c>
      <c r="EQ18">
        <v>1.87012</v>
      </c>
      <c r="ER18">
        <v>1.8693500000000001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-1.0029999999999999</v>
      </c>
      <c r="FG18">
        <v>5.3699999999999998E-2</v>
      </c>
      <c r="FH18">
        <v>-0.44422204735670362</v>
      </c>
      <c r="FI18">
        <v>-6.1462078757559423E-4</v>
      </c>
      <c r="FJ18">
        <v>-1.8861989874597051E-7</v>
      </c>
      <c r="FK18">
        <v>1.1980462299894961E-10</v>
      </c>
      <c r="FL18">
        <v>-5.4907600448225742E-2</v>
      </c>
      <c r="FM18">
        <v>-1.6848085045870601E-2</v>
      </c>
      <c r="FN18">
        <v>1.9789084769509481E-3</v>
      </c>
      <c r="FO18">
        <v>-2.7142391389806329E-5</v>
      </c>
      <c r="FP18">
        <v>3</v>
      </c>
      <c r="FQ18">
        <v>2158</v>
      </c>
      <c r="FR18">
        <v>1</v>
      </c>
      <c r="FS18">
        <v>19</v>
      </c>
      <c r="FT18">
        <v>5.3</v>
      </c>
      <c r="FU18">
        <v>5.3</v>
      </c>
      <c r="FV18">
        <v>1.77979</v>
      </c>
      <c r="FW18">
        <v>2.5573700000000001</v>
      </c>
      <c r="FX18">
        <v>1.5490699999999999</v>
      </c>
      <c r="FY18">
        <v>2.33765</v>
      </c>
      <c r="FZ18">
        <v>1.50146</v>
      </c>
      <c r="GA18">
        <v>2.2900399999999999</v>
      </c>
      <c r="GB18">
        <v>31.7392</v>
      </c>
      <c r="GC18">
        <v>24.017499999999998</v>
      </c>
      <c r="GD18">
        <v>19</v>
      </c>
      <c r="GE18">
        <v>279.262</v>
      </c>
      <c r="GF18">
        <v>597.73800000000006</v>
      </c>
      <c r="GG18">
        <v>29.2377</v>
      </c>
      <c r="GH18">
        <v>25.796800000000001</v>
      </c>
      <c r="GI18">
        <v>30.0002</v>
      </c>
      <c r="GJ18">
        <v>25.8063</v>
      </c>
      <c r="GK18">
        <v>25.7653</v>
      </c>
      <c r="GL18">
        <v>35.5869</v>
      </c>
      <c r="GM18">
        <v>-30</v>
      </c>
      <c r="GN18">
        <v>-30</v>
      </c>
      <c r="GO18">
        <v>29.240300000000001</v>
      </c>
      <c r="GP18">
        <v>800</v>
      </c>
      <c r="GQ18">
        <v>12.5298</v>
      </c>
      <c r="GR18">
        <v>99.640900000000002</v>
      </c>
      <c r="GS18">
        <v>99.288499999999999</v>
      </c>
    </row>
    <row r="19" spans="1:201" x14ac:dyDescent="0.25">
      <c r="A19">
        <v>3</v>
      </c>
      <c r="B19">
        <v>1690203441.5999999</v>
      </c>
      <c r="C19">
        <v>2</v>
      </c>
      <c r="D19" t="s">
        <v>339</v>
      </c>
      <c r="E19" t="s">
        <v>340</v>
      </c>
      <c r="F19" t="s">
        <v>330</v>
      </c>
      <c r="H19">
        <v>1690203441.5999999</v>
      </c>
      <c r="I19">
        <f t="shared" si="0"/>
        <v>6.5619341694075569E-4</v>
      </c>
      <c r="J19">
        <f t="shared" si="1"/>
        <v>0.65619341694075572</v>
      </c>
      <c r="K19">
        <f t="shared" si="2"/>
        <v>-1.4897560917604629</v>
      </c>
      <c r="L19">
        <f t="shared" si="3"/>
        <v>810</v>
      </c>
      <c r="M19">
        <f t="shared" si="4"/>
        <v>858.53979720186453</v>
      </c>
      <c r="N19">
        <f t="shared" si="5"/>
        <v>85.09693572512397</v>
      </c>
      <c r="O19">
        <f t="shared" si="6"/>
        <v>80.285757470999997</v>
      </c>
      <c r="P19">
        <f t="shared" si="7"/>
        <v>3.1271576955321408E-2</v>
      </c>
      <c r="Q19">
        <f t="shared" si="8"/>
        <v>2.1946134012973921</v>
      </c>
      <c r="R19">
        <f t="shared" si="9"/>
        <v>3.1026121131806268E-2</v>
      </c>
      <c r="S19">
        <f t="shared" si="10"/>
        <v>1.9413218238796028E-2</v>
      </c>
      <c r="T19">
        <f t="shared" si="11"/>
        <v>0</v>
      </c>
      <c r="U19">
        <f t="shared" si="12"/>
        <v>26.932745783937889</v>
      </c>
      <c r="V19">
        <f t="shared" si="13"/>
        <v>26.932745783937889</v>
      </c>
      <c r="W19">
        <f t="shared" si="14"/>
        <v>3.565046338581721</v>
      </c>
      <c r="X19">
        <f t="shared" si="15"/>
        <v>42.152360685690354</v>
      </c>
      <c r="Y19">
        <f t="shared" si="16"/>
        <v>1.52252522812937</v>
      </c>
      <c r="Z19">
        <f t="shared" si="17"/>
        <v>3.6119572032563014</v>
      </c>
      <c r="AA19">
        <f t="shared" si="18"/>
        <v>2.0425211104523511</v>
      </c>
      <c r="AB19">
        <f t="shared" si="19"/>
        <v>-28.938129687087326</v>
      </c>
      <c r="AC19">
        <f t="shared" si="20"/>
        <v>26.34355571343934</v>
      </c>
      <c r="AD19">
        <f t="shared" si="21"/>
        <v>2.5916884323576324</v>
      </c>
      <c r="AE19">
        <f t="shared" si="22"/>
        <v>-2.8855412903538991E-3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52378.142837089836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31.2</v>
      </c>
      <c r="AP19">
        <v>0.5</v>
      </c>
      <c r="AQ19" t="s">
        <v>331</v>
      </c>
      <c r="AR19">
        <v>2</v>
      </c>
      <c r="AS19">
        <v>1690203441.5999999</v>
      </c>
      <c r="AT19">
        <v>810</v>
      </c>
      <c r="AU19">
        <v>800.03700000000003</v>
      </c>
      <c r="AV19">
        <v>15.3607</v>
      </c>
      <c r="AW19">
        <v>8.6429299999999998</v>
      </c>
      <c r="AX19">
        <v>811.00300000000004</v>
      </c>
      <c r="AY19">
        <v>15.3071</v>
      </c>
      <c r="AZ19">
        <v>300.08100000000002</v>
      </c>
      <c r="BA19">
        <v>99.018299999999996</v>
      </c>
      <c r="BB19">
        <v>9.9919099999999997E-2</v>
      </c>
      <c r="BC19">
        <v>27.1554</v>
      </c>
      <c r="BD19">
        <v>27.000900000000001</v>
      </c>
      <c r="BE19">
        <v>27.194800000000001</v>
      </c>
      <c r="BF19">
        <v>0</v>
      </c>
      <c r="BG19">
        <v>0</v>
      </c>
      <c r="BH19">
        <v>10009.4</v>
      </c>
      <c r="BI19">
        <v>0.73694700000000002</v>
      </c>
      <c r="BJ19">
        <v>1.2642899999999999</v>
      </c>
      <c r="BK19">
        <v>9.9628899999999998</v>
      </c>
      <c r="BL19">
        <v>822.63599999999997</v>
      </c>
      <c r="BM19">
        <v>807.01199999999994</v>
      </c>
      <c r="BN19">
        <v>6.7177300000000004</v>
      </c>
      <c r="BO19">
        <v>800.03700000000003</v>
      </c>
      <c r="BP19">
        <v>8.6429299999999998</v>
      </c>
      <c r="BQ19">
        <v>1.5209900000000001</v>
      </c>
      <c r="BR19">
        <v>0.85580800000000001</v>
      </c>
      <c r="BS19">
        <v>13.1808</v>
      </c>
      <c r="BT19">
        <v>4.6683000000000003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1690203121.0999999</v>
      </c>
      <c r="CC19" t="s">
        <v>332</v>
      </c>
      <c r="CD19">
        <v>1690203121.0999999</v>
      </c>
      <c r="CE19">
        <v>1690203121.0999999</v>
      </c>
      <c r="CF19">
        <v>3</v>
      </c>
      <c r="CG19">
        <v>0.53600000000000003</v>
      </c>
      <c r="CH19">
        <v>-0.01</v>
      </c>
      <c r="CI19">
        <v>-0.996</v>
      </c>
      <c r="CJ19">
        <v>-6.6000000000000003E-2</v>
      </c>
      <c r="CK19">
        <v>800</v>
      </c>
      <c r="CL19">
        <v>9</v>
      </c>
      <c r="CM19">
        <v>0.82</v>
      </c>
      <c r="CN19">
        <v>0.01</v>
      </c>
      <c r="CO19">
        <v>9.9207607499999995</v>
      </c>
      <c r="CP19">
        <v>0.57336596622886093</v>
      </c>
      <c r="CQ19">
        <v>6.5750962707305682E-2</v>
      </c>
      <c r="CR19">
        <v>-1</v>
      </c>
      <c r="CS19">
        <v>6.7902749999999994</v>
      </c>
      <c r="CT19">
        <v>-0.43557996247656611</v>
      </c>
      <c r="CU19">
        <v>4.1914794941643137E-2</v>
      </c>
      <c r="CV19">
        <v>-1</v>
      </c>
      <c r="CW19">
        <v>0</v>
      </c>
      <c r="CX19">
        <v>0</v>
      </c>
      <c r="CY19" t="s">
        <v>333</v>
      </c>
      <c r="CZ19">
        <v>2.3647100000000001</v>
      </c>
      <c r="DA19">
        <v>2.7137199999999999</v>
      </c>
      <c r="DB19">
        <v>0.14801800000000001</v>
      </c>
      <c r="DC19">
        <v>0.14624599999999999</v>
      </c>
      <c r="DD19">
        <v>8.2977499999999996E-2</v>
      </c>
      <c r="DE19">
        <v>5.2870399999999998E-2</v>
      </c>
      <c r="DF19">
        <v>31084.400000000001</v>
      </c>
      <c r="DG19">
        <v>27450.5</v>
      </c>
      <c r="DH19">
        <v>31145.4</v>
      </c>
      <c r="DI19">
        <v>28015.1</v>
      </c>
      <c r="DJ19">
        <v>38780.6</v>
      </c>
      <c r="DK19">
        <v>37705.4</v>
      </c>
      <c r="DL19">
        <v>44314.6</v>
      </c>
      <c r="DM19">
        <v>42430.5</v>
      </c>
      <c r="DN19">
        <v>1.4734499999999999</v>
      </c>
      <c r="DO19">
        <v>2.06175</v>
      </c>
      <c r="DP19">
        <v>9.0636300000000003E-2</v>
      </c>
      <c r="DQ19">
        <v>9.1791200000000003E-2</v>
      </c>
      <c r="DR19">
        <v>25.5168</v>
      </c>
      <c r="DS19">
        <v>25.692299999999999</v>
      </c>
      <c r="DT19">
        <v>28.7</v>
      </c>
      <c r="DU19">
        <v>26.8</v>
      </c>
      <c r="DV19">
        <v>10.253</v>
      </c>
      <c r="DW19">
        <v>61.695500000000003</v>
      </c>
      <c r="DX19">
        <v>36.5505</v>
      </c>
      <c r="DY19">
        <v>1</v>
      </c>
      <c r="DZ19">
        <v>-0.130658</v>
      </c>
      <c r="EA19">
        <v>-1.7773600000000001</v>
      </c>
      <c r="EB19">
        <v>20.295100000000001</v>
      </c>
      <c r="EC19">
        <v>5.2411000000000003</v>
      </c>
      <c r="ED19">
        <v>12.039899999999999</v>
      </c>
      <c r="EE19">
        <v>5.0175000000000001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1.8688899999999999</v>
      </c>
      <c r="EL19">
        <v>1.8645099999999999</v>
      </c>
      <c r="EM19">
        <v>1.8690800000000001</v>
      </c>
      <c r="EN19">
        <v>1.86721</v>
      </c>
      <c r="EO19">
        <v>1.8633500000000001</v>
      </c>
      <c r="EP19">
        <v>1.8644700000000001</v>
      </c>
      <c r="EQ19">
        <v>1.87012</v>
      </c>
      <c r="ER19">
        <v>1.8693599999999999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-1.0029999999999999</v>
      </c>
      <c r="FG19">
        <v>5.3600000000000002E-2</v>
      </c>
      <c r="FH19">
        <v>-0.44422204735670362</v>
      </c>
      <c r="FI19">
        <v>-6.1462078757559423E-4</v>
      </c>
      <c r="FJ19">
        <v>-1.8861989874597051E-7</v>
      </c>
      <c r="FK19">
        <v>1.1980462299894961E-10</v>
      </c>
      <c r="FL19">
        <v>-5.4907600448225742E-2</v>
      </c>
      <c r="FM19">
        <v>-1.6848085045870601E-2</v>
      </c>
      <c r="FN19">
        <v>1.9789084769509481E-3</v>
      </c>
      <c r="FO19">
        <v>-2.7142391389806329E-5</v>
      </c>
      <c r="FP19">
        <v>3</v>
      </c>
      <c r="FQ19">
        <v>2158</v>
      </c>
      <c r="FR19">
        <v>1</v>
      </c>
      <c r="FS19">
        <v>19</v>
      </c>
      <c r="FT19">
        <v>5.3</v>
      </c>
      <c r="FU19">
        <v>5.3</v>
      </c>
      <c r="FV19">
        <v>1.77979</v>
      </c>
      <c r="FW19">
        <v>2.5451700000000002</v>
      </c>
      <c r="FX19">
        <v>1.5490699999999999</v>
      </c>
      <c r="FY19">
        <v>2.33765</v>
      </c>
      <c r="FZ19">
        <v>1.50146</v>
      </c>
      <c r="GA19">
        <v>2.34131</v>
      </c>
      <c r="GB19">
        <v>31.7392</v>
      </c>
      <c r="GC19">
        <v>24.026199999999999</v>
      </c>
      <c r="GD19">
        <v>19</v>
      </c>
      <c r="GE19">
        <v>279.31700000000001</v>
      </c>
      <c r="GF19">
        <v>597.70299999999997</v>
      </c>
      <c r="GG19">
        <v>29.2364</v>
      </c>
      <c r="GH19">
        <v>25.796800000000001</v>
      </c>
      <c r="GI19">
        <v>30.0002</v>
      </c>
      <c r="GJ19">
        <v>25.806799999999999</v>
      </c>
      <c r="GK19">
        <v>25.765799999999999</v>
      </c>
      <c r="GL19">
        <v>35.585000000000001</v>
      </c>
      <c r="GM19">
        <v>-30</v>
      </c>
      <c r="GN19">
        <v>-30</v>
      </c>
      <c r="GO19">
        <v>29.240300000000001</v>
      </c>
      <c r="GP19">
        <v>800</v>
      </c>
      <c r="GQ19">
        <v>12.5298</v>
      </c>
      <c r="GR19">
        <v>99.641099999999994</v>
      </c>
      <c r="GS19">
        <v>99.288300000000007</v>
      </c>
    </row>
    <row r="20" spans="1:201" x14ac:dyDescent="0.25">
      <c r="A20">
        <v>4</v>
      </c>
      <c r="B20">
        <v>1690203443.0999999</v>
      </c>
      <c r="C20">
        <v>3.5</v>
      </c>
      <c r="D20" t="s">
        <v>341</v>
      </c>
      <c r="E20" t="s">
        <v>342</v>
      </c>
      <c r="F20" t="s">
        <v>330</v>
      </c>
      <c r="H20">
        <v>1690203443.0999999</v>
      </c>
      <c r="I20">
        <f t="shared" si="0"/>
        <v>6.5506319699221778E-4</v>
      </c>
      <c r="J20">
        <f t="shared" si="1"/>
        <v>0.65506319699221782</v>
      </c>
      <c r="K20">
        <f t="shared" si="2"/>
        <v>-1.4938050640995888</v>
      </c>
      <c r="L20">
        <f t="shared" si="3"/>
        <v>810.01700000000005</v>
      </c>
      <c r="M20">
        <f t="shared" si="4"/>
        <v>858.91580305417631</v>
      </c>
      <c r="N20">
        <f t="shared" si="5"/>
        <v>85.132513722143258</v>
      </c>
      <c r="O20">
        <f t="shared" si="6"/>
        <v>80.285847719255102</v>
      </c>
      <c r="P20">
        <f t="shared" si="7"/>
        <v>3.1201901599376646E-2</v>
      </c>
      <c r="Q20">
        <f t="shared" si="8"/>
        <v>2.1927431892504776</v>
      </c>
      <c r="R20">
        <f t="shared" si="9"/>
        <v>3.0957327071867314E-2</v>
      </c>
      <c r="S20">
        <f t="shared" si="10"/>
        <v>1.9370143565339632E-2</v>
      </c>
      <c r="T20">
        <f t="shared" si="11"/>
        <v>0</v>
      </c>
      <c r="U20">
        <f t="shared" si="12"/>
        <v>26.931356395467894</v>
      </c>
      <c r="V20">
        <f t="shared" si="13"/>
        <v>26.931356395467894</v>
      </c>
      <c r="W20">
        <f t="shared" si="14"/>
        <v>3.5647552871626917</v>
      </c>
      <c r="X20">
        <f t="shared" si="15"/>
        <v>42.120900996083435</v>
      </c>
      <c r="Y20">
        <f t="shared" si="16"/>
        <v>1.5212461212294301</v>
      </c>
      <c r="Z20">
        <f t="shared" si="17"/>
        <v>3.6116181877754263</v>
      </c>
      <c r="AA20">
        <f t="shared" si="18"/>
        <v>2.0435091659332616</v>
      </c>
      <c r="AB20">
        <f t="shared" si="19"/>
        <v>-28.888286987356803</v>
      </c>
      <c r="AC20">
        <f t="shared" si="20"/>
        <v>26.296208707328503</v>
      </c>
      <c r="AD20">
        <f t="shared" si="21"/>
        <v>2.589198224463702</v>
      </c>
      <c r="AE20">
        <f t="shared" si="22"/>
        <v>-2.8800555645993597E-3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52301.980894834858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31.2</v>
      </c>
      <c r="AP20">
        <v>0.5</v>
      </c>
      <c r="AQ20" t="s">
        <v>331</v>
      </c>
      <c r="AR20">
        <v>2</v>
      </c>
      <c r="AS20">
        <v>1690203443.0999999</v>
      </c>
      <c r="AT20">
        <v>810.01700000000005</v>
      </c>
      <c r="AU20">
        <v>800.00300000000004</v>
      </c>
      <c r="AV20">
        <v>15.348100000000001</v>
      </c>
      <c r="AW20">
        <v>8.6421500000000009</v>
      </c>
      <c r="AX20">
        <v>811.02</v>
      </c>
      <c r="AY20">
        <v>15.2949</v>
      </c>
      <c r="AZ20">
        <v>300.096</v>
      </c>
      <c r="BA20">
        <v>99.016300000000001</v>
      </c>
      <c r="BB20">
        <v>9.9950300000000006E-2</v>
      </c>
      <c r="BC20">
        <v>27.1538</v>
      </c>
      <c r="BD20">
        <v>27.002199999999998</v>
      </c>
      <c r="BE20">
        <v>27.191600000000001</v>
      </c>
      <c r="BF20">
        <v>0</v>
      </c>
      <c r="BG20">
        <v>0</v>
      </c>
      <c r="BH20">
        <v>9994.3799999999992</v>
      </c>
      <c r="BI20">
        <v>0.70057700000000001</v>
      </c>
      <c r="BJ20">
        <v>1.2474700000000001</v>
      </c>
      <c r="BK20">
        <v>10.0144</v>
      </c>
      <c r="BL20">
        <v>822.64300000000003</v>
      </c>
      <c r="BM20">
        <v>806.97699999999998</v>
      </c>
      <c r="BN20">
        <v>6.7059699999999998</v>
      </c>
      <c r="BO20">
        <v>800.00300000000004</v>
      </c>
      <c r="BP20">
        <v>8.6421500000000009</v>
      </c>
      <c r="BQ20">
        <v>1.5197099999999999</v>
      </c>
      <c r="BR20">
        <v>0.85571299999999995</v>
      </c>
      <c r="BS20">
        <v>13.167999999999999</v>
      </c>
      <c r="BT20">
        <v>4.6666999999999996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1690203121.0999999</v>
      </c>
      <c r="CC20" t="s">
        <v>332</v>
      </c>
      <c r="CD20">
        <v>1690203121.0999999</v>
      </c>
      <c r="CE20">
        <v>1690203121.0999999</v>
      </c>
      <c r="CF20">
        <v>3</v>
      </c>
      <c r="CG20">
        <v>0.53600000000000003</v>
      </c>
      <c r="CH20">
        <v>-0.01</v>
      </c>
      <c r="CI20">
        <v>-0.996</v>
      </c>
      <c r="CJ20">
        <v>-6.6000000000000003E-2</v>
      </c>
      <c r="CK20">
        <v>800</v>
      </c>
      <c r="CL20">
        <v>9</v>
      </c>
      <c r="CM20">
        <v>0.82</v>
      </c>
      <c r="CN20">
        <v>0.01</v>
      </c>
      <c r="CO20">
        <v>9.9318770731707318</v>
      </c>
      <c r="CP20">
        <v>0.43866083623694407</v>
      </c>
      <c r="CQ20">
        <v>5.4303421903762847E-2</v>
      </c>
      <c r="CR20">
        <v>-1</v>
      </c>
      <c r="CS20">
        <v>6.7813551219512203</v>
      </c>
      <c r="CT20">
        <v>-0.43490195121950631</v>
      </c>
      <c r="CU20">
        <v>4.2896207923934442E-2</v>
      </c>
      <c r="CV20">
        <v>-1</v>
      </c>
      <c r="CW20">
        <v>0</v>
      </c>
      <c r="CX20">
        <v>0</v>
      </c>
      <c r="CY20" t="s">
        <v>333</v>
      </c>
      <c r="CZ20">
        <v>2.3647499999999999</v>
      </c>
      <c r="DA20">
        <v>2.71374</v>
      </c>
      <c r="DB20">
        <v>0.14801800000000001</v>
      </c>
      <c r="DC20">
        <v>0.14623900000000001</v>
      </c>
      <c r="DD20">
        <v>8.2927200000000006E-2</v>
      </c>
      <c r="DE20">
        <v>5.2865700000000002E-2</v>
      </c>
      <c r="DF20">
        <v>31084.3</v>
      </c>
      <c r="DG20">
        <v>27450.6</v>
      </c>
      <c r="DH20">
        <v>31145.3</v>
      </c>
      <c r="DI20">
        <v>28015</v>
      </c>
      <c r="DJ20">
        <v>38782.6</v>
      </c>
      <c r="DK20">
        <v>37705.5</v>
      </c>
      <c r="DL20">
        <v>44314.5</v>
      </c>
      <c r="DM20">
        <v>42430.3</v>
      </c>
      <c r="DN20">
        <v>1.4735499999999999</v>
      </c>
      <c r="DO20">
        <v>2.06168</v>
      </c>
      <c r="DP20">
        <v>9.0636300000000003E-2</v>
      </c>
      <c r="DQ20">
        <v>9.1582499999999997E-2</v>
      </c>
      <c r="DR20">
        <v>25.5181</v>
      </c>
      <c r="DS20">
        <v>25.692499999999999</v>
      </c>
      <c r="DT20">
        <v>28.7</v>
      </c>
      <c r="DU20">
        <v>26.8</v>
      </c>
      <c r="DV20">
        <v>10.253399999999999</v>
      </c>
      <c r="DW20">
        <v>61.735500000000002</v>
      </c>
      <c r="DX20">
        <v>36.350200000000001</v>
      </c>
      <c r="DY20">
        <v>1</v>
      </c>
      <c r="DZ20">
        <v>-0.130409</v>
      </c>
      <c r="EA20">
        <v>-1.7845899999999999</v>
      </c>
      <c r="EB20">
        <v>20.295000000000002</v>
      </c>
      <c r="EC20">
        <v>5.2409499999999998</v>
      </c>
      <c r="ED20">
        <v>12.039899999999999</v>
      </c>
      <c r="EE20">
        <v>5.0173500000000004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1.8688800000000001</v>
      </c>
      <c r="EL20">
        <v>1.8645099999999999</v>
      </c>
      <c r="EM20">
        <v>1.86907</v>
      </c>
      <c r="EN20">
        <v>1.86721</v>
      </c>
      <c r="EO20">
        <v>1.86334</v>
      </c>
      <c r="EP20">
        <v>1.8644700000000001</v>
      </c>
      <c r="EQ20">
        <v>1.87012</v>
      </c>
      <c r="ER20">
        <v>1.86937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-1.0029999999999999</v>
      </c>
      <c r="FG20">
        <v>5.3199999999999997E-2</v>
      </c>
      <c r="FH20">
        <v>-0.44422204735670362</v>
      </c>
      <c r="FI20">
        <v>-6.1462078757559423E-4</v>
      </c>
      <c r="FJ20">
        <v>-1.8861989874597051E-7</v>
      </c>
      <c r="FK20">
        <v>1.1980462299894961E-10</v>
      </c>
      <c r="FL20">
        <v>-5.4907600448225742E-2</v>
      </c>
      <c r="FM20">
        <v>-1.6848085045870601E-2</v>
      </c>
      <c r="FN20">
        <v>1.9789084769509481E-3</v>
      </c>
      <c r="FO20">
        <v>-2.7142391389806329E-5</v>
      </c>
      <c r="FP20">
        <v>3</v>
      </c>
      <c r="FQ20">
        <v>2158</v>
      </c>
      <c r="FR20">
        <v>1</v>
      </c>
      <c r="FS20">
        <v>19</v>
      </c>
      <c r="FT20">
        <v>5.4</v>
      </c>
      <c r="FU20">
        <v>5.4</v>
      </c>
      <c r="FV20">
        <v>1.77979</v>
      </c>
      <c r="FW20">
        <v>2.5512700000000001</v>
      </c>
      <c r="FX20">
        <v>1.5490699999999999</v>
      </c>
      <c r="FY20">
        <v>2.33765</v>
      </c>
      <c r="FZ20">
        <v>1.50146</v>
      </c>
      <c r="GA20">
        <v>2.36206</v>
      </c>
      <c r="GB20">
        <v>31.7392</v>
      </c>
      <c r="GC20">
        <v>24.017499999999998</v>
      </c>
      <c r="GD20">
        <v>19</v>
      </c>
      <c r="GE20">
        <v>279.36200000000002</v>
      </c>
      <c r="GF20">
        <v>597.64800000000002</v>
      </c>
      <c r="GG20">
        <v>29.235199999999999</v>
      </c>
      <c r="GH20">
        <v>25.7971</v>
      </c>
      <c r="GI20">
        <v>30.000299999999999</v>
      </c>
      <c r="GJ20">
        <v>25.807600000000001</v>
      </c>
      <c r="GK20">
        <v>25.7666</v>
      </c>
      <c r="GL20">
        <v>35.5871</v>
      </c>
      <c r="GM20">
        <v>-30</v>
      </c>
      <c r="GN20">
        <v>-30</v>
      </c>
      <c r="GO20">
        <v>29.240300000000001</v>
      </c>
      <c r="GP20">
        <v>800</v>
      </c>
      <c r="GQ20">
        <v>12.5298</v>
      </c>
      <c r="GR20">
        <v>99.640799999999999</v>
      </c>
      <c r="GS20">
        <v>99.287800000000004</v>
      </c>
    </row>
    <row r="21" spans="1:201" x14ac:dyDescent="0.25">
      <c r="A21">
        <v>5</v>
      </c>
      <c r="B21">
        <v>1690203444.5999999</v>
      </c>
      <c r="C21">
        <v>5</v>
      </c>
      <c r="D21" t="s">
        <v>343</v>
      </c>
      <c r="E21" t="s">
        <v>344</v>
      </c>
      <c r="F21" t="s">
        <v>330</v>
      </c>
      <c r="H21">
        <v>1690203444.5999999</v>
      </c>
      <c r="I21">
        <f t="shared" si="0"/>
        <v>6.5427277290373712E-4</v>
      </c>
      <c r="J21">
        <f t="shared" si="1"/>
        <v>0.65427277290373709</v>
      </c>
      <c r="K21">
        <f t="shared" si="2"/>
        <v>-1.4980232323694946</v>
      </c>
      <c r="L21">
        <f t="shared" si="3"/>
        <v>810.01</v>
      </c>
      <c r="M21">
        <f t="shared" si="4"/>
        <v>859.23993437624063</v>
      </c>
      <c r="N21">
        <f t="shared" si="5"/>
        <v>85.166020944193605</v>
      </c>
      <c r="O21">
        <f t="shared" si="6"/>
        <v>80.286455348570001</v>
      </c>
      <c r="P21">
        <f t="shared" si="7"/>
        <v>3.1148058795359625E-2</v>
      </c>
      <c r="Q21">
        <f t="shared" si="8"/>
        <v>2.1908389037681628</v>
      </c>
      <c r="R21">
        <f t="shared" si="9"/>
        <v>3.0904114005465388E-2</v>
      </c>
      <c r="S21">
        <f t="shared" si="10"/>
        <v>1.9336829366404046E-2</v>
      </c>
      <c r="T21">
        <f t="shared" si="11"/>
        <v>0</v>
      </c>
      <c r="U21">
        <f t="shared" si="12"/>
        <v>26.930748890648225</v>
      </c>
      <c r="V21">
        <f t="shared" si="13"/>
        <v>26.930748890648225</v>
      </c>
      <c r="W21">
        <f t="shared" si="14"/>
        <v>3.5646280325554671</v>
      </c>
      <c r="X21">
        <f t="shared" si="15"/>
        <v>42.088732502088313</v>
      </c>
      <c r="Y21">
        <f t="shared" si="16"/>
        <v>1.5200218960234999</v>
      </c>
      <c r="Z21">
        <f t="shared" si="17"/>
        <v>3.6114698772363392</v>
      </c>
      <c r="AA21">
        <f t="shared" si="18"/>
        <v>2.044606136531967</v>
      </c>
      <c r="AB21">
        <f t="shared" si="19"/>
        <v>-28.853429285054808</v>
      </c>
      <c r="AC21">
        <f t="shared" si="20"/>
        <v>26.262446955310807</v>
      </c>
      <c r="AD21">
        <f t="shared" si="21"/>
        <v>2.5881046816513482</v>
      </c>
      <c r="AE21">
        <f t="shared" si="22"/>
        <v>-2.8776480926531178E-3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52224.414024635524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31.2</v>
      </c>
      <c r="AP21">
        <v>0.5</v>
      </c>
      <c r="AQ21" t="s">
        <v>331</v>
      </c>
      <c r="AR21">
        <v>2</v>
      </c>
      <c r="AS21">
        <v>1690203444.5999999</v>
      </c>
      <c r="AT21">
        <v>810.01</v>
      </c>
      <c r="AU21">
        <v>799.95</v>
      </c>
      <c r="AV21">
        <v>15.3355</v>
      </c>
      <c r="AW21">
        <v>8.6405899999999995</v>
      </c>
      <c r="AX21">
        <v>811.01300000000003</v>
      </c>
      <c r="AY21">
        <v>15.282500000000001</v>
      </c>
      <c r="AZ21">
        <v>300.23200000000003</v>
      </c>
      <c r="BA21">
        <v>99.017799999999994</v>
      </c>
      <c r="BB21">
        <v>0.10005699999999999</v>
      </c>
      <c r="BC21">
        <v>27.153099999999998</v>
      </c>
      <c r="BD21">
        <v>27.007100000000001</v>
      </c>
      <c r="BE21">
        <v>27.187899999999999</v>
      </c>
      <c r="BF21">
        <v>0</v>
      </c>
      <c r="BG21">
        <v>0</v>
      </c>
      <c r="BH21">
        <v>9978.75</v>
      </c>
      <c r="BI21">
        <v>0.69087900000000002</v>
      </c>
      <c r="BJ21">
        <v>1.25868</v>
      </c>
      <c r="BK21">
        <v>10.0604</v>
      </c>
      <c r="BL21">
        <v>822.62599999999998</v>
      </c>
      <c r="BM21">
        <v>806.92200000000003</v>
      </c>
      <c r="BN21">
        <v>6.6948600000000003</v>
      </c>
      <c r="BO21">
        <v>799.95</v>
      </c>
      <c r="BP21">
        <v>8.6405899999999995</v>
      </c>
      <c r="BQ21">
        <v>1.5184800000000001</v>
      </c>
      <c r="BR21">
        <v>0.855572</v>
      </c>
      <c r="BS21">
        <v>13.1556</v>
      </c>
      <c r="BT21">
        <v>4.6643600000000003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1690203121.0999999</v>
      </c>
      <c r="CC21" t="s">
        <v>332</v>
      </c>
      <c r="CD21">
        <v>1690203121.0999999</v>
      </c>
      <c r="CE21">
        <v>1690203121.0999999</v>
      </c>
      <c r="CF21">
        <v>3</v>
      </c>
      <c r="CG21">
        <v>0.53600000000000003</v>
      </c>
      <c r="CH21">
        <v>-0.01</v>
      </c>
      <c r="CI21">
        <v>-0.996</v>
      </c>
      <c r="CJ21">
        <v>-6.6000000000000003E-2</v>
      </c>
      <c r="CK21">
        <v>800</v>
      </c>
      <c r="CL21">
        <v>9</v>
      </c>
      <c r="CM21">
        <v>0.82</v>
      </c>
      <c r="CN21">
        <v>0.01</v>
      </c>
      <c r="CO21">
        <v>9.9521379999999997</v>
      </c>
      <c r="CP21">
        <v>0.36801298311440878</v>
      </c>
      <c r="CQ21">
        <v>4.4961148517358961E-2</v>
      </c>
      <c r="CR21">
        <v>-1</v>
      </c>
      <c r="CS21">
        <v>6.7688147499999989</v>
      </c>
      <c r="CT21">
        <v>-0.4358954971857647</v>
      </c>
      <c r="CU21">
        <v>4.1944775716857688E-2</v>
      </c>
      <c r="CV21">
        <v>-1</v>
      </c>
      <c r="CW21">
        <v>0</v>
      </c>
      <c r="CX21">
        <v>0</v>
      </c>
      <c r="CY21" t="s">
        <v>333</v>
      </c>
      <c r="CZ21">
        <v>2.3651800000000001</v>
      </c>
      <c r="DA21">
        <v>2.7138300000000002</v>
      </c>
      <c r="DB21">
        <v>0.14801900000000001</v>
      </c>
      <c r="DC21">
        <v>0.146235</v>
      </c>
      <c r="DD21">
        <v>8.2878999999999994E-2</v>
      </c>
      <c r="DE21">
        <v>5.2859000000000003E-2</v>
      </c>
      <c r="DF21">
        <v>31083.9</v>
      </c>
      <c r="DG21">
        <v>27450.7</v>
      </c>
      <c r="DH21">
        <v>31144.9</v>
      </c>
      <c r="DI21">
        <v>28014.9</v>
      </c>
      <c r="DJ21">
        <v>38784.300000000003</v>
      </c>
      <c r="DK21">
        <v>37705.599999999999</v>
      </c>
      <c r="DL21">
        <v>44314</v>
      </c>
      <c r="DM21">
        <v>42430.2</v>
      </c>
      <c r="DN21">
        <v>1.474</v>
      </c>
      <c r="DO21">
        <v>2.0613299999999999</v>
      </c>
      <c r="DP21">
        <v>9.0859800000000004E-2</v>
      </c>
      <c r="DQ21">
        <v>9.1306899999999996E-2</v>
      </c>
      <c r="DR21">
        <v>25.519400000000001</v>
      </c>
      <c r="DS21">
        <v>25.6934</v>
      </c>
      <c r="DT21">
        <v>28.7</v>
      </c>
      <c r="DU21">
        <v>26.8</v>
      </c>
      <c r="DV21">
        <v>10.2538</v>
      </c>
      <c r="DW21">
        <v>62.055500000000002</v>
      </c>
      <c r="DX21">
        <v>36.117800000000003</v>
      </c>
      <c r="DY21">
        <v>1</v>
      </c>
      <c r="DZ21">
        <v>-0.130244</v>
      </c>
      <c r="EA21">
        <v>-1.7943100000000001</v>
      </c>
      <c r="EB21">
        <v>20.295000000000002</v>
      </c>
      <c r="EC21">
        <v>5.2409499999999998</v>
      </c>
      <c r="ED21">
        <v>12.039899999999999</v>
      </c>
      <c r="EE21">
        <v>5.0172499999999998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1.86887</v>
      </c>
      <c r="EL21">
        <v>1.86452</v>
      </c>
      <c r="EM21">
        <v>1.8690599999999999</v>
      </c>
      <c r="EN21">
        <v>1.8672200000000001</v>
      </c>
      <c r="EO21">
        <v>1.86334</v>
      </c>
      <c r="EP21">
        <v>1.8644700000000001</v>
      </c>
      <c r="EQ21">
        <v>1.87012</v>
      </c>
      <c r="ER21">
        <v>1.86937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-1.0029999999999999</v>
      </c>
      <c r="FG21">
        <v>5.2999999999999999E-2</v>
      </c>
      <c r="FH21">
        <v>-0.44422204735670362</v>
      </c>
      <c r="FI21">
        <v>-6.1462078757559423E-4</v>
      </c>
      <c r="FJ21">
        <v>-1.8861989874597051E-7</v>
      </c>
      <c r="FK21">
        <v>1.1980462299894961E-10</v>
      </c>
      <c r="FL21">
        <v>-5.4907600448225742E-2</v>
      </c>
      <c r="FM21">
        <v>-1.6848085045870601E-2</v>
      </c>
      <c r="FN21">
        <v>1.9789084769509481E-3</v>
      </c>
      <c r="FO21">
        <v>-2.7142391389806329E-5</v>
      </c>
      <c r="FP21">
        <v>3</v>
      </c>
      <c r="FQ21">
        <v>2158</v>
      </c>
      <c r="FR21">
        <v>1</v>
      </c>
      <c r="FS21">
        <v>19</v>
      </c>
      <c r="FT21">
        <v>5.4</v>
      </c>
      <c r="FU21">
        <v>5.4</v>
      </c>
      <c r="FV21">
        <v>1.77979</v>
      </c>
      <c r="FW21">
        <v>2.5500500000000001</v>
      </c>
      <c r="FX21">
        <v>1.5490699999999999</v>
      </c>
      <c r="FY21">
        <v>2.33765</v>
      </c>
      <c r="FZ21">
        <v>1.50146</v>
      </c>
      <c r="GA21">
        <v>2.3986800000000001</v>
      </c>
      <c r="GB21">
        <v>31.7392</v>
      </c>
      <c r="GC21">
        <v>24.017499999999998</v>
      </c>
      <c r="GD21">
        <v>19</v>
      </c>
      <c r="GE21">
        <v>279.553</v>
      </c>
      <c r="GF21">
        <v>597.36</v>
      </c>
      <c r="GG21">
        <v>29.234400000000001</v>
      </c>
      <c r="GH21">
        <v>25.797899999999998</v>
      </c>
      <c r="GI21">
        <v>30.000299999999999</v>
      </c>
      <c r="GJ21">
        <v>25.8079</v>
      </c>
      <c r="GK21">
        <v>25.766999999999999</v>
      </c>
      <c r="GL21">
        <v>35.589700000000001</v>
      </c>
      <c r="GM21">
        <v>-30</v>
      </c>
      <c r="GN21">
        <v>-30</v>
      </c>
      <c r="GO21">
        <v>29.2379</v>
      </c>
      <c r="GP21">
        <v>800</v>
      </c>
      <c r="GQ21">
        <v>12.5298</v>
      </c>
      <c r="GR21">
        <v>99.639799999999994</v>
      </c>
      <c r="GS21">
        <v>99.287499999999994</v>
      </c>
    </row>
    <row r="22" spans="1:201" x14ac:dyDescent="0.25">
      <c r="A22">
        <v>6</v>
      </c>
      <c r="B22">
        <v>1690203825.5</v>
      </c>
      <c r="C22">
        <v>385.90000009536737</v>
      </c>
      <c r="D22" t="s">
        <v>345</v>
      </c>
      <c r="E22" t="s">
        <v>346</v>
      </c>
      <c r="F22" t="s">
        <v>330</v>
      </c>
      <c r="H22">
        <v>1690203825.5</v>
      </c>
      <c r="I22">
        <f t="shared" si="0"/>
        <v>4.7542308149695051E-4</v>
      </c>
      <c r="J22">
        <f t="shared" si="1"/>
        <v>0.47542308149695051</v>
      </c>
      <c r="K22">
        <f t="shared" si="2"/>
        <v>-1.3719362280519123</v>
      </c>
      <c r="L22">
        <f t="shared" si="3"/>
        <v>810.20299999999997</v>
      </c>
      <c r="M22">
        <f t="shared" si="4"/>
        <v>905.51658669905169</v>
      </c>
      <c r="N22">
        <f t="shared" si="5"/>
        <v>89.763945806862679</v>
      </c>
      <c r="O22">
        <f t="shared" si="6"/>
        <v>80.315500845406802</v>
      </c>
      <c r="P22">
        <f t="shared" si="7"/>
        <v>1.6240893980932553E-2</v>
      </c>
      <c r="Q22">
        <f t="shared" si="8"/>
        <v>2.1924520811996997</v>
      </c>
      <c r="R22">
        <f t="shared" si="9"/>
        <v>1.6174352618799369E-2</v>
      </c>
      <c r="S22">
        <f t="shared" si="10"/>
        <v>1.0114926056128952E-2</v>
      </c>
      <c r="T22">
        <f t="shared" si="11"/>
        <v>276.06333648158102</v>
      </c>
      <c r="U22">
        <f t="shared" si="12"/>
        <v>29.514119873791792</v>
      </c>
      <c r="V22">
        <f t="shared" si="13"/>
        <v>29.514119873791792</v>
      </c>
      <c r="W22">
        <f t="shared" si="14"/>
        <v>4.142982941816002</v>
      </c>
      <c r="X22">
        <f t="shared" si="15"/>
        <v>35.420685116199039</v>
      </c>
      <c r="Y22">
        <f t="shared" si="16"/>
        <v>1.30932021569436</v>
      </c>
      <c r="Z22">
        <f t="shared" si="17"/>
        <v>3.6964847274949095</v>
      </c>
      <c r="AA22">
        <f t="shared" si="18"/>
        <v>2.8336627261216423</v>
      </c>
      <c r="AB22">
        <f t="shared" si="19"/>
        <v>-20.966157894015517</v>
      </c>
      <c r="AC22">
        <f t="shared" si="20"/>
        <v>-232.12248122208501</v>
      </c>
      <c r="AD22">
        <f t="shared" si="21"/>
        <v>-23.200857639591749</v>
      </c>
      <c r="AE22">
        <f t="shared" si="22"/>
        <v>-0.22616027411126538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52221.40764872275</v>
      </c>
      <c r="AK22">
        <f t="shared" si="26"/>
        <v>1799.66</v>
      </c>
      <c r="AL22">
        <f t="shared" si="27"/>
        <v>1498.8293563013999</v>
      </c>
      <c r="AM22">
        <f t="shared" si="28"/>
        <v>0.83284028999999993</v>
      </c>
      <c r="AN22">
        <f t="shared" si="29"/>
        <v>0.15339749535</v>
      </c>
      <c r="AO22">
        <v>31.2</v>
      </c>
      <c r="AP22">
        <v>0.5</v>
      </c>
      <c r="AQ22" t="s">
        <v>331</v>
      </c>
      <c r="AR22">
        <v>2</v>
      </c>
      <c r="AS22">
        <v>1690203825.5</v>
      </c>
      <c r="AT22">
        <v>810.20299999999997</v>
      </c>
      <c r="AU22">
        <v>799.94899999999996</v>
      </c>
      <c r="AV22">
        <v>13.2081</v>
      </c>
      <c r="AW22">
        <v>8.3328900000000008</v>
      </c>
      <c r="AX22">
        <v>811.20600000000002</v>
      </c>
      <c r="AY22">
        <v>13.2029</v>
      </c>
      <c r="AZ22">
        <v>300.23899999999998</v>
      </c>
      <c r="BA22">
        <v>99.030100000000004</v>
      </c>
      <c r="BB22">
        <v>9.9995600000000004E-2</v>
      </c>
      <c r="BC22">
        <v>27.5503</v>
      </c>
      <c r="BD22">
        <v>28.330500000000001</v>
      </c>
      <c r="BE22">
        <v>28.697399999999998</v>
      </c>
      <c r="BF22">
        <v>0</v>
      </c>
      <c r="BG22">
        <v>0</v>
      </c>
      <c r="BH22">
        <v>9990.6200000000008</v>
      </c>
      <c r="BI22">
        <v>1084.43</v>
      </c>
      <c r="BJ22">
        <v>1.3666100000000001</v>
      </c>
      <c r="BK22">
        <v>10.2537</v>
      </c>
      <c r="BL22">
        <v>821.04700000000003</v>
      </c>
      <c r="BM22">
        <v>806.67100000000005</v>
      </c>
      <c r="BN22">
        <v>4.8751699999999998</v>
      </c>
      <c r="BO22">
        <v>799.94899999999996</v>
      </c>
      <c r="BP22">
        <v>8.3328900000000008</v>
      </c>
      <c r="BQ22">
        <v>1.3080000000000001</v>
      </c>
      <c r="BR22">
        <v>0.82520700000000002</v>
      </c>
      <c r="BS22">
        <v>10.891</v>
      </c>
      <c r="BT22">
        <v>4.1484699999999997</v>
      </c>
      <c r="BU22">
        <v>1799.66</v>
      </c>
      <c r="BV22">
        <v>0.91000099999999995</v>
      </c>
      <c r="BW22">
        <v>3.3999599999999998E-2</v>
      </c>
      <c r="BX22">
        <v>2.20015E-2</v>
      </c>
      <c r="BY22">
        <v>3.3997899999999998E-2</v>
      </c>
      <c r="BZ22">
        <v>26</v>
      </c>
      <c r="CA22">
        <v>33522</v>
      </c>
      <c r="CB22">
        <v>1690203121.0999999</v>
      </c>
      <c r="CC22" t="s">
        <v>332</v>
      </c>
      <c r="CD22">
        <v>1690203121.0999999</v>
      </c>
      <c r="CE22">
        <v>1690203121.0999999</v>
      </c>
      <c r="CF22">
        <v>3</v>
      </c>
      <c r="CG22">
        <v>0.53600000000000003</v>
      </c>
      <c r="CH22">
        <v>-0.01</v>
      </c>
      <c r="CI22">
        <v>-0.996</v>
      </c>
      <c r="CJ22">
        <v>-6.6000000000000003E-2</v>
      </c>
      <c r="CK22">
        <v>800</v>
      </c>
      <c r="CL22">
        <v>9</v>
      </c>
      <c r="CM22">
        <v>0.82</v>
      </c>
      <c r="CN22">
        <v>0.01</v>
      </c>
      <c r="CO22">
        <v>11.814546341463419</v>
      </c>
      <c r="CP22">
        <v>-1.6767219512195219</v>
      </c>
      <c r="CQ22">
        <v>0.25633332443972717</v>
      </c>
      <c r="CR22">
        <v>-1</v>
      </c>
      <c r="CS22">
        <v>4.8428573170731708</v>
      </c>
      <c r="CT22">
        <v>-0.13405567944250729</v>
      </c>
      <c r="CU22">
        <v>1.552609809547118E-2</v>
      </c>
      <c r="CV22">
        <v>-1</v>
      </c>
      <c r="CW22">
        <v>0</v>
      </c>
      <c r="CX22">
        <v>0</v>
      </c>
      <c r="CY22" t="s">
        <v>333</v>
      </c>
      <c r="CZ22">
        <v>2.3651200000000001</v>
      </c>
      <c r="DA22">
        <v>2.7137799999999999</v>
      </c>
      <c r="DB22">
        <v>0.147976</v>
      </c>
      <c r="DC22">
        <v>0.146204</v>
      </c>
      <c r="DD22">
        <v>7.4323399999999998E-2</v>
      </c>
      <c r="DE22">
        <v>5.1366099999999998E-2</v>
      </c>
      <c r="DF22">
        <v>31082.5</v>
      </c>
      <c r="DG22">
        <v>27450.400000000001</v>
      </c>
      <c r="DH22">
        <v>31142.400000000001</v>
      </c>
      <c r="DI22">
        <v>28014</v>
      </c>
      <c r="DJ22">
        <v>39145.5</v>
      </c>
      <c r="DK22">
        <v>37765.800000000003</v>
      </c>
      <c r="DL22">
        <v>44310.2</v>
      </c>
      <c r="DM22">
        <v>42430.9</v>
      </c>
      <c r="DN22">
        <v>1.4743200000000001</v>
      </c>
      <c r="DO22">
        <v>2.0583</v>
      </c>
      <c r="DP22">
        <v>0.164159</v>
      </c>
      <c r="DQ22">
        <v>0.17830699999999999</v>
      </c>
      <c r="DR22">
        <v>25.645900000000001</v>
      </c>
      <c r="DS22">
        <v>25.782499999999999</v>
      </c>
      <c r="DT22">
        <v>27.4</v>
      </c>
      <c r="DU22">
        <v>27.1</v>
      </c>
      <c r="DV22">
        <v>9.9613899999999997</v>
      </c>
      <c r="DW22">
        <v>61.755499999999998</v>
      </c>
      <c r="DX22">
        <v>36.382199999999997</v>
      </c>
      <c r="DY22">
        <v>1</v>
      </c>
      <c r="DZ22">
        <v>-0.122541</v>
      </c>
      <c r="EA22">
        <v>-0.73967099999999997</v>
      </c>
      <c r="EB22">
        <v>20.180800000000001</v>
      </c>
      <c r="EC22">
        <v>5.2408000000000001</v>
      </c>
      <c r="ED22">
        <v>12.039899999999999</v>
      </c>
      <c r="EE22">
        <v>5.0168999999999997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1.8688899999999999</v>
      </c>
      <c r="EL22">
        <v>1.86453</v>
      </c>
      <c r="EM22">
        <v>1.8690599999999999</v>
      </c>
      <c r="EN22">
        <v>1.86721</v>
      </c>
      <c r="EO22">
        <v>1.8633500000000001</v>
      </c>
      <c r="EP22">
        <v>1.8644499999999999</v>
      </c>
      <c r="EQ22">
        <v>1.87012</v>
      </c>
      <c r="ER22">
        <v>1.8693599999999999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-1.0029999999999999</v>
      </c>
      <c r="FG22">
        <v>5.1999999999999998E-3</v>
      </c>
      <c r="FH22">
        <v>-0.44422204735670362</v>
      </c>
      <c r="FI22">
        <v>-6.1462078757559423E-4</v>
      </c>
      <c r="FJ22">
        <v>-1.8861989874597051E-7</v>
      </c>
      <c r="FK22">
        <v>1.1980462299894961E-10</v>
      </c>
      <c r="FL22">
        <v>-5.4907600448225742E-2</v>
      </c>
      <c r="FM22">
        <v>-1.6848085045870601E-2</v>
      </c>
      <c r="FN22">
        <v>1.9789084769509481E-3</v>
      </c>
      <c r="FO22">
        <v>-2.7142391389806329E-5</v>
      </c>
      <c r="FP22">
        <v>3</v>
      </c>
      <c r="FQ22">
        <v>2158</v>
      </c>
      <c r="FR22">
        <v>1</v>
      </c>
      <c r="FS22">
        <v>19</v>
      </c>
      <c r="FT22">
        <v>11.7</v>
      </c>
      <c r="FU22">
        <v>11.7</v>
      </c>
      <c r="FV22">
        <v>1.78101</v>
      </c>
      <c r="FW22">
        <v>2.5610400000000002</v>
      </c>
      <c r="FX22">
        <v>1.5490699999999999</v>
      </c>
      <c r="FY22">
        <v>2.33643</v>
      </c>
      <c r="FZ22">
        <v>1.50024</v>
      </c>
      <c r="GA22">
        <v>2.31934</v>
      </c>
      <c r="GB22">
        <v>31.870699999999999</v>
      </c>
      <c r="GC22">
        <v>23.982399999999998</v>
      </c>
      <c r="GD22">
        <v>19</v>
      </c>
      <c r="GE22">
        <v>280.23399999999998</v>
      </c>
      <c r="GF22">
        <v>596.30499999999995</v>
      </c>
      <c r="GG22">
        <v>29.053699999999999</v>
      </c>
      <c r="GH22">
        <v>25.888300000000001</v>
      </c>
      <c r="GI22">
        <v>29.9999</v>
      </c>
      <c r="GJ22">
        <v>25.9315</v>
      </c>
      <c r="GK22">
        <v>25.893999999999998</v>
      </c>
      <c r="GL22">
        <v>35.595399999999998</v>
      </c>
      <c r="GM22">
        <v>-30</v>
      </c>
      <c r="GN22">
        <v>-30</v>
      </c>
      <c r="GO22">
        <v>28.484999999999999</v>
      </c>
      <c r="GP22">
        <v>800</v>
      </c>
      <c r="GQ22">
        <v>12.5298</v>
      </c>
      <c r="GR22">
        <v>99.631500000000003</v>
      </c>
      <c r="GS22">
        <v>99.287300000000002</v>
      </c>
    </row>
    <row r="23" spans="1:201" x14ac:dyDescent="0.25">
      <c r="A23">
        <v>7</v>
      </c>
      <c r="B23">
        <v>1690203835.5</v>
      </c>
      <c r="C23">
        <v>395.90000009536737</v>
      </c>
      <c r="D23" t="s">
        <v>347</v>
      </c>
      <c r="E23" t="s">
        <v>348</v>
      </c>
      <c r="F23" t="s">
        <v>330</v>
      </c>
      <c r="H23">
        <v>1690203835.5</v>
      </c>
      <c r="I23">
        <f t="shared" si="0"/>
        <v>4.9506089102789889E-4</v>
      </c>
      <c r="J23">
        <f t="shared" si="1"/>
        <v>0.49506089102789891</v>
      </c>
      <c r="K23">
        <f t="shared" si="2"/>
        <v>-1.1379514534109292</v>
      </c>
      <c r="L23">
        <f t="shared" si="3"/>
        <v>807.68100000000004</v>
      </c>
      <c r="M23">
        <f t="shared" si="4"/>
        <v>877.30671907291605</v>
      </c>
      <c r="N23">
        <f t="shared" si="5"/>
        <v>86.96785810159129</v>
      </c>
      <c r="O23">
        <f t="shared" si="6"/>
        <v>80.065825408904999</v>
      </c>
      <c r="P23">
        <f t="shared" si="7"/>
        <v>1.6625242966345617E-2</v>
      </c>
      <c r="Q23">
        <f t="shared" si="8"/>
        <v>2.1923807914061544</v>
      </c>
      <c r="R23">
        <f t="shared" si="9"/>
        <v>1.6555519908148054E-2</v>
      </c>
      <c r="S23">
        <f t="shared" si="10"/>
        <v>1.0353439823987244E-2</v>
      </c>
      <c r="T23">
        <f t="shared" si="11"/>
        <v>276.10773265770752</v>
      </c>
      <c r="U23">
        <f t="shared" si="12"/>
        <v>29.793149299527403</v>
      </c>
      <c r="V23">
        <f t="shared" si="13"/>
        <v>29.793149299527403</v>
      </c>
      <c r="W23">
        <f t="shared" si="14"/>
        <v>4.2100912564928805</v>
      </c>
      <c r="X23">
        <f t="shared" si="15"/>
        <v>35.346940730291038</v>
      </c>
      <c r="Y23">
        <f t="shared" si="16"/>
        <v>1.3285965932624999</v>
      </c>
      <c r="Z23">
        <f t="shared" si="17"/>
        <v>3.7587314936252492</v>
      </c>
      <c r="AA23">
        <f t="shared" si="18"/>
        <v>2.8814946632303808</v>
      </c>
      <c r="AB23">
        <f t="shared" si="19"/>
        <v>-21.83218529433034</v>
      </c>
      <c r="AC23">
        <f t="shared" si="20"/>
        <v>-231.3146812127062</v>
      </c>
      <c r="AD23">
        <f t="shared" si="21"/>
        <v>-23.18589272884703</v>
      </c>
      <c r="AE23">
        <f t="shared" si="22"/>
        <v>-0.22502657817605609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52168.900924695903</v>
      </c>
      <c r="AK23">
        <f t="shared" si="26"/>
        <v>1799.95</v>
      </c>
      <c r="AL23">
        <f t="shared" si="27"/>
        <v>1499.0702590027502</v>
      </c>
      <c r="AM23">
        <f t="shared" si="28"/>
        <v>0.83283994500000003</v>
      </c>
      <c r="AN23">
        <f t="shared" si="29"/>
        <v>0.15339744585000001</v>
      </c>
      <c r="AO23">
        <v>31.2</v>
      </c>
      <c r="AP23">
        <v>0.5</v>
      </c>
      <c r="AQ23" t="s">
        <v>331</v>
      </c>
      <c r="AR23">
        <v>2</v>
      </c>
      <c r="AS23">
        <v>1690203835.5</v>
      </c>
      <c r="AT23">
        <v>807.68100000000004</v>
      </c>
      <c r="AU23">
        <v>800.01</v>
      </c>
      <c r="AV23">
        <v>13.4025</v>
      </c>
      <c r="AW23">
        <v>8.3263400000000001</v>
      </c>
      <c r="AX23">
        <v>808.68200000000002</v>
      </c>
      <c r="AY23">
        <v>13.3933</v>
      </c>
      <c r="AZ23">
        <v>300.20499999999998</v>
      </c>
      <c r="BA23">
        <v>99.030500000000004</v>
      </c>
      <c r="BB23">
        <v>0.100005</v>
      </c>
      <c r="BC23">
        <v>27.836099999999998</v>
      </c>
      <c r="BD23">
        <v>29.5444</v>
      </c>
      <c r="BE23">
        <v>29.434799999999999</v>
      </c>
      <c r="BF23">
        <v>0</v>
      </c>
      <c r="BG23">
        <v>0</v>
      </c>
      <c r="BH23">
        <v>9990</v>
      </c>
      <c r="BI23">
        <v>1087.79</v>
      </c>
      <c r="BJ23">
        <v>1.56985</v>
      </c>
      <c r="BK23">
        <v>7.6707200000000002</v>
      </c>
      <c r="BL23">
        <v>818.65300000000002</v>
      </c>
      <c r="BM23">
        <v>806.72699999999998</v>
      </c>
      <c r="BN23">
        <v>5.0761399999999997</v>
      </c>
      <c r="BO23">
        <v>800.01</v>
      </c>
      <c r="BP23">
        <v>8.3263400000000001</v>
      </c>
      <c r="BQ23">
        <v>1.32725</v>
      </c>
      <c r="BR23">
        <v>0.82456200000000002</v>
      </c>
      <c r="BS23">
        <v>11.1111</v>
      </c>
      <c r="BT23">
        <v>4.1373199999999999</v>
      </c>
      <c r="BU23">
        <v>1799.95</v>
      </c>
      <c r="BV23">
        <v>0.90999600000000003</v>
      </c>
      <c r="BW23">
        <v>3.3996899999999997E-2</v>
      </c>
      <c r="BX23">
        <v>2.1999999999999999E-2</v>
      </c>
      <c r="BY23">
        <v>3.4007299999999997E-2</v>
      </c>
      <c r="BZ23">
        <v>25.666699999999999</v>
      </c>
      <c r="CA23">
        <v>33527.4</v>
      </c>
      <c r="CB23">
        <v>1690203121.0999999</v>
      </c>
      <c r="CC23" t="s">
        <v>332</v>
      </c>
      <c r="CD23">
        <v>1690203121.0999999</v>
      </c>
      <c r="CE23">
        <v>1690203121.0999999</v>
      </c>
      <c r="CF23">
        <v>3</v>
      </c>
      <c r="CG23">
        <v>0.53600000000000003</v>
      </c>
      <c r="CH23">
        <v>-0.01</v>
      </c>
      <c r="CI23">
        <v>-0.996</v>
      </c>
      <c r="CJ23">
        <v>-6.6000000000000003E-2</v>
      </c>
      <c r="CK23">
        <v>800</v>
      </c>
      <c r="CL23">
        <v>9</v>
      </c>
      <c r="CM23">
        <v>0.82</v>
      </c>
      <c r="CN23">
        <v>0.01</v>
      </c>
      <c r="CO23">
        <v>10.33580025</v>
      </c>
      <c r="CP23">
        <v>-14.43758983114448</v>
      </c>
      <c r="CQ23">
        <v>1.4222626871265509</v>
      </c>
      <c r="CR23">
        <v>-1</v>
      </c>
      <c r="CS23">
        <v>4.8956842500000004</v>
      </c>
      <c r="CT23">
        <v>0.74462893058161772</v>
      </c>
      <c r="CU23">
        <v>7.7025598241347568E-2</v>
      </c>
      <c r="CV23">
        <v>-1</v>
      </c>
      <c r="CW23">
        <v>0</v>
      </c>
      <c r="CX23">
        <v>0</v>
      </c>
      <c r="CY23" t="s">
        <v>333</v>
      </c>
      <c r="CZ23">
        <v>2.3649800000000001</v>
      </c>
      <c r="DA23">
        <v>2.7137899999999999</v>
      </c>
      <c r="DB23">
        <v>0.147673</v>
      </c>
      <c r="DC23">
        <v>0.14621200000000001</v>
      </c>
      <c r="DD23">
        <v>7.51246E-2</v>
      </c>
      <c r="DE23">
        <v>5.1334299999999999E-2</v>
      </c>
      <c r="DF23">
        <v>31093.4</v>
      </c>
      <c r="DG23">
        <v>27449.7</v>
      </c>
      <c r="DH23">
        <v>31142.3</v>
      </c>
      <c r="DI23">
        <v>28013.5</v>
      </c>
      <c r="DJ23">
        <v>39111.199999999997</v>
      </c>
      <c r="DK23">
        <v>37766.400000000001</v>
      </c>
      <c r="DL23">
        <v>44310</v>
      </c>
      <c r="DM23">
        <v>42430.2</v>
      </c>
      <c r="DN23">
        <v>1.4710000000000001</v>
      </c>
      <c r="DO23">
        <v>2.0584799999999999</v>
      </c>
      <c r="DP23">
        <v>0.23705499999999999</v>
      </c>
      <c r="DQ23">
        <v>0.22197900000000001</v>
      </c>
      <c r="DR23">
        <v>25.671399999999998</v>
      </c>
      <c r="DS23">
        <v>25.808199999999999</v>
      </c>
      <c r="DT23">
        <v>27.4</v>
      </c>
      <c r="DU23">
        <v>27.1</v>
      </c>
      <c r="DV23">
        <v>9.9602400000000006</v>
      </c>
      <c r="DW23">
        <v>61.985500000000002</v>
      </c>
      <c r="DX23">
        <v>35.793300000000002</v>
      </c>
      <c r="DY23">
        <v>1</v>
      </c>
      <c r="DZ23">
        <v>-0.109916</v>
      </c>
      <c r="EA23">
        <v>6.3606299999999996</v>
      </c>
      <c r="EB23">
        <v>20.007300000000001</v>
      </c>
      <c r="EC23">
        <v>5.24125</v>
      </c>
      <c r="ED23">
        <v>12.039899999999999</v>
      </c>
      <c r="EE23">
        <v>5.0170000000000003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1.86887</v>
      </c>
      <c r="EL23">
        <v>1.8645099999999999</v>
      </c>
      <c r="EM23">
        <v>1.8690500000000001</v>
      </c>
      <c r="EN23">
        <v>1.8672</v>
      </c>
      <c r="EO23">
        <v>1.8633</v>
      </c>
      <c r="EP23">
        <v>1.8644700000000001</v>
      </c>
      <c r="EQ23">
        <v>1.87012</v>
      </c>
      <c r="ER23">
        <v>1.8693500000000001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-1.0009999999999999</v>
      </c>
      <c r="FG23">
        <v>9.1999999999999998E-3</v>
      </c>
      <c r="FH23">
        <v>-0.44422204735670362</v>
      </c>
      <c r="FI23">
        <v>-6.1462078757559423E-4</v>
      </c>
      <c r="FJ23">
        <v>-1.8861989874597051E-7</v>
      </c>
      <c r="FK23">
        <v>1.1980462299894961E-10</v>
      </c>
      <c r="FL23">
        <v>-5.4907600448225742E-2</v>
      </c>
      <c r="FM23">
        <v>-1.6848085045870601E-2</v>
      </c>
      <c r="FN23">
        <v>1.9789084769509481E-3</v>
      </c>
      <c r="FO23">
        <v>-2.7142391389806329E-5</v>
      </c>
      <c r="FP23">
        <v>3</v>
      </c>
      <c r="FQ23">
        <v>2158</v>
      </c>
      <c r="FR23">
        <v>1</v>
      </c>
      <c r="FS23">
        <v>19</v>
      </c>
      <c r="FT23">
        <v>11.9</v>
      </c>
      <c r="FU23">
        <v>11.9</v>
      </c>
      <c r="FV23">
        <v>1.78101</v>
      </c>
      <c r="FW23">
        <v>2.5573700000000001</v>
      </c>
      <c r="FX23">
        <v>1.5490699999999999</v>
      </c>
      <c r="FY23">
        <v>2.33643</v>
      </c>
      <c r="FZ23">
        <v>1.50146</v>
      </c>
      <c r="GA23">
        <v>2.3742700000000001</v>
      </c>
      <c r="GB23">
        <v>31.892700000000001</v>
      </c>
      <c r="GC23">
        <v>23.868600000000001</v>
      </c>
      <c r="GD23">
        <v>19</v>
      </c>
      <c r="GE23">
        <v>278.85000000000002</v>
      </c>
      <c r="GF23">
        <v>596.47699999999998</v>
      </c>
      <c r="GG23">
        <v>27.140599999999999</v>
      </c>
      <c r="GH23">
        <v>25.890499999999999</v>
      </c>
      <c r="GI23">
        <v>30.006900000000002</v>
      </c>
      <c r="GJ23">
        <v>25.935300000000002</v>
      </c>
      <c r="GK23">
        <v>25.896100000000001</v>
      </c>
      <c r="GL23">
        <v>35.597299999999997</v>
      </c>
      <c r="GM23">
        <v>-30</v>
      </c>
      <c r="GN23">
        <v>-30</v>
      </c>
      <c r="GO23">
        <v>24.7227</v>
      </c>
      <c r="GP23">
        <v>800</v>
      </c>
      <c r="GQ23">
        <v>12.5298</v>
      </c>
      <c r="GR23">
        <v>99.631100000000004</v>
      </c>
      <c r="GS23">
        <v>99.285499999999999</v>
      </c>
    </row>
    <row r="24" spans="1:201" x14ac:dyDescent="0.25">
      <c r="A24">
        <v>8</v>
      </c>
      <c r="B24">
        <v>1690203845.5</v>
      </c>
      <c r="C24">
        <v>405.90000009536737</v>
      </c>
      <c r="D24" t="s">
        <v>349</v>
      </c>
      <c r="E24" t="s">
        <v>350</v>
      </c>
      <c r="F24" t="s">
        <v>330</v>
      </c>
      <c r="H24">
        <v>1690203845.5</v>
      </c>
      <c r="I24">
        <f t="shared" si="0"/>
        <v>5.0944755945163086E-4</v>
      </c>
      <c r="J24">
        <f t="shared" si="1"/>
        <v>0.50944755945163089</v>
      </c>
      <c r="K24">
        <f t="shared" si="2"/>
        <v>-0.43940688006530548</v>
      </c>
      <c r="L24">
        <f t="shared" si="3"/>
        <v>800.40599999999995</v>
      </c>
      <c r="M24">
        <f t="shared" si="4"/>
        <v>803.2450889828358</v>
      </c>
      <c r="N24">
        <f t="shared" si="5"/>
        <v>79.625978373378942</v>
      </c>
      <c r="O24">
        <f t="shared" si="6"/>
        <v>79.344538447946391</v>
      </c>
      <c r="P24">
        <f t="shared" si="7"/>
        <v>1.749084268279907E-2</v>
      </c>
      <c r="Q24">
        <f t="shared" si="8"/>
        <v>2.1892249977369986</v>
      </c>
      <c r="R24">
        <f t="shared" si="9"/>
        <v>1.7413577800794201E-2</v>
      </c>
      <c r="S24">
        <f t="shared" si="10"/>
        <v>1.089039952784235E-2</v>
      </c>
      <c r="T24">
        <f t="shared" si="11"/>
        <v>276.11116270410406</v>
      </c>
      <c r="U24">
        <f t="shared" si="12"/>
        <v>29.594997902177088</v>
      </c>
      <c r="V24">
        <f t="shared" si="13"/>
        <v>29.594997902177088</v>
      </c>
      <c r="W24">
        <f t="shared" si="14"/>
        <v>4.1623379546068202</v>
      </c>
      <c r="X24">
        <f t="shared" si="15"/>
        <v>36.134718435169702</v>
      </c>
      <c r="Y24">
        <f t="shared" si="16"/>
        <v>1.3427306988344401</v>
      </c>
      <c r="Z24">
        <f t="shared" si="17"/>
        <v>3.7159019275145879</v>
      </c>
      <c r="AA24">
        <f t="shared" si="18"/>
        <v>2.8196072557723801</v>
      </c>
      <c r="AB24">
        <f t="shared" si="19"/>
        <v>-22.466637371816923</v>
      </c>
      <c r="AC24">
        <f t="shared" si="20"/>
        <v>-230.75140369569792</v>
      </c>
      <c r="AD24">
        <f t="shared" si="21"/>
        <v>-23.117406513556485</v>
      </c>
      <c r="AE24">
        <f t="shared" si="22"/>
        <v>-0.22428487696726052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52074.407997520429</v>
      </c>
      <c r="AK24">
        <f t="shared" si="26"/>
        <v>1799.98</v>
      </c>
      <c r="AL24">
        <f t="shared" si="27"/>
        <v>1499.0965761862999</v>
      </c>
      <c r="AM24">
        <f t="shared" si="28"/>
        <v>0.83284068499999997</v>
      </c>
      <c r="AN24">
        <f t="shared" si="29"/>
        <v>0.15339679480000004</v>
      </c>
      <c r="AO24">
        <v>31.2</v>
      </c>
      <c r="AP24">
        <v>0.5</v>
      </c>
      <c r="AQ24" t="s">
        <v>331</v>
      </c>
      <c r="AR24">
        <v>2</v>
      </c>
      <c r="AS24">
        <v>1690203845.5</v>
      </c>
      <c r="AT24">
        <v>800.40599999999995</v>
      </c>
      <c r="AU24">
        <v>800.077</v>
      </c>
      <c r="AV24">
        <v>13.5451</v>
      </c>
      <c r="AW24">
        <v>8.3198299999999996</v>
      </c>
      <c r="AX24">
        <v>801.40200000000004</v>
      </c>
      <c r="AY24">
        <v>13.5329</v>
      </c>
      <c r="AZ24">
        <v>300.07</v>
      </c>
      <c r="BA24">
        <v>99.0304</v>
      </c>
      <c r="BB24">
        <v>9.9964399999999995E-2</v>
      </c>
      <c r="BC24">
        <v>27.639900000000001</v>
      </c>
      <c r="BD24">
        <v>29.726600000000001</v>
      </c>
      <c r="BE24">
        <v>29.377800000000001</v>
      </c>
      <c r="BF24">
        <v>0</v>
      </c>
      <c r="BG24">
        <v>0</v>
      </c>
      <c r="BH24">
        <v>9964.3799999999992</v>
      </c>
      <c r="BI24">
        <v>1089.24</v>
      </c>
      <c r="BJ24">
        <v>1.29373</v>
      </c>
      <c r="BK24">
        <v>0.328735</v>
      </c>
      <c r="BL24">
        <v>811.39599999999996</v>
      </c>
      <c r="BM24">
        <v>806.78899999999999</v>
      </c>
      <c r="BN24">
        <v>5.2252999999999998</v>
      </c>
      <c r="BO24">
        <v>800.077</v>
      </c>
      <c r="BP24">
        <v>8.3198299999999996</v>
      </c>
      <c r="BQ24">
        <v>1.34138</v>
      </c>
      <c r="BR24">
        <v>0.82391599999999998</v>
      </c>
      <c r="BS24">
        <v>11.2707</v>
      </c>
      <c r="BT24">
        <v>4.1261700000000001</v>
      </c>
      <c r="BU24">
        <v>1799.98</v>
      </c>
      <c r="BV24">
        <v>0.91001600000000005</v>
      </c>
      <c r="BW24">
        <v>3.3998599999999997E-2</v>
      </c>
      <c r="BX24">
        <v>2.1992500000000002E-2</v>
      </c>
      <c r="BY24">
        <v>3.3993000000000002E-2</v>
      </c>
      <c r="BZ24">
        <v>25.041699999999999</v>
      </c>
      <c r="CA24">
        <v>33528.1</v>
      </c>
      <c r="CB24">
        <v>1690203121.0999999</v>
      </c>
      <c r="CC24" t="s">
        <v>332</v>
      </c>
      <c r="CD24">
        <v>1690203121.0999999</v>
      </c>
      <c r="CE24">
        <v>1690203121.0999999</v>
      </c>
      <c r="CF24">
        <v>3</v>
      </c>
      <c r="CG24">
        <v>0.53600000000000003</v>
      </c>
      <c r="CH24">
        <v>-0.01</v>
      </c>
      <c r="CI24">
        <v>-0.996</v>
      </c>
      <c r="CJ24">
        <v>-6.6000000000000003E-2</v>
      </c>
      <c r="CK24">
        <v>800</v>
      </c>
      <c r="CL24">
        <v>9</v>
      </c>
      <c r="CM24">
        <v>0.82</v>
      </c>
      <c r="CN24">
        <v>0.01</v>
      </c>
      <c r="CO24">
        <v>7.1581437499999989</v>
      </c>
      <c r="CP24">
        <v>-23.817806566604141</v>
      </c>
      <c r="CQ24">
        <v>2.3895735199944022</v>
      </c>
      <c r="CR24">
        <v>-1</v>
      </c>
      <c r="CS24">
        <v>5.0536872500000003</v>
      </c>
      <c r="CT24">
        <v>1.110567016885553</v>
      </c>
      <c r="CU24">
        <v>0.1071139059363326</v>
      </c>
      <c r="CV24">
        <v>-1</v>
      </c>
      <c r="CW24">
        <v>0</v>
      </c>
      <c r="CX24">
        <v>0</v>
      </c>
      <c r="CY24" t="s">
        <v>333</v>
      </c>
      <c r="CZ24">
        <v>2.36456</v>
      </c>
      <c r="DA24">
        <v>2.7137199999999999</v>
      </c>
      <c r="DB24">
        <v>0.146788</v>
      </c>
      <c r="DC24">
        <v>0.14621899999999999</v>
      </c>
      <c r="DD24">
        <v>7.5709399999999996E-2</v>
      </c>
      <c r="DE24">
        <v>5.1302399999999998E-2</v>
      </c>
      <c r="DF24">
        <v>31122.5</v>
      </c>
      <c r="DG24">
        <v>27446.799999999999</v>
      </c>
      <c r="DH24">
        <v>31139.200000000001</v>
      </c>
      <c r="DI24">
        <v>28010.7</v>
      </c>
      <c r="DJ24">
        <v>39082.5</v>
      </c>
      <c r="DK24">
        <v>37764.1</v>
      </c>
      <c r="DL24">
        <v>44305.9</v>
      </c>
      <c r="DM24">
        <v>42426.2</v>
      </c>
      <c r="DN24">
        <v>1.46923</v>
      </c>
      <c r="DO24">
        <v>2.05837</v>
      </c>
      <c r="DP24">
        <v>0.24587300000000001</v>
      </c>
      <c r="DQ24">
        <v>0.21637200000000001</v>
      </c>
      <c r="DR24">
        <v>25.7102</v>
      </c>
      <c r="DS24">
        <v>25.842700000000001</v>
      </c>
      <c r="DT24">
        <v>27.4</v>
      </c>
      <c r="DU24">
        <v>27.1</v>
      </c>
      <c r="DV24">
        <v>9.9606600000000007</v>
      </c>
      <c r="DW24">
        <v>62.575499999999998</v>
      </c>
      <c r="DX24">
        <v>36.302100000000003</v>
      </c>
      <c r="DY24">
        <v>1</v>
      </c>
      <c r="DZ24">
        <v>-9.8788100000000004E-2</v>
      </c>
      <c r="EA24">
        <v>9.2810500000000005</v>
      </c>
      <c r="EB24">
        <v>19.8642</v>
      </c>
      <c r="EC24">
        <v>5.2413999999999996</v>
      </c>
      <c r="ED24">
        <v>12.039899999999999</v>
      </c>
      <c r="EE24">
        <v>5.0168999999999997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1.8688199999999999</v>
      </c>
      <c r="EL24">
        <v>1.8645</v>
      </c>
      <c r="EM24">
        <v>1.8690599999999999</v>
      </c>
      <c r="EN24">
        <v>1.86721</v>
      </c>
      <c r="EO24">
        <v>1.8633200000000001</v>
      </c>
      <c r="EP24">
        <v>1.8644499999999999</v>
      </c>
      <c r="EQ24">
        <v>1.8701099999999999</v>
      </c>
      <c r="ER24">
        <v>1.8693500000000001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-0.996</v>
      </c>
      <c r="FG24">
        <v>1.2200000000000001E-2</v>
      </c>
      <c r="FH24">
        <v>-0.44422204735670362</v>
      </c>
      <c r="FI24">
        <v>-6.1462078757559423E-4</v>
      </c>
      <c r="FJ24">
        <v>-1.8861989874597051E-7</v>
      </c>
      <c r="FK24">
        <v>1.1980462299894961E-10</v>
      </c>
      <c r="FL24">
        <v>-5.4907600448225742E-2</v>
      </c>
      <c r="FM24">
        <v>-1.6848085045870601E-2</v>
      </c>
      <c r="FN24">
        <v>1.9789084769509481E-3</v>
      </c>
      <c r="FO24">
        <v>-2.7142391389806329E-5</v>
      </c>
      <c r="FP24">
        <v>3</v>
      </c>
      <c r="FQ24">
        <v>2158</v>
      </c>
      <c r="FR24">
        <v>1</v>
      </c>
      <c r="FS24">
        <v>19</v>
      </c>
      <c r="FT24">
        <v>12.1</v>
      </c>
      <c r="FU24">
        <v>12.1</v>
      </c>
      <c r="FV24">
        <v>1.77979</v>
      </c>
      <c r="FW24">
        <v>2.5524900000000001</v>
      </c>
      <c r="FX24">
        <v>1.5490699999999999</v>
      </c>
      <c r="FY24">
        <v>2.33643</v>
      </c>
      <c r="FZ24">
        <v>1.50146</v>
      </c>
      <c r="GA24">
        <v>2.3547400000000001</v>
      </c>
      <c r="GB24">
        <v>31.892700000000001</v>
      </c>
      <c r="GC24">
        <v>23.877400000000002</v>
      </c>
      <c r="GD24">
        <v>19</v>
      </c>
      <c r="GE24">
        <v>278.11700000000002</v>
      </c>
      <c r="GF24">
        <v>596.41899999999998</v>
      </c>
      <c r="GG24">
        <v>24.2897</v>
      </c>
      <c r="GH24">
        <v>25.892600000000002</v>
      </c>
      <c r="GI24">
        <v>30.004200000000001</v>
      </c>
      <c r="GJ24">
        <v>25.937999999999999</v>
      </c>
      <c r="GK24">
        <v>25.898299999999999</v>
      </c>
      <c r="GL24">
        <v>35.595300000000002</v>
      </c>
      <c r="GM24">
        <v>-30</v>
      </c>
      <c r="GN24">
        <v>-30</v>
      </c>
      <c r="GO24">
        <v>19.453299999999999</v>
      </c>
      <c r="GP24">
        <v>800</v>
      </c>
      <c r="GQ24">
        <v>12.5298</v>
      </c>
      <c r="GR24">
        <v>99.621300000000005</v>
      </c>
      <c r="GS24">
        <v>99.2761</v>
      </c>
    </row>
    <row r="25" spans="1:201" x14ac:dyDescent="0.25">
      <c r="A25">
        <v>9</v>
      </c>
      <c r="B25">
        <v>1690203855.5</v>
      </c>
      <c r="C25">
        <v>415.90000009536737</v>
      </c>
      <c r="D25" t="s">
        <v>351</v>
      </c>
      <c r="E25" t="s">
        <v>352</v>
      </c>
      <c r="F25" t="s">
        <v>330</v>
      </c>
      <c r="H25">
        <v>1690203855.5</v>
      </c>
      <c r="I25">
        <f t="shared" si="0"/>
        <v>5.1691325976383916E-4</v>
      </c>
      <c r="J25">
        <f t="shared" si="1"/>
        <v>0.51691325976383917</v>
      </c>
      <c r="K25">
        <f t="shared" si="2"/>
        <v>0.67822915689663099</v>
      </c>
      <c r="L25">
        <f t="shared" si="3"/>
        <v>788.68700000000001</v>
      </c>
      <c r="M25">
        <f t="shared" si="4"/>
        <v>695.49315902723026</v>
      </c>
      <c r="N25">
        <f t="shared" si="5"/>
        <v>68.947738662425039</v>
      </c>
      <c r="O25">
        <f t="shared" si="6"/>
        <v>78.186513349045015</v>
      </c>
      <c r="P25">
        <f t="shared" si="7"/>
        <v>1.8302366366382609E-2</v>
      </c>
      <c r="Q25">
        <f t="shared" si="8"/>
        <v>2.1915138795563376</v>
      </c>
      <c r="R25">
        <f t="shared" si="9"/>
        <v>1.8217872043912346E-2</v>
      </c>
      <c r="S25">
        <f t="shared" si="10"/>
        <v>1.1393728897241993E-2</v>
      </c>
      <c r="T25">
        <f t="shared" si="11"/>
        <v>276.11164018463137</v>
      </c>
      <c r="U25">
        <f t="shared" si="12"/>
        <v>29.270969972244874</v>
      </c>
      <c r="V25">
        <f t="shared" si="13"/>
        <v>29.270969972244874</v>
      </c>
      <c r="W25">
        <f t="shared" si="14"/>
        <v>4.0852661605007077</v>
      </c>
      <c r="X25">
        <f t="shared" si="15"/>
        <v>37.004267451930431</v>
      </c>
      <c r="Y25">
        <f t="shared" si="16"/>
        <v>1.3495153179515</v>
      </c>
      <c r="Z25">
        <f t="shared" si="17"/>
        <v>3.6469180742587537</v>
      </c>
      <c r="AA25">
        <f t="shared" si="18"/>
        <v>2.7357508425492076</v>
      </c>
      <c r="AB25">
        <f t="shared" si="19"/>
        <v>-22.795874755585306</v>
      </c>
      <c r="AC25">
        <f t="shared" si="20"/>
        <v>-230.54039355458164</v>
      </c>
      <c r="AD25">
        <f t="shared" si="21"/>
        <v>-22.998302851530614</v>
      </c>
      <c r="AE25">
        <f t="shared" si="22"/>
        <v>-0.22293097706619847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52223.335153012922</v>
      </c>
      <c r="AK25">
        <f t="shared" si="26"/>
        <v>1799.97</v>
      </c>
      <c r="AL25">
        <f t="shared" si="27"/>
        <v>1499.08631101173</v>
      </c>
      <c r="AM25">
        <f t="shared" si="28"/>
        <v>0.83283960899999998</v>
      </c>
      <c r="AN25">
        <f t="shared" si="29"/>
        <v>0.15339791229000002</v>
      </c>
      <c r="AO25">
        <v>31.2</v>
      </c>
      <c r="AP25">
        <v>0.5</v>
      </c>
      <c r="AQ25" t="s">
        <v>331</v>
      </c>
      <c r="AR25">
        <v>2</v>
      </c>
      <c r="AS25">
        <v>1690203855.5</v>
      </c>
      <c r="AT25">
        <v>788.68700000000001</v>
      </c>
      <c r="AU25">
        <v>799.97799999999995</v>
      </c>
      <c r="AV25">
        <v>13.6129</v>
      </c>
      <c r="AW25">
        <v>8.3113499999999991</v>
      </c>
      <c r="AX25">
        <v>789.67499999999995</v>
      </c>
      <c r="AY25">
        <v>13.5992</v>
      </c>
      <c r="AZ25">
        <v>300.06599999999997</v>
      </c>
      <c r="BA25">
        <v>99.034999999999997</v>
      </c>
      <c r="BB25">
        <v>0.100035</v>
      </c>
      <c r="BC25">
        <v>27.319700000000001</v>
      </c>
      <c r="BD25">
        <v>29.496700000000001</v>
      </c>
      <c r="BE25">
        <v>29.012599999999999</v>
      </c>
      <c r="BF25">
        <v>0</v>
      </c>
      <c r="BG25">
        <v>0</v>
      </c>
      <c r="BH25">
        <v>9982.5</v>
      </c>
      <c r="BI25">
        <v>1089.57</v>
      </c>
      <c r="BJ25">
        <v>1.28952</v>
      </c>
      <c r="BK25">
        <v>-11.290900000000001</v>
      </c>
      <c r="BL25">
        <v>799.57100000000003</v>
      </c>
      <c r="BM25">
        <v>806.68200000000002</v>
      </c>
      <c r="BN25">
        <v>5.3015800000000004</v>
      </c>
      <c r="BO25">
        <v>799.97799999999995</v>
      </c>
      <c r="BP25">
        <v>8.3113499999999991</v>
      </c>
      <c r="BQ25">
        <v>1.34816</v>
      </c>
      <c r="BR25">
        <v>0.82311500000000004</v>
      </c>
      <c r="BS25">
        <v>11.3467</v>
      </c>
      <c r="BT25">
        <v>4.1123099999999999</v>
      </c>
      <c r="BU25">
        <v>1799.97</v>
      </c>
      <c r="BV25">
        <v>0.90998699999999999</v>
      </c>
      <c r="BW25">
        <v>3.4002900000000003E-2</v>
      </c>
      <c r="BX25">
        <v>2.2005199999999999E-2</v>
      </c>
      <c r="BY25">
        <v>3.4005300000000002E-2</v>
      </c>
      <c r="BZ25">
        <v>25</v>
      </c>
      <c r="CA25">
        <v>33527.699999999997</v>
      </c>
      <c r="CB25">
        <v>1690203121.0999999</v>
      </c>
      <c r="CC25" t="s">
        <v>332</v>
      </c>
      <c r="CD25">
        <v>1690203121.0999999</v>
      </c>
      <c r="CE25">
        <v>1690203121.0999999</v>
      </c>
      <c r="CF25">
        <v>3</v>
      </c>
      <c r="CG25">
        <v>0.53600000000000003</v>
      </c>
      <c r="CH25">
        <v>-0.01</v>
      </c>
      <c r="CI25">
        <v>-0.996</v>
      </c>
      <c r="CJ25">
        <v>-6.6000000000000003E-2</v>
      </c>
      <c r="CK25">
        <v>800</v>
      </c>
      <c r="CL25">
        <v>9</v>
      </c>
      <c r="CM25">
        <v>0.82</v>
      </c>
      <c r="CN25">
        <v>0.01</v>
      </c>
      <c r="CO25">
        <v>2.6498414634146209E-2</v>
      </c>
      <c r="CP25">
        <v>-59.032782062717757</v>
      </c>
      <c r="CQ25">
        <v>5.8749281387521712</v>
      </c>
      <c r="CR25">
        <v>-1</v>
      </c>
      <c r="CS25">
        <v>5.2076229268292691</v>
      </c>
      <c r="CT25">
        <v>0.69067609756098181</v>
      </c>
      <c r="CU25">
        <v>6.9051249586683391E-2</v>
      </c>
      <c r="CV25">
        <v>-1</v>
      </c>
      <c r="CW25">
        <v>0</v>
      </c>
      <c r="CX25">
        <v>0</v>
      </c>
      <c r="CY25" t="s">
        <v>333</v>
      </c>
      <c r="CZ25">
        <v>2.3645499999999999</v>
      </c>
      <c r="DA25">
        <v>2.7138100000000001</v>
      </c>
      <c r="DB25">
        <v>0.14535699999999999</v>
      </c>
      <c r="DC25">
        <v>0.14621300000000001</v>
      </c>
      <c r="DD25">
        <v>7.5989799999999996E-2</v>
      </c>
      <c r="DE25">
        <v>5.1263400000000001E-2</v>
      </c>
      <c r="DF25">
        <v>31174.5</v>
      </c>
      <c r="DG25">
        <v>27447.200000000001</v>
      </c>
      <c r="DH25">
        <v>31139</v>
      </c>
      <c r="DI25">
        <v>28011</v>
      </c>
      <c r="DJ25">
        <v>39070.199999999997</v>
      </c>
      <c r="DK25">
        <v>37766.1</v>
      </c>
      <c r="DL25">
        <v>44305.7</v>
      </c>
      <c r="DM25">
        <v>42426.7</v>
      </c>
      <c r="DN25">
        <v>1.46913</v>
      </c>
      <c r="DO25">
        <v>2.0582699999999998</v>
      </c>
      <c r="DP25">
        <v>0.22972000000000001</v>
      </c>
      <c r="DQ25">
        <v>0.19311500000000001</v>
      </c>
      <c r="DR25">
        <v>25.743600000000001</v>
      </c>
      <c r="DS25">
        <v>25.8566</v>
      </c>
      <c r="DT25">
        <v>27.4</v>
      </c>
      <c r="DU25">
        <v>27.1</v>
      </c>
      <c r="DV25">
        <v>9.9611699999999992</v>
      </c>
      <c r="DW25">
        <v>62.535499999999999</v>
      </c>
      <c r="DX25">
        <v>36.995199999999997</v>
      </c>
      <c r="DY25">
        <v>1</v>
      </c>
      <c r="DZ25">
        <v>-9.9720500000000004E-2</v>
      </c>
      <c r="EA25">
        <v>9.2810500000000005</v>
      </c>
      <c r="EB25">
        <v>19.876200000000001</v>
      </c>
      <c r="EC25">
        <v>5.2413999999999996</v>
      </c>
      <c r="ED25">
        <v>12.039899999999999</v>
      </c>
      <c r="EE25">
        <v>5.0171000000000001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1.8688899999999999</v>
      </c>
      <c r="EL25">
        <v>1.8645099999999999</v>
      </c>
      <c r="EM25">
        <v>1.86907</v>
      </c>
      <c r="EN25">
        <v>1.86721</v>
      </c>
      <c r="EO25">
        <v>1.8633500000000001</v>
      </c>
      <c r="EP25">
        <v>1.8644400000000001</v>
      </c>
      <c r="EQ25">
        <v>1.87012</v>
      </c>
      <c r="ER25">
        <v>1.8693500000000001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-0.98799999999999999</v>
      </c>
      <c r="FG25">
        <v>1.37E-2</v>
      </c>
      <c r="FH25">
        <v>-0.44422204735670362</v>
      </c>
      <c r="FI25">
        <v>-6.1462078757559423E-4</v>
      </c>
      <c r="FJ25">
        <v>-1.8861989874597051E-7</v>
      </c>
      <c r="FK25">
        <v>1.1980462299894961E-10</v>
      </c>
      <c r="FL25">
        <v>-5.4907600448225742E-2</v>
      </c>
      <c r="FM25">
        <v>-1.6848085045870601E-2</v>
      </c>
      <c r="FN25">
        <v>1.9789084769509481E-3</v>
      </c>
      <c r="FO25">
        <v>-2.7142391389806329E-5</v>
      </c>
      <c r="FP25">
        <v>3</v>
      </c>
      <c r="FQ25">
        <v>2158</v>
      </c>
      <c r="FR25">
        <v>1</v>
      </c>
      <c r="FS25">
        <v>19</v>
      </c>
      <c r="FT25">
        <v>12.2</v>
      </c>
      <c r="FU25">
        <v>12.2</v>
      </c>
      <c r="FV25">
        <v>1.77979</v>
      </c>
      <c r="FW25">
        <v>2.5476100000000002</v>
      </c>
      <c r="FX25">
        <v>1.5490699999999999</v>
      </c>
      <c r="FY25">
        <v>2.33643</v>
      </c>
      <c r="FZ25">
        <v>1.50146</v>
      </c>
      <c r="GA25">
        <v>2.3327599999999999</v>
      </c>
      <c r="GB25">
        <v>31.892700000000001</v>
      </c>
      <c r="GC25">
        <v>23.877400000000002</v>
      </c>
      <c r="GD25">
        <v>19</v>
      </c>
      <c r="GE25">
        <v>278.084</v>
      </c>
      <c r="GF25">
        <v>596.35400000000004</v>
      </c>
      <c r="GG25">
        <v>22.2867</v>
      </c>
      <c r="GH25">
        <v>25.897400000000001</v>
      </c>
      <c r="GI25">
        <v>30.0001</v>
      </c>
      <c r="GJ25">
        <v>25.940200000000001</v>
      </c>
      <c r="GK25">
        <v>25.899899999999999</v>
      </c>
      <c r="GL25">
        <v>35.596899999999998</v>
      </c>
      <c r="GM25">
        <v>-30</v>
      </c>
      <c r="GN25">
        <v>-30</v>
      </c>
      <c r="GO25">
        <v>14.1991</v>
      </c>
      <c r="GP25">
        <v>800</v>
      </c>
      <c r="GQ25">
        <v>12.5298</v>
      </c>
      <c r="GR25">
        <v>99.620900000000006</v>
      </c>
      <c r="GS25">
        <v>99.277100000000004</v>
      </c>
    </row>
    <row r="26" spans="1:201" x14ac:dyDescent="0.25">
      <c r="A26">
        <v>10</v>
      </c>
      <c r="B26">
        <v>1690203865.5</v>
      </c>
      <c r="C26">
        <v>425.90000009536737</v>
      </c>
      <c r="D26" t="s">
        <v>353</v>
      </c>
      <c r="E26" t="s">
        <v>354</v>
      </c>
      <c r="F26" t="s">
        <v>330</v>
      </c>
      <c r="H26">
        <v>1690203865.5</v>
      </c>
      <c r="I26">
        <f t="shared" si="0"/>
        <v>5.1874895684222142E-4</v>
      </c>
      <c r="J26">
        <f t="shared" si="1"/>
        <v>0.51874895684222144</v>
      </c>
      <c r="K26">
        <f t="shared" si="2"/>
        <v>1.5758430615666881</v>
      </c>
      <c r="L26">
        <f t="shared" si="3"/>
        <v>779.37300000000005</v>
      </c>
      <c r="M26">
        <f t="shared" si="4"/>
        <v>614.96303936582547</v>
      </c>
      <c r="N26">
        <f t="shared" si="5"/>
        <v>60.9624987994479</v>
      </c>
      <c r="O26">
        <f t="shared" si="6"/>
        <v>77.260782413555987</v>
      </c>
      <c r="P26">
        <f t="shared" si="7"/>
        <v>1.8932666961498933E-2</v>
      </c>
      <c r="Q26">
        <f t="shared" si="8"/>
        <v>2.1938610060462698</v>
      </c>
      <c r="R26">
        <f t="shared" si="9"/>
        <v>1.8842364494764612E-2</v>
      </c>
      <c r="S26">
        <f t="shared" si="10"/>
        <v>1.1784555126997734E-2</v>
      </c>
      <c r="T26">
        <f t="shared" si="11"/>
        <v>276.10837880189598</v>
      </c>
      <c r="U26">
        <f t="shared" si="12"/>
        <v>28.931112155367082</v>
      </c>
      <c r="V26">
        <f t="shared" si="13"/>
        <v>28.931112155367082</v>
      </c>
      <c r="W26">
        <f t="shared" si="14"/>
        <v>4.0057688992849512</v>
      </c>
      <c r="X26">
        <f t="shared" si="15"/>
        <v>37.766983779816968</v>
      </c>
      <c r="Y26">
        <f t="shared" si="16"/>
        <v>1.3502964170063998</v>
      </c>
      <c r="Z26">
        <f t="shared" si="17"/>
        <v>3.5753356023310783</v>
      </c>
      <c r="AA26">
        <f t="shared" si="18"/>
        <v>2.6554724822785514</v>
      </c>
      <c r="AB26">
        <f t="shared" si="19"/>
        <v>-22.876828996741963</v>
      </c>
      <c r="AC26">
        <f t="shared" si="20"/>
        <v>-230.55574226516788</v>
      </c>
      <c r="AD26">
        <f t="shared" si="21"/>
        <v>-22.897791133903883</v>
      </c>
      <c r="AE26">
        <f t="shared" si="22"/>
        <v>-0.22198359391776989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52377.987585274583</v>
      </c>
      <c r="AK26">
        <f t="shared" si="26"/>
        <v>1799.96</v>
      </c>
      <c r="AL26">
        <f t="shared" si="27"/>
        <v>1499.0796493785999</v>
      </c>
      <c r="AM26">
        <f t="shared" si="28"/>
        <v>0.83284053499999999</v>
      </c>
      <c r="AN26">
        <f t="shared" si="29"/>
        <v>0.1533969526</v>
      </c>
      <c r="AO26">
        <v>31.2</v>
      </c>
      <c r="AP26">
        <v>0.5</v>
      </c>
      <c r="AQ26" t="s">
        <v>331</v>
      </c>
      <c r="AR26">
        <v>2</v>
      </c>
      <c r="AS26">
        <v>1690203865.5</v>
      </c>
      <c r="AT26">
        <v>779.37300000000005</v>
      </c>
      <c r="AU26">
        <v>799.947</v>
      </c>
      <c r="AV26">
        <v>13.6212</v>
      </c>
      <c r="AW26">
        <v>8.3047299999999993</v>
      </c>
      <c r="AX26">
        <v>780.35500000000002</v>
      </c>
      <c r="AY26">
        <v>13.6074</v>
      </c>
      <c r="AZ26">
        <v>300.28399999999999</v>
      </c>
      <c r="BA26">
        <v>99.031899999999993</v>
      </c>
      <c r="BB26">
        <v>0.10007199999999999</v>
      </c>
      <c r="BC26">
        <v>26.9818</v>
      </c>
      <c r="BD26">
        <v>29.1556</v>
      </c>
      <c r="BE26">
        <v>28.635200000000001</v>
      </c>
      <c r="BF26">
        <v>0</v>
      </c>
      <c r="BG26">
        <v>0</v>
      </c>
      <c r="BH26">
        <v>10001.9</v>
      </c>
      <c r="BI26">
        <v>1089.04</v>
      </c>
      <c r="BJ26">
        <v>1.28952</v>
      </c>
      <c r="BK26">
        <v>-20.573899999999998</v>
      </c>
      <c r="BL26">
        <v>790.13599999999997</v>
      </c>
      <c r="BM26">
        <v>806.64599999999996</v>
      </c>
      <c r="BN26">
        <v>5.3164999999999996</v>
      </c>
      <c r="BO26">
        <v>799.947</v>
      </c>
      <c r="BP26">
        <v>8.3047299999999993</v>
      </c>
      <c r="BQ26">
        <v>1.34894</v>
      </c>
      <c r="BR26">
        <v>0.82243200000000005</v>
      </c>
      <c r="BS26">
        <v>11.355499999999999</v>
      </c>
      <c r="BT26">
        <v>4.1004899999999997</v>
      </c>
      <c r="BU26">
        <v>1799.96</v>
      </c>
      <c r="BV26">
        <v>0.91001100000000001</v>
      </c>
      <c r="BW26">
        <v>3.3993799999999998E-2</v>
      </c>
      <c r="BX26">
        <v>2.1995500000000001E-2</v>
      </c>
      <c r="BY26">
        <v>3.3999399999999999E-2</v>
      </c>
      <c r="BZ26">
        <v>25</v>
      </c>
      <c r="CA26">
        <v>33527.699999999997</v>
      </c>
      <c r="CB26">
        <v>1690203121.0999999</v>
      </c>
      <c r="CC26" t="s">
        <v>332</v>
      </c>
      <c r="CD26">
        <v>1690203121.0999999</v>
      </c>
      <c r="CE26">
        <v>1690203121.0999999</v>
      </c>
      <c r="CF26">
        <v>3</v>
      </c>
      <c r="CG26">
        <v>0.53600000000000003</v>
      </c>
      <c r="CH26">
        <v>-0.01</v>
      </c>
      <c r="CI26">
        <v>-0.996</v>
      </c>
      <c r="CJ26">
        <v>-6.6000000000000003E-2</v>
      </c>
      <c r="CK26">
        <v>800</v>
      </c>
      <c r="CL26">
        <v>9</v>
      </c>
      <c r="CM26">
        <v>0.82</v>
      </c>
      <c r="CN26">
        <v>0.01</v>
      </c>
      <c r="CO26">
        <v>-9.2127910975609755</v>
      </c>
      <c r="CP26">
        <v>-64.649496418118446</v>
      </c>
      <c r="CQ26">
        <v>6.3831666819502253</v>
      </c>
      <c r="CR26">
        <v>-1</v>
      </c>
      <c r="CS26">
        <v>5.2829514634146344</v>
      </c>
      <c r="CT26">
        <v>0.31979811846690431</v>
      </c>
      <c r="CU26">
        <v>3.3119560910911679E-2</v>
      </c>
      <c r="CV26">
        <v>-1</v>
      </c>
      <c r="CW26">
        <v>0</v>
      </c>
      <c r="CX26">
        <v>0</v>
      </c>
      <c r="CY26" t="s">
        <v>333</v>
      </c>
      <c r="CZ26">
        <v>2.36524</v>
      </c>
      <c r="DA26">
        <v>2.71387</v>
      </c>
      <c r="DB26">
        <v>0.144202</v>
      </c>
      <c r="DC26">
        <v>0.146203</v>
      </c>
      <c r="DD26">
        <v>7.6020900000000002E-2</v>
      </c>
      <c r="DE26">
        <v>5.1229299999999998E-2</v>
      </c>
      <c r="DF26">
        <v>31217.7</v>
      </c>
      <c r="DG26">
        <v>27448.6</v>
      </c>
      <c r="DH26">
        <v>31140.1</v>
      </c>
      <c r="DI26">
        <v>28012.2</v>
      </c>
      <c r="DJ26">
        <v>39070.300000000003</v>
      </c>
      <c r="DK26">
        <v>37768.800000000003</v>
      </c>
      <c r="DL26">
        <v>44307.4</v>
      </c>
      <c r="DM26">
        <v>42428.2</v>
      </c>
      <c r="DN26">
        <v>1.46973</v>
      </c>
      <c r="DO26">
        <v>2.0581</v>
      </c>
      <c r="DP26">
        <v>0.207625</v>
      </c>
      <c r="DQ26">
        <v>0.17097999999999999</v>
      </c>
      <c r="DR26">
        <v>25.762599999999999</v>
      </c>
      <c r="DS26">
        <v>25.8401</v>
      </c>
      <c r="DT26">
        <v>27.3</v>
      </c>
      <c r="DU26">
        <v>27.1</v>
      </c>
      <c r="DV26">
        <v>9.92516</v>
      </c>
      <c r="DW26">
        <v>62.4955</v>
      </c>
      <c r="DX26">
        <v>36.181899999999999</v>
      </c>
      <c r="DY26">
        <v>1</v>
      </c>
      <c r="DZ26">
        <v>-0.100379</v>
      </c>
      <c r="EA26">
        <v>9.2810500000000005</v>
      </c>
      <c r="EB26">
        <v>19.886399999999998</v>
      </c>
      <c r="EC26">
        <v>5.2418500000000003</v>
      </c>
      <c r="ED26">
        <v>12.039899999999999</v>
      </c>
      <c r="EE26">
        <v>5.0170500000000002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1.8688800000000001</v>
      </c>
      <c r="EL26">
        <v>1.8645</v>
      </c>
      <c r="EM26">
        <v>1.8690500000000001</v>
      </c>
      <c r="EN26">
        <v>1.8672</v>
      </c>
      <c r="EO26">
        <v>1.86334</v>
      </c>
      <c r="EP26">
        <v>1.86446</v>
      </c>
      <c r="EQ26">
        <v>1.87012</v>
      </c>
      <c r="ER26">
        <v>1.8693500000000001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-0.98199999999999998</v>
      </c>
      <c r="FG26">
        <v>1.38E-2</v>
      </c>
      <c r="FH26">
        <v>-0.44422204735670362</v>
      </c>
      <c r="FI26">
        <v>-6.1462078757559423E-4</v>
      </c>
      <c r="FJ26">
        <v>-1.8861989874597051E-7</v>
      </c>
      <c r="FK26">
        <v>1.1980462299894961E-10</v>
      </c>
      <c r="FL26">
        <v>-5.4907600448225742E-2</v>
      </c>
      <c r="FM26">
        <v>-1.6848085045870601E-2</v>
      </c>
      <c r="FN26">
        <v>1.9789084769509481E-3</v>
      </c>
      <c r="FO26">
        <v>-2.7142391389806329E-5</v>
      </c>
      <c r="FP26">
        <v>3</v>
      </c>
      <c r="FQ26">
        <v>2158</v>
      </c>
      <c r="FR26">
        <v>1</v>
      </c>
      <c r="FS26">
        <v>19</v>
      </c>
      <c r="FT26">
        <v>12.4</v>
      </c>
      <c r="FU26">
        <v>12.4</v>
      </c>
      <c r="FV26">
        <v>1.78101</v>
      </c>
      <c r="FW26">
        <v>2.5537100000000001</v>
      </c>
      <c r="FX26">
        <v>1.5490699999999999</v>
      </c>
      <c r="FY26">
        <v>2.33643</v>
      </c>
      <c r="FZ26">
        <v>1.50146</v>
      </c>
      <c r="GA26">
        <v>2.3327599999999999</v>
      </c>
      <c r="GB26">
        <v>31.9146</v>
      </c>
      <c r="GC26">
        <v>23.877400000000002</v>
      </c>
      <c r="GD26">
        <v>19</v>
      </c>
      <c r="GE26">
        <v>278.34500000000003</v>
      </c>
      <c r="GF26">
        <v>596.24099999999999</v>
      </c>
      <c r="GG26">
        <v>20.746099999999998</v>
      </c>
      <c r="GH26">
        <v>25.906700000000001</v>
      </c>
      <c r="GI26">
        <v>29.9998</v>
      </c>
      <c r="GJ26">
        <v>25.942399999999999</v>
      </c>
      <c r="GK26">
        <v>25.902799999999999</v>
      </c>
      <c r="GL26">
        <v>35.599299999999999</v>
      </c>
      <c r="GM26">
        <v>-30</v>
      </c>
      <c r="GN26">
        <v>-30</v>
      </c>
      <c r="GO26">
        <v>11.858000000000001</v>
      </c>
      <c r="GP26">
        <v>800</v>
      </c>
      <c r="GQ26">
        <v>12.5298</v>
      </c>
      <c r="GR26">
        <v>99.624499999999998</v>
      </c>
      <c r="GS26">
        <v>99.280900000000003</v>
      </c>
    </row>
    <row r="27" spans="1:201" x14ac:dyDescent="0.25">
      <c r="A27">
        <v>11</v>
      </c>
      <c r="B27">
        <v>1690203875.5</v>
      </c>
      <c r="C27">
        <v>435.90000009536737</v>
      </c>
      <c r="D27" t="s">
        <v>355</v>
      </c>
      <c r="E27" t="s">
        <v>356</v>
      </c>
      <c r="F27" t="s">
        <v>330</v>
      </c>
      <c r="H27">
        <v>1690203875.5</v>
      </c>
      <c r="I27">
        <f t="shared" si="0"/>
        <v>5.1681051938160091E-4</v>
      </c>
      <c r="J27">
        <f t="shared" si="1"/>
        <v>0.51681051938160094</v>
      </c>
      <c r="K27">
        <f t="shared" si="2"/>
        <v>2.4184779637190386</v>
      </c>
      <c r="L27">
        <f t="shared" si="3"/>
        <v>770.73400000000004</v>
      </c>
      <c r="M27">
        <f t="shared" si="4"/>
        <v>541.97207652649513</v>
      </c>
      <c r="N27">
        <f t="shared" si="5"/>
        <v>53.728544507701848</v>
      </c>
      <c r="O27">
        <f t="shared" si="6"/>
        <v>76.406918024262211</v>
      </c>
      <c r="P27">
        <f t="shared" si="7"/>
        <v>1.9368685079365039E-2</v>
      </c>
      <c r="Q27">
        <f t="shared" si="8"/>
        <v>2.194750709851216</v>
      </c>
      <c r="R27">
        <f t="shared" si="9"/>
        <v>1.9274224708824277E-2</v>
      </c>
      <c r="S27">
        <f t="shared" si="10"/>
        <v>1.2054838831782037E-2</v>
      </c>
      <c r="T27">
        <f t="shared" si="11"/>
        <v>276.11008091607039</v>
      </c>
      <c r="U27">
        <f t="shared" si="12"/>
        <v>28.623500791249217</v>
      </c>
      <c r="V27">
        <f t="shared" si="13"/>
        <v>28.623500791249217</v>
      </c>
      <c r="W27">
        <f t="shared" si="14"/>
        <v>3.9349810107370224</v>
      </c>
      <c r="X27">
        <f t="shared" si="15"/>
        <v>38.381708472138726</v>
      </c>
      <c r="Y27">
        <f t="shared" si="16"/>
        <v>1.34763485577387</v>
      </c>
      <c r="Z27">
        <f t="shared" si="17"/>
        <v>3.5111382724198372</v>
      </c>
      <c r="AA27">
        <f t="shared" si="18"/>
        <v>2.5873461549631527</v>
      </c>
      <c r="AB27">
        <f t="shared" si="19"/>
        <v>-22.791343904728599</v>
      </c>
      <c r="AC27">
        <f t="shared" si="20"/>
        <v>-230.70705946876652</v>
      </c>
      <c r="AD27">
        <f t="shared" si="21"/>
        <v>-22.833317690542518</v>
      </c>
      <c r="AE27">
        <f t="shared" si="22"/>
        <v>-0.22164014796723563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52468.327187564457</v>
      </c>
      <c r="AK27">
        <f t="shared" si="26"/>
        <v>1799.96</v>
      </c>
      <c r="AL27">
        <f t="shared" si="27"/>
        <v>1499.0799715714402</v>
      </c>
      <c r="AM27">
        <f t="shared" si="28"/>
        <v>0.83284071400000004</v>
      </c>
      <c r="AN27">
        <f t="shared" si="29"/>
        <v>0.15339789824</v>
      </c>
      <c r="AO27">
        <v>31.2</v>
      </c>
      <c r="AP27">
        <v>0.5</v>
      </c>
      <c r="AQ27" t="s">
        <v>331</v>
      </c>
      <c r="AR27">
        <v>2</v>
      </c>
      <c r="AS27">
        <v>1690203875.5</v>
      </c>
      <c r="AT27">
        <v>770.73400000000004</v>
      </c>
      <c r="AU27">
        <v>800.00599999999997</v>
      </c>
      <c r="AV27">
        <v>13.5939</v>
      </c>
      <c r="AW27">
        <v>8.2962500000000006</v>
      </c>
      <c r="AX27">
        <v>771.71</v>
      </c>
      <c r="AY27">
        <v>13.5807</v>
      </c>
      <c r="AZ27">
        <v>300.233</v>
      </c>
      <c r="BA27">
        <v>99.035300000000007</v>
      </c>
      <c r="BB27">
        <v>9.9963300000000005E-2</v>
      </c>
      <c r="BC27">
        <v>26.6737</v>
      </c>
      <c r="BD27">
        <v>28.991800000000001</v>
      </c>
      <c r="BE27">
        <v>28.257100000000001</v>
      </c>
      <c r="BF27">
        <v>0</v>
      </c>
      <c r="BG27">
        <v>0</v>
      </c>
      <c r="BH27">
        <v>10008.799999999999</v>
      </c>
      <c r="BI27">
        <v>1088.1600000000001</v>
      </c>
      <c r="BJ27">
        <v>1.28952</v>
      </c>
      <c r="BK27">
        <v>-29.271899999999999</v>
      </c>
      <c r="BL27">
        <v>781.35599999999999</v>
      </c>
      <c r="BM27">
        <v>806.69799999999998</v>
      </c>
      <c r="BN27">
        <v>5.2976999999999999</v>
      </c>
      <c r="BO27">
        <v>800.00599999999997</v>
      </c>
      <c r="BP27">
        <v>8.2962500000000006</v>
      </c>
      <c r="BQ27">
        <v>1.3462799999999999</v>
      </c>
      <c r="BR27">
        <v>0.82162199999999996</v>
      </c>
      <c r="BS27">
        <v>11.325699999999999</v>
      </c>
      <c r="BT27">
        <v>4.0864500000000001</v>
      </c>
      <c r="BU27">
        <v>1799.96</v>
      </c>
      <c r="BV27">
        <v>0.91000099999999995</v>
      </c>
      <c r="BW27">
        <v>3.4001200000000002E-2</v>
      </c>
      <c r="BX27">
        <v>2.2008199999999999E-2</v>
      </c>
      <c r="BY27">
        <v>3.3989199999999997E-2</v>
      </c>
      <c r="BZ27">
        <v>25</v>
      </c>
      <c r="CA27">
        <v>33527.599999999999</v>
      </c>
      <c r="CB27">
        <v>1690203121.0999999</v>
      </c>
      <c r="CC27" t="s">
        <v>332</v>
      </c>
      <c r="CD27">
        <v>1690203121.0999999</v>
      </c>
      <c r="CE27">
        <v>1690203121.0999999</v>
      </c>
      <c r="CF27">
        <v>3</v>
      </c>
      <c r="CG27">
        <v>0.53600000000000003</v>
      </c>
      <c r="CH27">
        <v>-0.01</v>
      </c>
      <c r="CI27">
        <v>-0.996</v>
      </c>
      <c r="CJ27">
        <v>-6.6000000000000003E-2</v>
      </c>
      <c r="CK27">
        <v>800</v>
      </c>
      <c r="CL27">
        <v>9</v>
      </c>
      <c r="CM27">
        <v>0.82</v>
      </c>
      <c r="CN27">
        <v>0.01</v>
      </c>
      <c r="CO27">
        <v>-19.795000000000002</v>
      </c>
      <c r="CP27">
        <v>-53.452387992495289</v>
      </c>
      <c r="CQ27">
        <v>5.1433854317948988</v>
      </c>
      <c r="CR27">
        <v>-1</v>
      </c>
      <c r="CS27">
        <v>5.3101434999999997</v>
      </c>
      <c r="CT27">
        <v>-1.123992495311198E-2</v>
      </c>
      <c r="CU27">
        <v>5.8144731274639106E-3</v>
      </c>
      <c r="CV27">
        <v>-1</v>
      </c>
      <c r="CW27">
        <v>0</v>
      </c>
      <c r="CX27">
        <v>0</v>
      </c>
      <c r="CY27" t="s">
        <v>333</v>
      </c>
      <c r="CZ27">
        <v>2.3650600000000002</v>
      </c>
      <c r="DA27">
        <v>2.7137600000000002</v>
      </c>
      <c r="DB27">
        <v>0.14313100000000001</v>
      </c>
      <c r="DC27">
        <v>0.14621400000000001</v>
      </c>
      <c r="DD27">
        <v>7.5911099999999995E-2</v>
      </c>
      <c r="DE27">
        <v>5.1189400000000003E-2</v>
      </c>
      <c r="DF27">
        <v>31257.1</v>
      </c>
      <c r="DG27">
        <v>27449.1</v>
      </c>
      <c r="DH27">
        <v>31140.5</v>
      </c>
      <c r="DI27">
        <v>28013.1</v>
      </c>
      <c r="DJ27">
        <v>39075.300000000003</v>
      </c>
      <c r="DK27">
        <v>37771.599999999999</v>
      </c>
      <c r="DL27">
        <v>44307.8</v>
      </c>
      <c r="DM27">
        <v>42429.599999999999</v>
      </c>
      <c r="DN27">
        <v>1.4698500000000001</v>
      </c>
      <c r="DO27">
        <v>2.0579200000000002</v>
      </c>
      <c r="DP27">
        <v>0.19770099999999999</v>
      </c>
      <c r="DQ27">
        <v>0.15071399999999999</v>
      </c>
      <c r="DR27">
        <v>25.7605</v>
      </c>
      <c r="DS27">
        <v>25.7925</v>
      </c>
      <c r="DT27">
        <v>27.3</v>
      </c>
      <c r="DU27">
        <v>27.1</v>
      </c>
      <c r="DV27">
        <v>9.9239899999999999</v>
      </c>
      <c r="DW27">
        <v>62.575499999999998</v>
      </c>
      <c r="DX27">
        <v>35.8093</v>
      </c>
      <c r="DY27">
        <v>1</v>
      </c>
      <c r="DZ27">
        <v>-0.10127</v>
      </c>
      <c r="EA27">
        <v>9.2810500000000005</v>
      </c>
      <c r="EB27">
        <v>19.8933</v>
      </c>
      <c r="EC27">
        <v>5.2411000000000003</v>
      </c>
      <c r="ED27">
        <v>12.039899999999999</v>
      </c>
      <c r="EE27">
        <v>5.0168999999999997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1.86887</v>
      </c>
      <c r="EL27">
        <v>1.86452</v>
      </c>
      <c r="EM27">
        <v>1.8690599999999999</v>
      </c>
      <c r="EN27">
        <v>1.86721</v>
      </c>
      <c r="EO27">
        <v>1.8633500000000001</v>
      </c>
      <c r="EP27">
        <v>1.86446</v>
      </c>
      <c r="EQ27">
        <v>1.87012</v>
      </c>
      <c r="ER27">
        <v>1.8693500000000001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-0.97599999999999998</v>
      </c>
      <c r="FG27">
        <v>1.32E-2</v>
      </c>
      <c r="FH27">
        <v>-0.44422204735670362</v>
      </c>
      <c r="FI27">
        <v>-6.1462078757559423E-4</v>
      </c>
      <c r="FJ27">
        <v>-1.8861989874597051E-7</v>
      </c>
      <c r="FK27">
        <v>1.1980462299894961E-10</v>
      </c>
      <c r="FL27">
        <v>-5.4907600448225742E-2</v>
      </c>
      <c r="FM27">
        <v>-1.6848085045870601E-2</v>
      </c>
      <c r="FN27">
        <v>1.9789084769509481E-3</v>
      </c>
      <c r="FO27">
        <v>-2.7142391389806329E-5</v>
      </c>
      <c r="FP27">
        <v>3</v>
      </c>
      <c r="FQ27">
        <v>2158</v>
      </c>
      <c r="FR27">
        <v>1</v>
      </c>
      <c r="FS27">
        <v>19</v>
      </c>
      <c r="FT27">
        <v>12.6</v>
      </c>
      <c r="FU27">
        <v>12.6</v>
      </c>
      <c r="FV27">
        <v>1.78101</v>
      </c>
      <c r="FW27">
        <v>2.5610400000000002</v>
      </c>
      <c r="FX27">
        <v>1.5490699999999999</v>
      </c>
      <c r="FY27">
        <v>2.33643</v>
      </c>
      <c r="FZ27">
        <v>1.50146</v>
      </c>
      <c r="GA27">
        <v>2.3803700000000001</v>
      </c>
      <c r="GB27">
        <v>31.9146</v>
      </c>
      <c r="GC27">
        <v>23.886099999999999</v>
      </c>
      <c r="GD27">
        <v>19</v>
      </c>
      <c r="GE27">
        <v>278.41899999999998</v>
      </c>
      <c r="GF27">
        <v>596.13499999999999</v>
      </c>
      <c r="GG27">
        <v>19.529199999999999</v>
      </c>
      <c r="GH27">
        <v>25.920300000000001</v>
      </c>
      <c r="GI27">
        <v>29.9998</v>
      </c>
      <c r="GJ27">
        <v>25.947199999999999</v>
      </c>
      <c r="GK27">
        <v>25.906400000000001</v>
      </c>
      <c r="GL27">
        <v>35.599200000000003</v>
      </c>
      <c r="GM27">
        <v>-30</v>
      </c>
      <c r="GN27">
        <v>-30</v>
      </c>
      <c r="GO27">
        <v>11.858000000000001</v>
      </c>
      <c r="GP27">
        <v>800</v>
      </c>
      <c r="GQ27">
        <v>12.5298</v>
      </c>
      <c r="GR27">
        <v>99.625699999999995</v>
      </c>
      <c r="GS27">
        <v>99.284199999999998</v>
      </c>
    </row>
    <row r="28" spans="1:201" x14ac:dyDescent="0.25">
      <c r="A28">
        <v>12</v>
      </c>
      <c r="B28">
        <v>1690203885.5</v>
      </c>
      <c r="C28">
        <v>445.90000009536737</v>
      </c>
      <c r="D28" t="s">
        <v>357</v>
      </c>
      <c r="E28" t="s">
        <v>358</v>
      </c>
      <c r="F28" t="s">
        <v>330</v>
      </c>
      <c r="H28">
        <v>1690203885.5</v>
      </c>
      <c r="I28">
        <f t="shared" si="0"/>
        <v>5.1599128117130481E-4</v>
      </c>
      <c r="J28">
        <f t="shared" si="1"/>
        <v>0.51599128117130477</v>
      </c>
      <c r="K28">
        <f t="shared" si="2"/>
        <v>3.2147428692140325</v>
      </c>
      <c r="L28">
        <f t="shared" si="3"/>
        <v>762.452</v>
      </c>
      <c r="M28">
        <f t="shared" si="4"/>
        <v>476.22709154704813</v>
      </c>
      <c r="N28">
        <f t="shared" si="5"/>
        <v>47.209222553710916</v>
      </c>
      <c r="O28">
        <f t="shared" si="6"/>
        <v>75.583197162494812</v>
      </c>
      <c r="P28">
        <f t="shared" si="7"/>
        <v>1.9841853253939789E-2</v>
      </c>
      <c r="Q28">
        <f t="shared" si="8"/>
        <v>2.1933952610265086</v>
      </c>
      <c r="R28">
        <f t="shared" si="9"/>
        <v>1.9742673086570291E-2</v>
      </c>
      <c r="S28">
        <f t="shared" si="10"/>
        <v>1.2348040196853514E-2</v>
      </c>
      <c r="T28">
        <f t="shared" si="11"/>
        <v>276.11233609306618</v>
      </c>
      <c r="U28">
        <f t="shared" si="12"/>
        <v>28.332903614191817</v>
      </c>
      <c r="V28">
        <f t="shared" si="13"/>
        <v>28.332903614191817</v>
      </c>
      <c r="W28">
        <f t="shared" si="14"/>
        <v>3.8691131157598702</v>
      </c>
      <c r="X28">
        <f t="shared" si="15"/>
        <v>39.012716320359871</v>
      </c>
      <c r="Y28">
        <f t="shared" si="16"/>
        <v>1.3463776197083299</v>
      </c>
      <c r="Z28">
        <f t="shared" si="17"/>
        <v>3.4511250348535336</v>
      </c>
      <c r="AA28">
        <f t="shared" si="18"/>
        <v>2.5227354960515402</v>
      </c>
      <c r="AB28">
        <f t="shared" si="19"/>
        <v>-22.755215499654543</v>
      </c>
      <c r="AC28">
        <f t="shared" si="20"/>
        <v>-230.78958729168858</v>
      </c>
      <c r="AD28">
        <f t="shared" si="21"/>
        <v>-22.789174834999859</v>
      </c>
      <c r="AE28">
        <f t="shared" si="22"/>
        <v>-0.22164153327682357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52463.987810488674</v>
      </c>
      <c r="AK28">
        <f t="shared" si="26"/>
        <v>1799.98</v>
      </c>
      <c r="AL28">
        <f t="shared" si="27"/>
        <v>1499.0933704219199</v>
      </c>
      <c r="AM28">
        <f t="shared" si="28"/>
        <v>0.83283890399999994</v>
      </c>
      <c r="AN28">
        <f t="shared" si="29"/>
        <v>0.15339744668999999</v>
      </c>
      <c r="AO28">
        <v>31.2</v>
      </c>
      <c r="AP28">
        <v>0.5</v>
      </c>
      <c r="AQ28" t="s">
        <v>331</v>
      </c>
      <c r="AR28">
        <v>2</v>
      </c>
      <c r="AS28">
        <v>1690203885.5</v>
      </c>
      <c r="AT28">
        <v>762.452</v>
      </c>
      <c r="AU28">
        <v>799.96500000000003</v>
      </c>
      <c r="AV28">
        <v>13.5817</v>
      </c>
      <c r="AW28">
        <v>8.2899499999999993</v>
      </c>
      <c r="AX28">
        <v>763.42200000000003</v>
      </c>
      <c r="AY28">
        <v>13.5687</v>
      </c>
      <c r="AZ28">
        <v>300.09500000000003</v>
      </c>
      <c r="BA28">
        <v>99.031800000000004</v>
      </c>
      <c r="BB28">
        <v>9.9944900000000003E-2</v>
      </c>
      <c r="BC28">
        <v>26.3812</v>
      </c>
      <c r="BD28">
        <v>28.4541</v>
      </c>
      <c r="BE28">
        <v>27.921500000000002</v>
      </c>
      <c r="BF28">
        <v>0</v>
      </c>
      <c r="BG28">
        <v>0</v>
      </c>
      <c r="BH28">
        <v>9998.1200000000008</v>
      </c>
      <c r="BI28">
        <v>1086.9000000000001</v>
      </c>
      <c r="BJ28">
        <v>1.28952</v>
      </c>
      <c r="BK28">
        <v>-37.512599999999999</v>
      </c>
      <c r="BL28">
        <v>772.95</v>
      </c>
      <c r="BM28">
        <v>806.65200000000004</v>
      </c>
      <c r="BN28">
        <v>5.2917500000000004</v>
      </c>
      <c r="BO28">
        <v>799.96500000000003</v>
      </c>
      <c r="BP28">
        <v>8.2899499999999993</v>
      </c>
      <c r="BQ28">
        <v>1.3450200000000001</v>
      </c>
      <c r="BR28">
        <v>0.82096800000000003</v>
      </c>
      <c r="BS28">
        <v>11.3116</v>
      </c>
      <c r="BT28">
        <v>4.0751200000000001</v>
      </c>
      <c r="BU28">
        <v>1799.98</v>
      </c>
      <c r="BV28">
        <v>0.90999099999999999</v>
      </c>
      <c r="BW28">
        <v>3.4001400000000001E-2</v>
      </c>
      <c r="BX28">
        <v>2.2000700000000002E-2</v>
      </c>
      <c r="BY28">
        <v>3.4006500000000002E-2</v>
      </c>
      <c r="BZ28">
        <v>25</v>
      </c>
      <c r="CA28">
        <v>33527.9</v>
      </c>
      <c r="CB28">
        <v>1690203121.0999999</v>
      </c>
      <c r="CC28" t="s">
        <v>332</v>
      </c>
      <c r="CD28">
        <v>1690203121.0999999</v>
      </c>
      <c r="CE28">
        <v>1690203121.0999999</v>
      </c>
      <c r="CF28">
        <v>3</v>
      </c>
      <c r="CG28">
        <v>0.53600000000000003</v>
      </c>
      <c r="CH28">
        <v>-0.01</v>
      </c>
      <c r="CI28">
        <v>-0.996</v>
      </c>
      <c r="CJ28">
        <v>-6.6000000000000003E-2</v>
      </c>
      <c r="CK28">
        <v>800</v>
      </c>
      <c r="CL28">
        <v>9</v>
      </c>
      <c r="CM28">
        <v>0.82</v>
      </c>
      <c r="CN28">
        <v>0.01</v>
      </c>
      <c r="CO28">
        <v>-27.858197560975611</v>
      </c>
      <c r="CP28">
        <v>-51.206086411149847</v>
      </c>
      <c r="CQ28">
        <v>5.049299535554427</v>
      </c>
      <c r="CR28">
        <v>-1</v>
      </c>
      <c r="CS28">
        <v>5.3009485365853646</v>
      </c>
      <c r="CT28">
        <v>-0.1066101742160334</v>
      </c>
      <c r="CU28">
        <v>1.064567599406502E-2</v>
      </c>
      <c r="CV28">
        <v>-1</v>
      </c>
      <c r="CW28">
        <v>0</v>
      </c>
      <c r="CX28">
        <v>0</v>
      </c>
      <c r="CY28" t="s">
        <v>333</v>
      </c>
      <c r="CZ28">
        <v>2.3645999999999998</v>
      </c>
      <c r="DA28">
        <v>2.71373</v>
      </c>
      <c r="DB28">
        <v>0.14208899999999999</v>
      </c>
      <c r="DC28">
        <v>0.146202</v>
      </c>
      <c r="DD28">
        <v>7.5857099999999997E-2</v>
      </c>
      <c r="DE28">
        <v>5.1156500000000001E-2</v>
      </c>
      <c r="DF28">
        <v>31295.3</v>
      </c>
      <c r="DG28">
        <v>27449.3</v>
      </c>
      <c r="DH28">
        <v>31140.799999999999</v>
      </c>
      <c r="DI28">
        <v>28012.9</v>
      </c>
      <c r="DJ28">
        <v>39077.9</v>
      </c>
      <c r="DK28">
        <v>37772.699999999997</v>
      </c>
      <c r="DL28">
        <v>44308.3</v>
      </c>
      <c r="DM28">
        <v>42429.4</v>
      </c>
      <c r="DN28">
        <v>1.4699</v>
      </c>
      <c r="DO28">
        <v>2.0577000000000001</v>
      </c>
      <c r="DP28">
        <v>0.16587199999999999</v>
      </c>
      <c r="DQ28">
        <v>0.13456099999999999</v>
      </c>
      <c r="DR28">
        <v>25.741900000000001</v>
      </c>
      <c r="DS28">
        <v>25.720300000000002</v>
      </c>
      <c r="DT28">
        <v>27.3</v>
      </c>
      <c r="DU28">
        <v>27.1</v>
      </c>
      <c r="DV28">
        <v>9.9243400000000008</v>
      </c>
      <c r="DW28">
        <v>62.625500000000002</v>
      </c>
      <c r="DX28">
        <v>36.5745</v>
      </c>
      <c r="DY28">
        <v>1</v>
      </c>
      <c r="DZ28">
        <v>-0.101095</v>
      </c>
      <c r="EA28">
        <v>9.2810500000000005</v>
      </c>
      <c r="EB28">
        <v>19.898199999999999</v>
      </c>
      <c r="EC28">
        <v>5.2408000000000001</v>
      </c>
      <c r="ED28">
        <v>12.039899999999999</v>
      </c>
      <c r="EE28">
        <v>5.0168499999999998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1.8645499999999999</v>
      </c>
      <c r="EM28">
        <v>1.8690599999999999</v>
      </c>
      <c r="EN28">
        <v>1.8672200000000001</v>
      </c>
      <c r="EO28">
        <v>1.86334</v>
      </c>
      <c r="EP28">
        <v>1.86446</v>
      </c>
      <c r="EQ28">
        <v>1.87012</v>
      </c>
      <c r="ER28">
        <v>1.8693500000000001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-0.97</v>
      </c>
      <c r="FG28">
        <v>1.2999999999999999E-2</v>
      </c>
      <c r="FH28">
        <v>-0.44422204735670362</v>
      </c>
      <c r="FI28">
        <v>-6.1462078757559423E-4</v>
      </c>
      <c r="FJ28">
        <v>-1.8861989874597051E-7</v>
      </c>
      <c r="FK28">
        <v>1.1980462299894961E-10</v>
      </c>
      <c r="FL28">
        <v>-5.4907600448225742E-2</v>
      </c>
      <c r="FM28">
        <v>-1.6848085045870601E-2</v>
      </c>
      <c r="FN28">
        <v>1.9789084769509481E-3</v>
      </c>
      <c r="FO28">
        <v>-2.7142391389806329E-5</v>
      </c>
      <c r="FP28">
        <v>3</v>
      </c>
      <c r="FQ28">
        <v>2158</v>
      </c>
      <c r="FR28">
        <v>1</v>
      </c>
      <c r="FS28">
        <v>19</v>
      </c>
      <c r="FT28">
        <v>12.7</v>
      </c>
      <c r="FU28">
        <v>12.7</v>
      </c>
      <c r="FV28">
        <v>1.78101</v>
      </c>
      <c r="FW28">
        <v>2.5524900000000001</v>
      </c>
      <c r="FX28">
        <v>1.5490699999999999</v>
      </c>
      <c r="FY28">
        <v>2.33643</v>
      </c>
      <c r="FZ28">
        <v>1.50146</v>
      </c>
      <c r="GA28">
        <v>2.3828100000000001</v>
      </c>
      <c r="GB28">
        <v>31.9146</v>
      </c>
      <c r="GC28">
        <v>23.886099999999999</v>
      </c>
      <c r="GD28">
        <v>19</v>
      </c>
      <c r="GE28">
        <v>278.46800000000002</v>
      </c>
      <c r="GF28">
        <v>595.99699999999996</v>
      </c>
      <c r="GG28">
        <v>18.546800000000001</v>
      </c>
      <c r="GH28">
        <v>25.9373</v>
      </c>
      <c r="GI28">
        <v>30.0001</v>
      </c>
      <c r="GJ28">
        <v>25.953700000000001</v>
      </c>
      <c r="GK28">
        <v>25.910699999999999</v>
      </c>
      <c r="GL28">
        <v>35.604999999999997</v>
      </c>
      <c r="GM28">
        <v>-30</v>
      </c>
      <c r="GN28">
        <v>-30</v>
      </c>
      <c r="GO28">
        <v>11.8454</v>
      </c>
      <c r="GP28">
        <v>800</v>
      </c>
      <c r="GQ28">
        <v>12.5298</v>
      </c>
      <c r="GR28">
        <v>99.626599999999996</v>
      </c>
      <c r="GS28">
        <v>99.283600000000007</v>
      </c>
    </row>
    <row r="29" spans="1:201" x14ac:dyDescent="0.25">
      <c r="A29">
        <v>13</v>
      </c>
      <c r="B29">
        <v>1690203895.5</v>
      </c>
      <c r="C29">
        <v>455.90000009536737</v>
      </c>
      <c r="D29" t="s">
        <v>359</v>
      </c>
      <c r="E29" t="s">
        <v>360</v>
      </c>
      <c r="F29" t="s">
        <v>330</v>
      </c>
      <c r="H29">
        <v>1690203895.5</v>
      </c>
      <c r="I29">
        <f t="shared" si="0"/>
        <v>5.2124014842515375E-4</v>
      </c>
      <c r="J29">
        <f t="shared" si="1"/>
        <v>0.52124014842515376</v>
      </c>
      <c r="K29">
        <f t="shared" si="2"/>
        <v>4.0278531010772536</v>
      </c>
      <c r="L29">
        <f t="shared" si="3"/>
        <v>754.07899999999995</v>
      </c>
      <c r="M29">
        <f t="shared" si="4"/>
        <v>414.74301317108313</v>
      </c>
      <c r="N29">
        <f t="shared" si="5"/>
        <v>41.113356693890708</v>
      </c>
      <c r="O29">
        <f t="shared" si="6"/>
        <v>74.751636357484983</v>
      </c>
      <c r="P29">
        <f t="shared" si="7"/>
        <v>2.0518830082886776E-2</v>
      </c>
      <c r="Q29">
        <f t="shared" si="8"/>
        <v>2.194363164072958</v>
      </c>
      <c r="R29">
        <f t="shared" si="9"/>
        <v>2.0412832714054814E-2</v>
      </c>
      <c r="S29">
        <f t="shared" si="10"/>
        <v>1.2767498140642236E-2</v>
      </c>
      <c r="T29">
        <f t="shared" si="11"/>
        <v>276.10991116944865</v>
      </c>
      <c r="U29">
        <f t="shared" si="12"/>
        <v>28.095227610645214</v>
      </c>
      <c r="V29">
        <f t="shared" si="13"/>
        <v>28.095227610645214</v>
      </c>
      <c r="W29">
        <f t="shared" si="14"/>
        <v>3.8159576009803602</v>
      </c>
      <c r="X29">
        <f t="shared" si="15"/>
        <v>39.684687485559785</v>
      </c>
      <c r="Y29">
        <f t="shared" si="16"/>
        <v>1.3506522798464997</v>
      </c>
      <c r="Z29">
        <f t="shared" si="17"/>
        <v>3.4034595342043872</v>
      </c>
      <c r="AA29">
        <f t="shared" si="18"/>
        <v>2.4653053211338607</v>
      </c>
      <c r="AB29">
        <f t="shared" si="19"/>
        <v>-22.98669054554928</v>
      </c>
      <c r="AC29">
        <f t="shared" si="20"/>
        <v>-230.6340036130226</v>
      </c>
      <c r="AD29">
        <f t="shared" si="21"/>
        <v>-22.710016494752313</v>
      </c>
      <c r="AE29">
        <f t="shared" si="22"/>
        <v>-0.22079948387553827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52544.923512040899</v>
      </c>
      <c r="AK29">
        <f t="shared" si="26"/>
        <v>1799.97</v>
      </c>
      <c r="AL29">
        <f t="shared" si="27"/>
        <v>1499.0872415962201</v>
      </c>
      <c r="AM29">
        <f t="shared" si="28"/>
        <v>0.83284012600000001</v>
      </c>
      <c r="AN29">
        <f t="shared" si="29"/>
        <v>0.15339695170999998</v>
      </c>
      <c r="AO29">
        <v>31.2</v>
      </c>
      <c r="AP29">
        <v>0.5</v>
      </c>
      <c r="AQ29" t="s">
        <v>331</v>
      </c>
      <c r="AR29">
        <v>2</v>
      </c>
      <c r="AS29">
        <v>1690203895.5</v>
      </c>
      <c r="AT29">
        <v>754.07899999999995</v>
      </c>
      <c r="AU29">
        <v>800.02200000000005</v>
      </c>
      <c r="AV29">
        <v>13.6251</v>
      </c>
      <c r="AW29">
        <v>8.2820699999999992</v>
      </c>
      <c r="AX29">
        <v>755.04300000000001</v>
      </c>
      <c r="AY29">
        <v>13.6111</v>
      </c>
      <c r="AZ29">
        <v>300.22500000000002</v>
      </c>
      <c r="BA29">
        <v>99.029799999999994</v>
      </c>
      <c r="BB29">
        <v>9.9915000000000004E-2</v>
      </c>
      <c r="BC29">
        <v>26.145700000000001</v>
      </c>
      <c r="BD29">
        <v>28.383700000000001</v>
      </c>
      <c r="BE29">
        <v>27.63</v>
      </c>
      <c r="BF29">
        <v>0</v>
      </c>
      <c r="BG29">
        <v>0</v>
      </c>
      <c r="BH29">
        <v>10006.200000000001</v>
      </c>
      <c r="BI29">
        <v>1085.0899999999999</v>
      </c>
      <c r="BJ29">
        <v>1.3035399999999999</v>
      </c>
      <c r="BK29">
        <v>-45.943399999999997</v>
      </c>
      <c r="BL29">
        <v>764.495</v>
      </c>
      <c r="BM29">
        <v>806.70399999999995</v>
      </c>
      <c r="BN29">
        <v>5.3430099999999996</v>
      </c>
      <c r="BO29">
        <v>800.02200000000005</v>
      </c>
      <c r="BP29">
        <v>8.2820699999999992</v>
      </c>
      <c r="BQ29">
        <v>1.3492900000000001</v>
      </c>
      <c r="BR29">
        <v>0.82017200000000001</v>
      </c>
      <c r="BS29">
        <v>11.359400000000001</v>
      </c>
      <c r="BT29">
        <v>4.0613099999999998</v>
      </c>
      <c r="BU29">
        <v>1799.97</v>
      </c>
      <c r="BV29">
        <v>0.91000899999999996</v>
      </c>
      <c r="BW29">
        <v>3.4000000000000002E-2</v>
      </c>
      <c r="BX29">
        <v>2.1994300000000001E-2</v>
      </c>
      <c r="BY29">
        <v>3.3996699999999998E-2</v>
      </c>
      <c r="BZ29">
        <v>25</v>
      </c>
      <c r="CA29">
        <v>33528</v>
      </c>
      <c r="CB29">
        <v>1690203121.0999999</v>
      </c>
      <c r="CC29" t="s">
        <v>332</v>
      </c>
      <c r="CD29">
        <v>1690203121.0999999</v>
      </c>
      <c r="CE29">
        <v>1690203121.0999999</v>
      </c>
      <c r="CF29">
        <v>3</v>
      </c>
      <c r="CG29">
        <v>0.53600000000000003</v>
      </c>
      <c r="CH29">
        <v>-0.01</v>
      </c>
      <c r="CI29">
        <v>-0.996</v>
      </c>
      <c r="CJ29">
        <v>-6.6000000000000003E-2</v>
      </c>
      <c r="CK29">
        <v>800</v>
      </c>
      <c r="CL29">
        <v>9</v>
      </c>
      <c r="CM29">
        <v>0.82</v>
      </c>
      <c r="CN29">
        <v>0.01</v>
      </c>
      <c r="CO29">
        <v>-37.114712195121953</v>
      </c>
      <c r="CP29">
        <v>-49.77219303135891</v>
      </c>
      <c r="CQ29">
        <v>4.9076677159167241</v>
      </c>
      <c r="CR29">
        <v>-1</v>
      </c>
      <c r="CS29">
        <v>5.2999321951219516</v>
      </c>
      <c r="CT29">
        <v>0.1080342857142885</v>
      </c>
      <c r="CU29">
        <v>1.3832176964298981E-2</v>
      </c>
      <c r="CV29">
        <v>-1</v>
      </c>
      <c r="CW29">
        <v>0</v>
      </c>
      <c r="CX29">
        <v>0</v>
      </c>
      <c r="CY29" t="s">
        <v>333</v>
      </c>
      <c r="CZ29">
        <v>2.3649900000000001</v>
      </c>
      <c r="DA29">
        <v>2.7137099999999998</v>
      </c>
      <c r="DB29">
        <v>0.14103199999999999</v>
      </c>
      <c r="DC29">
        <v>0.146204</v>
      </c>
      <c r="DD29">
        <v>7.6031399999999999E-2</v>
      </c>
      <c r="DE29">
        <v>5.1116500000000002E-2</v>
      </c>
      <c r="DF29">
        <v>31332.7</v>
      </c>
      <c r="DG29">
        <v>27448.6</v>
      </c>
      <c r="DH29">
        <v>31139.7</v>
      </c>
      <c r="DI29">
        <v>28012.400000000001</v>
      </c>
      <c r="DJ29">
        <v>39069</v>
      </c>
      <c r="DK29">
        <v>37773.5</v>
      </c>
      <c r="DL29">
        <v>44306.8</v>
      </c>
      <c r="DM29">
        <v>42428.4</v>
      </c>
      <c r="DN29">
        <v>1.4702999999999999</v>
      </c>
      <c r="DO29">
        <v>2.0571999999999999</v>
      </c>
      <c r="DP29">
        <v>0.16361500000000001</v>
      </c>
      <c r="DQ29">
        <v>0.122074</v>
      </c>
      <c r="DR29">
        <v>25.708200000000001</v>
      </c>
      <c r="DS29">
        <v>25.632400000000001</v>
      </c>
      <c r="DT29">
        <v>27.2</v>
      </c>
      <c r="DU29">
        <v>27.1</v>
      </c>
      <c r="DV29">
        <v>9.8882100000000008</v>
      </c>
      <c r="DW29">
        <v>62.555500000000002</v>
      </c>
      <c r="DX29">
        <v>36.730800000000002</v>
      </c>
      <c r="DY29">
        <v>1</v>
      </c>
      <c r="DZ29">
        <v>-0.100013</v>
      </c>
      <c r="EA29">
        <v>9.2810500000000005</v>
      </c>
      <c r="EB29">
        <v>19.901599999999998</v>
      </c>
      <c r="EC29">
        <v>5.24125</v>
      </c>
      <c r="ED29">
        <v>12.039899999999999</v>
      </c>
      <c r="EE29">
        <v>5.0168499999999998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1.8688899999999999</v>
      </c>
      <c r="EL29">
        <v>1.86453</v>
      </c>
      <c r="EM29">
        <v>1.8690599999999999</v>
      </c>
      <c r="EN29">
        <v>1.86721</v>
      </c>
      <c r="EO29">
        <v>1.8633500000000001</v>
      </c>
      <c r="EP29">
        <v>1.8644400000000001</v>
      </c>
      <c r="EQ29">
        <v>1.87012</v>
      </c>
      <c r="ER29">
        <v>1.8693500000000001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-0.96399999999999997</v>
      </c>
      <c r="FG29">
        <v>1.4E-2</v>
      </c>
      <c r="FH29">
        <v>-0.44422204735670362</v>
      </c>
      <c r="FI29">
        <v>-6.1462078757559423E-4</v>
      </c>
      <c r="FJ29">
        <v>-1.8861989874597051E-7</v>
      </c>
      <c r="FK29">
        <v>1.1980462299894961E-10</v>
      </c>
      <c r="FL29">
        <v>-5.4907600448225742E-2</v>
      </c>
      <c r="FM29">
        <v>-1.6848085045870601E-2</v>
      </c>
      <c r="FN29">
        <v>1.9789084769509481E-3</v>
      </c>
      <c r="FO29">
        <v>-2.7142391389806329E-5</v>
      </c>
      <c r="FP29">
        <v>3</v>
      </c>
      <c r="FQ29">
        <v>2158</v>
      </c>
      <c r="FR29">
        <v>1</v>
      </c>
      <c r="FS29">
        <v>19</v>
      </c>
      <c r="FT29">
        <v>12.9</v>
      </c>
      <c r="FU29">
        <v>12.9</v>
      </c>
      <c r="FV29">
        <v>1.78101</v>
      </c>
      <c r="FW29">
        <v>2.5598100000000001</v>
      </c>
      <c r="FX29">
        <v>1.5490699999999999</v>
      </c>
      <c r="FY29">
        <v>2.33643</v>
      </c>
      <c r="FZ29">
        <v>1.50146</v>
      </c>
      <c r="GA29">
        <v>2.2827099999999998</v>
      </c>
      <c r="GB29">
        <v>31.936499999999999</v>
      </c>
      <c r="GC29">
        <v>23.877400000000002</v>
      </c>
      <c r="GD29">
        <v>19</v>
      </c>
      <c r="GE29">
        <v>278.67200000000003</v>
      </c>
      <c r="GF29">
        <v>595.64700000000005</v>
      </c>
      <c r="GG29">
        <v>17.738700000000001</v>
      </c>
      <c r="GH29">
        <v>25.956900000000001</v>
      </c>
      <c r="GI29">
        <v>30.000499999999999</v>
      </c>
      <c r="GJ29">
        <v>25.9619</v>
      </c>
      <c r="GK29">
        <v>25.916699999999999</v>
      </c>
      <c r="GL29">
        <v>35.604199999999999</v>
      </c>
      <c r="GM29">
        <v>-30</v>
      </c>
      <c r="GN29">
        <v>-30</v>
      </c>
      <c r="GO29">
        <v>11.8461</v>
      </c>
      <c r="GP29">
        <v>800</v>
      </c>
      <c r="GQ29">
        <v>12.5298</v>
      </c>
      <c r="GR29">
        <v>99.6233</v>
      </c>
      <c r="GS29">
        <v>99.281499999999994</v>
      </c>
    </row>
    <row r="30" spans="1:201" x14ac:dyDescent="0.25">
      <c r="A30">
        <v>14</v>
      </c>
      <c r="B30">
        <v>1690203905.5</v>
      </c>
      <c r="C30">
        <v>465.90000009536737</v>
      </c>
      <c r="D30" t="s">
        <v>361</v>
      </c>
      <c r="E30" t="s">
        <v>362</v>
      </c>
      <c r="F30" t="s">
        <v>330</v>
      </c>
      <c r="H30">
        <v>1690203905.5</v>
      </c>
      <c r="I30">
        <f t="shared" si="0"/>
        <v>5.3396633359903986E-4</v>
      </c>
      <c r="J30">
        <f t="shared" si="1"/>
        <v>0.53396633359903989</v>
      </c>
      <c r="K30">
        <f t="shared" si="2"/>
        <v>4.9096858712980618</v>
      </c>
      <c r="L30">
        <f t="shared" si="3"/>
        <v>744.81100000000004</v>
      </c>
      <c r="M30">
        <f t="shared" si="4"/>
        <v>358.39107571980594</v>
      </c>
      <c r="N30">
        <f t="shared" si="5"/>
        <v>35.529733858721634</v>
      </c>
      <c r="O30">
        <f t="shared" si="6"/>
        <v>73.838157247356605</v>
      </c>
      <c r="P30">
        <f t="shared" si="7"/>
        <v>2.1649495957815356E-2</v>
      </c>
      <c r="Q30">
        <f t="shared" si="8"/>
        <v>2.1956776882015534</v>
      </c>
      <c r="R30">
        <f t="shared" si="9"/>
        <v>2.1531601470244899E-2</v>
      </c>
      <c r="S30">
        <f t="shared" si="10"/>
        <v>1.3467789645649705E-2</v>
      </c>
      <c r="T30">
        <f t="shared" si="11"/>
        <v>276.11333103201122</v>
      </c>
      <c r="U30">
        <f t="shared" si="12"/>
        <v>27.832216857560155</v>
      </c>
      <c r="V30">
        <f t="shared" si="13"/>
        <v>27.832216857560155</v>
      </c>
      <c r="W30">
        <f t="shared" si="14"/>
        <v>3.757879661334091</v>
      </c>
      <c r="X30">
        <f t="shared" si="15"/>
        <v>40.659644595351459</v>
      </c>
      <c r="Y30">
        <f t="shared" si="16"/>
        <v>1.3628629264693799</v>
      </c>
      <c r="Z30">
        <f t="shared" si="17"/>
        <v>3.3518810605275027</v>
      </c>
      <c r="AA30">
        <f t="shared" si="18"/>
        <v>2.3950167348647113</v>
      </c>
      <c r="AB30">
        <f t="shared" si="19"/>
        <v>-23.547915311717659</v>
      </c>
      <c r="AC30">
        <f t="shared" si="20"/>
        <v>-230.19086153478489</v>
      </c>
      <c r="AD30">
        <f t="shared" si="21"/>
        <v>-22.593862202439794</v>
      </c>
      <c r="AE30">
        <f t="shared" si="22"/>
        <v>-0.21930801693113722</v>
      </c>
      <c r="AF30">
        <v>0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52644.413196454931</v>
      </c>
      <c r="AK30">
        <f t="shared" si="26"/>
        <v>1799.98</v>
      </c>
      <c r="AL30">
        <f t="shared" si="27"/>
        <v>1499.09879736162</v>
      </c>
      <c r="AM30">
        <f t="shared" si="28"/>
        <v>0.83284191899999993</v>
      </c>
      <c r="AN30">
        <f t="shared" si="29"/>
        <v>0.15339799944000002</v>
      </c>
      <c r="AO30">
        <v>31.2</v>
      </c>
      <c r="AP30">
        <v>0.5</v>
      </c>
      <c r="AQ30" t="s">
        <v>331</v>
      </c>
      <c r="AR30">
        <v>2</v>
      </c>
      <c r="AS30">
        <v>1690203905.5</v>
      </c>
      <c r="AT30">
        <v>744.81100000000004</v>
      </c>
      <c r="AU30">
        <v>799.97199999999998</v>
      </c>
      <c r="AV30">
        <v>13.747299999999999</v>
      </c>
      <c r="AW30">
        <v>8.2739499999999992</v>
      </c>
      <c r="AX30">
        <v>745.76900000000001</v>
      </c>
      <c r="AY30">
        <v>13.730700000000001</v>
      </c>
      <c r="AZ30">
        <v>300.19499999999999</v>
      </c>
      <c r="BA30">
        <v>99.036799999999999</v>
      </c>
      <c r="BB30">
        <v>9.9970600000000007E-2</v>
      </c>
      <c r="BC30">
        <v>25.887599999999999</v>
      </c>
      <c r="BD30">
        <v>28.090800000000002</v>
      </c>
      <c r="BE30">
        <v>27.323699999999999</v>
      </c>
      <c r="BF30">
        <v>0</v>
      </c>
      <c r="BG30">
        <v>0</v>
      </c>
      <c r="BH30">
        <v>10016.200000000001</v>
      </c>
      <c r="BI30">
        <v>1082.97</v>
      </c>
      <c r="BJ30">
        <v>1.30914</v>
      </c>
      <c r="BK30">
        <v>-55.161200000000001</v>
      </c>
      <c r="BL30">
        <v>755.19299999999998</v>
      </c>
      <c r="BM30">
        <v>806.64700000000005</v>
      </c>
      <c r="BN30">
        <v>5.4733799999999997</v>
      </c>
      <c r="BO30">
        <v>799.97199999999998</v>
      </c>
      <c r="BP30">
        <v>8.2739499999999992</v>
      </c>
      <c r="BQ30">
        <v>1.3614900000000001</v>
      </c>
      <c r="BR30">
        <v>0.81942499999999996</v>
      </c>
      <c r="BS30">
        <v>11.4954</v>
      </c>
      <c r="BT30">
        <v>4.0483399999999996</v>
      </c>
      <c r="BU30">
        <v>1799.98</v>
      </c>
      <c r="BV30">
        <v>0.91000599999999998</v>
      </c>
      <c r="BW30">
        <v>3.3997800000000002E-2</v>
      </c>
      <c r="BX30">
        <v>2.2008699999999999E-2</v>
      </c>
      <c r="BY30">
        <v>3.3987799999999999E-2</v>
      </c>
      <c r="BZ30">
        <v>25</v>
      </c>
      <c r="CA30">
        <v>33527.9</v>
      </c>
      <c r="CB30">
        <v>1690203121.0999999</v>
      </c>
      <c r="CC30" t="s">
        <v>332</v>
      </c>
      <c r="CD30">
        <v>1690203121.0999999</v>
      </c>
      <c r="CE30">
        <v>1690203121.0999999</v>
      </c>
      <c r="CF30">
        <v>3</v>
      </c>
      <c r="CG30">
        <v>0.53600000000000003</v>
      </c>
      <c r="CH30">
        <v>-0.01</v>
      </c>
      <c r="CI30">
        <v>-0.996</v>
      </c>
      <c r="CJ30">
        <v>-6.6000000000000003E-2</v>
      </c>
      <c r="CK30">
        <v>800</v>
      </c>
      <c r="CL30">
        <v>9</v>
      </c>
      <c r="CM30">
        <v>0.82</v>
      </c>
      <c r="CN30">
        <v>0.01</v>
      </c>
      <c r="CO30">
        <v>-45.602270731707307</v>
      </c>
      <c r="CP30">
        <v>-52.150883623693439</v>
      </c>
      <c r="CQ30">
        <v>5.1436115432093086</v>
      </c>
      <c r="CR30">
        <v>-1</v>
      </c>
      <c r="CS30">
        <v>5.3520843902439026</v>
      </c>
      <c r="CT30">
        <v>0.51559463414633999</v>
      </c>
      <c r="CU30">
        <v>5.2292076583443148E-2</v>
      </c>
      <c r="CV30">
        <v>-1</v>
      </c>
      <c r="CW30">
        <v>0</v>
      </c>
      <c r="CX30">
        <v>0</v>
      </c>
      <c r="CY30" t="s">
        <v>333</v>
      </c>
      <c r="CZ30">
        <v>2.3648799999999999</v>
      </c>
      <c r="DA30">
        <v>2.7137799999999999</v>
      </c>
      <c r="DB30">
        <v>0.13986899999999999</v>
      </c>
      <c r="DC30">
        <v>0.146206</v>
      </c>
      <c r="DD30">
        <v>7.6533199999999996E-2</v>
      </c>
      <c r="DE30">
        <v>5.1079699999999999E-2</v>
      </c>
      <c r="DF30">
        <v>31374.400000000001</v>
      </c>
      <c r="DG30">
        <v>27447.4</v>
      </c>
      <c r="DH30">
        <v>31139.1</v>
      </c>
      <c r="DI30">
        <v>28011.3</v>
      </c>
      <c r="DJ30">
        <v>39046.6</v>
      </c>
      <c r="DK30">
        <v>37773.599999999999</v>
      </c>
      <c r="DL30">
        <v>44305.7</v>
      </c>
      <c r="DM30">
        <v>42426.9</v>
      </c>
      <c r="DN30">
        <v>1.47055</v>
      </c>
      <c r="DO30">
        <v>2.05687</v>
      </c>
      <c r="DP30">
        <v>0.14854999999999999</v>
      </c>
      <c r="DQ30">
        <v>0.109334</v>
      </c>
      <c r="DR30">
        <v>25.661000000000001</v>
      </c>
      <c r="DS30">
        <v>25.533999999999999</v>
      </c>
      <c r="DT30">
        <v>27.2</v>
      </c>
      <c r="DU30">
        <v>27.1</v>
      </c>
      <c r="DV30">
        <v>9.8883600000000005</v>
      </c>
      <c r="DW30">
        <v>62.575499999999998</v>
      </c>
      <c r="DX30">
        <v>35.901400000000002</v>
      </c>
      <c r="DY30">
        <v>1</v>
      </c>
      <c r="DZ30">
        <v>-9.8902400000000001E-2</v>
      </c>
      <c r="EA30">
        <v>9.2810500000000005</v>
      </c>
      <c r="EB30">
        <v>19.904299999999999</v>
      </c>
      <c r="EC30">
        <v>5.2408000000000001</v>
      </c>
      <c r="ED30">
        <v>12.039899999999999</v>
      </c>
      <c r="EE30">
        <v>5.0168499999999998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1.8688899999999999</v>
      </c>
      <c r="EL30">
        <v>1.8645400000000001</v>
      </c>
      <c r="EM30">
        <v>1.8690800000000001</v>
      </c>
      <c r="EN30">
        <v>1.86721</v>
      </c>
      <c r="EO30">
        <v>1.8633500000000001</v>
      </c>
      <c r="EP30">
        <v>1.86446</v>
      </c>
      <c r="EQ30">
        <v>1.87012</v>
      </c>
      <c r="ER30">
        <v>1.8693500000000001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-0.95799999999999996</v>
      </c>
      <c r="FG30">
        <v>1.66E-2</v>
      </c>
      <c r="FH30">
        <v>-0.44422204735670362</v>
      </c>
      <c r="FI30">
        <v>-6.1462078757559423E-4</v>
      </c>
      <c r="FJ30">
        <v>-1.8861989874597051E-7</v>
      </c>
      <c r="FK30">
        <v>1.1980462299894961E-10</v>
      </c>
      <c r="FL30">
        <v>-5.4907600448225742E-2</v>
      </c>
      <c r="FM30">
        <v>-1.6848085045870601E-2</v>
      </c>
      <c r="FN30">
        <v>1.9789084769509481E-3</v>
      </c>
      <c r="FO30">
        <v>-2.7142391389806329E-5</v>
      </c>
      <c r="FP30">
        <v>3</v>
      </c>
      <c r="FQ30">
        <v>2158</v>
      </c>
      <c r="FR30">
        <v>1</v>
      </c>
      <c r="FS30">
        <v>19</v>
      </c>
      <c r="FT30">
        <v>13.1</v>
      </c>
      <c r="FU30">
        <v>13.1</v>
      </c>
      <c r="FV30">
        <v>1.78101</v>
      </c>
      <c r="FW30">
        <v>2.5549300000000001</v>
      </c>
      <c r="FX30">
        <v>1.5490699999999999</v>
      </c>
      <c r="FY30">
        <v>2.33643</v>
      </c>
      <c r="FZ30">
        <v>1.50146</v>
      </c>
      <c r="GA30">
        <v>2.36206</v>
      </c>
      <c r="GB30">
        <v>31.958500000000001</v>
      </c>
      <c r="GC30">
        <v>23.886099999999999</v>
      </c>
      <c r="GD30">
        <v>19</v>
      </c>
      <c r="GE30">
        <v>278.82400000000001</v>
      </c>
      <c r="GF30">
        <v>595.45100000000002</v>
      </c>
      <c r="GG30">
        <v>17.061900000000001</v>
      </c>
      <c r="GH30">
        <v>25.980899999999998</v>
      </c>
      <c r="GI30">
        <v>30.000699999999998</v>
      </c>
      <c r="GJ30">
        <v>25.9727</v>
      </c>
      <c r="GK30">
        <v>25.923200000000001</v>
      </c>
      <c r="GL30">
        <v>35.606200000000001</v>
      </c>
      <c r="GM30">
        <v>-30</v>
      </c>
      <c r="GN30">
        <v>-30</v>
      </c>
      <c r="GO30">
        <v>11.9681</v>
      </c>
      <c r="GP30">
        <v>800</v>
      </c>
      <c r="GQ30">
        <v>12.5298</v>
      </c>
      <c r="GR30">
        <v>99.620999999999995</v>
      </c>
      <c r="GS30">
        <v>99.277799999999999</v>
      </c>
    </row>
    <row r="31" spans="1:201" x14ac:dyDescent="0.25">
      <c r="A31">
        <v>15</v>
      </c>
      <c r="B31">
        <v>1690203915.5</v>
      </c>
      <c r="C31">
        <v>475.90000009536737</v>
      </c>
      <c r="D31" t="s">
        <v>363</v>
      </c>
      <c r="E31" t="s">
        <v>364</v>
      </c>
      <c r="F31" t="s">
        <v>330</v>
      </c>
      <c r="H31">
        <v>1690203915.5</v>
      </c>
      <c r="I31">
        <f t="shared" si="0"/>
        <v>5.5320632507959203E-4</v>
      </c>
      <c r="J31">
        <f t="shared" si="1"/>
        <v>0.553206325079592</v>
      </c>
      <c r="K31">
        <f t="shared" si="2"/>
        <v>5.9072568044995393</v>
      </c>
      <c r="L31">
        <f t="shared" si="3"/>
        <v>734.274</v>
      </c>
      <c r="M31">
        <f t="shared" si="4"/>
        <v>303.39810821422844</v>
      </c>
      <c r="N31">
        <f t="shared" si="5"/>
        <v>30.077652647184234</v>
      </c>
      <c r="O31">
        <f t="shared" si="6"/>
        <v>72.792933515143204</v>
      </c>
      <c r="P31">
        <f t="shared" si="7"/>
        <v>2.311689680859504E-2</v>
      </c>
      <c r="Q31">
        <f t="shared" si="8"/>
        <v>2.1935248033907682</v>
      </c>
      <c r="R31">
        <f t="shared" si="9"/>
        <v>2.2982401427705121E-2</v>
      </c>
      <c r="S31">
        <f t="shared" si="10"/>
        <v>1.4376019427865056E-2</v>
      </c>
      <c r="T31">
        <f t="shared" si="11"/>
        <v>276.11162544287703</v>
      </c>
      <c r="U31">
        <f t="shared" si="12"/>
        <v>27.598000864780058</v>
      </c>
      <c r="V31">
        <f t="shared" si="13"/>
        <v>27.598000864780058</v>
      </c>
      <c r="W31">
        <f t="shared" si="14"/>
        <v>3.7068109228157837</v>
      </c>
      <c r="X31">
        <f t="shared" si="15"/>
        <v>41.788969694752119</v>
      </c>
      <c r="Y31">
        <f t="shared" si="16"/>
        <v>1.3817664613310801</v>
      </c>
      <c r="Z31">
        <f t="shared" si="17"/>
        <v>3.3065339285084194</v>
      </c>
      <c r="AA31">
        <f t="shared" si="18"/>
        <v>2.3250444614847039</v>
      </c>
      <c r="AB31">
        <f t="shared" si="19"/>
        <v>-24.396398936010009</v>
      </c>
      <c r="AC31">
        <f t="shared" si="20"/>
        <v>-229.44293357718465</v>
      </c>
      <c r="AD31">
        <f t="shared" si="21"/>
        <v>-22.490269041836616</v>
      </c>
      <c r="AE31">
        <f t="shared" si="22"/>
        <v>-0.21797611215424695</v>
      </c>
      <c r="AF31">
        <v>0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52596.473603100101</v>
      </c>
      <c r="AK31">
        <f t="shared" si="26"/>
        <v>1799.97</v>
      </c>
      <c r="AL31">
        <f t="shared" si="27"/>
        <v>1499.08513383135</v>
      </c>
      <c r="AM31">
        <f t="shared" si="28"/>
        <v>0.83283895500000005</v>
      </c>
      <c r="AN31">
        <f t="shared" si="29"/>
        <v>0.15339790410000001</v>
      </c>
      <c r="AO31">
        <v>31.2</v>
      </c>
      <c r="AP31">
        <v>0.5</v>
      </c>
      <c r="AQ31" t="s">
        <v>331</v>
      </c>
      <c r="AR31">
        <v>2</v>
      </c>
      <c r="AS31">
        <v>1690203915.5</v>
      </c>
      <c r="AT31">
        <v>734.274</v>
      </c>
      <c r="AU31">
        <v>799.92700000000002</v>
      </c>
      <c r="AV31">
        <v>13.9381</v>
      </c>
      <c r="AW31">
        <v>8.2655499999999993</v>
      </c>
      <c r="AX31">
        <v>735.22500000000002</v>
      </c>
      <c r="AY31">
        <v>13.917299999999999</v>
      </c>
      <c r="AZ31">
        <v>300.03199999999998</v>
      </c>
      <c r="BA31">
        <v>99.036000000000001</v>
      </c>
      <c r="BB31">
        <v>9.9926799999999996E-2</v>
      </c>
      <c r="BC31">
        <v>25.657800000000002</v>
      </c>
      <c r="BD31">
        <v>27.767700000000001</v>
      </c>
      <c r="BE31">
        <v>27.069700000000001</v>
      </c>
      <c r="BF31">
        <v>0</v>
      </c>
      <c r="BG31">
        <v>0</v>
      </c>
      <c r="BH31">
        <v>9998.75</v>
      </c>
      <c r="BI31">
        <v>1080.69</v>
      </c>
      <c r="BJ31">
        <v>1.33578</v>
      </c>
      <c r="BK31">
        <v>-65.652699999999996</v>
      </c>
      <c r="BL31">
        <v>744.65300000000002</v>
      </c>
      <c r="BM31">
        <v>806.59400000000005</v>
      </c>
      <c r="BN31">
        <v>5.6725500000000002</v>
      </c>
      <c r="BO31">
        <v>799.92700000000002</v>
      </c>
      <c r="BP31">
        <v>8.2655499999999993</v>
      </c>
      <c r="BQ31">
        <v>1.3803700000000001</v>
      </c>
      <c r="BR31">
        <v>0.81858699999999995</v>
      </c>
      <c r="BS31">
        <v>11.7037</v>
      </c>
      <c r="BT31">
        <v>4.0337699999999996</v>
      </c>
      <c r="BU31">
        <v>1799.97</v>
      </c>
      <c r="BV31">
        <v>0.90998100000000004</v>
      </c>
      <c r="BW31">
        <v>3.4003499999999999E-2</v>
      </c>
      <c r="BX31">
        <v>2.20045E-2</v>
      </c>
      <c r="BY31">
        <v>3.4011399999999997E-2</v>
      </c>
      <c r="BZ31">
        <v>25</v>
      </c>
      <c r="CA31">
        <v>33527.800000000003</v>
      </c>
      <c r="CB31">
        <v>1690203121.0999999</v>
      </c>
      <c r="CC31" t="s">
        <v>332</v>
      </c>
      <c r="CD31">
        <v>1690203121.0999999</v>
      </c>
      <c r="CE31">
        <v>1690203121.0999999</v>
      </c>
      <c r="CF31">
        <v>3</v>
      </c>
      <c r="CG31">
        <v>0.53600000000000003</v>
      </c>
      <c r="CH31">
        <v>-0.01</v>
      </c>
      <c r="CI31">
        <v>-0.996</v>
      </c>
      <c r="CJ31">
        <v>-6.6000000000000003E-2</v>
      </c>
      <c r="CK31">
        <v>800</v>
      </c>
      <c r="CL31">
        <v>9</v>
      </c>
      <c r="CM31">
        <v>0.82</v>
      </c>
      <c r="CN31">
        <v>0.01</v>
      </c>
      <c r="CO31">
        <v>-53.884143902439021</v>
      </c>
      <c r="CP31">
        <v>-58.036674564459958</v>
      </c>
      <c r="CQ31">
        <v>5.7264117519782438</v>
      </c>
      <c r="CR31">
        <v>-1</v>
      </c>
      <c r="CS31">
        <v>5.4612385365853653</v>
      </c>
      <c r="CT31">
        <v>0.93458864111499074</v>
      </c>
      <c r="CU31">
        <v>9.2878460328433374E-2</v>
      </c>
      <c r="CV31">
        <v>-1</v>
      </c>
      <c r="CW31">
        <v>0</v>
      </c>
      <c r="CX31">
        <v>0</v>
      </c>
      <c r="CY31" t="s">
        <v>333</v>
      </c>
      <c r="CZ31">
        <v>2.3643200000000002</v>
      </c>
      <c r="DA31">
        <v>2.7137099999999998</v>
      </c>
      <c r="DB31">
        <v>0.13852700000000001</v>
      </c>
      <c r="DC31">
        <v>0.14619699999999999</v>
      </c>
      <c r="DD31">
        <v>7.7304899999999996E-2</v>
      </c>
      <c r="DE31">
        <v>5.10375E-2</v>
      </c>
      <c r="DF31">
        <v>31422.400000000001</v>
      </c>
      <c r="DG31">
        <v>27447.1</v>
      </c>
      <c r="DH31">
        <v>31138.2</v>
      </c>
      <c r="DI31">
        <v>28010.7</v>
      </c>
      <c r="DJ31">
        <v>39012.6</v>
      </c>
      <c r="DK31">
        <v>37774.6</v>
      </c>
      <c r="DL31">
        <v>44304.6</v>
      </c>
      <c r="DM31">
        <v>42426.2</v>
      </c>
      <c r="DN31">
        <v>1.47072</v>
      </c>
      <c r="DO31">
        <v>2.0566</v>
      </c>
      <c r="DP31">
        <v>0.13218099999999999</v>
      </c>
      <c r="DQ31">
        <v>0.100046</v>
      </c>
      <c r="DR31">
        <v>25.605</v>
      </c>
      <c r="DS31">
        <v>25.4316</v>
      </c>
      <c r="DT31">
        <v>27.2</v>
      </c>
      <c r="DU31">
        <v>27.1</v>
      </c>
      <c r="DV31">
        <v>9.8878599999999999</v>
      </c>
      <c r="DW31">
        <v>62.145499999999998</v>
      </c>
      <c r="DX31">
        <v>36.414299999999997</v>
      </c>
      <c r="DY31">
        <v>1</v>
      </c>
      <c r="DZ31">
        <v>-9.7769300000000003E-2</v>
      </c>
      <c r="EA31">
        <v>9.2810500000000005</v>
      </c>
      <c r="EB31">
        <v>19.906199999999998</v>
      </c>
      <c r="EC31">
        <v>5.24125</v>
      </c>
      <c r="ED31">
        <v>12.04</v>
      </c>
      <c r="EE31">
        <v>5.0168999999999997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1.8688800000000001</v>
      </c>
      <c r="EL31">
        <v>1.8645400000000001</v>
      </c>
      <c r="EM31">
        <v>1.86907</v>
      </c>
      <c r="EN31">
        <v>1.8672</v>
      </c>
      <c r="EO31">
        <v>1.86337</v>
      </c>
      <c r="EP31">
        <v>1.8644700000000001</v>
      </c>
      <c r="EQ31">
        <v>1.87012</v>
      </c>
      <c r="ER31">
        <v>1.8693500000000001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-0.95099999999999996</v>
      </c>
      <c r="FG31">
        <v>2.0799999999999999E-2</v>
      </c>
      <c r="FH31">
        <v>-0.44422204735670362</v>
      </c>
      <c r="FI31">
        <v>-6.1462078757559423E-4</v>
      </c>
      <c r="FJ31">
        <v>-1.8861989874597051E-7</v>
      </c>
      <c r="FK31">
        <v>1.1980462299894961E-10</v>
      </c>
      <c r="FL31">
        <v>-5.4907600448225742E-2</v>
      </c>
      <c r="FM31">
        <v>-1.6848085045870601E-2</v>
      </c>
      <c r="FN31">
        <v>1.9789084769509481E-3</v>
      </c>
      <c r="FO31">
        <v>-2.7142391389806329E-5</v>
      </c>
      <c r="FP31">
        <v>3</v>
      </c>
      <c r="FQ31">
        <v>2158</v>
      </c>
      <c r="FR31">
        <v>1</v>
      </c>
      <c r="FS31">
        <v>19</v>
      </c>
      <c r="FT31">
        <v>13.2</v>
      </c>
      <c r="FU31">
        <v>13.2</v>
      </c>
      <c r="FV31">
        <v>1.78101</v>
      </c>
      <c r="FW31">
        <v>2.5549300000000001</v>
      </c>
      <c r="FX31">
        <v>1.5490699999999999</v>
      </c>
      <c r="FY31">
        <v>2.33643</v>
      </c>
      <c r="FZ31">
        <v>1.50146</v>
      </c>
      <c r="GA31">
        <v>2.36938</v>
      </c>
      <c r="GB31">
        <v>31.958500000000001</v>
      </c>
      <c r="GC31">
        <v>23.8949</v>
      </c>
      <c r="GD31">
        <v>19</v>
      </c>
      <c r="GE31">
        <v>278.94799999999998</v>
      </c>
      <c r="GF31">
        <v>595.30200000000002</v>
      </c>
      <c r="GG31">
        <v>16.486000000000001</v>
      </c>
      <c r="GH31">
        <v>26.0029</v>
      </c>
      <c r="GI31">
        <v>30.000599999999999</v>
      </c>
      <c r="GJ31">
        <v>25.984200000000001</v>
      </c>
      <c r="GK31">
        <v>25.930199999999999</v>
      </c>
      <c r="GL31">
        <v>35.609699999999997</v>
      </c>
      <c r="GM31">
        <v>-30</v>
      </c>
      <c r="GN31">
        <v>-30</v>
      </c>
      <c r="GO31">
        <v>12.169</v>
      </c>
      <c r="GP31">
        <v>800</v>
      </c>
      <c r="GQ31">
        <v>12.5298</v>
      </c>
      <c r="GR31">
        <v>99.618499999999997</v>
      </c>
      <c r="GS31">
        <v>99.275999999999996</v>
      </c>
    </row>
    <row r="32" spans="1:201" x14ac:dyDescent="0.25">
      <c r="A32">
        <v>16</v>
      </c>
      <c r="B32">
        <v>1690203925.5</v>
      </c>
      <c r="C32">
        <v>485.90000009536737</v>
      </c>
      <c r="D32" t="s">
        <v>365</v>
      </c>
      <c r="E32" t="s">
        <v>366</v>
      </c>
      <c r="F32" t="s">
        <v>330</v>
      </c>
      <c r="H32">
        <v>1690203925.5</v>
      </c>
      <c r="I32">
        <f t="shared" si="0"/>
        <v>5.8131127239929436E-4</v>
      </c>
      <c r="J32">
        <f t="shared" si="1"/>
        <v>0.58131127239929437</v>
      </c>
      <c r="K32">
        <f t="shared" si="2"/>
        <v>7.0607661773536465</v>
      </c>
      <c r="L32">
        <f t="shared" si="3"/>
        <v>722.13599999999997</v>
      </c>
      <c r="M32">
        <f t="shared" si="4"/>
        <v>253.06349178178112</v>
      </c>
      <c r="N32">
        <f t="shared" si="5"/>
        <v>25.087125918563423</v>
      </c>
      <c r="O32">
        <f t="shared" si="6"/>
        <v>71.588029686832797</v>
      </c>
      <c r="P32">
        <f t="shared" si="7"/>
        <v>2.5187738502316315E-2</v>
      </c>
      <c r="Q32">
        <f t="shared" si="8"/>
        <v>2.1943391093179052</v>
      </c>
      <c r="R32">
        <f t="shared" si="9"/>
        <v>2.5028215861741931E-2</v>
      </c>
      <c r="S32">
        <f t="shared" si="10"/>
        <v>1.5656883056217027E-2</v>
      </c>
      <c r="T32">
        <f t="shared" si="11"/>
        <v>276.11230779738059</v>
      </c>
      <c r="U32">
        <f t="shared" si="12"/>
        <v>27.348410595389225</v>
      </c>
      <c r="V32">
        <f t="shared" si="13"/>
        <v>27.348410595389225</v>
      </c>
      <c r="W32">
        <f t="shared" si="14"/>
        <v>3.6530575274704691</v>
      </c>
      <c r="X32">
        <f t="shared" si="15"/>
        <v>43.234266689307447</v>
      </c>
      <c r="Y32">
        <f t="shared" si="16"/>
        <v>1.4093444764501801</v>
      </c>
      <c r="Z32">
        <f t="shared" si="17"/>
        <v>3.2597857772819223</v>
      </c>
      <c r="AA32">
        <f t="shared" si="18"/>
        <v>2.243713051020289</v>
      </c>
      <c r="AB32">
        <f t="shared" si="19"/>
        <v>-25.635827112808879</v>
      </c>
      <c r="AC32">
        <f t="shared" si="20"/>
        <v>-228.36990935017667</v>
      </c>
      <c r="AD32">
        <f t="shared" si="21"/>
        <v>-22.322002845982976</v>
      </c>
      <c r="AE32">
        <f t="shared" si="22"/>
        <v>-0.21543151158792284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52672.154219671742</v>
      </c>
      <c r="AK32">
        <f t="shared" si="26"/>
        <v>1799.98</v>
      </c>
      <c r="AL32">
        <f t="shared" si="27"/>
        <v>1499.0964537876598</v>
      </c>
      <c r="AM32">
        <f t="shared" si="28"/>
        <v>0.83284061699999989</v>
      </c>
      <c r="AN32">
        <f t="shared" si="29"/>
        <v>0.15339743097</v>
      </c>
      <c r="AO32">
        <v>31.2</v>
      </c>
      <c r="AP32">
        <v>0.5</v>
      </c>
      <c r="AQ32" t="s">
        <v>331</v>
      </c>
      <c r="AR32">
        <v>2</v>
      </c>
      <c r="AS32">
        <v>1690203925.5</v>
      </c>
      <c r="AT32">
        <v>722.13599999999997</v>
      </c>
      <c r="AU32">
        <v>799.91300000000001</v>
      </c>
      <c r="AV32">
        <v>14.2166</v>
      </c>
      <c r="AW32">
        <v>8.2584999999999997</v>
      </c>
      <c r="AX32">
        <v>723.07799999999997</v>
      </c>
      <c r="AY32">
        <v>14.1897</v>
      </c>
      <c r="AZ32">
        <v>300.08</v>
      </c>
      <c r="BA32">
        <v>99.033799999999999</v>
      </c>
      <c r="BB32">
        <v>9.9922300000000006E-2</v>
      </c>
      <c r="BC32">
        <v>25.417999999999999</v>
      </c>
      <c r="BD32">
        <v>27.580300000000001</v>
      </c>
      <c r="BE32">
        <v>26.8141</v>
      </c>
      <c r="BF32">
        <v>0</v>
      </c>
      <c r="BG32">
        <v>0</v>
      </c>
      <c r="BH32">
        <v>10005.6</v>
      </c>
      <c r="BI32">
        <v>1078.21</v>
      </c>
      <c r="BJ32">
        <v>1.5095799999999999</v>
      </c>
      <c r="BK32">
        <v>-77.776899999999998</v>
      </c>
      <c r="BL32">
        <v>732.55100000000004</v>
      </c>
      <c r="BM32">
        <v>806.57399999999996</v>
      </c>
      <c r="BN32">
        <v>5.9581200000000001</v>
      </c>
      <c r="BO32">
        <v>799.91300000000001</v>
      </c>
      <c r="BP32">
        <v>8.2584999999999997</v>
      </c>
      <c r="BQ32">
        <v>1.4079299999999999</v>
      </c>
      <c r="BR32">
        <v>0.81786999999999999</v>
      </c>
      <c r="BS32">
        <v>12.003299999999999</v>
      </c>
      <c r="BT32">
        <v>4.0213000000000001</v>
      </c>
      <c r="BU32">
        <v>1799.98</v>
      </c>
      <c r="BV32">
        <v>0.91000099999999995</v>
      </c>
      <c r="BW32">
        <v>3.3995999999999998E-2</v>
      </c>
      <c r="BX32">
        <v>2.1999600000000001E-2</v>
      </c>
      <c r="BY32">
        <v>3.4003899999999997E-2</v>
      </c>
      <c r="BZ32">
        <v>25</v>
      </c>
      <c r="CA32">
        <v>33528</v>
      </c>
      <c r="CB32">
        <v>1690203121.0999999</v>
      </c>
      <c r="CC32" t="s">
        <v>332</v>
      </c>
      <c r="CD32">
        <v>1690203121.0999999</v>
      </c>
      <c r="CE32">
        <v>1690203121.0999999</v>
      </c>
      <c r="CF32">
        <v>3</v>
      </c>
      <c r="CG32">
        <v>0.53600000000000003</v>
      </c>
      <c r="CH32">
        <v>-0.01</v>
      </c>
      <c r="CI32">
        <v>-0.996</v>
      </c>
      <c r="CJ32">
        <v>-6.6000000000000003E-2</v>
      </c>
      <c r="CK32">
        <v>800</v>
      </c>
      <c r="CL32">
        <v>9</v>
      </c>
      <c r="CM32">
        <v>0.82</v>
      </c>
      <c r="CN32">
        <v>0.01</v>
      </c>
      <c r="CO32">
        <v>-65.106477500000011</v>
      </c>
      <c r="CP32">
        <v>-67.237781988742924</v>
      </c>
      <c r="CQ32">
        <v>6.4723143179811462</v>
      </c>
      <c r="CR32">
        <v>-1</v>
      </c>
      <c r="CS32">
        <v>5.6695997500000006</v>
      </c>
      <c r="CT32">
        <v>1.3999496060037451</v>
      </c>
      <c r="CU32">
        <v>0.13524821844459739</v>
      </c>
      <c r="CV32">
        <v>-1</v>
      </c>
      <c r="CW32">
        <v>0</v>
      </c>
      <c r="CX32">
        <v>0</v>
      </c>
      <c r="CY32" t="s">
        <v>333</v>
      </c>
      <c r="CZ32">
        <v>2.3644599999999998</v>
      </c>
      <c r="DA32">
        <v>2.7137199999999999</v>
      </c>
      <c r="DB32">
        <v>0.13696900000000001</v>
      </c>
      <c r="DC32">
        <v>0.14618900000000001</v>
      </c>
      <c r="DD32">
        <v>7.8424099999999997E-2</v>
      </c>
      <c r="DE32">
        <v>5.1001100000000001E-2</v>
      </c>
      <c r="DF32">
        <v>31478.6</v>
      </c>
      <c r="DG32">
        <v>27446.400000000001</v>
      </c>
      <c r="DH32">
        <v>31137.7</v>
      </c>
      <c r="DI32">
        <v>28009.8</v>
      </c>
      <c r="DJ32">
        <v>38964</v>
      </c>
      <c r="DK32">
        <v>37774.800000000003</v>
      </c>
      <c r="DL32">
        <v>44303.7</v>
      </c>
      <c r="DM32">
        <v>42424.800000000003</v>
      </c>
      <c r="DN32">
        <v>1.47123</v>
      </c>
      <c r="DO32">
        <v>2.05613</v>
      </c>
      <c r="DP32">
        <v>0.124544</v>
      </c>
      <c r="DQ32">
        <v>9.0938099999999994E-2</v>
      </c>
      <c r="DR32">
        <v>25.542000000000002</v>
      </c>
      <c r="DS32">
        <v>25.3247</v>
      </c>
      <c r="DT32">
        <v>27.2</v>
      </c>
      <c r="DU32">
        <v>27.1</v>
      </c>
      <c r="DV32">
        <v>9.88903</v>
      </c>
      <c r="DW32">
        <v>62.405500000000004</v>
      </c>
      <c r="DX32">
        <v>36.871000000000002</v>
      </c>
      <c r="DY32">
        <v>1</v>
      </c>
      <c r="DZ32">
        <v>-9.6366900000000005E-2</v>
      </c>
      <c r="EA32">
        <v>9.2810500000000005</v>
      </c>
      <c r="EB32">
        <v>19.9072</v>
      </c>
      <c r="EC32">
        <v>5.2415500000000002</v>
      </c>
      <c r="ED32">
        <v>12.04</v>
      </c>
      <c r="EE32">
        <v>5.0168999999999997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1.8688899999999999</v>
      </c>
      <c r="EL32">
        <v>1.8645499999999999</v>
      </c>
      <c r="EM32">
        <v>1.8690899999999999</v>
      </c>
      <c r="EN32">
        <v>1.86721</v>
      </c>
      <c r="EO32">
        <v>1.86337</v>
      </c>
      <c r="EP32">
        <v>1.8644700000000001</v>
      </c>
      <c r="EQ32">
        <v>1.87012</v>
      </c>
      <c r="ER32">
        <v>1.8693500000000001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-0.94199999999999995</v>
      </c>
      <c r="FG32">
        <v>2.69E-2</v>
      </c>
      <c r="FH32">
        <v>-0.44422204735670362</v>
      </c>
      <c r="FI32">
        <v>-6.1462078757559423E-4</v>
      </c>
      <c r="FJ32">
        <v>-1.8861989874597051E-7</v>
      </c>
      <c r="FK32">
        <v>1.1980462299894961E-10</v>
      </c>
      <c r="FL32">
        <v>-5.4907600448225742E-2</v>
      </c>
      <c r="FM32">
        <v>-1.6848085045870601E-2</v>
      </c>
      <c r="FN32">
        <v>1.9789084769509481E-3</v>
      </c>
      <c r="FO32">
        <v>-2.7142391389806329E-5</v>
      </c>
      <c r="FP32">
        <v>3</v>
      </c>
      <c r="FQ32">
        <v>2158</v>
      </c>
      <c r="FR32">
        <v>1</v>
      </c>
      <c r="FS32">
        <v>19</v>
      </c>
      <c r="FT32">
        <v>13.4</v>
      </c>
      <c r="FU32">
        <v>13.4</v>
      </c>
      <c r="FV32">
        <v>1.78101</v>
      </c>
      <c r="FW32">
        <v>2.5512700000000001</v>
      </c>
      <c r="FX32">
        <v>1.5490699999999999</v>
      </c>
      <c r="FY32">
        <v>2.33643</v>
      </c>
      <c r="FZ32">
        <v>1.50146</v>
      </c>
      <c r="GA32">
        <v>2.3791500000000001</v>
      </c>
      <c r="GB32">
        <v>31.980499999999999</v>
      </c>
      <c r="GC32">
        <v>23.886099999999999</v>
      </c>
      <c r="GD32">
        <v>19</v>
      </c>
      <c r="GE32">
        <v>279.21600000000001</v>
      </c>
      <c r="GF32">
        <v>594.99599999999998</v>
      </c>
      <c r="GG32">
        <v>15.9885</v>
      </c>
      <c r="GH32">
        <v>26.027999999999999</v>
      </c>
      <c r="GI32">
        <v>30.000800000000002</v>
      </c>
      <c r="GJ32">
        <v>25.997299999999999</v>
      </c>
      <c r="GK32">
        <v>25.938199999999998</v>
      </c>
      <c r="GL32">
        <v>35.611699999999999</v>
      </c>
      <c r="GM32">
        <v>-30</v>
      </c>
      <c r="GN32">
        <v>-30</v>
      </c>
      <c r="GO32">
        <v>12.4518</v>
      </c>
      <c r="GP32">
        <v>800</v>
      </c>
      <c r="GQ32">
        <v>12.5298</v>
      </c>
      <c r="GR32">
        <v>99.616500000000002</v>
      </c>
      <c r="GS32">
        <v>99.272800000000004</v>
      </c>
    </row>
    <row r="33" spans="1:201" x14ac:dyDescent="0.25">
      <c r="A33">
        <v>17</v>
      </c>
      <c r="B33">
        <v>1690203935.5</v>
      </c>
      <c r="C33">
        <v>495.90000009536737</v>
      </c>
      <c r="D33" t="s">
        <v>367</v>
      </c>
      <c r="E33" t="s">
        <v>368</v>
      </c>
      <c r="F33" t="s">
        <v>330</v>
      </c>
      <c r="H33">
        <v>1690203935.5</v>
      </c>
      <c r="I33">
        <f t="shared" si="0"/>
        <v>6.1714371368810895E-4</v>
      </c>
      <c r="J33">
        <f t="shared" si="1"/>
        <v>0.61714371368810894</v>
      </c>
      <c r="K33">
        <f t="shared" si="2"/>
        <v>8.3649952987982203</v>
      </c>
      <c r="L33">
        <f t="shared" si="3"/>
        <v>708.52</v>
      </c>
      <c r="M33">
        <f t="shared" si="4"/>
        <v>207.15482868080147</v>
      </c>
      <c r="N33">
        <f t="shared" si="5"/>
        <v>20.535912507085204</v>
      </c>
      <c r="O33">
        <f t="shared" si="6"/>
        <v>70.237825602123991</v>
      </c>
      <c r="P33">
        <f t="shared" si="7"/>
        <v>2.776299427571239E-2</v>
      </c>
      <c r="Q33">
        <f t="shared" si="8"/>
        <v>2.1919529951602597</v>
      </c>
      <c r="R33">
        <f t="shared" si="9"/>
        <v>2.7569110202435892E-2</v>
      </c>
      <c r="S33">
        <f t="shared" si="10"/>
        <v>1.7248000610405545E-2</v>
      </c>
      <c r="T33">
        <f t="shared" si="11"/>
        <v>276.11325547894751</v>
      </c>
      <c r="U33">
        <f t="shared" si="12"/>
        <v>27.132494089765292</v>
      </c>
      <c r="V33">
        <f t="shared" si="13"/>
        <v>27.132494089765292</v>
      </c>
      <c r="W33">
        <f t="shared" si="14"/>
        <v>3.6071064385446863</v>
      </c>
      <c r="X33">
        <f t="shared" si="15"/>
        <v>44.859593668367651</v>
      </c>
      <c r="Y33">
        <f t="shared" si="16"/>
        <v>1.44451882199705</v>
      </c>
      <c r="Z33">
        <f t="shared" si="17"/>
        <v>3.2200889572828202</v>
      </c>
      <c r="AA33">
        <f t="shared" si="18"/>
        <v>2.1625876165476363</v>
      </c>
      <c r="AB33">
        <f t="shared" si="19"/>
        <v>-27.216037773645606</v>
      </c>
      <c r="AC33">
        <f t="shared" si="20"/>
        <v>-226.94972201746697</v>
      </c>
      <c r="AD33">
        <f t="shared" si="21"/>
        <v>-22.16042118425521</v>
      </c>
      <c r="AE33">
        <f t="shared" si="22"/>
        <v>-0.2129254964202687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52610.439045744839</v>
      </c>
      <c r="AK33">
        <f t="shared" si="26"/>
        <v>1799.99</v>
      </c>
      <c r="AL33">
        <f t="shared" si="27"/>
        <v>1499.10494059295</v>
      </c>
      <c r="AM33">
        <f t="shared" si="28"/>
        <v>0.83284070499999996</v>
      </c>
      <c r="AN33">
        <f t="shared" si="29"/>
        <v>0.15339710525</v>
      </c>
      <c r="AO33">
        <v>31.2</v>
      </c>
      <c r="AP33">
        <v>0.5</v>
      </c>
      <c r="AQ33" t="s">
        <v>331</v>
      </c>
      <c r="AR33">
        <v>2</v>
      </c>
      <c r="AS33">
        <v>1690203935.5</v>
      </c>
      <c r="AT33">
        <v>708.52</v>
      </c>
      <c r="AU33">
        <v>799.98599999999999</v>
      </c>
      <c r="AV33">
        <v>14.5715</v>
      </c>
      <c r="AW33">
        <v>8.2520799999999994</v>
      </c>
      <c r="AX33">
        <v>709.452</v>
      </c>
      <c r="AY33">
        <v>14.5366</v>
      </c>
      <c r="AZ33">
        <v>300.25400000000002</v>
      </c>
      <c r="BA33">
        <v>99.033199999999994</v>
      </c>
      <c r="BB33">
        <v>9.9958699999999998E-2</v>
      </c>
      <c r="BC33">
        <v>25.212</v>
      </c>
      <c r="BD33">
        <v>27.344000000000001</v>
      </c>
      <c r="BE33">
        <v>26.562799999999999</v>
      </c>
      <c r="BF33">
        <v>0</v>
      </c>
      <c r="BG33">
        <v>0</v>
      </c>
      <c r="BH33">
        <v>9986.25</v>
      </c>
      <c r="BI33">
        <v>1075.77</v>
      </c>
      <c r="BJ33">
        <v>1.5095799999999999</v>
      </c>
      <c r="BK33">
        <v>-91.466499999999996</v>
      </c>
      <c r="BL33">
        <v>718.99699999999996</v>
      </c>
      <c r="BM33">
        <v>806.64300000000003</v>
      </c>
      <c r="BN33">
        <v>6.3194600000000003</v>
      </c>
      <c r="BO33">
        <v>799.98599999999999</v>
      </c>
      <c r="BP33">
        <v>8.2520799999999994</v>
      </c>
      <c r="BQ33">
        <v>1.4430700000000001</v>
      </c>
      <c r="BR33">
        <v>0.81723000000000001</v>
      </c>
      <c r="BS33">
        <v>12.3779</v>
      </c>
      <c r="BT33">
        <v>4.0101699999999996</v>
      </c>
      <c r="BU33">
        <v>1799.99</v>
      </c>
      <c r="BV33">
        <v>0.91000899999999996</v>
      </c>
      <c r="BW33">
        <v>3.3996999999999999E-2</v>
      </c>
      <c r="BX33">
        <v>2.1996000000000002E-2</v>
      </c>
      <c r="BY33">
        <v>3.3998300000000002E-2</v>
      </c>
      <c r="BZ33">
        <v>25</v>
      </c>
      <c r="CA33">
        <v>33528.300000000003</v>
      </c>
      <c r="CB33">
        <v>1690203121.0999999</v>
      </c>
      <c r="CC33" t="s">
        <v>332</v>
      </c>
      <c r="CD33">
        <v>1690203121.0999999</v>
      </c>
      <c r="CE33">
        <v>1690203121.0999999</v>
      </c>
      <c r="CF33">
        <v>3</v>
      </c>
      <c r="CG33">
        <v>0.53600000000000003</v>
      </c>
      <c r="CH33">
        <v>-0.01</v>
      </c>
      <c r="CI33">
        <v>-0.996</v>
      </c>
      <c r="CJ33">
        <v>-6.6000000000000003E-2</v>
      </c>
      <c r="CK33">
        <v>800</v>
      </c>
      <c r="CL33">
        <v>9</v>
      </c>
      <c r="CM33">
        <v>0.82</v>
      </c>
      <c r="CN33">
        <v>0.01</v>
      </c>
      <c r="CO33">
        <v>-77.104874999999993</v>
      </c>
      <c r="CP33">
        <v>-76.70327729831142</v>
      </c>
      <c r="CQ33">
        <v>7.3822979994629714</v>
      </c>
      <c r="CR33">
        <v>-1</v>
      </c>
      <c r="CS33">
        <v>5.9463094999999999</v>
      </c>
      <c r="CT33">
        <v>1.9224702439024219</v>
      </c>
      <c r="CU33">
        <v>0.1853156584176037</v>
      </c>
      <c r="CV33">
        <v>-1</v>
      </c>
      <c r="CW33">
        <v>0</v>
      </c>
      <c r="CX33">
        <v>0</v>
      </c>
      <c r="CY33" t="s">
        <v>333</v>
      </c>
      <c r="CZ33">
        <v>2.3649900000000001</v>
      </c>
      <c r="DA33">
        <v>2.71374</v>
      </c>
      <c r="DB33">
        <v>0.13520699999999999</v>
      </c>
      <c r="DC33">
        <v>0.14619499999999999</v>
      </c>
      <c r="DD33">
        <v>7.9840099999999997E-2</v>
      </c>
      <c r="DE33">
        <v>5.09685E-2</v>
      </c>
      <c r="DF33">
        <v>31541.9</v>
      </c>
      <c r="DG33">
        <v>27445.4</v>
      </c>
      <c r="DH33">
        <v>31136.9</v>
      </c>
      <c r="DI33">
        <v>28009.1</v>
      </c>
      <c r="DJ33">
        <v>38902.400000000001</v>
      </c>
      <c r="DK33">
        <v>37775.300000000003</v>
      </c>
      <c r="DL33">
        <v>44302.400000000001</v>
      </c>
      <c r="DM33">
        <v>42424</v>
      </c>
      <c r="DN33">
        <v>1.47177</v>
      </c>
      <c r="DO33">
        <v>2.0555300000000001</v>
      </c>
      <c r="DP33">
        <v>0.114523</v>
      </c>
      <c r="DQ33">
        <v>8.2384799999999994E-2</v>
      </c>
      <c r="DR33">
        <v>25.469200000000001</v>
      </c>
      <c r="DS33">
        <v>25.213000000000001</v>
      </c>
      <c r="DT33">
        <v>27.1</v>
      </c>
      <c r="DU33">
        <v>27.2</v>
      </c>
      <c r="DV33">
        <v>9.9095200000000006</v>
      </c>
      <c r="DW33">
        <v>62.335500000000003</v>
      </c>
      <c r="DX33">
        <v>36.053699999999999</v>
      </c>
      <c r="DY33">
        <v>1</v>
      </c>
      <c r="DZ33">
        <v>-9.4408000000000006E-2</v>
      </c>
      <c r="EA33">
        <v>9.2810500000000005</v>
      </c>
      <c r="EB33">
        <v>19.908100000000001</v>
      </c>
      <c r="EC33">
        <v>5.2411000000000003</v>
      </c>
      <c r="ED33">
        <v>12.040800000000001</v>
      </c>
      <c r="EE33">
        <v>5.0168999999999997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</v>
      </c>
      <c r="EL33">
        <v>1.8645700000000001</v>
      </c>
      <c r="EM33">
        <v>1.8690899999999999</v>
      </c>
      <c r="EN33">
        <v>1.86721</v>
      </c>
      <c r="EO33">
        <v>1.86334</v>
      </c>
      <c r="EP33">
        <v>1.86446</v>
      </c>
      <c r="EQ33">
        <v>1.87012</v>
      </c>
      <c r="ER33">
        <v>1.8693500000000001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-0.93200000000000005</v>
      </c>
      <c r="FG33">
        <v>3.49E-2</v>
      </c>
      <c r="FH33">
        <v>-0.44422204735670362</v>
      </c>
      <c r="FI33">
        <v>-6.1462078757559423E-4</v>
      </c>
      <c r="FJ33">
        <v>-1.8861989874597051E-7</v>
      </c>
      <c r="FK33">
        <v>1.1980462299894961E-10</v>
      </c>
      <c r="FL33">
        <v>-5.4907600448225742E-2</v>
      </c>
      <c r="FM33">
        <v>-1.6848085045870601E-2</v>
      </c>
      <c r="FN33">
        <v>1.9789084769509481E-3</v>
      </c>
      <c r="FO33">
        <v>-2.7142391389806329E-5</v>
      </c>
      <c r="FP33">
        <v>3</v>
      </c>
      <c r="FQ33">
        <v>2158</v>
      </c>
      <c r="FR33">
        <v>1</v>
      </c>
      <c r="FS33">
        <v>19</v>
      </c>
      <c r="FT33">
        <v>13.6</v>
      </c>
      <c r="FU33">
        <v>13.6</v>
      </c>
      <c r="FV33">
        <v>1.78101</v>
      </c>
      <c r="FW33">
        <v>2.5561500000000001</v>
      </c>
      <c r="FX33">
        <v>1.5490699999999999</v>
      </c>
      <c r="FY33">
        <v>2.33643</v>
      </c>
      <c r="FZ33">
        <v>1.50146</v>
      </c>
      <c r="GA33">
        <v>2.3303199999999999</v>
      </c>
      <c r="GB33">
        <v>32.002400000000002</v>
      </c>
      <c r="GC33">
        <v>23.886099999999999</v>
      </c>
      <c r="GD33">
        <v>19</v>
      </c>
      <c r="GE33">
        <v>279.51100000000002</v>
      </c>
      <c r="GF33">
        <v>594.59400000000005</v>
      </c>
      <c r="GG33">
        <v>15.5525</v>
      </c>
      <c r="GH33">
        <v>26.0533</v>
      </c>
      <c r="GI33">
        <v>30.001000000000001</v>
      </c>
      <c r="GJ33">
        <v>26.011900000000001</v>
      </c>
      <c r="GK33">
        <v>25.9468</v>
      </c>
      <c r="GL33">
        <v>35.614100000000001</v>
      </c>
      <c r="GM33">
        <v>-30</v>
      </c>
      <c r="GN33">
        <v>-30</v>
      </c>
      <c r="GO33">
        <v>12.8188</v>
      </c>
      <c r="GP33">
        <v>800</v>
      </c>
      <c r="GQ33">
        <v>12.5298</v>
      </c>
      <c r="GR33">
        <v>99.613699999999994</v>
      </c>
      <c r="GS33">
        <v>99.270600000000002</v>
      </c>
    </row>
    <row r="34" spans="1:201" x14ac:dyDescent="0.25">
      <c r="A34">
        <v>18</v>
      </c>
      <c r="B34">
        <v>1690203945.5</v>
      </c>
      <c r="C34">
        <v>505.90000009536737</v>
      </c>
      <c r="D34" t="s">
        <v>369</v>
      </c>
      <c r="E34" t="s">
        <v>370</v>
      </c>
      <c r="F34" t="s">
        <v>330</v>
      </c>
      <c r="H34">
        <v>1690203945.5</v>
      </c>
      <c r="I34">
        <f t="shared" si="0"/>
        <v>6.5619640346969716E-4</v>
      </c>
      <c r="J34">
        <f t="shared" si="1"/>
        <v>0.65619640346969721</v>
      </c>
      <c r="K34">
        <f t="shared" si="2"/>
        <v>9.7514118063273862</v>
      </c>
      <c r="L34">
        <f t="shared" si="3"/>
        <v>693.84299999999996</v>
      </c>
      <c r="M34">
        <f t="shared" si="4"/>
        <v>168.55420111107279</v>
      </c>
      <c r="N34">
        <f t="shared" si="5"/>
        <v>16.70954658015313</v>
      </c>
      <c r="O34">
        <f t="shared" si="6"/>
        <v>68.783820583464305</v>
      </c>
      <c r="P34">
        <f t="shared" si="7"/>
        <v>3.0767853447518437E-2</v>
      </c>
      <c r="Q34">
        <f t="shared" si="8"/>
        <v>2.194349036722127</v>
      </c>
      <c r="R34">
        <f t="shared" si="9"/>
        <v>3.0530180740762147E-2</v>
      </c>
      <c r="S34">
        <f t="shared" si="10"/>
        <v>1.9102563767621615E-2</v>
      </c>
      <c r="T34">
        <f t="shared" si="11"/>
        <v>276.11282213135496</v>
      </c>
      <c r="U34">
        <f t="shared" si="12"/>
        <v>26.908755533973171</v>
      </c>
      <c r="V34">
        <f t="shared" si="13"/>
        <v>26.908755533973171</v>
      </c>
      <c r="W34">
        <f t="shared" si="14"/>
        <v>3.5600237331157296</v>
      </c>
      <c r="X34">
        <f t="shared" si="15"/>
        <v>46.646712456079577</v>
      </c>
      <c r="Y34">
        <f t="shared" si="16"/>
        <v>1.4834892111604399</v>
      </c>
      <c r="Z34">
        <f t="shared" si="17"/>
        <v>3.1802653028489969</v>
      </c>
      <c r="AA34">
        <f t="shared" si="18"/>
        <v>2.0765345219552898</v>
      </c>
      <c r="AB34">
        <f t="shared" si="19"/>
        <v>-28.938261393013644</v>
      </c>
      <c r="AC34">
        <f t="shared" si="20"/>
        <v>-225.44237554819756</v>
      </c>
      <c r="AD34">
        <f t="shared" si="21"/>
        <v>-21.941533161446035</v>
      </c>
      <c r="AE34">
        <f t="shared" si="22"/>
        <v>-0.20934797130229299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52745.91402335756</v>
      </c>
      <c r="AK34">
        <f t="shared" si="26"/>
        <v>1799.99</v>
      </c>
      <c r="AL34">
        <f t="shared" si="27"/>
        <v>1499.1024836066001</v>
      </c>
      <c r="AM34">
        <f t="shared" si="28"/>
        <v>0.83283934000000004</v>
      </c>
      <c r="AN34">
        <f t="shared" si="29"/>
        <v>0.15339686449999998</v>
      </c>
      <c r="AO34">
        <v>31.2</v>
      </c>
      <c r="AP34">
        <v>0.5</v>
      </c>
      <c r="AQ34" t="s">
        <v>331</v>
      </c>
      <c r="AR34">
        <v>2</v>
      </c>
      <c r="AS34">
        <v>1690203945.5</v>
      </c>
      <c r="AT34">
        <v>693.84299999999996</v>
      </c>
      <c r="AU34">
        <v>799.96199999999999</v>
      </c>
      <c r="AV34">
        <v>14.964399999999999</v>
      </c>
      <c r="AW34">
        <v>8.2440300000000004</v>
      </c>
      <c r="AX34">
        <v>694.76499999999999</v>
      </c>
      <c r="AY34">
        <v>14.920299999999999</v>
      </c>
      <c r="AZ34">
        <v>300.08699999999999</v>
      </c>
      <c r="BA34">
        <v>99.034599999999998</v>
      </c>
      <c r="BB34">
        <v>9.9960099999999996E-2</v>
      </c>
      <c r="BC34">
        <v>25.0031</v>
      </c>
      <c r="BD34">
        <v>26.910299999999999</v>
      </c>
      <c r="BE34">
        <v>26.357199999999999</v>
      </c>
      <c r="BF34">
        <v>0</v>
      </c>
      <c r="BG34">
        <v>0</v>
      </c>
      <c r="BH34">
        <v>10005.6</v>
      </c>
      <c r="BI34">
        <v>1073.3</v>
      </c>
      <c r="BJ34">
        <v>1.56985</v>
      </c>
      <c r="BK34">
        <v>-106.119</v>
      </c>
      <c r="BL34">
        <v>704.38300000000004</v>
      </c>
      <c r="BM34">
        <v>806.61199999999997</v>
      </c>
      <c r="BN34">
        <v>6.72037</v>
      </c>
      <c r="BO34">
        <v>799.96199999999999</v>
      </c>
      <c r="BP34">
        <v>8.2440300000000004</v>
      </c>
      <c r="BQ34">
        <v>1.4819899999999999</v>
      </c>
      <c r="BR34">
        <v>0.81644399999999995</v>
      </c>
      <c r="BS34">
        <v>12.7836</v>
      </c>
      <c r="BT34">
        <v>3.9964599999999999</v>
      </c>
      <c r="BU34">
        <v>1799.99</v>
      </c>
      <c r="BV34">
        <v>0.91000700000000001</v>
      </c>
      <c r="BW34">
        <v>3.4006000000000002E-2</v>
      </c>
      <c r="BX34">
        <v>2.1992999999999999E-2</v>
      </c>
      <c r="BY34">
        <v>3.3993799999999998E-2</v>
      </c>
      <c r="BZ34">
        <v>25</v>
      </c>
      <c r="CA34">
        <v>33528.199999999997</v>
      </c>
      <c r="CB34">
        <v>1690203121.0999999</v>
      </c>
      <c r="CC34" t="s">
        <v>332</v>
      </c>
      <c r="CD34">
        <v>1690203121.0999999</v>
      </c>
      <c r="CE34">
        <v>1690203121.0999999</v>
      </c>
      <c r="CF34">
        <v>3</v>
      </c>
      <c r="CG34">
        <v>0.53600000000000003</v>
      </c>
      <c r="CH34">
        <v>-0.01</v>
      </c>
      <c r="CI34">
        <v>-0.996</v>
      </c>
      <c r="CJ34">
        <v>-6.6000000000000003E-2</v>
      </c>
      <c r="CK34">
        <v>800</v>
      </c>
      <c r="CL34">
        <v>9</v>
      </c>
      <c r="CM34">
        <v>0.82</v>
      </c>
      <c r="CN34">
        <v>0.01</v>
      </c>
      <c r="CO34">
        <v>-89.523109756097568</v>
      </c>
      <c r="CP34">
        <v>-84.365211846689945</v>
      </c>
      <c r="CQ34">
        <v>8.3203702733274234</v>
      </c>
      <c r="CR34">
        <v>-1</v>
      </c>
      <c r="CS34">
        <v>6.2706721951219508</v>
      </c>
      <c r="CT34">
        <v>2.2756651567944171</v>
      </c>
      <c r="CU34">
        <v>0.2245133204425899</v>
      </c>
      <c r="CV34">
        <v>-1</v>
      </c>
      <c r="CW34">
        <v>0</v>
      </c>
      <c r="CX34">
        <v>0</v>
      </c>
      <c r="CY34" t="s">
        <v>333</v>
      </c>
      <c r="CZ34">
        <v>2.3644099999999999</v>
      </c>
      <c r="DA34">
        <v>2.7137600000000002</v>
      </c>
      <c r="DB34">
        <v>0.13329299999999999</v>
      </c>
      <c r="DC34">
        <v>0.14618999999999999</v>
      </c>
      <c r="DD34">
        <v>8.1393499999999994E-2</v>
      </c>
      <c r="DE34">
        <v>5.0928800000000003E-2</v>
      </c>
      <c r="DF34">
        <v>31610.799999999999</v>
      </c>
      <c r="DG34">
        <v>27444.6</v>
      </c>
      <c r="DH34">
        <v>31136</v>
      </c>
      <c r="DI34">
        <v>28008.2</v>
      </c>
      <c r="DJ34">
        <v>38834.9</v>
      </c>
      <c r="DK34">
        <v>37775.800000000003</v>
      </c>
      <c r="DL34">
        <v>44301.1</v>
      </c>
      <c r="DM34">
        <v>42422.7</v>
      </c>
      <c r="DN34">
        <v>1.4713499999999999</v>
      </c>
      <c r="DO34">
        <v>2.05518</v>
      </c>
      <c r="DP34">
        <v>9.2886399999999994E-2</v>
      </c>
      <c r="DQ34">
        <v>7.6800599999999997E-2</v>
      </c>
      <c r="DR34">
        <v>25.389199999999999</v>
      </c>
      <c r="DS34">
        <v>25.098600000000001</v>
      </c>
      <c r="DT34">
        <v>27.1</v>
      </c>
      <c r="DU34">
        <v>27.2</v>
      </c>
      <c r="DV34">
        <v>9.9095999999999993</v>
      </c>
      <c r="DW34">
        <v>61.845500000000001</v>
      </c>
      <c r="DX34">
        <v>36.093800000000002</v>
      </c>
      <c r="DY34">
        <v>1</v>
      </c>
      <c r="DZ34">
        <v>-9.2746400000000007E-2</v>
      </c>
      <c r="EA34">
        <v>9.2810500000000005</v>
      </c>
      <c r="EB34">
        <v>19.908999999999999</v>
      </c>
      <c r="EC34">
        <v>5.2409499999999998</v>
      </c>
      <c r="ED34">
        <v>12.0412</v>
      </c>
      <c r="EE34">
        <v>5.0168999999999997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1.8688899999999999</v>
      </c>
      <c r="EL34">
        <v>1.86459</v>
      </c>
      <c r="EM34">
        <v>1.8690800000000001</v>
      </c>
      <c r="EN34">
        <v>1.86721</v>
      </c>
      <c r="EO34">
        <v>1.8633599999999999</v>
      </c>
      <c r="EP34">
        <v>1.8644499999999999</v>
      </c>
      <c r="EQ34">
        <v>1.87012</v>
      </c>
      <c r="ER34">
        <v>1.8693500000000001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-0.92200000000000004</v>
      </c>
      <c r="FG34">
        <v>4.41E-2</v>
      </c>
      <c r="FH34">
        <v>-0.44422204735670362</v>
      </c>
      <c r="FI34">
        <v>-6.1462078757559423E-4</v>
      </c>
      <c r="FJ34">
        <v>-1.8861989874597051E-7</v>
      </c>
      <c r="FK34">
        <v>1.1980462299894961E-10</v>
      </c>
      <c r="FL34">
        <v>-5.4907600448225742E-2</v>
      </c>
      <c r="FM34">
        <v>-1.6848085045870601E-2</v>
      </c>
      <c r="FN34">
        <v>1.9789084769509481E-3</v>
      </c>
      <c r="FO34">
        <v>-2.7142391389806329E-5</v>
      </c>
      <c r="FP34">
        <v>3</v>
      </c>
      <c r="FQ34">
        <v>2158</v>
      </c>
      <c r="FR34">
        <v>1</v>
      </c>
      <c r="FS34">
        <v>19</v>
      </c>
      <c r="FT34">
        <v>13.7</v>
      </c>
      <c r="FU34">
        <v>13.7</v>
      </c>
      <c r="FV34">
        <v>1.78101</v>
      </c>
      <c r="FW34">
        <v>2.5561500000000001</v>
      </c>
      <c r="FX34">
        <v>1.5490699999999999</v>
      </c>
      <c r="FY34">
        <v>2.33643</v>
      </c>
      <c r="FZ34">
        <v>1.50146</v>
      </c>
      <c r="GA34">
        <v>2.3974600000000001</v>
      </c>
      <c r="GB34">
        <v>32.0244</v>
      </c>
      <c r="GC34">
        <v>23.8949</v>
      </c>
      <c r="GD34">
        <v>19</v>
      </c>
      <c r="GE34">
        <v>279.39600000000002</v>
      </c>
      <c r="GF34">
        <v>594.41099999999994</v>
      </c>
      <c r="GG34">
        <v>15.1632</v>
      </c>
      <c r="GH34">
        <v>26.077500000000001</v>
      </c>
      <c r="GI34">
        <v>30.001000000000001</v>
      </c>
      <c r="GJ34">
        <v>26.026599999999998</v>
      </c>
      <c r="GK34">
        <v>25.956199999999999</v>
      </c>
      <c r="GL34">
        <v>35.613599999999998</v>
      </c>
      <c r="GM34">
        <v>-30</v>
      </c>
      <c r="GN34">
        <v>-30</v>
      </c>
      <c r="GO34">
        <v>13.225</v>
      </c>
      <c r="GP34">
        <v>800</v>
      </c>
      <c r="GQ34">
        <v>12.5298</v>
      </c>
      <c r="GR34">
        <v>99.610900000000001</v>
      </c>
      <c r="GS34">
        <v>99.267600000000002</v>
      </c>
    </row>
    <row r="35" spans="1:201" x14ac:dyDescent="0.25">
      <c r="A35">
        <v>19</v>
      </c>
      <c r="B35">
        <v>1690203955.5</v>
      </c>
      <c r="C35">
        <v>515.90000009536743</v>
      </c>
      <c r="D35" t="s">
        <v>371</v>
      </c>
      <c r="E35" t="s">
        <v>372</v>
      </c>
      <c r="F35" t="s">
        <v>330</v>
      </c>
      <c r="H35">
        <v>1690203955.5</v>
      </c>
      <c r="I35">
        <f t="shared" si="0"/>
        <v>7.1462832635424726E-4</v>
      </c>
      <c r="J35">
        <f t="shared" si="1"/>
        <v>0.71462832635424722</v>
      </c>
      <c r="K35">
        <f t="shared" si="2"/>
        <v>11.171653046349636</v>
      </c>
      <c r="L35">
        <f t="shared" si="3"/>
        <v>678.82600000000002</v>
      </c>
      <c r="M35">
        <f t="shared" si="4"/>
        <v>152.03842196794776</v>
      </c>
      <c r="N35">
        <f t="shared" si="5"/>
        <v>15.072233329625083</v>
      </c>
      <c r="O35">
        <f t="shared" si="6"/>
        <v>67.294988528445998</v>
      </c>
      <c r="P35">
        <f t="shared" si="7"/>
        <v>3.5097548570126487E-2</v>
      </c>
      <c r="Q35">
        <f t="shared" si="8"/>
        <v>2.1979517551510117</v>
      </c>
      <c r="R35">
        <f t="shared" si="9"/>
        <v>3.4789141954920021E-2</v>
      </c>
      <c r="S35">
        <f t="shared" si="10"/>
        <v>2.177069686199198E-2</v>
      </c>
      <c r="T35">
        <f t="shared" si="11"/>
        <v>276.11267857526082</v>
      </c>
      <c r="U35">
        <f t="shared" si="12"/>
        <v>26.744703444492597</v>
      </c>
      <c r="V35">
        <f t="shared" si="13"/>
        <v>26.744703444492597</v>
      </c>
      <c r="W35">
        <f t="shared" si="14"/>
        <v>3.525842986757675</v>
      </c>
      <c r="X35">
        <f t="shared" si="15"/>
        <v>48.881928891258944</v>
      </c>
      <c r="Y35">
        <f t="shared" si="16"/>
        <v>1.5414998153016</v>
      </c>
      <c r="Z35">
        <f t="shared" si="17"/>
        <v>3.1535167499849837</v>
      </c>
      <c r="AA35">
        <f t="shared" si="18"/>
        <v>1.9843431714560751</v>
      </c>
      <c r="AB35">
        <f t="shared" si="19"/>
        <v>-31.515109192222305</v>
      </c>
      <c r="AC35">
        <f t="shared" si="20"/>
        <v>-223.15202832314313</v>
      </c>
      <c r="AD35">
        <f t="shared" si="21"/>
        <v>-21.649781009525903</v>
      </c>
      <c r="AE35">
        <f t="shared" si="22"/>
        <v>-0.20423994963050518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52919.466007687035</v>
      </c>
      <c r="AK35">
        <f t="shared" si="26"/>
        <v>1799.98</v>
      </c>
      <c r="AL35">
        <f t="shared" si="27"/>
        <v>1499.0972349789802</v>
      </c>
      <c r="AM35">
        <f t="shared" si="28"/>
        <v>0.83284105100000005</v>
      </c>
      <c r="AN35">
        <f t="shared" si="29"/>
        <v>0.15339763696</v>
      </c>
      <c r="AO35">
        <v>31.2</v>
      </c>
      <c r="AP35">
        <v>0.5</v>
      </c>
      <c r="AQ35" t="s">
        <v>331</v>
      </c>
      <c r="AR35">
        <v>2</v>
      </c>
      <c r="AS35">
        <v>1690203955.5</v>
      </c>
      <c r="AT35">
        <v>678.82600000000002</v>
      </c>
      <c r="AU35">
        <v>800.00300000000004</v>
      </c>
      <c r="AV35">
        <v>15.5496</v>
      </c>
      <c r="AW35">
        <v>8.2362500000000001</v>
      </c>
      <c r="AX35">
        <v>679.73800000000006</v>
      </c>
      <c r="AY35">
        <v>15.4915</v>
      </c>
      <c r="AZ35">
        <v>300.13200000000001</v>
      </c>
      <c r="BA35">
        <v>99.034300000000002</v>
      </c>
      <c r="BB35">
        <v>0.10007099999999999</v>
      </c>
      <c r="BC35">
        <v>24.861499999999999</v>
      </c>
      <c r="BD35">
        <v>26.909099999999999</v>
      </c>
      <c r="BE35">
        <v>26.172599999999999</v>
      </c>
      <c r="BF35">
        <v>0</v>
      </c>
      <c r="BG35">
        <v>0</v>
      </c>
      <c r="BH35">
        <v>10035</v>
      </c>
      <c r="BI35">
        <v>1070.6300000000001</v>
      </c>
      <c r="BJ35">
        <v>1.2783100000000001</v>
      </c>
      <c r="BK35">
        <v>-121.17700000000001</v>
      </c>
      <c r="BL35">
        <v>689.548</v>
      </c>
      <c r="BM35">
        <v>806.64700000000005</v>
      </c>
      <c r="BN35">
        <v>7.3132999999999999</v>
      </c>
      <c r="BO35">
        <v>800.00300000000004</v>
      </c>
      <c r="BP35">
        <v>8.2362500000000001</v>
      </c>
      <c r="BQ35">
        <v>1.5399400000000001</v>
      </c>
      <c r="BR35">
        <v>0.81567199999999995</v>
      </c>
      <c r="BS35">
        <v>13.3706</v>
      </c>
      <c r="BT35">
        <v>3.9830000000000001</v>
      </c>
      <c r="BU35">
        <v>1799.98</v>
      </c>
      <c r="BV35">
        <v>0.91000700000000001</v>
      </c>
      <c r="BW35">
        <v>3.40004E-2</v>
      </c>
      <c r="BX35">
        <v>2.2004300000000001E-2</v>
      </c>
      <c r="BY35">
        <v>3.3988200000000003E-2</v>
      </c>
      <c r="BZ35">
        <v>25</v>
      </c>
      <c r="CA35">
        <v>33528</v>
      </c>
      <c r="CB35">
        <v>1690203121.0999999</v>
      </c>
      <c r="CC35" t="s">
        <v>332</v>
      </c>
      <c r="CD35">
        <v>1690203121.0999999</v>
      </c>
      <c r="CE35">
        <v>1690203121.0999999</v>
      </c>
      <c r="CF35">
        <v>3</v>
      </c>
      <c r="CG35">
        <v>0.53600000000000003</v>
      </c>
      <c r="CH35">
        <v>-0.01</v>
      </c>
      <c r="CI35">
        <v>-0.996</v>
      </c>
      <c r="CJ35">
        <v>-6.6000000000000003E-2</v>
      </c>
      <c r="CK35">
        <v>800</v>
      </c>
      <c r="CL35">
        <v>9</v>
      </c>
      <c r="CM35">
        <v>0.82</v>
      </c>
      <c r="CN35">
        <v>0.01</v>
      </c>
      <c r="CO35">
        <v>-103.9409682926829</v>
      </c>
      <c r="CP35">
        <v>-88.478140766550609</v>
      </c>
      <c r="CQ35">
        <v>8.7243090087812671</v>
      </c>
      <c r="CR35">
        <v>-1</v>
      </c>
      <c r="CS35">
        <v>6.6596756097560963</v>
      </c>
      <c r="CT35">
        <v>2.4072094076655191</v>
      </c>
      <c r="CU35">
        <v>0.23767759401718741</v>
      </c>
      <c r="CV35">
        <v>-1</v>
      </c>
      <c r="CW35">
        <v>0</v>
      </c>
      <c r="CX35">
        <v>0</v>
      </c>
      <c r="CY35" t="s">
        <v>333</v>
      </c>
      <c r="CZ35">
        <v>2.36456</v>
      </c>
      <c r="DA35">
        <v>2.7138900000000001</v>
      </c>
      <c r="DB35">
        <v>0.13131300000000001</v>
      </c>
      <c r="DC35">
        <v>0.14619099999999999</v>
      </c>
      <c r="DD35">
        <v>8.3675600000000003E-2</v>
      </c>
      <c r="DE35">
        <v>5.0889499999999997E-2</v>
      </c>
      <c r="DF35">
        <v>31682.3</v>
      </c>
      <c r="DG35">
        <v>27443.599999999999</v>
      </c>
      <c r="DH35">
        <v>31135.4</v>
      </c>
      <c r="DI35">
        <v>28007.4</v>
      </c>
      <c r="DJ35">
        <v>38736.5</v>
      </c>
      <c r="DK35">
        <v>37776.300000000003</v>
      </c>
      <c r="DL35">
        <v>44299.9</v>
      </c>
      <c r="DM35">
        <v>42421.599999999999</v>
      </c>
      <c r="DN35">
        <v>1.4796800000000001</v>
      </c>
      <c r="DO35">
        <v>2.0543800000000001</v>
      </c>
      <c r="DP35">
        <v>9.8023600000000002E-2</v>
      </c>
      <c r="DQ35">
        <v>7.2587299999999993E-2</v>
      </c>
      <c r="DR35">
        <v>25.303699999999999</v>
      </c>
      <c r="DS35">
        <v>24.982800000000001</v>
      </c>
      <c r="DT35">
        <v>27.1</v>
      </c>
      <c r="DU35">
        <v>27.2</v>
      </c>
      <c r="DV35">
        <v>9.9092699999999994</v>
      </c>
      <c r="DW35">
        <v>61.595500000000001</v>
      </c>
      <c r="DX35">
        <v>37.115400000000001</v>
      </c>
      <c r="DY35">
        <v>1</v>
      </c>
      <c r="DZ35">
        <v>-9.5091499999999995E-2</v>
      </c>
      <c r="EA35">
        <v>-6.6666699999999999</v>
      </c>
      <c r="EB35">
        <v>19.980899999999998</v>
      </c>
      <c r="EC35">
        <v>5.2408000000000001</v>
      </c>
      <c r="ED35">
        <v>12.0411</v>
      </c>
      <c r="EE35">
        <v>5.0167999999999999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1.8688899999999999</v>
      </c>
      <c r="EL35">
        <v>1.86459</v>
      </c>
      <c r="EM35">
        <v>1.8691</v>
      </c>
      <c r="EN35">
        <v>1.86721</v>
      </c>
      <c r="EO35">
        <v>1.86338</v>
      </c>
      <c r="EP35">
        <v>1.8644700000000001</v>
      </c>
      <c r="EQ35">
        <v>1.87012</v>
      </c>
      <c r="ER35">
        <v>1.86937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-0.91200000000000003</v>
      </c>
      <c r="FG35">
        <v>5.8099999999999999E-2</v>
      </c>
      <c r="FH35">
        <v>-0.44422204735670362</v>
      </c>
      <c r="FI35">
        <v>-6.1462078757559423E-4</v>
      </c>
      <c r="FJ35">
        <v>-1.8861989874597051E-7</v>
      </c>
      <c r="FK35">
        <v>1.1980462299894961E-10</v>
      </c>
      <c r="FL35">
        <v>-5.4907600448225742E-2</v>
      </c>
      <c r="FM35">
        <v>-1.6848085045870601E-2</v>
      </c>
      <c r="FN35">
        <v>1.9789084769509481E-3</v>
      </c>
      <c r="FO35">
        <v>-2.7142391389806329E-5</v>
      </c>
      <c r="FP35">
        <v>3</v>
      </c>
      <c r="FQ35">
        <v>2158</v>
      </c>
      <c r="FR35">
        <v>1</v>
      </c>
      <c r="FS35">
        <v>19</v>
      </c>
      <c r="FT35">
        <v>13.9</v>
      </c>
      <c r="FU35">
        <v>13.9</v>
      </c>
      <c r="FV35">
        <v>1.78101</v>
      </c>
      <c r="FW35">
        <v>2.5512700000000001</v>
      </c>
      <c r="FX35">
        <v>1.5490699999999999</v>
      </c>
      <c r="FY35">
        <v>2.33643</v>
      </c>
      <c r="FZ35">
        <v>1.50146</v>
      </c>
      <c r="GA35">
        <v>2.3938000000000001</v>
      </c>
      <c r="GB35">
        <v>32.0244</v>
      </c>
      <c r="GC35">
        <v>23.921099999999999</v>
      </c>
      <c r="GD35">
        <v>19</v>
      </c>
      <c r="GE35">
        <v>282.99599999999998</v>
      </c>
      <c r="GF35">
        <v>593.85799999999995</v>
      </c>
      <c r="GG35">
        <v>18.141999999999999</v>
      </c>
      <c r="GH35">
        <v>26.101700000000001</v>
      </c>
      <c r="GI35">
        <v>29.9984</v>
      </c>
      <c r="GJ35">
        <v>26.043500000000002</v>
      </c>
      <c r="GK35">
        <v>25.9663</v>
      </c>
      <c r="GL35">
        <v>35.615699999999997</v>
      </c>
      <c r="GM35">
        <v>-30</v>
      </c>
      <c r="GN35">
        <v>-30</v>
      </c>
      <c r="GO35">
        <v>22.079599999999999</v>
      </c>
      <c r="GP35">
        <v>800</v>
      </c>
      <c r="GQ35">
        <v>12.5298</v>
      </c>
      <c r="GR35">
        <v>99.608500000000006</v>
      </c>
      <c r="GS35">
        <v>99.264799999999994</v>
      </c>
    </row>
    <row r="36" spans="1:201" x14ac:dyDescent="0.25">
      <c r="A36">
        <v>20</v>
      </c>
      <c r="B36">
        <v>1690203965.5</v>
      </c>
      <c r="C36">
        <v>525.90000009536743</v>
      </c>
      <c r="D36" t="s">
        <v>373</v>
      </c>
      <c r="E36" t="s">
        <v>374</v>
      </c>
      <c r="F36" t="s">
        <v>330</v>
      </c>
      <c r="H36">
        <v>1690203965.5</v>
      </c>
      <c r="I36">
        <f t="shared" si="0"/>
        <v>8.7525433115776669E-4</v>
      </c>
      <c r="J36">
        <f t="shared" si="1"/>
        <v>0.87525433115776674</v>
      </c>
      <c r="K36">
        <f t="shared" si="2"/>
        <v>12.480568330540232</v>
      </c>
      <c r="L36">
        <f t="shared" si="3"/>
        <v>664.19399999999996</v>
      </c>
      <c r="M36">
        <f t="shared" si="4"/>
        <v>203.90608938070932</v>
      </c>
      <c r="N36">
        <f t="shared" si="5"/>
        <v>20.214320705060302</v>
      </c>
      <c r="O36">
        <f t="shared" si="6"/>
        <v>65.845167092135995</v>
      </c>
      <c r="P36">
        <f t="shared" si="7"/>
        <v>4.5141036231025493E-2</v>
      </c>
      <c r="Q36">
        <f t="shared" si="8"/>
        <v>2.1952798542935383</v>
      </c>
      <c r="R36">
        <f t="shared" si="9"/>
        <v>4.4631636799989119E-2</v>
      </c>
      <c r="S36">
        <f t="shared" si="10"/>
        <v>2.7940061460210129E-2</v>
      </c>
      <c r="T36">
        <f t="shared" si="11"/>
        <v>276.11466503311652</v>
      </c>
      <c r="U36">
        <f t="shared" si="12"/>
        <v>27.071295950407219</v>
      </c>
      <c r="V36">
        <f t="shared" si="13"/>
        <v>27.071295950407219</v>
      </c>
      <c r="W36">
        <f t="shared" si="14"/>
        <v>3.5941744413934837</v>
      </c>
      <c r="X36">
        <f t="shared" si="15"/>
        <v>52.763809394566543</v>
      </c>
      <c r="Y36">
        <f t="shared" si="16"/>
        <v>1.7019969567695998</v>
      </c>
      <c r="Z36">
        <f t="shared" si="17"/>
        <v>3.2256900635094525</v>
      </c>
      <c r="AA36">
        <f t="shared" si="18"/>
        <v>1.8921774846238839</v>
      </c>
      <c r="AB36">
        <f t="shared" si="19"/>
        <v>-38.598716004057508</v>
      </c>
      <c r="AC36">
        <f t="shared" si="20"/>
        <v>-216.59538324919134</v>
      </c>
      <c r="AD36">
        <f t="shared" si="21"/>
        <v>-21.113916874931881</v>
      </c>
      <c r="AE36">
        <f t="shared" si="22"/>
        <v>-0.19335109506420167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52742.112074019773</v>
      </c>
      <c r="AK36">
        <f t="shared" si="26"/>
        <v>1799.99</v>
      </c>
      <c r="AL36">
        <f t="shared" si="27"/>
        <v>1499.1026888054598</v>
      </c>
      <c r="AM36">
        <f t="shared" si="28"/>
        <v>0.83283945399999992</v>
      </c>
      <c r="AN36">
        <f t="shared" si="29"/>
        <v>0.15339788833999995</v>
      </c>
      <c r="AO36">
        <v>31.2</v>
      </c>
      <c r="AP36">
        <v>0.5</v>
      </c>
      <c r="AQ36" t="s">
        <v>331</v>
      </c>
      <c r="AR36">
        <v>2</v>
      </c>
      <c r="AS36">
        <v>1690203965.5</v>
      </c>
      <c r="AT36">
        <v>664.19399999999996</v>
      </c>
      <c r="AU36">
        <v>799.94100000000003</v>
      </c>
      <c r="AV36">
        <v>17.168399999999998</v>
      </c>
      <c r="AW36">
        <v>8.2284100000000002</v>
      </c>
      <c r="AX36">
        <v>665.096</v>
      </c>
      <c r="AY36">
        <v>17.069299999999998</v>
      </c>
      <c r="AZ36">
        <v>300.214</v>
      </c>
      <c r="BA36">
        <v>99.035399999999996</v>
      </c>
      <c r="BB36">
        <v>0.10004399999999999</v>
      </c>
      <c r="BC36">
        <v>25.241199999999999</v>
      </c>
      <c r="BD36">
        <v>27.005600000000001</v>
      </c>
      <c r="BE36">
        <v>26.473199999999999</v>
      </c>
      <c r="BF36">
        <v>0</v>
      </c>
      <c r="BG36">
        <v>0</v>
      </c>
      <c r="BH36">
        <v>10013.1</v>
      </c>
      <c r="BI36">
        <v>1069.0899999999999</v>
      </c>
      <c r="BJ36">
        <v>1.5095799999999999</v>
      </c>
      <c r="BK36">
        <v>-135.74600000000001</v>
      </c>
      <c r="BL36">
        <v>675.79700000000003</v>
      </c>
      <c r="BM36">
        <v>806.57799999999997</v>
      </c>
      <c r="BN36">
        <v>8.9400099999999991</v>
      </c>
      <c r="BO36">
        <v>799.94100000000003</v>
      </c>
      <c r="BP36">
        <v>8.2284100000000002</v>
      </c>
      <c r="BQ36">
        <v>1.70028</v>
      </c>
      <c r="BR36">
        <v>0.81490499999999999</v>
      </c>
      <c r="BS36">
        <v>14.898999999999999</v>
      </c>
      <c r="BT36">
        <v>3.9696199999999999</v>
      </c>
      <c r="BU36">
        <v>1799.99</v>
      </c>
      <c r="BV36">
        <v>0.90998599999999996</v>
      </c>
      <c r="BW36">
        <v>3.3995499999999998E-2</v>
      </c>
      <c r="BX36">
        <v>2.2007200000000001E-2</v>
      </c>
      <c r="BY36">
        <v>3.4010800000000001E-2</v>
      </c>
      <c r="BZ36">
        <v>25</v>
      </c>
      <c r="CA36">
        <v>33528</v>
      </c>
      <c r="CB36">
        <v>1690203121.0999999</v>
      </c>
      <c r="CC36" t="s">
        <v>332</v>
      </c>
      <c r="CD36">
        <v>1690203121.0999999</v>
      </c>
      <c r="CE36">
        <v>1690203121.0999999</v>
      </c>
      <c r="CF36">
        <v>3</v>
      </c>
      <c r="CG36">
        <v>0.53600000000000003</v>
      </c>
      <c r="CH36">
        <v>-0.01</v>
      </c>
      <c r="CI36">
        <v>-0.996</v>
      </c>
      <c r="CJ36">
        <v>-6.6000000000000003E-2</v>
      </c>
      <c r="CK36">
        <v>800</v>
      </c>
      <c r="CL36">
        <v>9</v>
      </c>
      <c r="CM36">
        <v>0.82</v>
      </c>
      <c r="CN36">
        <v>0.01</v>
      </c>
      <c r="CO36">
        <v>-119.96922499999999</v>
      </c>
      <c r="CP36">
        <v>-89.803395872420154</v>
      </c>
      <c r="CQ36">
        <v>8.6393275070676072</v>
      </c>
      <c r="CR36">
        <v>-1</v>
      </c>
      <c r="CS36">
        <v>7.4610242499999986</v>
      </c>
      <c r="CT36">
        <v>6.7086203752345082</v>
      </c>
      <c r="CU36">
        <v>0.67028268539433244</v>
      </c>
      <c r="CV36">
        <v>-1</v>
      </c>
      <c r="CW36">
        <v>0</v>
      </c>
      <c r="CX36">
        <v>0</v>
      </c>
      <c r="CY36" t="s">
        <v>333</v>
      </c>
      <c r="CZ36">
        <v>2.3648099999999999</v>
      </c>
      <c r="DA36">
        <v>2.7138499999999999</v>
      </c>
      <c r="DB36">
        <v>0.12937799999999999</v>
      </c>
      <c r="DC36">
        <v>0.14618200000000001</v>
      </c>
      <c r="DD36">
        <v>8.9827500000000005E-2</v>
      </c>
      <c r="DE36">
        <v>5.0850600000000003E-2</v>
      </c>
      <c r="DF36">
        <v>31753</v>
      </c>
      <c r="DG36">
        <v>27443.599999999999</v>
      </c>
      <c r="DH36">
        <v>31135.599999999999</v>
      </c>
      <c r="DI36">
        <v>28007.1</v>
      </c>
      <c r="DJ36">
        <v>38473.9</v>
      </c>
      <c r="DK36">
        <v>37777.800000000003</v>
      </c>
      <c r="DL36">
        <v>44299.6</v>
      </c>
      <c r="DM36">
        <v>42421.5</v>
      </c>
      <c r="DN36">
        <v>1.4790000000000001</v>
      </c>
      <c r="DO36">
        <v>2.0542199999999999</v>
      </c>
      <c r="DP36">
        <v>0.10889799999999999</v>
      </c>
      <c r="DQ36">
        <v>9.7274799999999995E-2</v>
      </c>
      <c r="DR36">
        <v>25.222200000000001</v>
      </c>
      <c r="DS36">
        <v>24.879000000000001</v>
      </c>
      <c r="DT36">
        <v>27</v>
      </c>
      <c r="DU36">
        <v>27.2</v>
      </c>
      <c r="DV36">
        <v>9.8735599999999994</v>
      </c>
      <c r="DW36">
        <v>61.345500000000001</v>
      </c>
      <c r="DX36">
        <v>35.989600000000003</v>
      </c>
      <c r="DY36">
        <v>1</v>
      </c>
      <c r="DZ36">
        <v>-9.5901899999999998E-2</v>
      </c>
      <c r="EA36">
        <v>-6.6647299999999996</v>
      </c>
      <c r="EB36">
        <v>20.000699999999998</v>
      </c>
      <c r="EC36">
        <v>5.2408000000000001</v>
      </c>
      <c r="ED36">
        <v>12.041399999999999</v>
      </c>
      <c r="EE36">
        <v>5.0168999999999997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</v>
      </c>
      <c r="EL36">
        <v>1.8646100000000001</v>
      </c>
      <c r="EM36">
        <v>1.86911</v>
      </c>
      <c r="EN36">
        <v>1.8672200000000001</v>
      </c>
      <c r="EO36">
        <v>1.86338</v>
      </c>
      <c r="EP36">
        <v>1.8644700000000001</v>
      </c>
      <c r="EQ36">
        <v>1.87012</v>
      </c>
      <c r="ER36">
        <v>1.8693599999999999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-0.90200000000000002</v>
      </c>
      <c r="FG36">
        <v>9.9099999999999994E-2</v>
      </c>
      <c r="FH36">
        <v>-0.44422204735670362</v>
      </c>
      <c r="FI36">
        <v>-6.1462078757559423E-4</v>
      </c>
      <c r="FJ36">
        <v>-1.8861989874597051E-7</v>
      </c>
      <c r="FK36">
        <v>1.1980462299894961E-10</v>
      </c>
      <c r="FL36">
        <v>-5.4907600448225742E-2</v>
      </c>
      <c r="FM36">
        <v>-1.6848085045870601E-2</v>
      </c>
      <c r="FN36">
        <v>1.9789084769509481E-3</v>
      </c>
      <c r="FO36">
        <v>-2.7142391389806329E-5</v>
      </c>
      <c r="FP36">
        <v>3</v>
      </c>
      <c r="FQ36">
        <v>2158</v>
      </c>
      <c r="FR36">
        <v>1</v>
      </c>
      <c r="FS36">
        <v>19</v>
      </c>
      <c r="FT36">
        <v>14.1</v>
      </c>
      <c r="FU36">
        <v>14.1</v>
      </c>
      <c r="FV36">
        <v>1.78223</v>
      </c>
      <c r="FW36">
        <v>2.5549300000000001</v>
      </c>
      <c r="FX36">
        <v>1.5490699999999999</v>
      </c>
      <c r="FY36">
        <v>2.33643</v>
      </c>
      <c r="FZ36">
        <v>1.50146</v>
      </c>
      <c r="GA36">
        <v>2.31934</v>
      </c>
      <c r="GB36">
        <v>32.046399999999998</v>
      </c>
      <c r="GC36">
        <v>23.921099999999999</v>
      </c>
      <c r="GD36">
        <v>19</v>
      </c>
      <c r="GE36">
        <v>282.815</v>
      </c>
      <c r="GF36">
        <v>593.846</v>
      </c>
      <c r="GG36">
        <v>22.875499999999999</v>
      </c>
      <c r="GH36">
        <v>26.125399999999999</v>
      </c>
      <c r="GI36">
        <v>29.9998</v>
      </c>
      <c r="GJ36">
        <v>26.067599999999999</v>
      </c>
      <c r="GK36">
        <v>25.976099999999999</v>
      </c>
      <c r="GL36">
        <v>35.619500000000002</v>
      </c>
      <c r="GM36">
        <v>-30</v>
      </c>
      <c r="GN36">
        <v>-30</v>
      </c>
      <c r="GO36">
        <v>22.172999999999998</v>
      </c>
      <c r="GP36">
        <v>800</v>
      </c>
      <c r="GQ36">
        <v>12.5298</v>
      </c>
      <c r="GR36">
        <v>99.608500000000006</v>
      </c>
      <c r="GS36">
        <v>99.264200000000002</v>
      </c>
    </row>
    <row r="37" spans="1:201" x14ac:dyDescent="0.25">
      <c r="A37">
        <v>21</v>
      </c>
      <c r="B37">
        <v>1690203975.5</v>
      </c>
      <c r="C37">
        <v>535.90000009536743</v>
      </c>
      <c r="D37" t="s">
        <v>375</v>
      </c>
      <c r="E37" t="s">
        <v>376</v>
      </c>
      <c r="F37" t="s">
        <v>330</v>
      </c>
      <c r="H37">
        <v>1690203975.5</v>
      </c>
      <c r="I37">
        <f t="shared" si="0"/>
        <v>9.6400345811963235E-4</v>
      </c>
      <c r="J37">
        <f t="shared" si="1"/>
        <v>0.96400345811963239</v>
      </c>
      <c r="K37">
        <f t="shared" si="2"/>
        <v>13.682520317687031</v>
      </c>
      <c r="L37">
        <f t="shared" si="3"/>
        <v>651.178</v>
      </c>
      <c r="M37">
        <f t="shared" si="4"/>
        <v>193.4024218700709</v>
      </c>
      <c r="N37">
        <f t="shared" si="5"/>
        <v>19.173271474586493</v>
      </c>
      <c r="O37">
        <f t="shared" si="6"/>
        <v>64.555616478608187</v>
      </c>
      <c r="P37">
        <f t="shared" si="7"/>
        <v>4.9778003461013291E-2</v>
      </c>
      <c r="Q37">
        <f t="shared" si="8"/>
        <v>2.1878379718687069</v>
      </c>
      <c r="R37">
        <f t="shared" si="9"/>
        <v>4.915727362879288E-2</v>
      </c>
      <c r="S37">
        <f t="shared" si="10"/>
        <v>3.0778421161994498E-2</v>
      </c>
      <c r="T37">
        <f t="shared" si="11"/>
        <v>276.11430341512556</v>
      </c>
      <c r="U37">
        <f t="shared" si="12"/>
        <v>27.479122254538741</v>
      </c>
      <c r="V37">
        <f t="shared" si="13"/>
        <v>27.479122254538741</v>
      </c>
      <c r="W37">
        <f t="shared" si="14"/>
        <v>3.6811229769673988</v>
      </c>
      <c r="X37">
        <f t="shared" si="15"/>
        <v>54.101797598982458</v>
      </c>
      <c r="Y37">
        <f t="shared" si="16"/>
        <v>1.7906461322145599</v>
      </c>
      <c r="Z37">
        <f t="shared" si="17"/>
        <v>3.3097719700319872</v>
      </c>
      <c r="AA37">
        <f t="shared" si="18"/>
        <v>1.8904768447528388</v>
      </c>
      <c r="AB37">
        <f t="shared" si="19"/>
        <v>-42.512552503075788</v>
      </c>
      <c r="AC37">
        <f t="shared" si="20"/>
        <v>-212.8800857293277</v>
      </c>
      <c r="AD37">
        <f t="shared" si="21"/>
        <v>-20.910247589955311</v>
      </c>
      <c r="AE37">
        <f t="shared" si="22"/>
        <v>-0.18858240723324116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52360.44077451562</v>
      </c>
      <c r="AK37">
        <f t="shared" si="26"/>
        <v>1799.99</v>
      </c>
      <c r="AL37">
        <f t="shared" si="27"/>
        <v>1499.1036158003101</v>
      </c>
      <c r="AM37">
        <f t="shared" si="28"/>
        <v>0.83283996900000001</v>
      </c>
      <c r="AN37">
        <f t="shared" si="29"/>
        <v>0.15339768743999999</v>
      </c>
      <c r="AO37">
        <v>31.2</v>
      </c>
      <c r="AP37">
        <v>0.5</v>
      </c>
      <c r="AQ37" t="s">
        <v>331</v>
      </c>
      <c r="AR37">
        <v>2</v>
      </c>
      <c r="AS37">
        <v>1690203975.5</v>
      </c>
      <c r="AT37">
        <v>651.178</v>
      </c>
      <c r="AU37">
        <v>799.96600000000001</v>
      </c>
      <c r="AV37">
        <v>18.0624</v>
      </c>
      <c r="AW37">
        <v>8.2204099999999993</v>
      </c>
      <c r="AX37">
        <v>652.07000000000005</v>
      </c>
      <c r="AY37">
        <v>17.939399999999999</v>
      </c>
      <c r="AZ37">
        <v>300.07799999999997</v>
      </c>
      <c r="BA37">
        <v>99.036699999999996</v>
      </c>
      <c r="BB37">
        <v>9.9966899999999997E-2</v>
      </c>
      <c r="BC37">
        <v>25.674299999999999</v>
      </c>
      <c r="BD37">
        <v>27.445599999999999</v>
      </c>
      <c r="BE37">
        <v>26.959499999999998</v>
      </c>
      <c r="BF37">
        <v>0</v>
      </c>
      <c r="BG37">
        <v>0</v>
      </c>
      <c r="BH37">
        <v>9952.5</v>
      </c>
      <c r="BI37">
        <v>1068.82</v>
      </c>
      <c r="BJ37">
        <v>1.3595999999999999</v>
      </c>
      <c r="BK37">
        <v>-148.78800000000001</v>
      </c>
      <c r="BL37">
        <v>663.15599999999995</v>
      </c>
      <c r="BM37">
        <v>806.596</v>
      </c>
      <c r="BN37">
        <v>9.8419899999999991</v>
      </c>
      <c r="BO37">
        <v>799.96600000000001</v>
      </c>
      <c r="BP37">
        <v>8.2204099999999993</v>
      </c>
      <c r="BQ37">
        <v>1.78884</v>
      </c>
      <c r="BR37">
        <v>0.81412200000000001</v>
      </c>
      <c r="BS37">
        <v>15.6896</v>
      </c>
      <c r="BT37">
        <v>3.9559500000000001</v>
      </c>
      <c r="BU37">
        <v>1799.99</v>
      </c>
      <c r="BV37">
        <v>0.90999200000000002</v>
      </c>
      <c r="BW37">
        <v>3.39951E-2</v>
      </c>
      <c r="BX37">
        <v>2.2003700000000001E-2</v>
      </c>
      <c r="BY37">
        <v>3.4009200000000003E-2</v>
      </c>
      <c r="BZ37">
        <v>25</v>
      </c>
      <c r="CA37">
        <v>33528.1</v>
      </c>
      <c r="CB37">
        <v>1690203121.0999999</v>
      </c>
      <c r="CC37" t="s">
        <v>332</v>
      </c>
      <c r="CD37">
        <v>1690203121.0999999</v>
      </c>
      <c r="CE37">
        <v>1690203121.0999999</v>
      </c>
      <c r="CF37">
        <v>3</v>
      </c>
      <c r="CG37">
        <v>0.53600000000000003</v>
      </c>
      <c r="CH37">
        <v>-0.01</v>
      </c>
      <c r="CI37">
        <v>-0.996</v>
      </c>
      <c r="CJ37">
        <v>-6.6000000000000003E-2</v>
      </c>
      <c r="CK37">
        <v>800</v>
      </c>
      <c r="CL37">
        <v>9</v>
      </c>
      <c r="CM37">
        <v>0.82</v>
      </c>
      <c r="CN37">
        <v>0.01</v>
      </c>
      <c r="CO37">
        <v>-133.4078536585366</v>
      </c>
      <c r="CP37">
        <v>-84.423219512195317</v>
      </c>
      <c r="CQ37">
        <v>8.3277652920259477</v>
      </c>
      <c r="CR37">
        <v>-1</v>
      </c>
      <c r="CS37">
        <v>8.607751463414635</v>
      </c>
      <c r="CT37">
        <v>8.3478974216027915</v>
      </c>
      <c r="CU37">
        <v>0.8293999985812871</v>
      </c>
      <c r="CV37">
        <v>-1</v>
      </c>
      <c r="CW37">
        <v>0</v>
      </c>
      <c r="CX37">
        <v>0</v>
      </c>
      <c r="CY37" t="s">
        <v>333</v>
      </c>
      <c r="CZ37">
        <v>2.3643200000000002</v>
      </c>
      <c r="DA37">
        <v>2.7137099999999998</v>
      </c>
      <c r="DB37">
        <v>0.127632</v>
      </c>
      <c r="DC37">
        <v>0.14618300000000001</v>
      </c>
      <c r="DD37">
        <v>9.3125399999999997E-2</v>
      </c>
      <c r="DE37">
        <v>5.0810800000000003E-2</v>
      </c>
      <c r="DF37">
        <v>31816.6</v>
      </c>
      <c r="DG37">
        <v>27443.9</v>
      </c>
      <c r="DH37">
        <v>31135.5</v>
      </c>
      <c r="DI37">
        <v>28007.599999999999</v>
      </c>
      <c r="DJ37">
        <v>38332.6</v>
      </c>
      <c r="DK37">
        <v>37780.1</v>
      </c>
      <c r="DL37">
        <v>44299</v>
      </c>
      <c r="DM37">
        <v>42422.3</v>
      </c>
      <c r="DN37">
        <v>1.4759199999999999</v>
      </c>
      <c r="DO37">
        <v>2.0539499999999999</v>
      </c>
      <c r="DP37">
        <v>0.139769</v>
      </c>
      <c r="DQ37">
        <v>0.130437</v>
      </c>
      <c r="DR37">
        <v>25.1572</v>
      </c>
      <c r="DS37">
        <v>24.822500000000002</v>
      </c>
      <c r="DT37">
        <v>27</v>
      </c>
      <c r="DU37">
        <v>27.2</v>
      </c>
      <c r="DV37">
        <v>9.87181</v>
      </c>
      <c r="DW37">
        <v>61.8155</v>
      </c>
      <c r="DX37">
        <v>35.953499999999998</v>
      </c>
      <c r="DY37">
        <v>1</v>
      </c>
      <c r="DZ37">
        <v>-0.106839</v>
      </c>
      <c r="EA37">
        <v>1.5528</v>
      </c>
      <c r="EB37">
        <v>20.1755</v>
      </c>
      <c r="EC37">
        <v>5.2409499999999998</v>
      </c>
      <c r="ED37">
        <v>12.04</v>
      </c>
      <c r="EE37">
        <v>5.0167999999999999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1.8688899999999999</v>
      </c>
      <c r="EL37">
        <v>1.8646199999999999</v>
      </c>
      <c r="EM37">
        <v>1.86914</v>
      </c>
      <c r="EN37">
        <v>1.8672200000000001</v>
      </c>
      <c r="EO37">
        <v>1.8633900000000001</v>
      </c>
      <c r="EP37">
        <v>1.8644700000000001</v>
      </c>
      <c r="EQ37">
        <v>1.8701399999999999</v>
      </c>
      <c r="ER37">
        <v>1.8693900000000001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-0.89200000000000002</v>
      </c>
      <c r="FG37">
        <v>0.123</v>
      </c>
      <c r="FH37">
        <v>-0.44422204735670362</v>
      </c>
      <c r="FI37">
        <v>-6.1462078757559423E-4</v>
      </c>
      <c r="FJ37">
        <v>-1.8861989874597051E-7</v>
      </c>
      <c r="FK37">
        <v>1.1980462299894961E-10</v>
      </c>
      <c r="FL37">
        <v>-5.4907600448225742E-2</v>
      </c>
      <c r="FM37">
        <v>-1.6848085045870601E-2</v>
      </c>
      <c r="FN37">
        <v>1.9789084769509481E-3</v>
      </c>
      <c r="FO37">
        <v>-2.7142391389806329E-5</v>
      </c>
      <c r="FP37">
        <v>3</v>
      </c>
      <c r="FQ37">
        <v>2158</v>
      </c>
      <c r="FR37">
        <v>1</v>
      </c>
      <c r="FS37">
        <v>19</v>
      </c>
      <c r="FT37">
        <v>14.2</v>
      </c>
      <c r="FU37">
        <v>14.2</v>
      </c>
      <c r="FV37">
        <v>1.78101</v>
      </c>
      <c r="FW37">
        <v>2.5537100000000001</v>
      </c>
      <c r="FX37">
        <v>1.5490699999999999</v>
      </c>
      <c r="FY37">
        <v>2.33643</v>
      </c>
      <c r="FZ37">
        <v>1.50146</v>
      </c>
      <c r="GA37">
        <v>2.3840300000000001</v>
      </c>
      <c r="GB37">
        <v>32.046399999999998</v>
      </c>
      <c r="GC37">
        <v>23.982399999999998</v>
      </c>
      <c r="GD37">
        <v>19</v>
      </c>
      <c r="GE37">
        <v>281.58300000000003</v>
      </c>
      <c r="GF37">
        <v>593.74800000000005</v>
      </c>
      <c r="GG37">
        <v>23.904900000000001</v>
      </c>
      <c r="GH37">
        <v>26.145299999999999</v>
      </c>
      <c r="GI37">
        <v>29.996099999999998</v>
      </c>
      <c r="GJ37">
        <v>26.084099999999999</v>
      </c>
      <c r="GK37">
        <v>25.987500000000001</v>
      </c>
      <c r="GL37">
        <v>35.621699999999997</v>
      </c>
      <c r="GM37">
        <v>-30</v>
      </c>
      <c r="GN37">
        <v>-30</v>
      </c>
      <c r="GO37">
        <v>22.739699999999999</v>
      </c>
      <c r="GP37">
        <v>800</v>
      </c>
      <c r="GQ37">
        <v>12.5298</v>
      </c>
      <c r="GR37">
        <v>99.607500000000002</v>
      </c>
      <c r="GS37">
        <v>99.266099999999994</v>
      </c>
    </row>
    <row r="38" spans="1:201" x14ac:dyDescent="0.25">
      <c r="A38">
        <v>22</v>
      </c>
      <c r="B38">
        <v>1690203985.5</v>
      </c>
      <c r="C38">
        <v>545.90000009536743</v>
      </c>
      <c r="D38" t="s">
        <v>377</v>
      </c>
      <c r="E38" t="s">
        <v>378</v>
      </c>
      <c r="F38" t="s">
        <v>330</v>
      </c>
      <c r="H38">
        <v>1690203985.5</v>
      </c>
      <c r="I38">
        <f t="shared" si="0"/>
        <v>1.0017147817418335E-3</v>
      </c>
      <c r="J38">
        <f t="shared" si="1"/>
        <v>1.0017147817418335</v>
      </c>
      <c r="K38">
        <f t="shared" si="2"/>
        <v>14.803895643585017</v>
      </c>
      <c r="L38">
        <f t="shared" si="3"/>
        <v>639.43399999999997</v>
      </c>
      <c r="M38">
        <f t="shared" si="4"/>
        <v>168.43567045755177</v>
      </c>
      <c r="N38">
        <f t="shared" si="5"/>
        <v>16.698289157696092</v>
      </c>
      <c r="O38">
        <f t="shared" si="6"/>
        <v>63.391880118131596</v>
      </c>
      <c r="P38">
        <f t="shared" si="7"/>
        <v>5.2248409479072444E-2</v>
      </c>
      <c r="Q38">
        <f t="shared" si="8"/>
        <v>2.1950726797939599</v>
      </c>
      <c r="R38">
        <f t="shared" si="9"/>
        <v>5.1567215995815915E-2</v>
      </c>
      <c r="S38">
        <f t="shared" si="10"/>
        <v>3.2289972564591624E-2</v>
      </c>
      <c r="T38">
        <f t="shared" si="11"/>
        <v>276.11424855143042</v>
      </c>
      <c r="U38">
        <f t="shared" si="12"/>
        <v>27.565622518116804</v>
      </c>
      <c r="V38">
        <f t="shared" si="13"/>
        <v>27.565622518116804</v>
      </c>
      <c r="W38">
        <f t="shared" si="14"/>
        <v>3.6997989778276295</v>
      </c>
      <c r="X38">
        <f t="shared" si="15"/>
        <v>54.878877508906442</v>
      </c>
      <c r="Y38">
        <f t="shared" si="16"/>
        <v>1.8276987177063999</v>
      </c>
      <c r="Z38">
        <f t="shared" si="17"/>
        <v>3.3304229253045081</v>
      </c>
      <c r="AA38">
        <f t="shared" si="18"/>
        <v>1.8721002601212295</v>
      </c>
      <c r="AB38">
        <f t="shared" si="19"/>
        <v>-44.175621874814858</v>
      </c>
      <c r="AC38">
        <f t="shared" si="20"/>
        <v>-211.40659546145449</v>
      </c>
      <c r="AD38">
        <f t="shared" si="21"/>
        <v>-20.716910075107933</v>
      </c>
      <c r="AE38">
        <f t="shared" si="22"/>
        <v>-0.18487885994684916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52638.678900294602</v>
      </c>
      <c r="AK38">
        <f t="shared" si="26"/>
        <v>1799.99</v>
      </c>
      <c r="AL38">
        <f t="shared" si="27"/>
        <v>1499.10180141039</v>
      </c>
      <c r="AM38">
        <f t="shared" si="28"/>
        <v>0.83283896099999999</v>
      </c>
      <c r="AN38">
        <f t="shared" si="29"/>
        <v>0.15339765696000002</v>
      </c>
      <c r="AO38">
        <v>31.2</v>
      </c>
      <c r="AP38">
        <v>0.5</v>
      </c>
      <c r="AQ38" t="s">
        <v>331</v>
      </c>
      <c r="AR38">
        <v>2</v>
      </c>
      <c r="AS38">
        <v>1690203985.5</v>
      </c>
      <c r="AT38">
        <v>639.43399999999997</v>
      </c>
      <c r="AU38">
        <v>800.01</v>
      </c>
      <c r="AV38">
        <v>18.436</v>
      </c>
      <c r="AW38">
        <v>8.2131600000000002</v>
      </c>
      <c r="AX38">
        <v>640.31799999999998</v>
      </c>
      <c r="AY38">
        <v>18.302800000000001</v>
      </c>
      <c r="AZ38">
        <v>300.08600000000001</v>
      </c>
      <c r="BA38">
        <v>99.037499999999994</v>
      </c>
      <c r="BB38">
        <v>9.9987400000000004E-2</v>
      </c>
      <c r="BC38">
        <v>25.779199999999999</v>
      </c>
      <c r="BD38">
        <v>27.554099999999998</v>
      </c>
      <c r="BE38">
        <v>27.185500000000001</v>
      </c>
      <c r="BF38">
        <v>0</v>
      </c>
      <c r="BG38">
        <v>0</v>
      </c>
      <c r="BH38">
        <v>10011.200000000001</v>
      </c>
      <c r="BI38">
        <v>1068.8</v>
      </c>
      <c r="BJ38">
        <v>1.40726</v>
      </c>
      <c r="BK38">
        <v>-160.57599999999999</v>
      </c>
      <c r="BL38">
        <v>651.44399999999996</v>
      </c>
      <c r="BM38">
        <v>806.63499999999999</v>
      </c>
      <c r="BN38">
        <v>10.222799999999999</v>
      </c>
      <c r="BO38">
        <v>800.01</v>
      </c>
      <c r="BP38">
        <v>8.2131600000000002</v>
      </c>
      <c r="BQ38">
        <v>1.82585</v>
      </c>
      <c r="BR38">
        <v>0.813411</v>
      </c>
      <c r="BS38">
        <v>16.009899999999998</v>
      </c>
      <c r="BT38">
        <v>3.9435099999999998</v>
      </c>
      <c r="BU38">
        <v>1799.99</v>
      </c>
      <c r="BV38">
        <v>0.90998699999999999</v>
      </c>
      <c r="BW38">
        <v>3.4006500000000002E-2</v>
      </c>
      <c r="BX38">
        <v>2.2001300000000001E-2</v>
      </c>
      <c r="BY38">
        <v>3.4005599999999997E-2</v>
      </c>
      <c r="BZ38">
        <v>25</v>
      </c>
      <c r="CA38">
        <v>33528.1</v>
      </c>
      <c r="CB38">
        <v>1690203121.0999999</v>
      </c>
      <c r="CC38" t="s">
        <v>332</v>
      </c>
      <c r="CD38">
        <v>1690203121.0999999</v>
      </c>
      <c r="CE38">
        <v>1690203121.0999999</v>
      </c>
      <c r="CF38">
        <v>3</v>
      </c>
      <c r="CG38">
        <v>0.53600000000000003</v>
      </c>
      <c r="CH38">
        <v>-0.01</v>
      </c>
      <c r="CI38">
        <v>-0.996</v>
      </c>
      <c r="CJ38">
        <v>-6.6000000000000003E-2</v>
      </c>
      <c r="CK38">
        <v>800</v>
      </c>
      <c r="CL38">
        <v>9</v>
      </c>
      <c r="CM38">
        <v>0.82</v>
      </c>
      <c r="CN38">
        <v>0.01</v>
      </c>
      <c r="CO38">
        <v>-147.67982499999999</v>
      </c>
      <c r="CP38">
        <v>-74.876994371481899</v>
      </c>
      <c r="CQ38">
        <v>7.2052900978638608</v>
      </c>
      <c r="CR38">
        <v>-1</v>
      </c>
      <c r="CS38">
        <v>9.7070495000000001</v>
      </c>
      <c r="CT38">
        <v>3.8530775234521411</v>
      </c>
      <c r="CU38">
        <v>0.38060223780838442</v>
      </c>
      <c r="CV38">
        <v>-1</v>
      </c>
      <c r="CW38">
        <v>0</v>
      </c>
      <c r="CX38">
        <v>0</v>
      </c>
      <c r="CY38" t="s">
        <v>333</v>
      </c>
      <c r="CZ38">
        <v>2.3643399999999999</v>
      </c>
      <c r="DA38">
        <v>2.7137899999999999</v>
      </c>
      <c r="DB38">
        <v>0.12603400000000001</v>
      </c>
      <c r="DC38">
        <v>0.14618600000000001</v>
      </c>
      <c r="DD38">
        <v>9.44831E-2</v>
      </c>
      <c r="DE38">
        <v>5.0774399999999997E-2</v>
      </c>
      <c r="DF38">
        <v>31874.6</v>
      </c>
      <c r="DG38">
        <v>27442.799999999999</v>
      </c>
      <c r="DH38">
        <v>31135.4</v>
      </c>
      <c r="DI38">
        <v>28006.6</v>
      </c>
      <c r="DJ38">
        <v>38274.1</v>
      </c>
      <c r="DK38">
        <v>37780.400000000001</v>
      </c>
      <c r="DL38">
        <v>44298.5</v>
      </c>
      <c r="DM38">
        <v>42421</v>
      </c>
      <c r="DN38">
        <v>1.4752799999999999</v>
      </c>
      <c r="DO38">
        <v>2.0532300000000001</v>
      </c>
      <c r="DP38">
        <v>0.14890400000000001</v>
      </c>
      <c r="DQ38">
        <v>0.14504400000000001</v>
      </c>
      <c r="DR38">
        <v>25.116299999999999</v>
      </c>
      <c r="DS38">
        <v>24.8095</v>
      </c>
      <c r="DT38">
        <v>27</v>
      </c>
      <c r="DU38">
        <v>27.2</v>
      </c>
      <c r="DV38">
        <v>9.8727800000000006</v>
      </c>
      <c r="DW38">
        <v>62.105499999999999</v>
      </c>
      <c r="DX38">
        <v>37.055300000000003</v>
      </c>
      <c r="DY38">
        <v>1</v>
      </c>
      <c r="DZ38">
        <v>-9.6100099999999994E-2</v>
      </c>
      <c r="EA38">
        <v>5.3517799999999998</v>
      </c>
      <c r="EB38">
        <v>20.080100000000002</v>
      </c>
      <c r="EC38">
        <v>5.2411000000000003</v>
      </c>
      <c r="ED38">
        <v>12.04</v>
      </c>
      <c r="EE38">
        <v>5.0168999999999997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</v>
      </c>
      <c r="EL38">
        <v>1.8646100000000001</v>
      </c>
      <c r="EM38">
        <v>1.86914</v>
      </c>
      <c r="EN38">
        <v>1.8672200000000001</v>
      </c>
      <c r="EO38">
        <v>1.8633900000000001</v>
      </c>
      <c r="EP38">
        <v>1.8644700000000001</v>
      </c>
      <c r="EQ38">
        <v>1.8701300000000001</v>
      </c>
      <c r="ER38">
        <v>1.8693500000000001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-0.88400000000000001</v>
      </c>
      <c r="FG38">
        <v>0.13320000000000001</v>
      </c>
      <c r="FH38">
        <v>-0.44422204735670362</v>
      </c>
      <c r="FI38">
        <v>-6.1462078757559423E-4</v>
      </c>
      <c r="FJ38">
        <v>-1.8861989874597051E-7</v>
      </c>
      <c r="FK38">
        <v>1.1980462299894961E-10</v>
      </c>
      <c r="FL38">
        <v>-5.4907600448225742E-2</v>
      </c>
      <c r="FM38">
        <v>-1.6848085045870601E-2</v>
      </c>
      <c r="FN38">
        <v>1.9789084769509481E-3</v>
      </c>
      <c r="FO38">
        <v>-2.7142391389806329E-5</v>
      </c>
      <c r="FP38">
        <v>3</v>
      </c>
      <c r="FQ38">
        <v>2158</v>
      </c>
      <c r="FR38">
        <v>1</v>
      </c>
      <c r="FS38">
        <v>19</v>
      </c>
      <c r="FT38">
        <v>14.4</v>
      </c>
      <c r="FU38">
        <v>14.4</v>
      </c>
      <c r="FV38">
        <v>1.78101</v>
      </c>
      <c r="FW38">
        <v>2.5537100000000001</v>
      </c>
      <c r="FX38">
        <v>1.5490699999999999</v>
      </c>
      <c r="FY38">
        <v>2.33643</v>
      </c>
      <c r="FZ38">
        <v>1.50146</v>
      </c>
      <c r="GA38">
        <v>2.3864700000000001</v>
      </c>
      <c r="GB38">
        <v>32.068399999999997</v>
      </c>
      <c r="GC38">
        <v>23.9299</v>
      </c>
      <c r="GD38">
        <v>19</v>
      </c>
      <c r="GE38">
        <v>281.35500000000002</v>
      </c>
      <c r="GF38">
        <v>593.27300000000002</v>
      </c>
      <c r="GG38">
        <v>22.506599999999999</v>
      </c>
      <c r="GH38">
        <v>26.1602</v>
      </c>
      <c r="GI38">
        <v>30.0044</v>
      </c>
      <c r="GJ38">
        <v>26.094999999999999</v>
      </c>
      <c r="GK38">
        <v>25.998799999999999</v>
      </c>
      <c r="GL38">
        <v>35.620399999999997</v>
      </c>
      <c r="GM38">
        <v>-30</v>
      </c>
      <c r="GN38">
        <v>-30</v>
      </c>
      <c r="GO38">
        <v>21.772099999999998</v>
      </c>
      <c r="GP38">
        <v>800</v>
      </c>
      <c r="GQ38">
        <v>12.5298</v>
      </c>
      <c r="GR38">
        <v>99.606700000000004</v>
      </c>
      <c r="GS38">
        <v>99.262900000000002</v>
      </c>
    </row>
    <row r="39" spans="1:201" x14ac:dyDescent="0.25">
      <c r="A39">
        <v>23</v>
      </c>
      <c r="B39">
        <v>1690203995.5</v>
      </c>
      <c r="C39">
        <v>555.90000009536743</v>
      </c>
      <c r="D39" t="s">
        <v>379</v>
      </c>
      <c r="E39" t="s">
        <v>380</v>
      </c>
      <c r="F39" t="s">
        <v>330</v>
      </c>
      <c r="H39">
        <v>1690203995.5</v>
      </c>
      <c r="I39">
        <f t="shared" si="0"/>
        <v>1.0288776219882919E-3</v>
      </c>
      <c r="J39">
        <f t="shared" si="1"/>
        <v>1.0288776219882918</v>
      </c>
      <c r="K39">
        <f t="shared" si="2"/>
        <v>15.840621177806547</v>
      </c>
      <c r="L39">
        <f t="shared" si="3"/>
        <v>628.70100000000002</v>
      </c>
      <c r="M39">
        <f t="shared" si="4"/>
        <v>152.27311645797147</v>
      </c>
      <c r="N39">
        <f t="shared" si="5"/>
        <v>15.095904362214297</v>
      </c>
      <c r="O39">
        <f t="shared" si="6"/>
        <v>62.327549269329005</v>
      </c>
      <c r="P39">
        <f t="shared" si="7"/>
        <v>5.5200607497217273E-2</v>
      </c>
      <c r="Q39">
        <f t="shared" si="8"/>
        <v>2.1900758301905667</v>
      </c>
      <c r="R39">
        <f t="shared" si="9"/>
        <v>5.4439156074111289E-2</v>
      </c>
      <c r="S39">
        <f t="shared" si="10"/>
        <v>3.4092010847349051E-2</v>
      </c>
      <c r="T39">
        <f t="shared" si="11"/>
        <v>276.11371638438686</v>
      </c>
      <c r="U39">
        <f t="shared" si="12"/>
        <v>27.450361583178218</v>
      </c>
      <c r="V39">
        <f t="shared" si="13"/>
        <v>27.450361583178218</v>
      </c>
      <c r="W39">
        <f t="shared" si="14"/>
        <v>3.6749316024400644</v>
      </c>
      <c r="X39">
        <f t="shared" si="15"/>
        <v>56.018215803147243</v>
      </c>
      <c r="Y39">
        <f t="shared" si="16"/>
        <v>1.8535253764014004</v>
      </c>
      <c r="Z39">
        <f t="shared" si="17"/>
        <v>3.3087904529391756</v>
      </c>
      <c r="AA39">
        <f t="shared" si="18"/>
        <v>1.8214062260386641</v>
      </c>
      <c r="AB39">
        <f t="shared" si="19"/>
        <v>-45.373503129683677</v>
      </c>
      <c r="AC39">
        <f t="shared" si="20"/>
        <v>-210.29237789814113</v>
      </c>
      <c r="AD39">
        <f t="shared" si="21"/>
        <v>-20.631469168918894</v>
      </c>
      <c r="AE39">
        <f t="shared" si="22"/>
        <v>-0.18363381235684528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52452.996424569275</v>
      </c>
      <c r="AK39">
        <f t="shared" si="26"/>
        <v>1799.99</v>
      </c>
      <c r="AL39">
        <f t="shared" si="27"/>
        <v>1499.1028274046898</v>
      </c>
      <c r="AM39">
        <f t="shared" si="28"/>
        <v>0.83283953099999997</v>
      </c>
      <c r="AN39">
        <f t="shared" si="29"/>
        <v>0.15339736130999998</v>
      </c>
      <c r="AO39">
        <v>31.2</v>
      </c>
      <c r="AP39">
        <v>0.5</v>
      </c>
      <c r="AQ39" t="s">
        <v>331</v>
      </c>
      <c r="AR39">
        <v>2</v>
      </c>
      <c r="AS39">
        <v>1690203995.5</v>
      </c>
      <c r="AT39">
        <v>628.70100000000002</v>
      </c>
      <c r="AU39">
        <v>800.024</v>
      </c>
      <c r="AV39">
        <v>18.6966</v>
      </c>
      <c r="AW39">
        <v>8.2053200000000004</v>
      </c>
      <c r="AX39">
        <v>629.577</v>
      </c>
      <c r="AY39">
        <v>18.5562</v>
      </c>
      <c r="AZ39">
        <v>300.25700000000001</v>
      </c>
      <c r="BA39">
        <v>99.037000000000006</v>
      </c>
      <c r="BB39">
        <v>0.10002900000000001</v>
      </c>
      <c r="BC39">
        <v>25.6693</v>
      </c>
      <c r="BD39">
        <v>27.484000000000002</v>
      </c>
      <c r="BE39">
        <v>27.145800000000001</v>
      </c>
      <c r="BF39">
        <v>0</v>
      </c>
      <c r="BG39">
        <v>0</v>
      </c>
      <c r="BH39">
        <v>9970.6200000000008</v>
      </c>
      <c r="BI39">
        <v>1068.3599999999999</v>
      </c>
      <c r="BJ39">
        <v>1.5137799999999999</v>
      </c>
      <c r="BK39">
        <v>-171.32300000000001</v>
      </c>
      <c r="BL39">
        <v>640.67899999999997</v>
      </c>
      <c r="BM39">
        <v>806.64300000000003</v>
      </c>
      <c r="BN39">
        <v>10.491300000000001</v>
      </c>
      <c r="BO39">
        <v>800.024</v>
      </c>
      <c r="BP39">
        <v>8.2053200000000004</v>
      </c>
      <c r="BQ39">
        <v>1.8516600000000001</v>
      </c>
      <c r="BR39">
        <v>0.81262999999999996</v>
      </c>
      <c r="BS39">
        <v>16.229800000000001</v>
      </c>
      <c r="BT39">
        <v>3.9298600000000001</v>
      </c>
      <c r="BU39">
        <v>1799.99</v>
      </c>
      <c r="BV39">
        <v>0.90999699999999994</v>
      </c>
      <c r="BW39">
        <v>3.4002600000000001E-2</v>
      </c>
      <c r="BX39">
        <v>2.1998799999999999E-2</v>
      </c>
      <c r="BY39">
        <v>3.4001700000000003E-2</v>
      </c>
      <c r="BZ39">
        <v>25</v>
      </c>
      <c r="CA39">
        <v>33528.199999999997</v>
      </c>
      <c r="CB39">
        <v>1690203121.0999999</v>
      </c>
      <c r="CC39" t="s">
        <v>332</v>
      </c>
      <c r="CD39">
        <v>1690203121.0999999</v>
      </c>
      <c r="CE39">
        <v>1690203121.0999999</v>
      </c>
      <c r="CF39">
        <v>3</v>
      </c>
      <c r="CG39">
        <v>0.53600000000000003</v>
      </c>
      <c r="CH39">
        <v>-0.01</v>
      </c>
      <c r="CI39">
        <v>-0.996</v>
      </c>
      <c r="CJ39">
        <v>-6.6000000000000003E-2</v>
      </c>
      <c r="CK39">
        <v>800</v>
      </c>
      <c r="CL39">
        <v>9</v>
      </c>
      <c r="CM39">
        <v>0.82</v>
      </c>
      <c r="CN39">
        <v>0.01</v>
      </c>
      <c r="CO39">
        <v>-159.59164999999999</v>
      </c>
      <c r="CP39">
        <v>-68.251969981238119</v>
      </c>
      <c r="CQ39">
        <v>6.5675425752331442</v>
      </c>
      <c r="CR39">
        <v>-1</v>
      </c>
      <c r="CS39">
        <v>10.181944</v>
      </c>
      <c r="CT39">
        <v>1.9398612382739351</v>
      </c>
      <c r="CU39">
        <v>0.18756255809462599</v>
      </c>
      <c r="CV39">
        <v>-1</v>
      </c>
      <c r="CW39">
        <v>0</v>
      </c>
      <c r="CX39">
        <v>0</v>
      </c>
      <c r="CY39" t="s">
        <v>333</v>
      </c>
      <c r="CZ39">
        <v>2.3648899999999999</v>
      </c>
      <c r="DA39">
        <v>2.7137899999999999</v>
      </c>
      <c r="DB39">
        <v>0.124558</v>
      </c>
      <c r="DC39">
        <v>0.14618300000000001</v>
      </c>
      <c r="DD39">
        <v>9.5422099999999996E-2</v>
      </c>
      <c r="DE39">
        <v>5.0734700000000001E-2</v>
      </c>
      <c r="DF39">
        <v>31924.9</v>
      </c>
      <c r="DG39">
        <v>27439.599999999999</v>
      </c>
      <c r="DH39">
        <v>31132</v>
      </c>
      <c r="DI39">
        <v>28003.200000000001</v>
      </c>
      <c r="DJ39">
        <v>38229.800000000003</v>
      </c>
      <c r="DK39">
        <v>37777.699999999997</v>
      </c>
      <c r="DL39">
        <v>44293.7</v>
      </c>
      <c r="DM39">
        <v>42416.3</v>
      </c>
      <c r="DN39">
        <v>1.47475</v>
      </c>
      <c r="DO39">
        <v>2.0529199999999999</v>
      </c>
      <c r="DP39">
        <v>0.146177</v>
      </c>
      <c r="DQ39">
        <v>0.14258499999999999</v>
      </c>
      <c r="DR39">
        <v>25.090599999999998</v>
      </c>
      <c r="DS39">
        <v>24.81</v>
      </c>
      <c r="DT39">
        <v>26.9</v>
      </c>
      <c r="DU39">
        <v>27.2</v>
      </c>
      <c r="DV39">
        <v>9.8361400000000003</v>
      </c>
      <c r="DW39">
        <v>62.755499999999998</v>
      </c>
      <c r="DX39">
        <v>36.117800000000003</v>
      </c>
      <c r="DY39">
        <v>1</v>
      </c>
      <c r="DZ39">
        <v>-8.9169200000000004E-2</v>
      </c>
      <c r="EA39">
        <v>6.2976200000000002</v>
      </c>
      <c r="EB39">
        <v>20.0425</v>
      </c>
      <c r="EC39">
        <v>5.2409499999999998</v>
      </c>
      <c r="ED39">
        <v>12.039899999999999</v>
      </c>
      <c r="EE39">
        <v>5.0168499999999998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</v>
      </c>
      <c r="EL39">
        <v>1.8646199999999999</v>
      </c>
      <c r="EM39">
        <v>1.86914</v>
      </c>
      <c r="EN39">
        <v>1.8672200000000001</v>
      </c>
      <c r="EO39">
        <v>1.8633999999999999</v>
      </c>
      <c r="EP39">
        <v>1.8644700000000001</v>
      </c>
      <c r="EQ39">
        <v>1.8701399999999999</v>
      </c>
      <c r="ER39">
        <v>1.86938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-0.876</v>
      </c>
      <c r="FG39">
        <v>0.1404</v>
      </c>
      <c r="FH39">
        <v>-0.44422204735670362</v>
      </c>
      <c r="FI39">
        <v>-6.1462078757559423E-4</v>
      </c>
      <c r="FJ39">
        <v>-1.8861989874597051E-7</v>
      </c>
      <c r="FK39">
        <v>1.1980462299894961E-10</v>
      </c>
      <c r="FL39">
        <v>-5.4907600448225742E-2</v>
      </c>
      <c r="FM39">
        <v>-1.6848085045870601E-2</v>
      </c>
      <c r="FN39">
        <v>1.9789084769509481E-3</v>
      </c>
      <c r="FO39">
        <v>-2.7142391389806329E-5</v>
      </c>
      <c r="FP39">
        <v>3</v>
      </c>
      <c r="FQ39">
        <v>2158</v>
      </c>
      <c r="FR39">
        <v>1</v>
      </c>
      <c r="FS39">
        <v>19</v>
      </c>
      <c r="FT39">
        <v>14.6</v>
      </c>
      <c r="FU39">
        <v>14.6</v>
      </c>
      <c r="FV39">
        <v>1.78101</v>
      </c>
      <c r="FW39">
        <v>2.5524900000000001</v>
      </c>
      <c r="FX39">
        <v>1.5490699999999999</v>
      </c>
      <c r="FY39">
        <v>2.33643</v>
      </c>
      <c r="FZ39">
        <v>1.50146</v>
      </c>
      <c r="GA39">
        <v>2.3290999999999999</v>
      </c>
      <c r="GB39">
        <v>32.068399999999997</v>
      </c>
      <c r="GC39">
        <v>23.921099999999999</v>
      </c>
      <c r="GD39">
        <v>19</v>
      </c>
      <c r="GE39">
        <v>281.18</v>
      </c>
      <c r="GF39">
        <v>593.13599999999997</v>
      </c>
      <c r="GG39">
        <v>21.1433</v>
      </c>
      <c r="GH39">
        <v>26.171299999999999</v>
      </c>
      <c r="GI39">
        <v>30.003</v>
      </c>
      <c r="GJ39">
        <v>26.105499999999999</v>
      </c>
      <c r="GK39">
        <v>26.008600000000001</v>
      </c>
      <c r="GL39">
        <v>35.617699999999999</v>
      </c>
      <c r="GM39">
        <v>-30</v>
      </c>
      <c r="GN39">
        <v>-30</v>
      </c>
      <c r="GO39">
        <v>20.712700000000002</v>
      </c>
      <c r="GP39">
        <v>800</v>
      </c>
      <c r="GQ39">
        <v>12.5298</v>
      </c>
      <c r="GR39">
        <v>99.5959</v>
      </c>
      <c r="GS39">
        <v>99.251499999999993</v>
      </c>
    </row>
    <row r="40" spans="1:201" x14ac:dyDescent="0.25">
      <c r="A40">
        <v>24</v>
      </c>
      <c r="B40">
        <v>1690204005.5</v>
      </c>
      <c r="C40">
        <v>565.90000009536743</v>
      </c>
      <c r="D40" t="s">
        <v>381</v>
      </c>
      <c r="E40" t="s">
        <v>382</v>
      </c>
      <c r="F40" t="s">
        <v>330</v>
      </c>
      <c r="H40">
        <v>1690204005.5</v>
      </c>
      <c r="I40">
        <f t="shared" si="0"/>
        <v>1.0470603752502901E-3</v>
      </c>
      <c r="J40">
        <f t="shared" si="1"/>
        <v>1.0470603752502901</v>
      </c>
      <c r="K40">
        <f t="shared" si="2"/>
        <v>16.735718980046219</v>
      </c>
      <c r="L40">
        <f t="shared" si="3"/>
        <v>619.28700000000003</v>
      </c>
      <c r="M40">
        <f t="shared" si="4"/>
        <v>140.68030798253943</v>
      </c>
      <c r="N40">
        <f t="shared" si="5"/>
        <v>13.946595500131293</v>
      </c>
      <c r="O40">
        <f t="shared" si="6"/>
        <v>61.39413121388521</v>
      </c>
      <c r="P40">
        <f t="shared" si="7"/>
        <v>5.7998731396420859E-2</v>
      </c>
      <c r="Q40">
        <f t="shared" si="8"/>
        <v>2.1910746109626329</v>
      </c>
      <c r="R40">
        <f t="shared" si="9"/>
        <v>5.715913762934452E-2</v>
      </c>
      <c r="S40">
        <f t="shared" si="10"/>
        <v>3.5798882659079545E-2</v>
      </c>
      <c r="T40">
        <f t="shared" si="11"/>
        <v>276.11344787987861</v>
      </c>
      <c r="U40">
        <f t="shared" si="12"/>
        <v>27.273201675649396</v>
      </c>
      <c r="V40">
        <f t="shared" si="13"/>
        <v>27.273201675649396</v>
      </c>
      <c r="W40">
        <f t="shared" si="14"/>
        <v>3.6369940077395824</v>
      </c>
      <c r="X40">
        <f t="shared" si="15"/>
        <v>57.134510484029455</v>
      </c>
      <c r="Y40">
        <f t="shared" si="16"/>
        <v>1.8714251934091199</v>
      </c>
      <c r="Z40">
        <f t="shared" si="17"/>
        <v>3.2754725253701626</v>
      </c>
      <c r="AA40">
        <f t="shared" si="18"/>
        <v>1.7655688143304624</v>
      </c>
      <c r="AB40">
        <f t="shared" si="19"/>
        <v>-46.175362548537791</v>
      </c>
      <c r="AC40">
        <f t="shared" si="20"/>
        <v>-209.60157841432462</v>
      </c>
      <c r="AD40">
        <f t="shared" si="21"/>
        <v>-20.518559648265938</v>
      </c>
      <c r="AE40">
        <f t="shared" si="22"/>
        <v>-0.18205273124974042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52523.921768108223</v>
      </c>
      <c r="AK40">
        <f t="shared" si="26"/>
        <v>1799.99</v>
      </c>
      <c r="AL40">
        <f t="shared" si="27"/>
        <v>1499.1046597945101</v>
      </c>
      <c r="AM40">
        <f t="shared" si="28"/>
        <v>0.83284054900000004</v>
      </c>
      <c r="AN40">
        <f t="shared" si="29"/>
        <v>0.15339721214000002</v>
      </c>
      <c r="AO40">
        <v>31.2</v>
      </c>
      <c r="AP40">
        <v>0.5</v>
      </c>
      <c r="AQ40" t="s">
        <v>331</v>
      </c>
      <c r="AR40">
        <v>2</v>
      </c>
      <c r="AS40">
        <v>1690204005.5</v>
      </c>
      <c r="AT40">
        <v>619.28700000000003</v>
      </c>
      <c r="AU40">
        <v>799.99</v>
      </c>
      <c r="AV40">
        <v>18.877199999999998</v>
      </c>
      <c r="AW40">
        <v>8.1987799999999993</v>
      </c>
      <c r="AX40">
        <v>620.15599999999995</v>
      </c>
      <c r="AY40">
        <v>18.7317</v>
      </c>
      <c r="AZ40">
        <v>300.15300000000002</v>
      </c>
      <c r="BA40">
        <v>99.036799999999999</v>
      </c>
      <c r="BB40">
        <v>9.9999599999999994E-2</v>
      </c>
      <c r="BC40">
        <v>25.498799999999999</v>
      </c>
      <c r="BD40">
        <v>27.414000000000001</v>
      </c>
      <c r="BE40">
        <v>26.961600000000001</v>
      </c>
      <c r="BF40">
        <v>0</v>
      </c>
      <c r="BG40">
        <v>0</v>
      </c>
      <c r="BH40">
        <v>9978.75</v>
      </c>
      <c r="BI40">
        <v>1067.81</v>
      </c>
      <c r="BJ40">
        <v>1.50397</v>
      </c>
      <c r="BK40">
        <v>-180.70400000000001</v>
      </c>
      <c r="BL40">
        <v>631.202</v>
      </c>
      <c r="BM40">
        <v>806.60299999999995</v>
      </c>
      <c r="BN40">
        <v>10.6784</v>
      </c>
      <c r="BO40">
        <v>799.99</v>
      </c>
      <c r="BP40">
        <v>8.1987799999999993</v>
      </c>
      <c r="BQ40">
        <v>1.8695299999999999</v>
      </c>
      <c r="BR40">
        <v>0.81198099999999995</v>
      </c>
      <c r="BS40">
        <v>16.380600000000001</v>
      </c>
      <c r="BT40">
        <v>3.9184899999999998</v>
      </c>
      <c r="BU40">
        <v>1799.99</v>
      </c>
      <c r="BV40">
        <v>0.91000599999999998</v>
      </c>
      <c r="BW40">
        <v>3.3999399999999999E-2</v>
      </c>
      <c r="BX40">
        <v>2.1996700000000001E-2</v>
      </c>
      <c r="BY40">
        <v>3.3998399999999998E-2</v>
      </c>
      <c r="BZ40">
        <v>25</v>
      </c>
      <c r="CA40">
        <v>33528.199999999997</v>
      </c>
      <c r="CB40">
        <v>1690203121.0999999</v>
      </c>
      <c r="CC40" t="s">
        <v>332</v>
      </c>
      <c r="CD40">
        <v>1690203121.0999999</v>
      </c>
      <c r="CE40">
        <v>1690203121.0999999</v>
      </c>
      <c r="CF40">
        <v>3</v>
      </c>
      <c r="CG40">
        <v>0.53600000000000003</v>
      </c>
      <c r="CH40">
        <v>-0.01</v>
      </c>
      <c r="CI40">
        <v>-0.996</v>
      </c>
      <c r="CJ40">
        <v>-6.6000000000000003E-2</v>
      </c>
      <c r="CK40">
        <v>800</v>
      </c>
      <c r="CL40">
        <v>9</v>
      </c>
      <c r="CM40">
        <v>0.82</v>
      </c>
      <c r="CN40">
        <v>0.01</v>
      </c>
      <c r="CO40">
        <v>-169.58</v>
      </c>
      <c r="CP40">
        <v>-61.596250871080343</v>
      </c>
      <c r="CQ40">
        <v>6.0768223804799861</v>
      </c>
      <c r="CR40">
        <v>-1</v>
      </c>
      <c r="CS40">
        <v>10.44129756097561</v>
      </c>
      <c r="CT40">
        <v>1.4443839721254279</v>
      </c>
      <c r="CU40">
        <v>0.1429315775037471</v>
      </c>
      <c r="CV40">
        <v>-1</v>
      </c>
      <c r="CW40">
        <v>0</v>
      </c>
      <c r="CX40">
        <v>0</v>
      </c>
      <c r="CY40" t="s">
        <v>333</v>
      </c>
      <c r="CZ40">
        <v>2.3645200000000002</v>
      </c>
      <c r="DA40">
        <v>2.7137699999999998</v>
      </c>
      <c r="DB40">
        <v>0.123252</v>
      </c>
      <c r="DC40">
        <v>0.146175</v>
      </c>
      <c r="DD40">
        <v>9.6068700000000007E-2</v>
      </c>
      <c r="DE40">
        <v>5.0701200000000002E-2</v>
      </c>
      <c r="DF40">
        <v>31971</v>
      </c>
      <c r="DG40">
        <v>27438.9</v>
      </c>
      <c r="DH40">
        <v>31130.6</v>
      </c>
      <c r="DI40">
        <v>28002.3</v>
      </c>
      <c r="DJ40">
        <v>38200.300000000003</v>
      </c>
      <c r="DK40">
        <v>37778</v>
      </c>
      <c r="DL40">
        <v>44291.7</v>
      </c>
      <c r="DM40">
        <v>42415.1</v>
      </c>
      <c r="DN40">
        <v>1.4742999999999999</v>
      </c>
      <c r="DO40">
        <v>2.0525699999999998</v>
      </c>
      <c r="DP40">
        <v>0.143424</v>
      </c>
      <c r="DQ40">
        <v>0.13189799999999999</v>
      </c>
      <c r="DR40">
        <v>25.0656</v>
      </c>
      <c r="DS40">
        <v>24.800599999999999</v>
      </c>
      <c r="DT40">
        <v>26.9</v>
      </c>
      <c r="DU40">
        <v>27.2</v>
      </c>
      <c r="DV40">
        <v>9.8381500000000006</v>
      </c>
      <c r="DW40">
        <v>62.505499999999998</v>
      </c>
      <c r="DX40">
        <v>35.873399999999997</v>
      </c>
      <c r="DY40">
        <v>1</v>
      </c>
      <c r="DZ40">
        <v>-8.7200200000000005E-2</v>
      </c>
      <c r="EA40">
        <v>6.4867100000000004</v>
      </c>
      <c r="EB40">
        <v>20.037199999999999</v>
      </c>
      <c r="EC40">
        <v>5.2411000000000003</v>
      </c>
      <c r="ED40">
        <v>12.039899999999999</v>
      </c>
      <c r="EE40">
        <v>5.0170500000000002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</v>
      </c>
      <c r="EL40">
        <v>1.8646</v>
      </c>
      <c r="EM40">
        <v>1.8691500000000001</v>
      </c>
      <c r="EN40">
        <v>1.8672200000000001</v>
      </c>
      <c r="EO40">
        <v>1.8633900000000001</v>
      </c>
      <c r="EP40">
        <v>1.8644700000000001</v>
      </c>
      <c r="EQ40">
        <v>1.8701300000000001</v>
      </c>
      <c r="ER40">
        <v>1.8693500000000001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-0.86899999999999999</v>
      </c>
      <c r="FG40">
        <v>0.14549999999999999</v>
      </c>
      <c r="FH40">
        <v>-0.44422204735670362</v>
      </c>
      <c r="FI40">
        <v>-6.1462078757559423E-4</v>
      </c>
      <c r="FJ40">
        <v>-1.8861989874597051E-7</v>
      </c>
      <c r="FK40">
        <v>1.1980462299894961E-10</v>
      </c>
      <c r="FL40">
        <v>-5.4907600448225742E-2</v>
      </c>
      <c r="FM40">
        <v>-1.6848085045870601E-2</v>
      </c>
      <c r="FN40">
        <v>1.9789084769509481E-3</v>
      </c>
      <c r="FO40">
        <v>-2.7142391389806329E-5</v>
      </c>
      <c r="FP40">
        <v>3</v>
      </c>
      <c r="FQ40">
        <v>2158</v>
      </c>
      <c r="FR40">
        <v>1</v>
      </c>
      <c r="FS40">
        <v>19</v>
      </c>
      <c r="FT40">
        <v>14.7</v>
      </c>
      <c r="FU40">
        <v>14.7</v>
      </c>
      <c r="FV40">
        <v>1.78101</v>
      </c>
      <c r="FW40">
        <v>2.5537100000000001</v>
      </c>
      <c r="FX40">
        <v>1.5490699999999999</v>
      </c>
      <c r="FY40">
        <v>2.33643</v>
      </c>
      <c r="FZ40">
        <v>1.50146</v>
      </c>
      <c r="GA40">
        <v>2.3938000000000001</v>
      </c>
      <c r="GB40">
        <v>32.090400000000002</v>
      </c>
      <c r="GC40">
        <v>23.921099999999999</v>
      </c>
      <c r="GD40">
        <v>19</v>
      </c>
      <c r="GE40">
        <v>281.03399999999999</v>
      </c>
      <c r="GF40">
        <v>592.96900000000005</v>
      </c>
      <c r="GG40">
        <v>20.070499999999999</v>
      </c>
      <c r="GH40">
        <v>26.181799999999999</v>
      </c>
      <c r="GI40">
        <v>30.001000000000001</v>
      </c>
      <c r="GJ40">
        <v>26.1158</v>
      </c>
      <c r="GK40">
        <v>26.019500000000001</v>
      </c>
      <c r="GL40">
        <v>35.615699999999997</v>
      </c>
      <c r="GM40">
        <v>-30</v>
      </c>
      <c r="GN40">
        <v>-30</v>
      </c>
      <c r="GO40">
        <v>19.745899999999999</v>
      </c>
      <c r="GP40">
        <v>800</v>
      </c>
      <c r="GQ40">
        <v>12.5298</v>
      </c>
      <c r="GR40">
        <v>99.591200000000001</v>
      </c>
      <c r="GS40">
        <v>99.248400000000004</v>
      </c>
    </row>
    <row r="41" spans="1:201" x14ac:dyDescent="0.25">
      <c r="A41">
        <v>25</v>
      </c>
      <c r="B41">
        <v>1690204015.5</v>
      </c>
      <c r="C41">
        <v>575.90000009536743</v>
      </c>
      <c r="D41" t="s">
        <v>383</v>
      </c>
      <c r="E41" t="s">
        <v>384</v>
      </c>
      <c r="F41" t="s">
        <v>330</v>
      </c>
      <c r="H41">
        <v>1690204015.5</v>
      </c>
      <c r="I41">
        <f t="shared" si="0"/>
        <v>1.0574878050669684E-3</v>
      </c>
      <c r="J41">
        <f t="shared" si="1"/>
        <v>1.0574878050669683</v>
      </c>
      <c r="K41">
        <f t="shared" si="2"/>
        <v>17.515251561070283</v>
      </c>
      <c r="L41">
        <f t="shared" si="3"/>
        <v>611.21799999999996</v>
      </c>
      <c r="M41">
        <f t="shared" si="4"/>
        <v>130.30104371908484</v>
      </c>
      <c r="N41">
        <f t="shared" si="5"/>
        <v>12.917496268440898</v>
      </c>
      <c r="O41">
        <f t="shared" si="6"/>
        <v>60.593576297251794</v>
      </c>
      <c r="P41">
        <f t="shared" si="7"/>
        <v>6.0356467607055382E-2</v>
      </c>
      <c r="Q41">
        <f t="shared" si="8"/>
        <v>2.1929851518597485</v>
      </c>
      <c r="R41">
        <f t="shared" si="9"/>
        <v>5.9448580248754428E-2</v>
      </c>
      <c r="S41">
        <f t="shared" si="10"/>
        <v>3.7235795078909867E-2</v>
      </c>
      <c r="T41">
        <f t="shared" si="11"/>
        <v>276.11152799204524</v>
      </c>
      <c r="U41">
        <f t="shared" si="12"/>
        <v>27.079528724105284</v>
      </c>
      <c r="V41">
        <f t="shared" si="13"/>
        <v>27.079528724105284</v>
      </c>
      <c r="W41">
        <f t="shared" si="14"/>
        <v>3.5959117788059096</v>
      </c>
      <c r="X41">
        <f t="shared" si="15"/>
        <v>58.0808663409057</v>
      </c>
      <c r="Y41">
        <f t="shared" si="16"/>
        <v>1.8811709173220696</v>
      </c>
      <c r="Z41">
        <f t="shared" si="17"/>
        <v>3.2388823305088721</v>
      </c>
      <c r="AA41">
        <f t="shared" si="18"/>
        <v>1.71474086148384</v>
      </c>
      <c r="AB41">
        <f t="shared" si="19"/>
        <v>-46.635212203453307</v>
      </c>
      <c r="AC41">
        <f t="shared" si="20"/>
        <v>-209.23186898255886</v>
      </c>
      <c r="AD41">
        <f t="shared" si="21"/>
        <v>-20.425311226837305</v>
      </c>
      <c r="AE41">
        <f t="shared" si="22"/>
        <v>-0.18086442080422671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52635.649114158172</v>
      </c>
      <c r="AK41">
        <f t="shared" si="26"/>
        <v>1799.98</v>
      </c>
      <c r="AL41">
        <f t="shared" si="27"/>
        <v>1499.0973393778199</v>
      </c>
      <c r="AM41">
        <f t="shared" si="28"/>
        <v>0.83284110899999997</v>
      </c>
      <c r="AN41">
        <f t="shared" si="29"/>
        <v>0.15339699774000001</v>
      </c>
      <c r="AO41">
        <v>31.2</v>
      </c>
      <c r="AP41">
        <v>0.5</v>
      </c>
      <c r="AQ41" t="s">
        <v>331</v>
      </c>
      <c r="AR41">
        <v>2</v>
      </c>
      <c r="AS41">
        <v>1690204015.5</v>
      </c>
      <c r="AT41">
        <v>611.21799999999996</v>
      </c>
      <c r="AU41">
        <v>800.03200000000004</v>
      </c>
      <c r="AV41">
        <v>18.9757</v>
      </c>
      <c r="AW41">
        <v>8.1903299999999994</v>
      </c>
      <c r="AX41">
        <v>612.08199999999999</v>
      </c>
      <c r="AY41">
        <v>18.827500000000001</v>
      </c>
      <c r="AZ41">
        <v>300.10599999999999</v>
      </c>
      <c r="BA41">
        <v>99.035799999999995</v>
      </c>
      <c r="BB41">
        <v>9.9985099999999993E-2</v>
      </c>
      <c r="BC41">
        <v>25.309799999999999</v>
      </c>
      <c r="BD41">
        <v>27.229500000000002</v>
      </c>
      <c r="BE41">
        <v>26.780899999999999</v>
      </c>
      <c r="BF41">
        <v>0</v>
      </c>
      <c r="BG41">
        <v>0</v>
      </c>
      <c r="BH41">
        <v>9994.3799999999992</v>
      </c>
      <c r="BI41">
        <v>1066.92</v>
      </c>
      <c r="BJ41">
        <v>1.4577199999999999</v>
      </c>
      <c r="BK41">
        <v>-188.81399999999999</v>
      </c>
      <c r="BL41">
        <v>623.04100000000005</v>
      </c>
      <c r="BM41">
        <v>806.63900000000001</v>
      </c>
      <c r="BN41">
        <v>10.785399999999999</v>
      </c>
      <c r="BO41">
        <v>800.03200000000004</v>
      </c>
      <c r="BP41">
        <v>8.1903299999999994</v>
      </c>
      <c r="BQ41">
        <v>1.87927</v>
      </c>
      <c r="BR41">
        <v>0.81113599999999997</v>
      </c>
      <c r="BS41">
        <v>16.462199999999999</v>
      </c>
      <c r="BT41">
        <v>3.9036900000000001</v>
      </c>
      <c r="BU41">
        <v>1799.98</v>
      </c>
      <c r="BV41">
        <v>0.91001399999999999</v>
      </c>
      <c r="BW41">
        <v>3.39963E-2</v>
      </c>
      <c r="BX41">
        <v>2.1994699999999999E-2</v>
      </c>
      <c r="BY41">
        <v>3.3995400000000002E-2</v>
      </c>
      <c r="BZ41">
        <v>25</v>
      </c>
      <c r="CA41">
        <v>33528.199999999997</v>
      </c>
      <c r="CB41">
        <v>1690203121.0999999</v>
      </c>
      <c r="CC41" t="s">
        <v>332</v>
      </c>
      <c r="CD41">
        <v>1690203121.0999999</v>
      </c>
      <c r="CE41">
        <v>1690203121.0999999</v>
      </c>
      <c r="CF41">
        <v>3</v>
      </c>
      <c r="CG41">
        <v>0.53600000000000003</v>
      </c>
      <c r="CH41">
        <v>-0.01</v>
      </c>
      <c r="CI41">
        <v>-0.996</v>
      </c>
      <c r="CJ41">
        <v>-6.6000000000000003E-2</v>
      </c>
      <c r="CK41">
        <v>800</v>
      </c>
      <c r="CL41">
        <v>9</v>
      </c>
      <c r="CM41">
        <v>0.82</v>
      </c>
      <c r="CN41">
        <v>0.01</v>
      </c>
      <c r="CO41">
        <v>-179.1518536585366</v>
      </c>
      <c r="CP41">
        <v>-53.442439024390453</v>
      </c>
      <c r="CQ41">
        <v>5.2736932102792196</v>
      </c>
      <c r="CR41">
        <v>-1</v>
      </c>
      <c r="CS41">
        <v>10.64073658536585</v>
      </c>
      <c r="CT41">
        <v>0.94652195121953875</v>
      </c>
      <c r="CU41">
        <v>9.4195763345506708E-2</v>
      </c>
      <c r="CV41">
        <v>-1</v>
      </c>
      <c r="CW41">
        <v>0</v>
      </c>
      <c r="CX41">
        <v>0</v>
      </c>
      <c r="CY41" t="s">
        <v>333</v>
      </c>
      <c r="CZ41">
        <v>2.3643700000000001</v>
      </c>
      <c r="DA41">
        <v>2.7137699999999998</v>
      </c>
      <c r="DB41">
        <v>0.122124</v>
      </c>
      <c r="DC41">
        <v>0.146176</v>
      </c>
      <c r="DD41">
        <v>9.6418900000000002E-2</v>
      </c>
      <c r="DE41">
        <v>5.0658300000000003E-2</v>
      </c>
      <c r="DF41">
        <v>32012.2</v>
      </c>
      <c r="DG41">
        <v>27438.7</v>
      </c>
      <c r="DH41">
        <v>31130.6</v>
      </c>
      <c r="DI41">
        <v>28002.2</v>
      </c>
      <c r="DJ41">
        <v>38185.4</v>
      </c>
      <c r="DK41">
        <v>37779.599999999999</v>
      </c>
      <c r="DL41">
        <v>44291.8</v>
      </c>
      <c r="DM41">
        <v>42415</v>
      </c>
      <c r="DN41">
        <v>1.4742999999999999</v>
      </c>
      <c r="DO41">
        <v>2.0522499999999999</v>
      </c>
      <c r="DP41">
        <v>0.13414799999999999</v>
      </c>
      <c r="DQ41">
        <v>0.12250999999999999</v>
      </c>
      <c r="DR41">
        <v>25.032499999999999</v>
      </c>
      <c r="DS41">
        <v>24.773399999999999</v>
      </c>
      <c r="DT41">
        <v>26.9</v>
      </c>
      <c r="DU41">
        <v>27.2</v>
      </c>
      <c r="DV41">
        <v>9.8355200000000007</v>
      </c>
      <c r="DW41">
        <v>61.7455</v>
      </c>
      <c r="DX41">
        <v>37.071300000000001</v>
      </c>
      <c r="DY41">
        <v>1</v>
      </c>
      <c r="DZ41">
        <v>-8.6051799999999998E-2</v>
      </c>
      <c r="EA41">
        <v>6.5005600000000001</v>
      </c>
      <c r="EB41">
        <v>20.040700000000001</v>
      </c>
      <c r="EC41">
        <v>5.2411000000000003</v>
      </c>
      <c r="ED41">
        <v>12.039899999999999</v>
      </c>
      <c r="EE41">
        <v>5.0168499999999998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</v>
      </c>
      <c r="EL41">
        <v>1.8646100000000001</v>
      </c>
      <c r="EM41">
        <v>1.86913</v>
      </c>
      <c r="EN41">
        <v>1.8672200000000001</v>
      </c>
      <c r="EO41">
        <v>1.8633900000000001</v>
      </c>
      <c r="EP41">
        <v>1.8644700000000001</v>
      </c>
      <c r="EQ41">
        <v>1.8701300000000001</v>
      </c>
      <c r="ER41">
        <v>1.8693599999999999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-0.86399999999999999</v>
      </c>
      <c r="FG41">
        <v>0.1482</v>
      </c>
      <c r="FH41">
        <v>-0.44422204735670362</v>
      </c>
      <c r="FI41">
        <v>-6.1462078757559423E-4</v>
      </c>
      <c r="FJ41">
        <v>-1.8861989874597051E-7</v>
      </c>
      <c r="FK41">
        <v>1.1980462299894961E-10</v>
      </c>
      <c r="FL41">
        <v>-5.4907600448225742E-2</v>
      </c>
      <c r="FM41">
        <v>-1.6848085045870601E-2</v>
      </c>
      <c r="FN41">
        <v>1.9789084769509481E-3</v>
      </c>
      <c r="FO41">
        <v>-2.7142391389806329E-5</v>
      </c>
      <c r="FP41">
        <v>3</v>
      </c>
      <c r="FQ41">
        <v>2158</v>
      </c>
      <c r="FR41">
        <v>1</v>
      </c>
      <c r="FS41">
        <v>19</v>
      </c>
      <c r="FT41">
        <v>14.9</v>
      </c>
      <c r="FU41">
        <v>14.9</v>
      </c>
      <c r="FV41">
        <v>1.78101</v>
      </c>
      <c r="FW41">
        <v>2.5524900000000001</v>
      </c>
      <c r="FX41">
        <v>1.5490699999999999</v>
      </c>
      <c r="FY41">
        <v>2.33643</v>
      </c>
      <c r="FZ41">
        <v>1.50146</v>
      </c>
      <c r="GA41">
        <v>2.3864700000000001</v>
      </c>
      <c r="GB41">
        <v>32.090400000000002</v>
      </c>
      <c r="GC41">
        <v>23.9299</v>
      </c>
      <c r="GD41">
        <v>19</v>
      </c>
      <c r="GE41">
        <v>281.07499999999999</v>
      </c>
      <c r="GF41">
        <v>592.81100000000004</v>
      </c>
      <c r="GG41">
        <v>19.1981</v>
      </c>
      <c r="GH41">
        <v>26.1922</v>
      </c>
      <c r="GI41">
        <v>30.000499999999999</v>
      </c>
      <c r="GJ41">
        <v>26.1252</v>
      </c>
      <c r="GK41">
        <v>26.029299999999999</v>
      </c>
      <c r="GL41">
        <v>35.616999999999997</v>
      </c>
      <c r="GM41">
        <v>-30</v>
      </c>
      <c r="GN41">
        <v>-30</v>
      </c>
      <c r="GO41">
        <v>18.978999999999999</v>
      </c>
      <c r="GP41">
        <v>800</v>
      </c>
      <c r="GQ41">
        <v>12.5298</v>
      </c>
      <c r="GR41">
        <v>99.591499999999996</v>
      </c>
      <c r="GS41">
        <v>99.248199999999997</v>
      </c>
    </row>
    <row r="42" spans="1:201" x14ac:dyDescent="0.25">
      <c r="A42">
        <v>26</v>
      </c>
      <c r="B42">
        <v>1690204025.5</v>
      </c>
      <c r="C42">
        <v>585.90000009536743</v>
      </c>
      <c r="D42" t="s">
        <v>385</v>
      </c>
      <c r="E42" t="s">
        <v>386</v>
      </c>
      <c r="F42" t="s">
        <v>330</v>
      </c>
      <c r="H42">
        <v>1690204025.5</v>
      </c>
      <c r="I42">
        <f t="shared" si="0"/>
        <v>1.0612557059588793E-3</v>
      </c>
      <c r="J42">
        <f t="shared" si="1"/>
        <v>1.0612557059588794</v>
      </c>
      <c r="K42">
        <f t="shared" si="2"/>
        <v>18.145723482145396</v>
      </c>
      <c r="L42">
        <f t="shared" si="3"/>
        <v>604.755</v>
      </c>
      <c r="M42">
        <f t="shared" si="4"/>
        <v>119.97201959144331</v>
      </c>
      <c r="N42">
        <f t="shared" si="5"/>
        <v>11.893741688609257</v>
      </c>
      <c r="O42">
        <f t="shared" si="6"/>
        <v>59.953977430650006</v>
      </c>
      <c r="P42">
        <f t="shared" si="7"/>
        <v>6.1979375819795325E-2</v>
      </c>
      <c r="Q42">
        <f t="shared" si="8"/>
        <v>2.193467227432417</v>
      </c>
      <c r="R42">
        <f t="shared" si="9"/>
        <v>6.1022632347382179E-2</v>
      </c>
      <c r="S42">
        <f t="shared" si="10"/>
        <v>3.822387454471024E-2</v>
      </c>
      <c r="T42">
        <f t="shared" si="11"/>
        <v>276.11262895642818</v>
      </c>
      <c r="U42">
        <f t="shared" si="12"/>
        <v>26.910863639427784</v>
      </c>
      <c r="V42">
        <f t="shared" si="13"/>
        <v>26.910863639427784</v>
      </c>
      <c r="W42">
        <f t="shared" si="14"/>
        <v>3.5604648389719018</v>
      </c>
      <c r="X42">
        <f t="shared" si="15"/>
        <v>58.740464786379931</v>
      </c>
      <c r="Y42">
        <f t="shared" si="16"/>
        <v>1.8836843663409997</v>
      </c>
      <c r="Z42">
        <f t="shared" si="17"/>
        <v>3.2067917289918464</v>
      </c>
      <c r="AA42">
        <f t="shared" si="18"/>
        <v>1.6767804726309021</v>
      </c>
      <c r="AB42">
        <f t="shared" si="19"/>
        <v>-46.801376632786578</v>
      </c>
      <c r="AC42">
        <f t="shared" si="20"/>
        <v>-209.11643662381454</v>
      </c>
      <c r="AD42">
        <f t="shared" si="21"/>
        <v>-20.375198560239813</v>
      </c>
      <c r="AE42">
        <f t="shared" si="22"/>
        <v>-0.18038286041274887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52685.046661799039</v>
      </c>
      <c r="AK42">
        <f t="shared" si="26"/>
        <v>1799.99</v>
      </c>
      <c r="AL42">
        <f t="shared" si="27"/>
        <v>1499.1061249863699</v>
      </c>
      <c r="AM42">
        <f t="shared" si="28"/>
        <v>0.83284136299999989</v>
      </c>
      <c r="AN42">
        <f t="shared" si="29"/>
        <v>0.15339675717999998</v>
      </c>
      <c r="AO42">
        <v>31.2</v>
      </c>
      <c r="AP42">
        <v>0.5</v>
      </c>
      <c r="AQ42" t="s">
        <v>331</v>
      </c>
      <c r="AR42">
        <v>2</v>
      </c>
      <c r="AS42">
        <v>1690204025.5</v>
      </c>
      <c r="AT42">
        <v>604.755</v>
      </c>
      <c r="AU42">
        <v>799.97799999999995</v>
      </c>
      <c r="AV42">
        <v>19.000699999999998</v>
      </c>
      <c r="AW42">
        <v>8.18262</v>
      </c>
      <c r="AX42">
        <v>605.61400000000003</v>
      </c>
      <c r="AY42">
        <v>18.851800000000001</v>
      </c>
      <c r="AZ42">
        <v>300.25700000000001</v>
      </c>
      <c r="BA42">
        <v>99.037599999999998</v>
      </c>
      <c r="BB42">
        <v>0.10002999999999999</v>
      </c>
      <c r="BC42">
        <v>25.142499999999998</v>
      </c>
      <c r="BD42">
        <v>27.195799999999998</v>
      </c>
      <c r="BE42">
        <v>26.571400000000001</v>
      </c>
      <c r="BF42">
        <v>0</v>
      </c>
      <c r="BG42">
        <v>0</v>
      </c>
      <c r="BH42">
        <v>9998.1200000000008</v>
      </c>
      <c r="BI42">
        <v>1065.96</v>
      </c>
      <c r="BJ42">
        <v>1.4815499999999999</v>
      </c>
      <c r="BK42">
        <v>-195.22300000000001</v>
      </c>
      <c r="BL42">
        <v>616.46799999999996</v>
      </c>
      <c r="BM42">
        <v>806.57799999999997</v>
      </c>
      <c r="BN42">
        <v>10.818099999999999</v>
      </c>
      <c r="BO42">
        <v>799.97799999999995</v>
      </c>
      <c r="BP42">
        <v>8.18262</v>
      </c>
      <c r="BQ42">
        <v>1.88178</v>
      </c>
      <c r="BR42">
        <v>0.81038699999999997</v>
      </c>
      <c r="BS42">
        <v>16.4832</v>
      </c>
      <c r="BT42">
        <v>3.8905599999999998</v>
      </c>
      <c r="BU42">
        <v>1799.99</v>
      </c>
      <c r="BV42">
        <v>0.91002099999999997</v>
      </c>
      <c r="BW42">
        <v>3.3993500000000003E-2</v>
      </c>
      <c r="BX42">
        <v>2.1992899999999999E-2</v>
      </c>
      <c r="BY42">
        <v>3.3992599999999998E-2</v>
      </c>
      <c r="BZ42">
        <v>25</v>
      </c>
      <c r="CA42">
        <v>33528.5</v>
      </c>
      <c r="CB42">
        <v>1690203121.0999999</v>
      </c>
      <c r="CC42" t="s">
        <v>332</v>
      </c>
      <c r="CD42">
        <v>1690203121.0999999</v>
      </c>
      <c r="CE42">
        <v>1690203121.0999999</v>
      </c>
      <c r="CF42">
        <v>3</v>
      </c>
      <c r="CG42">
        <v>0.53600000000000003</v>
      </c>
      <c r="CH42">
        <v>-0.01</v>
      </c>
      <c r="CI42">
        <v>-0.996</v>
      </c>
      <c r="CJ42">
        <v>-6.6000000000000003E-2</v>
      </c>
      <c r="CK42">
        <v>800</v>
      </c>
      <c r="CL42">
        <v>9</v>
      </c>
      <c r="CM42">
        <v>0.82</v>
      </c>
      <c r="CN42">
        <v>0.01</v>
      </c>
      <c r="CO42">
        <v>-187.91852499999999</v>
      </c>
      <c r="CP42">
        <v>-44.357257035646967</v>
      </c>
      <c r="CQ42">
        <v>4.2739735316652352</v>
      </c>
      <c r="CR42">
        <v>-1</v>
      </c>
      <c r="CS42">
        <v>10.76619</v>
      </c>
      <c r="CT42">
        <v>0.44942138836770817</v>
      </c>
      <c r="CU42">
        <v>4.461190312013151E-2</v>
      </c>
      <c r="CV42">
        <v>-1</v>
      </c>
      <c r="CW42">
        <v>0</v>
      </c>
      <c r="CX42">
        <v>0</v>
      </c>
      <c r="CY42" t="s">
        <v>333</v>
      </c>
      <c r="CZ42">
        <v>2.3648799999999999</v>
      </c>
      <c r="DA42">
        <v>2.7138200000000001</v>
      </c>
      <c r="DB42">
        <v>0.121216</v>
      </c>
      <c r="DC42">
        <v>0.14616799999999999</v>
      </c>
      <c r="DD42">
        <v>9.6507999999999997E-2</v>
      </c>
      <c r="DE42">
        <v>5.06203E-2</v>
      </c>
      <c r="DF42">
        <v>32045</v>
      </c>
      <c r="DG42">
        <v>27439.200000000001</v>
      </c>
      <c r="DH42">
        <v>31130.3</v>
      </c>
      <c r="DI42">
        <v>28002.5</v>
      </c>
      <c r="DJ42">
        <v>38181.1</v>
      </c>
      <c r="DK42">
        <v>37781.300000000003</v>
      </c>
      <c r="DL42">
        <v>44291.3</v>
      </c>
      <c r="DM42">
        <v>42415.3</v>
      </c>
      <c r="DN42">
        <v>1.47438</v>
      </c>
      <c r="DO42">
        <v>2.052</v>
      </c>
      <c r="DP42">
        <v>0.134487</v>
      </c>
      <c r="DQ42">
        <v>0.11230999999999999</v>
      </c>
      <c r="DR42">
        <v>24.993200000000002</v>
      </c>
      <c r="DS42">
        <v>24.730599999999999</v>
      </c>
      <c r="DT42">
        <v>26.8</v>
      </c>
      <c r="DU42">
        <v>27.2</v>
      </c>
      <c r="DV42">
        <v>9.7996999999999996</v>
      </c>
      <c r="DW42">
        <v>61.945500000000003</v>
      </c>
      <c r="DX42">
        <v>36.001600000000003</v>
      </c>
      <c r="DY42">
        <v>1</v>
      </c>
      <c r="DZ42">
        <v>-8.6864800000000006E-2</v>
      </c>
      <c r="EA42">
        <v>5.9841499999999996</v>
      </c>
      <c r="EB42">
        <v>20.066600000000001</v>
      </c>
      <c r="EC42">
        <v>5.2408000000000001</v>
      </c>
      <c r="ED42">
        <v>12.039899999999999</v>
      </c>
      <c r="EE42">
        <v>5.0170000000000003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</v>
      </c>
      <c r="EL42">
        <v>1.8646</v>
      </c>
      <c r="EM42">
        <v>1.8691500000000001</v>
      </c>
      <c r="EN42">
        <v>1.8672200000000001</v>
      </c>
      <c r="EO42">
        <v>1.8633900000000001</v>
      </c>
      <c r="EP42">
        <v>1.8644700000000001</v>
      </c>
      <c r="EQ42">
        <v>1.87012</v>
      </c>
      <c r="ER42">
        <v>1.8693599999999999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-0.85899999999999999</v>
      </c>
      <c r="FG42">
        <v>0.1489</v>
      </c>
      <c r="FH42">
        <v>-0.44422204735670362</v>
      </c>
      <c r="FI42">
        <v>-6.1462078757559423E-4</v>
      </c>
      <c r="FJ42">
        <v>-1.8861989874597051E-7</v>
      </c>
      <c r="FK42">
        <v>1.1980462299894961E-10</v>
      </c>
      <c r="FL42">
        <v>-5.4907600448225742E-2</v>
      </c>
      <c r="FM42">
        <v>-1.6848085045870601E-2</v>
      </c>
      <c r="FN42">
        <v>1.9789084769509481E-3</v>
      </c>
      <c r="FO42">
        <v>-2.7142391389806329E-5</v>
      </c>
      <c r="FP42">
        <v>3</v>
      </c>
      <c r="FQ42">
        <v>2158</v>
      </c>
      <c r="FR42">
        <v>1</v>
      </c>
      <c r="FS42">
        <v>19</v>
      </c>
      <c r="FT42">
        <v>15.1</v>
      </c>
      <c r="FU42">
        <v>15.1</v>
      </c>
      <c r="FV42">
        <v>1.78101</v>
      </c>
      <c r="FW42">
        <v>2.5610400000000002</v>
      </c>
      <c r="FX42">
        <v>1.5490699999999999</v>
      </c>
      <c r="FY42">
        <v>2.33643</v>
      </c>
      <c r="FZ42">
        <v>1.50146</v>
      </c>
      <c r="GA42">
        <v>2.3290999999999999</v>
      </c>
      <c r="GB42">
        <v>32.112400000000001</v>
      </c>
      <c r="GC42">
        <v>23.9299</v>
      </c>
      <c r="GD42">
        <v>19</v>
      </c>
      <c r="GE42">
        <v>281.14800000000002</v>
      </c>
      <c r="GF42">
        <v>592.71500000000003</v>
      </c>
      <c r="GG42">
        <v>18.59</v>
      </c>
      <c r="GH42">
        <v>26.202200000000001</v>
      </c>
      <c r="GI42">
        <v>29.999600000000001</v>
      </c>
      <c r="GJ42">
        <v>26.134499999999999</v>
      </c>
      <c r="GK42">
        <v>26.039000000000001</v>
      </c>
      <c r="GL42">
        <v>35.617199999999997</v>
      </c>
      <c r="GM42">
        <v>-30</v>
      </c>
      <c r="GN42">
        <v>-30</v>
      </c>
      <c r="GO42">
        <v>18.497499999999999</v>
      </c>
      <c r="GP42">
        <v>800</v>
      </c>
      <c r="GQ42">
        <v>12.5298</v>
      </c>
      <c r="GR42">
        <v>99.590500000000006</v>
      </c>
      <c r="GS42">
        <v>99.248900000000006</v>
      </c>
    </row>
    <row r="43" spans="1:201" x14ac:dyDescent="0.25">
      <c r="A43">
        <v>27</v>
      </c>
      <c r="B43">
        <v>1690204035.5</v>
      </c>
      <c r="C43">
        <v>595.90000009536743</v>
      </c>
      <c r="D43" t="s">
        <v>387</v>
      </c>
      <c r="E43" t="s">
        <v>388</v>
      </c>
      <c r="F43" t="s">
        <v>330</v>
      </c>
      <c r="H43">
        <v>1690204035.5</v>
      </c>
      <c r="I43">
        <f t="shared" si="0"/>
        <v>1.0631129343778702E-3</v>
      </c>
      <c r="J43">
        <f t="shared" si="1"/>
        <v>1.0631129343778702</v>
      </c>
      <c r="K43">
        <f t="shared" si="2"/>
        <v>18.671297034733897</v>
      </c>
      <c r="L43">
        <f t="shared" si="3"/>
        <v>599.30999999999995</v>
      </c>
      <c r="M43">
        <f t="shared" si="4"/>
        <v>111.34486905406362</v>
      </c>
      <c r="N43">
        <f t="shared" si="5"/>
        <v>11.038421981808481</v>
      </c>
      <c r="O43">
        <f t="shared" si="6"/>
        <v>59.41393379074799</v>
      </c>
      <c r="P43">
        <f t="shared" si="7"/>
        <v>6.331674610191243E-2</v>
      </c>
      <c r="Q43">
        <f t="shared" si="8"/>
        <v>2.1943825411955045</v>
      </c>
      <c r="R43">
        <f t="shared" si="9"/>
        <v>6.2319036306093117E-2</v>
      </c>
      <c r="S43">
        <f t="shared" si="10"/>
        <v>3.903772835036734E-2</v>
      </c>
      <c r="T43">
        <f t="shared" si="11"/>
        <v>276.11247739727025</v>
      </c>
      <c r="U43">
        <f t="shared" si="12"/>
        <v>26.765384369294022</v>
      </c>
      <c r="V43">
        <f t="shared" si="13"/>
        <v>26.765384369294022</v>
      </c>
      <c r="W43">
        <f t="shared" si="14"/>
        <v>3.5301360753480928</v>
      </c>
      <c r="X43">
        <f t="shared" si="15"/>
        <v>59.293361824980586</v>
      </c>
      <c r="Y43">
        <f t="shared" si="16"/>
        <v>1.8851241848312399</v>
      </c>
      <c r="Z43">
        <f t="shared" si="17"/>
        <v>3.1793174257780539</v>
      </c>
      <c r="AA43">
        <f t="shared" si="18"/>
        <v>1.6450118905168529</v>
      </c>
      <c r="AB43">
        <f t="shared" si="19"/>
        <v>-46.883280406064074</v>
      </c>
      <c r="AC43">
        <f t="shared" si="20"/>
        <v>-209.07601750560451</v>
      </c>
      <c r="AD43">
        <f t="shared" si="21"/>
        <v>-20.33316766559248</v>
      </c>
      <c r="AE43">
        <f t="shared" si="22"/>
        <v>-0.17998817999080075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52748.23707403204</v>
      </c>
      <c r="AK43">
        <f t="shared" si="26"/>
        <v>1799.99</v>
      </c>
      <c r="AL43">
        <f t="shared" si="27"/>
        <v>1499.10486499337</v>
      </c>
      <c r="AM43">
        <f t="shared" si="28"/>
        <v>0.83284066300000004</v>
      </c>
      <c r="AN43">
        <f t="shared" si="29"/>
        <v>0.15339667298000004</v>
      </c>
      <c r="AO43">
        <v>31.2</v>
      </c>
      <c r="AP43">
        <v>0.5</v>
      </c>
      <c r="AQ43" t="s">
        <v>331</v>
      </c>
      <c r="AR43">
        <v>2</v>
      </c>
      <c r="AS43">
        <v>1690204035.5</v>
      </c>
      <c r="AT43">
        <v>599.30999999999995</v>
      </c>
      <c r="AU43">
        <v>800.01800000000003</v>
      </c>
      <c r="AV43">
        <v>19.0153</v>
      </c>
      <c r="AW43">
        <v>8.17455</v>
      </c>
      <c r="AX43">
        <v>600.16499999999996</v>
      </c>
      <c r="AY43">
        <v>18.8659</v>
      </c>
      <c r="AZ43">
        <v>300.149</v>
      </c>
      <c r="BA43">
        <v>99.037300000000002</v>
      </c>
      <c r="BB43">
        <v>9.99308E-2</v>
      </c>
      <c r="BC43">
        <v>24.998100000000001</v>
      </c>
      <c r="BD43">
        <v>26.997399999999999</v>
      </c>
      <c r="BE43">
        <v>26.407800000000002</v>
      </c>
      <c r="BF43">
        <v>0</v>
      </c>
      <c r="BG43">
        <v>0</v>
      </c>
      <c r="BH43">
        <v>10005.6</v>
      </c>
      <c r="BI43">
        <v>1064.8</v>
      </c>
      <c r="BJ43">
        <v>1.4577199999999999</v>
      </c>
      <c r="BK43">
        <v>-200.708</v>
      </c>
      <c r="BL43">
        <v>610.92700000000002</v>
      </c>
      <c r="BM43">
        <v>806.61199999999997</v>
      </c>
      <c r="BN43">
        <v>10.8407</v>
      </c>
      <c r="BO43">
        <v>800.01800000000003</v>
      </c>
      <c r="BP43">
        <v>8.17455</v>
      </c>
      <c r="BQ43">
        <v>1.8832199999999999</v>
      </c>
      <c r="BR43">
        <v>0.80958600000000003</v>
      </c>
      <c r="BS43">
        <v>16.495200000000001</v>
      </c>
      <c r="BT43">
        <v>3.87649</v>
      </c>
      <c r="BU43">
        <v>1799.99</v>
      </c>
      <c r="BV43">
        <v>0.91001900000000002</v>
      </c>
      <c r="BW43">
        <v>3.4000599999999999E-2</v>
      </c>
      <c r="BX43">
        <v>2.1990900000000001E-2</v>
      </c>
      <c r="BY43">
        <v>3.3989600000000002E-2</v>
      </c>
      <c r="BZ43">
        <v>25</v>
      </c>
      <c r="CA43">
        <v>33528.400000000001</v>
      </c>
      <c r="CB43">
        <v>1690203121.0999999</v>
      </c>
      <c r="CC43" t="s">
        <v>332</v>
      </c>
      <c r="CD43">
        <v>1690203121.0999999</v>
      </c>
      <c r="CE43">
        <v>1690203121.0999999</v>
      </c>
      <c r="CF43">
        <v>3</v>
      </c>
      <c r="CG43">
        <v>0.53600000000000003</v>
      </c>
      <c r="CH43">
        <v>-0.01</v>
      </c>
      <c r="CI43">
        <v>-0.996</v>
      </c>
      <c r="CJ43">
        <v>-6.6000000000000003E-2</v>
      </c>
      <c r="CK43">
        <v>800</v>
      </c>
      <c r="CL43">
        <v>9</v>
      </c>
      <c r="CM43">
        <v>0.82</v>
      </c>
      <c r="CN43">
        <v>0.01</v>
      </c>
      <c r="CO43">
        <v>-194.603825</v>
      </c>
      <c r="CP43">
        <v>-35.945932457785283</v>
      </c>
      <c r="CQ43">
        <v>3.461158844140932</v>
      </c>
      <c r="CR43">
        <v>-1</v>
      </c>
      <c r="CS43">
        <v>10.8149225</v>
      </c>
      <c r="CT43">
        <v>0.14565365853656109</v>
      </c>
      <c r="CU43">
        <v>1.4374586733190029E-2</v>
      </c>
      <c r="CV43">
        <v>-1</v>
      </c>
      <c r="CW43">
        <v>0</v>
      </c>
      <c r="CX43">
        <v>0</v>
      </c>
      <c r="CY43" t="s">
        <v>333</v>
      </c>
      <c r="CZ43">
        <v>2.3645100000000001</v>
      </c>
      <c r="DA43">
        <v>2.71373</v>
      </c>
      <c r="DB43">
        <v>0.120445</v>
      </c>
      <c r="DC43">
        <v>0.14616899999999999</v>
      </c>
      <c r="DD43">
        <v>9.6557699999999996E-2</v>
      </c>
      <c r="DE43">
        <v>5.0579600000000002E-2</v>
      </c>
      <c r="DF43">
        <v>32073.3</v>
      </c>
      <c r="DG43">
        <v>27439</v>
      </c>
      <c r="DH43">
        <v>31130.5</v>
      </c>
      <c r="DI43">
        <v>28002.400000000001</v>
      </c>
      <c r="DJ43">
        <v>38179.1</v>
      </c>
      <c r="DK43">
        <v>37783</v>
      </c>
      <c r="DL43">
        <v>44291.5</v>
      </c>
      <c r="DM43">
        <v>42415.3</v>
      </c>
      <c r="DN43">
        <v>1.4745999999999999</v>
      </c>
      <c r="DO43">
        <v>2.0518000000000001</v>
      </c>
      <c r="DP43">
        <v>0.12509500000000001</v>
      </c>
      <c r="DQ43">
        <v>0.10559</v>
      </c>
      <c r="DR43">
        <v>24.9481</v>
      </c>
      <c r="DS43">
        <v>24.6769</v>
      </c>
      <c r="DT43">
        <v>26.8</v>
      </c>
      <c r="DU43">
        <v>27.2</v>
      </c>
      <c r="DV43">
        <v>9.80044</v>
      </c>
      <c r="DW43">
        <v>61.4255</v>
      </c>
      <c r="DX43">
        <v>36.081699999999998</v>
      </c>
      <c r="DY43">
        <v>1</v>
      </c>
      <c r="DZ43">
        <v>-8.7893799999999994E-2</v>
      </c>
      <c r="EA43">
        <v>5.1687000000000003</v>
      </c>
      <c r="EB43">
        <v>20.100899999999999</v>
      </c>
      <c r="EC43">
        <v>5.2411000000000003</v>
      </c>
      <c r="ED43">
        <v>12.039899999999999</v>
      </c>
      <c r="EE43">
        <v>5.0169499999999996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</v>
      </c>
      <c r="EL43">
        <v>1.8646</v>
      </c>
      <c r="EM43">
        <v>1.86911</v>
      </c>
      <c r="EN43">
        <v>1.8672200000000001</v>
      </c>
      <c r="EO43">
        <v>1.8633900000000001</v>
      </c>
      <c r="EP43">
        <v>1.8644700000000001</v>
      </c>
      <c r="EQ43">
        <v>1.87012</v>
      </c>
      <c r="ER43">
        <v>1.86938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-0.85499999999999998</v>
      </c>
      <c r="FG43">
        <v>0.14940000000000001</v>
      </c>
      <c r="FH43">
        <v>-0.44422204735670362</v>
      </c>
      <c r="FI43">
        <v>-6.1462078757559423E-4</v>
      </c>
      <c r="FJ43">
        <v>-1.8861989874597051E-7</v>
      </c>
      <c r="FK43">
        <v>1.1980462299894961E-10</v>
      </c>
      <c r="FL43">
        <v>-5.4907600448225742E-2</v>
      </c>
      <c r="FM43">
        <v>-1.6848085045870601E-2</v>
      </c>
      <c r="FN43">
        <v>1.9789084769509481E-3</v>
      </c>
      <c r="FO43">
        <v>-2.7142391389806329E-5</v>
      </c>
      <c r="FP43">
        <v>3</v>
      </c>
      <c r="FQ43">
        <v>2158</v>
      </c>
      <c r="FR43">
        <v>1</v>
      </c>
      <c r="FS43">
        <v>19</v>
      </c>
      <c r="FT43">
        <v>15.2</v>
      </c>
      <c r="FU43">
        <v>15.2</v>
      </c>
      <c r="FV43">
        <v>1.78101</v>
      </c>
      <c r="FW43">
        <v>2.5549300000000001</v>
      </c>
      <c r="FX43">
        <v>1.5490699999999999</v>
      </c>
      <c r="FY43">
        <v>2.33643</v>
      </c>
      <c r="FZ43">
        <v>1.50146</v>
      </c>
      <c r="GA43">
        <v>2.3889200000000002</v>
      </c>
      <c r="GB43">
        <v>32.112400000000001</v>
      </c>
      <c r="GC43">
        <v>23.9649</v>
      </c>
      <c r="GD43">
        <v>19</v>
      </c>
      <c r="GE43">
        <v>281.28399999999999</v>
      </c>
      <c r="GF43">
        <v>592.66099999999994</v>
      </c>
      <c r="GG43">
        <v>18.242100000000001</v>
      </c>
      <c r="GH43">
        <v>26.212700000000002</v>
      </c>
      <c r="GI43">
        <v>29.999400000000001</v>
      </c>
      <c r="GJ43">
        <v>26.143799999999999</v>
      </c>
      <c r="GK43">
        <v>26.0488</v>
      </c>
      <c r="GL43">
        <v>35.618600000000001</v>
      </c>
      <c r="GM43">
        <v>-30</v>
      </c>
      <c r="GN43">
        <v>-30</v>
      </c>
      <c r="GO43">
        <v>18.348099999999999</v>
      </c>
      <c r="GP43">
        <v>800</v>
      </c>
      <c r="GQ43">
        <v>12.5298</v>
      </c>
      <c r="GR43">
        <v>99.590999999999994</v>
      </c>
      <c r="GS43">
        <v>99.248900000000006</v>
      </c>
    </row>
    <row r="44" spans="1:201" x14ac:dyDescent="0.25">
      <c r="A44">
        <v>28</v>
      </c>
      <c r="B44">
        <v>1690204045.5</v>
      </c>
      <c r="C44">
        <v>605.90000009536743</v>
      </c>
      <c r="D44" t="s">
        <v>389</v>
      </c>
      <c r="E44" t="s">
        <v>390</v>
      </c>
      <c r="F44" t="s">
        <v>330</v>
      </c>
      <c r="H44">
        <v>1690204045.5</v>
      </c>
      <c r="I44">
        <f t="shared" si="0"/>
        <v>1.0902588768837464E-3</v>
      </c>
      <c r="J44">
        <f t="shared" si="1"/>
        <v>1.0902588768837465</v>
      </c>
      <c r="K44">
        <f t="shared" si="2"/>
        <v>19.08357699233715</v>
      </c>
      <c r="L44">
        <f t="shared" si="3"/>
        <v>594.87800000000004</v>
      </c>
      <c r="M44">
        <f t="shared" si="4"/>
        <v>122.00047140416424</v>
      </c>
      <c r="N44">
        <f t="shared" si="5"/>
        <v>12.094731319280976</v>
      </c>
      <c r="O44">
        <f t="shared" si="6"/>
        <v>58.974276860914209</v>
      </c>
      <c r="P44">
        <f t="shared" si="7"/>
        <v>6.6841382153332907E-2</v>
      </c>
      <c r="Q44">
        <f t="shared" si="8"/>
        <v>2.2050095015661251</v>
      </c>
      <c r="R44">
        <f t="shared" si="9"/>
        <v>6.5735810841553194E-2</v>
      </c>
      <c r="S44">
        <f t="shared" si="10"/>
        <v>4.1182689752063351E-2</v>
      </c>
      <c r="T44">
        <f t="shared" si="11"/>
        <v>276.11569087200002</v>
      </c>
      <c r="U44">
        <f t="shared" si="12"/>
        <v>26.671866530718784</v>
      </c>
      <c r="V44">
        <f t="shared" si="13"/>
        <v>26.671866530718784</v>
      </c>
      <c r="W44">
        <f t="shared" si="14"/>
        <v>3.5107592737266069</v>
      </c>
      <c r="X44">
        <f t="shared" si="15"/>
        <v>60.398468491213642</v>
      </c>
      <c r="Y44">
        <f t="shared" si="16"/>
        <v>1.9114955030544603</v>
      </c>
      <c r="Z44">
        <f t="shared" si="17"/>
        <v>3.1648079012674493</v>
      </c>
      <c r="AA44">
        <f t="shared" si="18"/>
        <v>1.5992637706721466</v>
      </c>
      <c r="AB44">
        <f t="shared" si="19"/>
        <v>-48.080416470573212</v>
      </c>
      <c r="AC44">
        <f t="shared" si="20"/>
        <v>-208.08928596080239</v>
      </c>
      <c r="AD44">
        <f t="shared" si="21"/>
        <v>-20.122469970243401</v>
      </c>
      <c r="AE44">
        <f t="shared" si="22"/>
        <v>-0.17648152961896812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53200.444058086818</v>
      </c>
      <c r="AK44">
        <f t="shared" si="26"/>
        <v>1800</v>
      </c>
      <c r="AL44">
        <f t="shared" si="27"/>
        <v>1499.1127721999999</v>
      </c>
      <c r="AM44">
        <f t="shared" si="28"/>
        <v>0.83284042899999988</v>
      </c>
      <c r="AN44">
        <f t="shared" si="29"/>
        <v>0.15339760604</v>
      </c>
      <c r="AO44">
        <v>31.2</v>
      </c>
      <c r="AP44">
        <v>0.5</v>
      </c>
      <c r="AQ44" t="s">
        <v>331</v>
      </c>
      <c r="AR44">
        <v>2</v>
      </c>
      <c r="AS44">
        <v>1690204045.5</v>
      </c>
      <c r="AT44">
        <v>594.87800000000004</v>
      </c>
      <c r="AU44">
        <v>799.98500000000001</v>
      </c>
      <c r="AV44">
        <v>19.281400000000001</v>
      </c>
      <c r="AW44">
        <v>8.1671499999999995</v>
      </c>
      <c r="AX44">
        <v>595.73</v>
      </c>
      <c r="AY44">
        <v>19.124600000000001</v>
      </c>
      <c r="AZ44">
        <v>300.15699999999998</v>
      </c>
      <c r="BA44">
        <v>99.036799999999999</v>
      </c>
      <c r="BB44">
        <v>9.9958900000000003E-2</v>
      </c>
      <c r="BC44">
        <v>24.921399999999998</v>
      </c>
      <c r="BD44">
        <v>26.8565</v>
      </c>
      <c r="BE44">
        <v>26.2773</v>
      </c>
      <c r="BF44">
        <v>0</v>
      </c>
      <c r="BG44">
        <v>0</v>
      </c>
      <c r="BH44">
        <v>10092.5</v>
      </c>
      <c r="BI44">
        <v>1063.71</v>
      </c>
      <c r="BJ44">
        <v>1.4577199999999999</v>
      </c>
      <c r="BK44">
        <v>-205.108</v>
      </c>
      <c r="BL44">
        <v>606.57299999999998</v>
      </c>
      <c r="BM44">
        <v>806.57299999999998</v>
      </c>
      <c r="BN44">
        <v>11.1143</v>
      </c>
      <c r="BO44">
        <v>799.98500000000001</v>
      </c>
      <c r="BP44">
        <v>8.1671499999999995</v>
      </c>
      <c r="BQ44">
        <v>1.90957</v>
      </c>
      <c r="BR44">
        <v>0.80884900000000004</v>
      </c>
      <c r="BS44">
        <v>16.713799999999999</v>
      </c>
      <c r="BT44">
        <v>3.86355</v>
      </c>
      <c r="BU44">
        <v>1800</v>
      </c>
      <c r="BV44">
        <v>0.91000300000000001</v>
      </c>
      <c r="BW44">
        <v>3.4008400000000001E-2</v>
      </c>
      <c r="BX44">
        <v>2.2001699999999999E-2</v>
      </c>
      <c r="BY44">
        <v>3.3987400000000001E-2</v>
      </c>
      <c r="BZ44">
        <v>25</v>
      </c>
      <c r="CA44">
        <v>33528.199999999997</v>
      </c>
      <c r="CB44">
        <v>1690203121.0999999</v>
      </c>
      <c r="CC44" t="s">
        <v>332</v>
      </c>
      <c r="CD44">
        <v>1690203121.0999999</v>
      </c>
      <c r="CE44">
        <v>1690203121.0999999</v>
      </c>
      <c r="CF44">
        <v>3</v>
      </c>
      <c r="CG44">
        <v>0.53600000000000003</v>
      </c>
      <c r="CH44">
        <v>-0.01</v>
      </c>
      <c r="CI44">
        <v>-0.996</v>
      </c>
      <c r="CJ44">
        <v>-6.6000000000000003E-2</v>
      </c>
      <c r="CK44">
        <v>800</v>
      </c>
      <c r="CL44">
        <v>9</v>
      </c>
      <c r="CM44">
        <v>0.82</v>
      </c>
      <c r="CN44">
        <v>0.01</v>
      </c>
      <c r="CO44">
        <v>-200.11477500000001</v>
      </c>
      <c r="CP44">
        <v>-30.159928705440631</v>
      </c>
      <c r="CQ44">
        <v>2.9058646001448531</v>
      </c>
      <c r="CR44">
        <v>-1</v>
      </c>
      <c r="CS44">
        <v>10.85528</v>
      </c>
      <c r="CT44">
        <v>0.39165478424011591</v>
      </c>
      <c r="CU44">
        <v>4.6221684305096267E-2</v>
      </c>
      <c r="CV44">
        <v>-1</v>
      </c>
      <c r="CW44">
        <v>0</v>
      </c>
      <c r="CX44">
        <v>0</v>
      </c>
      <c r="CY44" t="s">
        <v>333</v>
      </c>
      <c r="CZ44">
        <v>2.3645</v>
      </c>
      <c r="DA44">
        <v>2.7138300000000002</v>
      </c>
      <c r="DB44">
        <v>0.11981700000000001</v>
      </c>
      <c r="DC44">
        <v>0.14616100000000001</v>
      </c>
      <c r="DD44">
        <v>9.7503900000000004E-2</v>
      </c>
      <c r="DE44">
        <v>5.0541900000000001E-2</v>
      </c>
      <c r="DF44">
        <v>32096.400000000001</v>
      </c>
      <c r="DG44">
        <v>27439.3</v>
      </c>
      <c r="DH44">
        <v>31130.799999999999</v>
      </c>
      <c r="DI44">
        <v>28002.400000000001</v>
      </c>
      <c r="DJ44">
        <v>38138.9</v>
      </c>
      <c r="DK44">
        <v>37784.6</v>
      </c>
      <c r="DL44">
        <v>44291.8</v>
      </c>
      <c r="DM44">
        <v>42415.4</v>
      </c>
      <c r="DN44">
        <v>1.4802</v>
      </c>
      <c r="DO44">
        <v>2.0516000000000001</v>
      </c>
      <c r="DP44">
        <v>0.119545</v>
      </c>
      <c r="DQ44">
        <v>0.101399</v>
      </c>
      <c r="DR44">
        <v>24.8979</v>
      </c>
      <c r="DS44">
        <v>24.614799999999999</v>
      </c>
      <c r="DT44">
        <v>26.8</v>
      </c>
      <c r="DU44">
        <v>27.2</v>
      </c>
      <c r="DV44">
        <v>9.8001000000000005</v>
      </c>
      <c r="DW44">
        <v>60.785499999999999</v>
      </c>
      <c r="DX44">
        <v>36.875</v>
      </c>
      <c r="DY44">
        <v>1</v>
      </c>
      <c r="DZ44">
        <v>-9.1140799999999994E-2</v>
      </c>
      <c r="EA44">
        <v>-1.9564299999999999</v>
      </c>
      <c r="EB44">
        <v>20.1631</v>
      </c>
      <c r="EC44">
        <v>5.2406499999999996</v>
      </c>
      <c r="ED44">
        <v>12.039899999999999</v>
      </c>
      <c r="EE44">
        <v>5.0166500000000003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</v>
      </c>
      <c r="EL44">
        <v>1.8646199999999999</v>
      </c>
      <c r="EM44">
        <v>1.86914</v>
      </c>
      <c r="EN44">
        <v>1.8672200000000001</v>
      </c>
      <c r="EO44">
        <v>1.8633999999999999</v>
      </c>
      <c r="EP44">
        <v>1.8644700000000001</v>
      </c>
      <c r="EQ44">
        <v>1.8701399999999999</v>
      </c>
      <c r="ER44">
        <v>1.86937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-0.85199999999999998</v>
      </c>
      <c r="FG44">
        <v>0.15679999999999999</v>
      </c>
      <c r="FH44">
        <v>-0.44422204735670362</v>
      </c>
      <c r="FI44">
        <v>-6.1462078757559423E-4</v>
      </c>
      <c r="FJ44">
        <v>-1.8861989874597051E-7</v>
      </c>
      <c r="FK44">
        <v>1.1980462299894961E-10</v>
      </c>
      <c r="FL44">
        <v>-5.4907600448225742E-2</v>
      </c>
      <c r="FM44">
        <v>-1.6848085045870601E-2</v>
      </c>
      <c r="FN44">
        <v>1.9789084769509481E-3</v>
      </c>
      <c r="FO44">
        <v>-2.7142391389806329E-5</v>
      </c>
      <c r="FP44">
        <v>3</v>
      </c>
      <c r="FQ44">
        <v>2158</v>
      </c>
      <c r="FR44">
        <v>1</v>
      </c>
      <c r="FS44">
        <v>19</v>
      </c>
      <c r="FT44">
        <v>15.4</v>
      </c>
      <c r="FU44">
        <v>15.4</v>
      </c>
      <c r="FV44">
        <v>1.78101</v>
      </c>
      <c r="FW44">
        <v>2.5512700000000001</v>
      </c>
      <c r="FX44">
        <v>1.5490699999999999</v>
      </c>
      <c r="FY44">
        <v>2.33643</v>
      </c>
      <c r="FZ44">
        <v>1.50146</v>
      </c>
      <c r="GA44">
        <v>2.4108900000000002</v>
      </c>
      <c r="GB44">
        <v>32.112400000000001</v>
      </c>
      <c r="GC44">
        <v>23.982399999999998</v>
      </c>
      <c r="GD44">
        <v>19</v>
      </c>
      <c r="GE44">
        <v>283.71600000000001</v>
      </c>
      <c r="GF44">
        <v>592.60699999999997</v>
      </c>
      <c r="GG44">
        <v>20.311699999999998</v>
      </c>
      <c r="GH44">
        <v>26.223199999999999</v>
      </c>
      <c r="GI44">
        <v>29.998000000000001</v>
      </c>
      <c r="GJ44">
        <v>26.155200000000001</v>
      </c>
      <c r="GK44">
        <v>26.058599999999998</v>
      </c>
      <c r="GL44">
        <v>35.619300000000003</v>
      </c>
      <c r="GM44">
        <v>-30</v>
      </c>
      <c r="GN44">
        <v>-30</v>
      </c>
      <c r="GO44">
        <v>20.7516</v>
      </c>
      <c r="GP44">
        <v>800</v>
      </c>
      <c r="GQ44">
        <v>12.5298</v>
      </c>
      <c r="GR44">
        <v>99.591800000000006</v>
      </c>
      <c r="GS44">
        <v>99.248999999999995</v>
      </c>
    </row>
    <row r="45" spans="1:201" x14ac:dyDescent="0.25">
      <c r="A45">
        <v>29</v>
      </c>
      <c r="B45">
        <v>1690204055.5</v>
      </c>
      <c r="C45">
        <v>615.90000009536743</v>
      </c>
      <c r="D45" t="s">
        <v>391</v>
      </c>
      <c r="E45" t="s">
        <v>392</v>
      </c>
      <c r="F45" t="s">
        <v>330</v>
      </c>
      <c r="H45">
        <v>1690204055.5</v>
      </c>
      <c r="I45">
        <f t="shared" si="0"/>
        <v>1.1757398381685229E-3</v>
      </c>
      <c r="J45">
        <f t="shared" si="1"/>
        <v>1.1757398381685229</v>
      </c>
      <c r="K45">
        <f t="shared" si="2"/>
        <v>19.414540655789356</v>
      </c>
      <c r="L45">
        <f t="shared" si="3"/>
        <v>591.005</v>
      </c>
      <c r="M45">
        <f t="shared" si="4"/>
        <v>160.11028522829795</v>
      </c>
      <c r="N45">
        <f t="shared" si="5"/>
        <v>15.872863609747057</v>
      </c>
      <c r="O45">
        <f t="shared" si="6"/>
        <v>58.590500568420502</v>
      </c>
      <c r="P45">
        <f t="shared" si="7"/>
        <v>7.4923420417586137E-2</v>
      </c>
      <c r="Q45">
        <f t="shared" si="8"/>
        <v>2.198600177521393</v>
      </c>
      <c r="R45">
        <f t="shared" si="9"/>
        <v>7.3533356459170945E-2</v>
      </c>
      <c r="S45">
        <f t="shared" si="10"/>
        <v>4.6081091405959083E-2</v>
      </c>
      <c r="T45">
        <f t="shared" si="11"/>
        <v>276.11489273185163</v>
      </c>
      <c r="U45">
        <f t="shared" si="12"/>
        <v>26.79757220881871</v>
      </c>
      <c r="V45">
        <f t="shared" si="13"/>
        <v>26.79757220881871</v>
      </c>
      <c r="W45">
        <f t="shared" si="14"/>
        <v>3.5368269273530597</v>
      </c>
      <c r="X45">
        <f t="shared" si="15"/>
        <v>62.503975996248151</v>
      </c>
      <c r="Y45">
        <f t="shared" si="16"/>
        <v>1.99593642523171</v>
      </c>
      <c r="Z45">
        <f t="shared" si="17"/>
        <v>3.1932951358990627</v>
      </c>
      <c r="AA45">
        <f t="shared" si="18"/>
        <v>1.5408905021213497</v>
      </c>
      <c r="AB45">
        <f t="shared" si="19"/>
        <v>-51.850126863231864</v>
      </c>
      <c r="AC45">
        <f t="shared" si="20"/>
        <v>-204.56924275402247</v>
      </c>
      <c r="AD45">
        <f t="shared" si="21"/>
        <v>-19.867243665472241</v>
      </c>
      <c r="AE45">
        <f t="shared" si="22"/>
        <v>-0.17172055087496574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52908.944409045536</v>
      </c>
      <c r="AK45">
        <f t="shared" si="26"/>
        <v>1799.99</v>
      </c>
      <c r="AL45">
        <f t="shared" si="27"/>
        <v>1499.1045697950101</v>
      </c>
      <c r="AM45">
        <f t="shared" si="28"/>
        <v>0.83284049900000001</v>
      </c>
      <c r="AN45">
        <f t="shared" si="29"/>
        <v>0.15339801484000001</v>
      </c>
      <c r="AO45">
        <v>31.2</v>
      </c>
      <c r="AP45">
        <v>0.5</v>
      </c>
      <c r="AQ45" t="s">
        <v>331</v>
      </c>
      <c r="AR45">
        <v>2</v>
      </c>
      <c r="AS45">
        <v>1690204055.5</v>
      </c>
      <c r="AT45">
        <v>591.005</v>
      </c>
      <c r="AU45">
        <v>800.00699999999995</v>
      </c>
      <c r="AV45">
        <v>20.133099999999999</v>
      </c>
      <c r="AW45">
        <v>8.1593699999999991</v>
      </c>
      <c r="AX45">
        <v>591.85400000000004</v>
      </c>
      <c r="AY45">
        <v>19.951899999999998</v>
      </c>
      <c r="AZ45">
        <v>300.19499999999999</v>
      </c>
      <c r="BA45">
        <v>99.037199999999999</v>
      </c>
      <c r="BB45">
        <v>9.9864099999999997E-2</v>
      </c>
      <c r="BC45">
        <v>25.0717</v>
      </c>
      <c r="BD45">
        <v>26.9419</v>
      </c>
      <c r="BE45">
        <v>26.426300000000001</v>
      </c>
      <c r="BF45">
        <v>0</v>
      </c>
      <c r="BG45">
        <v>0</v>
      </c>
      <c r="BH45">
        <v>10040</v>
      </c>
      <c r="BI45">
        <v>1063.1500000000001</v>
      </c>
      <c r="BJ45">
        <v>1.32176</v>
      </c>
      <c r="BK45">
        <v>-209.00299999999999</v>
      </c>
      <c r="BL45">
        <v>603.14800000000002</v>
      </c>
      <c r="BM45">
        <v>806.58900000000006</v>
      </c>
      <c r="BN45">
        <v>11.973699999999999</v>
      </c>
      <c r="BO45">
        <v>800.00699999999995</v>
      </c>
      <c r="BP45">
        <v>8.1593699999999991</v>
      </c>
      <c r="BQ45">
        <v>1.9939199999999999</v>
      </c>
      <c r="BR45">
        <v>0.80808100000000005</v>
      </c>
      <c r="BS45">
        <v>17.3962</v>
      </c>
      <c r="BT45">
        <v>3.85006</v>
      </c>
      <c r="BU45">
        <v>1799.99</v>
      </c>
      <c r="BV45">
        <v>0.90999799999999997</v>
      </c>
      <c r="BW45">
        <v>3.4005800000000003E-2</v>
      </c>
      <c r="BX45">
        <v>2.2008699999999999E-2</v>
      </c>
      <c r="BY45">
        <v>3.3987400000000001E-2</v>
      </c>
      <c r="BZ45">
        <v>25</v>
      </c>
      <c r="CA45">
        <v>33528.1</v>
      </c>
      <c r="CB45">
        <v>1690203121.0999999</v>
      </c>
      <c r="CC45" t="s">
        <v>332</v>
      </c>
      <c r="CD45">
        <v>1690203121.0999999</v>
      </c>
      <c r="CE45">
        <v>1690203121.0999999</v>
      </c>
      <c r="CF45">
        <v>3</v>
      </c>
      <c r="CG45">
        <v>0.53600000000000003</v>
      </c>
      <c r="CH45">
        <v>-0.01</v>
      </c>
      <c r="CI45">
        <v>-0.996</v>
      </c>
      <c r="CJ45">
        <v>-6.6000000000000003E-2</v>
      </c>
      <c r="CK45">
        <v>800</v>
      </c>
      <c r="CL45">
        <v>9</v>
      </c>
      <c r="CM45">
        <v>0.82</v>
      </c>
      <c r="CN45">
        <v>0.01</v>
      </c>
      <c r="CO45">
        <v>-204.77670000000001</v>
      </c>
      <c r="CP45">
        <v>-25.56871294559047</v>
      </c>
      <c r="CQ45">
        <v>2.4613497536920681</v>
      </c>
      <c r="CR45">
        <v>-1</v>
      </c>
      <c r="CS45">
        <v>11.207532499999999</v>
      </c>
      <c r="CT45">
        <v>3.721799999999976</v>
      </c>
      <c r="CU45">
        <v>0.37674197296525119</v>
      </c>
      <c r="CV45">
        <v>-1</v>
      </c>
      <c r="CW45">
        <v>0</v>
      </c>
      <c r="CX45">
        <v>0</v>
      </c>
      <c r="CY45" t="s">
        <v>333</v>
      </c>
      <c r="CZ45">
        <v>2.3646099999999999</v>
      </c>
      <c r="DA45">
        <v>2.7136900000000002</v>
      </c>
      <c r="DB45">
        <v>0.11927400000000001</v>
      </c>
      <c r="DC45">
        <v>0.14616100000000001</v>
      </c>
      <c r="DD45">
        <v>0.100504</v>
      </c>
      <c r="DE45">
        <v>5.0502900000000003E-2</v>
      </c>
      <c r="DF45">
        <v>32116.9</v>
      </c>
      <c r="DG45">
        <v>27440</v>
      </c>
      <c r="DH45">
        <v>31131.5</v>
      </c>
      <c r="DI45">
        <v>28003.1</v>
      </c>
      <c r="DJ45">
        <v>38011.599999999999</v>
      </c>
      <c r="DK45">
        <v>37787.1</v>
      </c>
      <c r="DL45">
        <v>44292.6</v>
      </c>
      <c r="DM45">
        <v>42416.5</v>
      </c>
      <c r="DN45">
        <v>1.47662</v>
      </c>
      <c r="DO45">
        <v>2.0515500000000002</v>
      </c>
      <c r="DP45">
        <v>0.127833</v>
      </c>
      <c r="DQ45">
        <v>0.11404599999999999</v>
      </c>
      <c r="DR45">
        <v>24.8475</v>
      </c>
      <c r="DS45">
        <v>24.5566</v>
      </c>
      <c r="DT45">
        <v>26.8</v>
      </c>
      <c r="DU45">
        <v>27.2</v>
      </c>
      <c r="DV45">
        <v>9.7992500000000007</v>
      </c>
      <c r="DW45">
        <v>60.955500000000001</v>
      </c>
      <c r="DX45">
        <v>35.9255</v>
      </c>
      <c r="DY45">
        <v>1</v>
      </c>
      <c r="DZ45">
        <v>-9.8127500000000006E-2</v>
      </c>
      <c r="EA45">
        <v>1.2737400000000001</v>
      </c>
      <c r="EB45">
        <v>20.186299999999999</v>
      </c>
      <c r="EC45">
        <v>5.2406499999999996</v>
      </c>
      <c r="ED45">
        <v>12.039899999999999</v>
      </c>
      <c r="EE45">
        <v>5.01675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</v>
      </c>
      <c r="EL45">
        <v>1.8646199999999999</v>
      </c>
      <c r="EM45">
        <v>1.8691599999999999</v>
      </c>
      <c r="EN45">
        <v>1.8672200000000001</v>
      </c>
      <c r="EO45">
        <v>1.8633999999999999</v>
      </c>
      <c r="EP45">
        <v>1.8644700000000001</v>
      </c>
      <c r="EQ45">
        <v>1.8701300000000001</v>
      </c>
      <c r="ER45">
        <v>1.8693500000000001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-0.84899999999999998</v>
      </c>
      <c r="FG45">
        <v>0.1812</v>
      </c>
      <c r="FH45">
        <v>-0.44422204735670362</v>
      </c>
      <c r="FI45">
        <v>-6.1462078757559423E-4</v>
      </c>
      <c r="FJ45">
        <v>-1.8861989874597051E-7</v>
      </c>
      <c r="FK45">
        <v>1.1980462299894961E-10</v>
      </c>
      <c r="FL45">
        <v>-5.4907600448225742E-2</v>
      </c>
      <c r="FM45">
        <v>-1.6848085045870601E-2</v>
      </c>
      <c r="FN45">
        <v>1.9789084769509481E-3</v>
      </c>
      <c r="FO45">
        <v>-2.7142391389806329E-5</v>
      </c>
      <c r="FP45">
        <v>3</v>
      </c>
      <c r="FQ45">
        <v>2158</v>
      </c>
      <c r="FR45">
        <v>1</v>
      </c>
      <c r="FS45">
        <v>19</v>
      </c>
      <c r="FT45">
        <v>15.6</v>
      </c>
      <c r="FU45">
        <v>15.6</v>
      </c>
      <c r="FV45">
        <v>1.78223</v>
      </c>
      <c r="FW45">
        <v>2.5561500000000001</v>
      </c>
      <c r="FX45">
        <v>1.5490699999999999</v>
      </c>
      <c r="FY45">
        <v>2.33643</v>
      </c>
      <c r="FZ45">
        <v>1.50146</v>
      </c>
      <c r="GA45">
        <v>2.3290999999999999</v>
      </c>
      <c r="GB45">
        <v>32.112400000000001</v>
      </c>
      <c r="GC45">
        <v>23.982399999999998</v>
      </c>
      <c r="GD45">
        <v>19</v>
      </c>
      <c r="GE45">
        <v>282.27199999999999</v>
      </c>
      <c r="GF45">
        <v>592.68100000000004</v>
      </c>
      <c r="GG45">
        <v>21.0825</v>
      </c>
      <c r="GH45">
        <v>26.232099999999999</v>
      </c>
      <c r="GI45">
        <v>29.998699999999999</v>
      </c>
      <c r="GJ45">
        <v>26.172899999999998</v>
      </c>
      <c r="GK45">
        <v>26.0685</v>
      </c>
      <c r="GL45">
        <v>35.619399999999999</v>
      </c>
      <c r="GM45">
        <v>-30</v>
      </c>
      <c r="GN45">
        <v>-30</v>
      </c>
      <c r="GO45">
        <v>20.928000000000001</v>
      </c>
      <c r="GP45">
        <v>800</v>
      </c>
      <c r="GQ45">
        <v>12.5298</v>
      </c>
      <c r="GR45">
        <v>99.593800000000002</v>
      </c>
      <c r="GS45">
        <v>99.2517</v>
      </c>
    </row>
    <row r="46" spans="1:201" x14ac:dyDescent="0.25">
      <c r="A46">
        <v>30</v>
      </c>
      <c r="B46">
        <v>1690204065.5</v>
      </c>
      <c r="C46">
        <v>625.90000009536743</v>
      </c>
      <c r="D46" t="s">
        <v>393</v>
      </c>
      <c r="E46" t="s">
        <v>394</v>
      </c>
      <c r="F46" t="s">
        <v>330</v>
      </c>
      <c r="H46">
        <v>1690204065.5</v>
      </c>
      <c r="I46">
        <f t="shared" si="0"/>
        <v>1.1960707192112661E-3</v>
      </c>
      <c r="J46">
        <f t="shared" si="1"/>
        <v>1.1960707192112661</v>
      </c>
      <c r="K46">
        <f t="shared" si="2"/>
        <v>19.663037323403302</v>
      </c>
      <c r="L46">
        <f t="shared" si="3"/>
        <v>588.25699999999995</v>
      </c>
      <c r="M46">
        <f t="shared" si="4"/>
        <v>160.33003073823505</v>
      </c>
      <c r="N46">
        <f t="shared" si="5"/>
        <v>15.894948335575855</v>
      </c>
      <c r="O46">
        <f t="shared" si="6"/>
        <v>58.319171898037986</v>
      </c>
      <c r="P46">
        <f t="shared" si="7"/>
        <v>7.6439519516826676E-2</v>
      </c>
      <c r="Q46">
        <f t="shared" si="8"/>
        <v>2.1907152635274869</v>
      </c>
      <c r="R46">
        <f t="shared" si="9"/>
        <v>7.498811578823561E-2</v>
      </c>
      <c r="S46">
        <f t="shared" si="10"/>
        <v>4.6995679828782035E-2</v>
      </c>
      <c r="T46">
        <f t="shared" si="11"/>
        <v>276.11487764793537</v>
      </c>
      <c r="U46">
        <f t="shared" si="12"/>
        <v>26.873495808895122</v>
      </c>
      <c r="V46">
        <f t="shared" si="13"/>
        <v>26.873495808895122</v>
      </c>
      <c r="W46">
        <f t="shared" si="14"/>
        <v>3.5526529587177054</v>
      </c>
      <c r="X46">
        <f t="shared" si="15"/>
        <v>62.835445634428723</v>
      </c>
      <c r="Y46">
        <f t="shared" si="16"/>
        <v>2.0157820311285999</v>
      </c>
      <c r="Z46">
        <f t="shared" si="17"/>
        <v>3.2080333174626441</v>
      </c>
      <c r="AA46">
        <f t="shared" si="18"/>
        <v>1.5368709275891055</v>
      </c>
      <c r="AB46">
        <f t="shared" si="19"/>
        <v>-52.746718717216837</v>
      </c>
      <c r="AC46">
        <f t="shared" si="20"/>
        <v>-203.6730283059706</v>
      </c>
      <c r="AD46">
        <f t="shared" si="21"/>
        <v>-19.866665623625046</v>
      </c>
      <c r="AE46">
        <f t="shared" si="22"/>
        <v>-0.17153499887712087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52570.830244526391</v>
      </c>
      <c r="AK46">
        <f t="shared" si="26"/>
        <v>1799.99</v>
      </c>
      <c r="AL46">
        <f t="shared" si="27"/>
        <v>1499.1010184147401</v>
      </c>
      <c r="AM46">
        <f t="shared" si="28"/>
        <v>0.83283852600000008</v>
      </c>
      <c r="AN46">
        <f t="shared" si="29"/>
        <v>0.15339800645999999</v>
      </c>
      <c r="AO46">
        <v>31.2</v>
      </c>
      <c r="AP46">
        <v>0.5</v>
      </c>
      <c r="AQ46" t="s">
        <v>331</v>
      </c>
      <c r="AR46">
        <v>2</v>
      </c>
      <c r="AS46">
        <v>1690204065.5</v>
      </c>
      <c r="AT46">
        <v>588.25699999999995</v>
      </c>
      <c r="AU46">
        <v>800.01</v>
      </c>
      <c r="AV46">
        <v>20.332899999999999</v>
      </c>
      <c r="AW46">
        <v>8.1501400000000004</v>
      </c>
      <c r="AX46">
        <v>589.10400000000004</v>
      </c>
      <c r="AY46">
        <v>20.146000000000001</v>
      </c>
      <c r="AZ46">
        <v>300.08499999999998</v>
      </c>
      <c r="BA46">
        <v>99.038899999999998</v>
      </c>
      <c r="BB46">
        <v>0.100034</v>
      </c>
      <c r="BC46">
        <v>25.149000000000001</v>
      </c>
      <c r="BD46">
        <v>26.9695</v>
      </c>
      <c r="BE46">
        <v>26.537099999999999</v>
      </c>
      <c r="BF46">
        <v>0</v>
      </c>
      <c r="BG46">
        <v>0</v>
      </c>
      <c r="BH46">
        <v>9975.6200000000008</v>
      </c>
      <c r="BI46">
        <v>1062.6600000000001</v>
      </c>
      <c r="BJ46">
        <v>1.5095799999999999</v>
      </c>
      <c r="BK46">
        <v>-211.75299999999999</v>
      </c>
      <c r="BL46">
        <v>600.46600000000001</v>
      </c>
      <c r="BM46">
        <v>806.58399999999995</v>
      </c>
      <c r="BN46">
        <v>12.1828</v>
      </c>
      <c r="BO46">
        <v>800.01</v>
      </c>
      <c r="BP46">
        <v>8.1501400000000004</v>
      </c>
      <c r="BQ46">
        <v>2.0137499999999999</v>
      </c>
      <c r="BR46">
        <v>0.80718000000000001</v>
      </c>
      <c r="BS46">
        <v>17.552800000000001</v>
      </c>
      <c r="BT46">
        <v>3.8342100000000001</v>
      </c>
      <c r="BU46">
        <v>1799.99</v>
      </c>
      <c r="BV46">
        <v>0.90997700000000004</v>
      </c>
      <c r="BW46">
        <v>3.4002900000000003E-2</v>
      </c>
      <c r="BX46">
        <v>2.20068E-2</v>
      </c>
      <c r="BY46">
        <v>3.40132E-2</v>
      </c>
      <c r="BZ46">
        <v>25</v>
      </c>
      <c r="CA46">
        <v>33528</v>
      </c>
      <c r="CB46">
        <v>1690203121.0999999</v>
      </c>
      <c r="CC46" t="s">
        <v>332</v>
      </c>
      <c r="CD46">
        <v>1690203121.0999999</v>
      </c>
      <c r="CE46">
        <v>1690203121.0999999</v>
      </c>
      <c r="CF46">
        <v>3</v>
      </c>
      <c r="CG46">
        <v>0.53600000000000003</v>
      </c>
      <c r="CH46">
        <v>-0.01</v>
      </c>
      <c r="CI46">
        <v>-0.996</v>
      </c>
      <c r="CJ46">
        <v>-6.6000000000000003E-2</v>
      </c>
      <c r="CK46">
        <v>800</v>
      </c>
      <c r="CL46">
        <v>9</v>
      </c>
      <c r="CM46">
        <v>0.82</v>
      </c>
      <c r="CN46">
        <v>0.01</v>
      </c>
      <c r="CO46">
        <v>-208.29519512195131</v>
      </c>
      <c r="CP46">
        <v>-20.384550522647611</v>
      </c>
      <c r="CQ46">
        <v>2.0228050220051781</v>
      </c>
      <c r="CR46">
        <v>-1</v>
      </c>
      <c r="CS46">
        <v>11.76423414634146</v>
      </c>
      <c r="CT46">
        <v>3.6604369337979281</v>
      </c>
      <c r="CU46">
        <v>0.375796347682609</v>
      </c>
      <c r="CV46">
        <v>-1</v>
      </c>
      <c r="CW46">
        <v>0</v>
      </c>
      <c r="CX46">
        <v>0</v>
      </c>
      <c r="CY46" t="s">
        <v>333</v>
      </c>
      <c r="CZ46">
        <v>2.3642599999999998</v>
      </c>
      <c r="DA46">
        <v>2.7138</v>
      </c>
      <c r="DB46">
        <v>0.118885</v>
      </c>
      <c r="DC46">
        <v>0.14616100000000001</v>
      </c>
      <c r="DD46">
        <v>0.101202</v>
      </c>
      <c r="DE46">
        <v>5.0457399999999999E-2</v>
      </c>
      <c r="DF46">
        <v>32129.7</v>
      </c>
      <c r="DG46">
        <v>27438.7</v>
      </c>
      <c r="DH46">
        <v>31130.2</v>
      </c>
      <c r="DI46">
        <v>28001.9</v>
      </c>
      <c r="DJ46">
        <v>37980.1</v>
      </c>
      <c r="DK46">
        <v>37787.4</v>
      </c>
      <c r="DL46">
        <v>44290.6</v>
      </c>
      <c r="DM46">
        <v>42414.9</v>
      </c>
      <c r="DN46">
        <v>1.4758</v>
      </c>
      <c r="DO46">
        <v>2.0512800000000002</v>
      </c>
      <c r="DP46">
        <v>0.13215099999999999</v>
      </c>
      <c r="DQ46">
        <v>0.123214</v>
      </c>
      <c r="DR46">
        <v>24.804400000000001</v>
      </c>
      <c r="DS46">
        <v>24.517199999999999</v>
      </c>
      <c r="DT46">
        <v>26.7</v>
      </c>
      <c r="DU46">
        <v>27.3</v>
      </c>
      <c r="DV46">
        <v>9.8195399999999999</v>
      </c>
      <c r="DW46">
        <v>61.455500000000001</v>
      </c>
      <c r="DX46">
        <v>36.442300000000003</v>
      </c>
      <c r="DY46">
        <v>1</v>
      </c>
      <c r="DZ46">
        <v>-9.5088900000000004E-2</v>
      </c>
      <c r="EA46">
        <v>2.1359400000000002</v>
      </c>
      <c r="EB46">
        <v>20.175599999999999</v>
      </c>
      <c r="EC46">
        <v>5.2404999999999999</v>
      </c>
      <c r="ED46">
        <v>12.039899999999999</v>
      </c>
      <c r="EE46">
        <v>5.0167999999999999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</v>
      </c>
      <c r="EL46">
        <v>1.8646199999999999</v>
      </c>
      <c r="EM46">
        <v>1.86911</v>
      </c>
      <c r="EN46">
        <v>1.8672200000000001</v>
      </c>
      <c r="EO46">
        <v>1.8633999999999999</v>
      </c>
      <c r="EP46">
        <v>1.8644700000000001</v>
      </c>
      <c r="EQ46">
        <v>1.8701399999999999</v>
      </c>
      <c r="ER46">
        <v>1.8693599999999999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-0.84699999999999998</v>
      </c>
      <c r="FG46">
        <v>0.18690000000000001</v>
      </c>
      <c r="FH46">
        <v>-0.44422204735670362</v>
      </c>
      <c r="FI46">
        <v>-6.1462078757559423E-4</v>
      </c>
      <c r="FJ46">
        <v>-1.8861989874597051E-7</v>
      </c>
      <c r="FK46">
        <v>1.1980462299894961E-10</v>
      </c>
      <c r="FL46">
        <v>-5.4907600448225742E-2</v>
      </c>
      <c r="FM46">
        <v>-1.6848085045870601E-2</v>
      </c>
      <c r="FN46">
        <v>1.9789084769509481E-3</v>
      </c>
      <c r="FO46">
        <v>-2.7142391389806329E-5</v>
      </c>
      <c r="FP46">
        <v>3</v>
      </c>
      <c r="FQ46">
        <v>2158</v>
      </c>
      <c r="FR46">
        <v>1</v>
      </c>
      <c r="FS46">
        <v>19</v>
      </c>
      <c r="FT46">
        <v>15.7</v>
      </c>
      <c r="FU46">
        <v>15.7</v>
      </c>
      <c r="FV46">
        <v>1.78101</v>
      </c>
      <c r="FW46">
        <v>2.5524900000000001</v>
      </c>
      <c r="FX46">
        <v>1.5490699999999999</v>
      </c>
      <c r="FY46">
        <v>2.33643</v>
      </c>
      <c r="FZ46">
        <v>1.50146</v>
      </c>
      <c r="GA46">
        <v>2.3962400000000001</v>
      </c>
      <c r="GB46">
        <v>32.134399999999999</v>
      </c>
      <c r="GC46">
        <v>23.982399999999998</v>
      </c>
      <c r="GD46">
        <v>19</v>
      </c>
      <c r="GE46">
        <v>281.95400000000001</v>
      </c>
      <c r="GF46">
        <v>592.56200000000001</v>
      </c>
      <c r="GG46">
        <v>21.077000000000002</v>
      </c>
      <c r="GH46">
        <v>26.2393</v>
      </c>
      <c r="GI46">
        <v>30.001100000000001</v>
      </c>
      <c r="GJ46">
        <v>26.180099999999999</v>
      </c>
      <c r="GK46">
        <v>26.078199999999999</v>
      </c>
      <c r="GL46">
        <v>35.619399999999999</v>
      </c>
      <c r="GM46">
        <v>-30</v>
      </c>
      <c r="GN46">
        <v>-30</v>
      </c>
      <c r="GO46">
        <v>21.023199999999999</v>
      </c>
      <c r="GP46">
        <v>800</v>
      </c>
      <c r="GQ46">
        <v>12.5298</v>
      </c>
      <c r="GR46">
        <v>99.589299999999994</v>
      </c>
      <c r="GS46">
        <v>99.247600000000006</v>
      </c>
    </row>
    <row r="47" spans="1:201" x14ac:dyDescent="0.25">
      <c r="A47">
        <v>31</v>
      </c>
      <c r="B47">
        <v>1690204075.5</v>
      </c>
      <c r="C47">
        <v>635.90000009536743</v>
      </c>
      <c r="D47" t="s">
        <v>395</v>
      </c>
      <c r="E47" t="s">
        <v>396</v>
      </c>
      <c r="F47" t="s">
        <v>330</v>
      </c>
      <c r="H47">
        <v>1690204075.5</v>
      </c>
      <c r="I47">
        <f t="shared" si="0"/>
        <v>1.1986170209541602E-3</v>
      </c>
      <c r="J47">
        <f t="shared" si="1"/>
        <v>1.1986170209541602</v>
      </c>
      <c r="K47">
        <f t="shared" si="2"/>
        <v>19.907639041612804</v>
      </c>
      <c r="L47">
        <f t="shared" si="3"/>
        <v>585.87800000000004</v>
      </c>
      <c r="M47">
        <f t="shared" si="4"/>
        <v>154.13714570722288</v>
      </c>
      <c r="N47">
        <f t="shared" si="5"/>
        <v>15.281019443354399</v>
      </c>
      <c r="O47">
        <f t="shared" si="6"/>
        <v>58.083423488580003</v>
      </c>
      <c r="P47">
        <f t="shared" si="7"/>
        <v>7.6673212233772978E-2</v>
      </c>
      <c r="Q47">
        <f t="shared" si="8"/>
        <v>2.1917948590095624</v>
      </c>
      <c r="R47">
        <f t="shared" si="9"/>
        <v>7.5213716250117843E-2</v>
      </c>
      <c r="S47">
        <f t="shared" si="10"/>
        <v>4.7137388583838591E-2</v>
      </c>
      <c r="T47">
        <f t="shared" si="11"/>
        <v>276.1145812795819</v>
      </c>
      <c r="U47">
        <f t="shared" si="12"/>
        <v>26.873150425592218</v>
      </c>
      <c r="V47">
        <f t="shared" si="13"/>
        <v>26.873150425592218</v>
      </c>
      <c r="W47">
        <f t="shared" si="14"/>
        <v>3.5525808249324338</v>
      </c>
      <c r="X47">
        <f t="shared" si="15"/>
        <v>62.870555079966437</v>
      </c>
      <c r="Y47">
        <f t="shared" si="16"/>
        <v>2.0170645042380002</v>
      </c>
      <c r="Z47">
        <f t="shared" si="17"/>
        <v>3.208281685556063</v>
      </c>
      <c r="AA47">
        <f t="shared" si="18"/>
        <v>1.5355163206944336</v>
      </c>
      <c r="AB47">
        <f t="shared" si="19"/>
        <v>-52.859010624078465</v>
      </c>
      <c r="AC47">
        <f t="shared" si="20"/>
        <v>-203.57897425129704</v>
      </c>
      <c r="AD47">
        <f t="shared" si="21"/>
        <v>-19.847805088684741</v>
      </c>
      <c r="AE47">
        <f t="shared" si="22"/>
        <v>-0.17120868447835846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52614.953154434545</v>
      </c>
      <c r="AK47">
        <f t="shared" si="26"/>
        <v>1799.99</v>
      </c>
      <c r="AL47">
        <f t="shared" si="27"/>
        <v>1499.1017384107399</v>
      </c>
      <c r="AM47">
        <f t="shared" si="28"/>
        <v>0.83283892599999998</v>
      </c>
      <c r="AN47">
        <f t="shared" si="29"/>
        <v>0.15339784180999999</v>
      </c>
      <c r="AO47">
        <v>31.2</v>
      </c>
      <c r="AP47">
        <v>0.5</v>
      </c>
      <c r="AQ47" t="s">
        <v>331</v>
      </c>
      <c r="AR47">
        <v>2</v>
      </c>
      <c r="AS47">
        <v>1690204075.5</v>
      </c>
      <c r="AT47">
        <v>585.87800000000004</v>
      </c>
      <c r="AU47">
        <v>800.05799999999999</v>
      </c>
      <c r="AV47">
        <v>20.345800000000001</v>
      </c>
      <c r="AW47">
        <v>8.1430799999999994</v>
      </c>
      <c r="AX47">
        <v>586.72400000000005</v>
      </c>
      <c r="AY47">
        <v>20.1586</v>
      </c>
      <c r="AZ47">
        <v>300.22800000000001</v>
      </c>
      <c r="BA47">
        <v>99.039000000000001</v>
      </c>
      <c r="BB47">
        <v>0.10011</v>
      </c>
      <c r="BC47">
        <v>25.150300000000001</v>
      </c>
      <c r="BD47">
        <v>27.119800000000001</v>
      </c>
      <c r="BE47">
        <v>26.5566</v>
      </c>
      <c r="BF47">
        <v>0</v>
      </c>
      <c r="BG47">
        <v>0</v>
      </c>
      <c r="BH47">
        <v>9984.3799999999992</v>
      </c>
      <c r="BI47">
        <v>1062.2</v>
      </c>
      <c r="BJ47">
        <v>1.5137799999999999</v>
      </c>
      <c r="BK47">
        <v>-214.18</v>
      </c>
      <c r="BL47">
        <v>598.04600000000005</v>
      </c>
      <c r="BM47">
        <v>806.62599999999998</v>
      </c>
      <c r="BN47">
        <v>12.2028</v>
      </c>
      <c r="BO47">
        <v>800.05799999999999</v>
      </c>
      <c r="BP47">
        <v>8.1430799999999994</v>
      </c>
      <c r="BQ47">
        <v>2.0150299999999999</v>
      </c>
      <c r="BR47">
        <v>0.80648200000000003</v>
      </c>
      <c r="BS47">
        <v>17.562899999999999</v>
      </c>
      <c r="BT47">
        <v>3.82192</v>
      </c>
      <c r="BU47">
        <v>1799.99</v>
      </c>
      <c r="BV47">
        <v>0.90998299999999999</v>
      </c>
      <c r="BW47">
        <v>3.4000599999999999E-2</v>
      </c>
      <c r="BX47">
        <v>2.2005299999999998E-2</v>
      </c>
      <c r="BY47">
        <v>3.4010899999999997E-2</v>
      </c>
      <c r="BZ47">
        <v>25</v>
      </c>
      <c r="CA47">
        <v>33528.199999999997</v>
      </c>
      <c r="CB47">
        <v>1690203121.0999999</v>
      </c>
      <c r="CC47" t="s">
        <v>332</v>
      </c>
      <c r="CD47">
        <v>1690203121.0999999</v>
      </c>
      <c r="CE47">
        <v>1690203121.0999999</v>
      </c>
      <c r="CF47">
        <v>3</v>
      </c>
      <c r="CG47">
        <v>0.53600000000000003</v>
      </c>
      <c r="CH47">
        <v>-0.01</v>
      </c>
      <c r="CI47">
        <v>-0.996</v>
      </c>
      <c r="CJ47">
        <v>-6.6000000000000003E-2</v>
      </c>
      <c r="CK47">
        <v>800</v>
      </c>
      <c r="CL47">
        <v>9</v>
      </c>
      <c r="CM47">
        <v>0.82</v>
      </c>
      <c r="CN47">
        <v>0.01</v>
      </c>
      <c r="CO47">
        <v>-211.28853658536579</v>
      </c>
      <c r="CP47">
        <v>-15.543512195122419</v>
      </c>
      <c r="CQ47">
        <v>1.535006969040525</v>
      </c>
      <c r="CR47">
        <v>-1</v>
      </c>
      <c r="CS47">
        <v>12.13091463414634</v>
      </c>
      <c r="CT47">
        <v>0.7535665505226713</v>
      </c>
      <c r="CU47">
        <v>8.4388791190090531E-2</v>
      </c>
      <c r="CV47">
        <v>-1</v>
      </c>
      <c r="CW47">
        <v>0</v>
      </c>
      <c r="CX47">
        <v>0</v>
      </c>
      <c r="CY47" t="s">
        <v>333</v>
      </c>
      <c r="CZ47">
        <v>2.3647</v>
      </c>
      <c r="DA47">
        <v>2.7138900000000001</v>
      </c>
      <c r="DB47">
        <v>0.118544</v>
      </c>
      <c r="DC47">
        <v>0.14616399999999999</v>
      </c>
      <c r="DD47">
        <v>0.101246</v>
      </c>
      <c r="DE47">
        <v>5.0421899999999999E-2</v>
      </c>
      <c r="DF47">
        <v>32140.6</v>
      </c>
      <c r="DG47">
        <v>27436.9</v>
      </c>
      <c r="DH47">
        <v>31128.7</v>
      </c>
      <c r="DI47">
        <v>28000.1</v>
      </c>
      <c r="DJ47">
        <v>37976.5</v>
      </c>
      <c r="DK47">
        <v>37786.6</v>
      </c>
      <c r="DL47">
        <v>44288.7</v>
      </c>
      <c r="DM47">
        <v>42412.3</v>
      </c>
      <c r="DN47">
        <v>1.4759</v>
      </c>
      <c r="DO47">
        <v>2.0508299999999999</v>
      </c>
      <c r="DP47">
        <v>0.14369199999999999</v>
      </c>
      <c r="DQ47">
        <v>0.12604899999999999</v>
      </c>
      <c r="DR47">
        <v>24.765699999999999</v>
      </c>
      <c r="DS47">
        <v>24.490300000000001</v>
      </c>
      <c r="DT47">
        <v>26.7</v>
      </c>
      <c r="DU47">
        <v>27.3</v>
      </c>
      <c r="DV47">
        <v>9.8206900000000008</v>
      </c>
      <c r="DW47">
        <v>61.415500000000002</v>
      </c>
      <c r="DX47">
        <v>36.694699999999997</v>
      </c>
      <c r="DY47">
        <v>1</v>
      </c>
      <c r="DZ47">
        <v>-9.3485799999999994E-2</v>
      </c>
      <c r="EA47">
        <v>2.59524</v>
      </c>
      <c r="EB47">
        <v>20.167300000000001</v>
      </c>
      <c r="EC47">
        <v>5.2409499999999998</v>
      </c>
      <c r="ED47">
        <v>12.039899999999999</v>
      </c>
      <c r="EE47">
        <v>5.0166500000000003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</v>
      </c>
      <c r="EL47">
        <v>1.8646100000000001</v>
      </c>
      <c r="EM47">
        <v>1.86913</v>
      </c>
      <c r="EN47">
        <v>1.8672200000000001</v>
      </c>
      <c r="EO47">
        <v>1.86338</v>
      </c>
      <c r="EP47">
        <v>1.8644700000000001</v>
      </c>
      <c r="EQ47">
        <v>1.87012</v>
      </c>
      <c r="ER47">
        <v>1.8693500000000001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-0.84599999999999997</v>
      </c>
      <c r="FG47">
        <v>0.18720000000000001</v>
      </c>
      <c r="FH47">
        <v>-0.44422204735670362</v>
      </c>
      <c r="FI47">
        <v>-6.1462078757559423E-4</v>
      </c>
      <c r="FJ47">
        <v>-1.8861989874597051E-7</v>
      </c>
      <c r="FK47">
        <v>1.1980462299894961E-10</v>
      </c>
      <c r="FL47">
        <v>-5.4907600448225742E-2</v>
      </c>
      <c r="FM47">
        <v>-1.6848085045870601E-2</v>
      </c>
      <c r="FN47">
        <v>1.9789084769509481E-3</v>
      </c>
      <c r="FO47">
        <v>-2.7142391389806329E-5</v>
      </c>
      <c r="FP47">
        <v>3</v>
      </c>
      <c r="FQ47">
        <v>2158</v>
      </c>
      <c r="FR47">
        <v>1</v>
      </c>
      <c r="FS47">
        <v>19</v>
      </c>
      <c r="FT47">
        <v>15.9</v>
      </c>
      <c r="FU47">
        <v>15.9</v>
      </c>
      <c r="FV47">
        <v>1.78101</v>
      </c>
      <c r="FW47">
        <v>2.5598100000000001</v>
      </c>
      <c r="FX47">
        <v>1.5490699999999999</v>
      </c>
      <c r="FY47">
        <v>2.33643</v>
      </c>
      <c r="FZ47">
        <v>1.50146</v>
      </c>
      <c r="GA47">
        <v>2.2631800000000002</v>
      </c>
      <c r="GB47">
        <v>32.134399999999999</v>
      </c>
      <c r="GC47">
        <v>23.9649</v>
      </c>
      <c r="GD47">
        <v>19</v>
      </c>
      <c r="GE47">
        <v>282.01799999999997</v>
      </c>
      <c r="GF47">
        <v>592.28300000000002</v>
      </c>
      <c r="GG47">
        <v>21.040299999999998</v>
      </c>
      <c r="GH47">
        <v>26.244299999999999</v>
      </c>
      <c r="GI47">
        <v>30.000900000000001</v>
      </c>
      <c r="GJ47">
        <v>26.184999999999999</v>
      </c>
      <c r="GK47">
        <v>26.086500000000001</v>
      </c>
      <c r="GL47">
        <v>35.618600000000001</v>
      </c>
      <c r="GM47">
        <v>-30</v>
      </c>
      <c r="GN47">
        <v>-30</v>
      </c>
      <c r="GO47">
        <v>20.828499999999998</v>
      </c>
      <c r="GP47">
        <v>800</v>
      </c>
      <c r="GQ47">
        <v>12.5298</v>
      </c>
      <c r="GR47">
        <v>99.584900000000005</v>
      </c>
      <c r="GS47">
        <v>99.241500000000002</v>
      </c>
    </row>
    <row r="48" spans="1:201" x14ac:dyDescent="0.25">
      <c r="A48">
        <v>32</v>
      </c>
      <c r="B48">
        <v>1690204085.5</v>
      </c>
      <c r="C48">
        <v>645.90000009536743</v>
      </c>
      <c r="D48" t="s">
        <v>397</v>
      </c>
      <c r="E48" t="s">
        <v>398</v>
      </c>
      <c r="F48" t="s">
        <v>330</v>
      </c>
      <c r="H48">
        <v>1690204085.5</v>
      </c>
      <c r="I48">
        <f t="shared" si="0"/>
        <v>1.1975515500035289E-3</v>
      </c>
      <c r="J48">
        <f t="shared" si="1"/>
        <v>1.197551550003529</v>
      </c>
      <c r="K48">
        <f t="shared" si="2"/>
        <v>20.123489200221613</v>
      </c>
      <c r="L48">
        <f t="shared" si="3"/>
        <v>583.61500000000001</v>
      </c>
      <c r="M48">
        <f t="shared" si="4"/>
        <v>148.45808880216728</v>
      </c>
      <c r="N48">
        <f t="shared" si="5"/>
        <v>14.717832069345706</v>
      </c>
      <c r="O48">
        <f t="shared" si="6"/>
        <v>57.858400525399993</v>
      </c>
      <c r="P48">
        <f t="shared" si="7"/>
        <v>7.6859363246659471E-2</v>
      </c>
      <c r="Q48">
        <f t="shared" si="8"/>
        <v>2.1963047685800863</v>
      </c>
      <c r="R48">
        <f t="shared" si="9"/>
        <v>7.539579439134611E-2</v>
      </c>
      <c r="S48">
        <f t="shared" si="10"/>
        <v>4.7251546056634189E-2</v>
      </c>
      <c r="T48">
        <f t="shared" si="11"/>
        <v>276.11430364912428</v>
      </c>
      <c r="U48">
        <f t="shared" si="12"/>
        <v>26.839730287038009</v>
      </c>
      <c r="V48">
        <f t="shared" si="13"/>
        <v>26.839730287038009</v>
      </c>
      <c r="W48">
        <f t="shared" si="14"/>
        <v>3.5456070269942694</v>
      </c>
      <c r="X48">
        <f t="shared" si="15"/>
        <v>62.924143953897662</v>
      </c>
      <c r="Y48">
        <f t="shared" si="16"/>
        <v>2.0151079163479997</v>
      </c>
      <c r="Z48">
        <f t="shared" si="17"/>
        <v>3.2024399375610089</v>
      </c>
      <c r="AA48">
        <f t="shared" si="18"/>
        <v>1.5304991106462698</v>
      </c>
      <c r="AB48">
        <f t="shared" si="19"/>
        <v>-52.812023355155624</v>
      </c>
      <c r="AC48">
        <f t="shared" si="20"/>
        <v>-203.6639404187884</v>
      </c>
      <c r="AD48">
        <f t="shared" si="21"/>
        <v>-19.8089524804458</v>
      </c>
      <c r="AE48">
        <f t="shared" si="22"/>
        <v>-0.17061260526551791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52805.860090174931</v>
      </c>
      <c r="AK48">
        <f t="shared" si="26"/>
        <v>1799.99</v>
      </c>
      <c r="AL48">
        <f t="shared" si="27"/>
        <v>1499.1028742044298</v>
      </c>
      <c r="AM48">
        <f t="shared" si="28"/>
        <v>0.8328395569999999</v>
      </c>
      <c r="AN48">
        <f t="shared" si="29"/>
        <v>0.15339768757</v>
      </c>
      <c r="AO48">
        <v>31.2</v>
      </c>
      <c r="AP48">
        <v>0.5</v>
      </c>
      <c r="AQ48" t="s">
        <v>331</v>
      </c>
      <c r="AR48">
        <v>2</v>
      </c>
      <c r="AS48">
        <v>1690204085.5</v>
      </c>
      <c r="AT48">
        <v>583.61500000000001</v>
      </c>
      <c r="AU48">
        <v>799.99699999999996</v>
      </c>
      <c r="AV48">
        <v>20.3263</v>
      </c>
      <c r="AW48">
        <v>8.1345500000000008</v>
      </c>
      <c r="AX48">
        <v>584.45899999999995</v>
      </c>
      <c r="AY48">
        <v>20.139600000000002</v>
      </c>
      <c r="AZ48">
        <v>300.23700000000002</v>
      </c>
      <c r="BA48">
        <v>99.037899999999993</v>
      </c>
      <c r="BB48">
        <v>0.10006</v>
      </c>
      <c r="BC48">
        <v>25.119700000000002</v>
      </c>
      <c r="BD48">
        <v>26.982099999999999</v>
      </c>
      <c r="BE48">
        <v>26.544599999999999</v>
      </c>
      <c r="BF48">
        <v>0</v>
      </c>
      <c r="BG48">
        <v>0</v>
      </c>
      <c r="BH48">
        <v>10021.200000000001</v>
      </c>
      <c r="BI48">
        <v>1061.77</v>
      </c>
      <c r="BJ48">
        <v>1.5137799999999999</v>
      </c>
      <c r="BK48">
        <v>-216.381</v>
      </c>
      <c r="BL48">
        <v>595.72400000000005</v>
      </c>
      <c r="BM48">
        <v>806.55799999999999</v>
      </c>
      <c r="BN48">
        <v>12.191800000000001</v>
      </c>
      <c r="BO48">
        <v>799.99699999999996</v>
      </c>
      <c r="BP48">
        <v>8.1345500000000008</v>
      </c>
      <c r="BQ48">
        <v>2.01308</v>
      </c>
      <c r="BR48">
        <v>0.80562900000000004</v>
      </c>
      <c r="BS48">
        <v>17.547599999999999</v>
      </c>
      <c r="BT48">
        <v>3.80687</v>
      </c>
      <c r="BU48">
        <v>1799.99</v>
      </c>
      <c r="BV48">
        <v>0.90998999999999997</v>
      </c>
      <c r="BW48">
        <v>3.3998E-2</v>
      </c>
      <c r="BX48">
        <v>2.2003600000000002E-2</v>
      </c>
      <c r="BY48">
        <v>3.4008299999999998E-2</v>
      </c>
      <c r="BZ48">
        <v>25</v>
      </c>
      <c r="CA48">
        <v>33528.1</v>
      </c>
      <c r="CB48">
        <v>1690203121.0999999</v>
      </c>
      <c r="CC48" t="s">
        <v>332</v>
      </c>
      <c r="CD48">
        <v>1690203121.0999999</v>
      </c>
      <c r="CE48">
        <v>1690203121.0999999</v>
      </c>
      <c r="CF48">
        <v>3</v>
      </c>
      <c r="CG48">
        <v>0.53600000000000003</v>
      </c>
      <c r="CH48">
        <v>-0.01</v>
      </c>
      <c r="CI48">
        <v>-0.996</v>
      </c>
      <c r="CJ48">
        <v>-6.6000000000000003E-2</v>
      </c>
      <c r="CK48">
        <v>800</v>
      </c>
      <c r="CL48">
        <v>9</v>
      </c>
      <c r="CM48">
        <v>0.82</v>
      </c>
      <c r="CN48">
        <v>0.01</v>
      </c>
      <c r="CO48">
        <v>-213.96815000000001</v>
      </c>
      <c r="CP48">
        <v>-14.248097560975459</v>
      </c>
      <c r="CQ48">
        <v>1.370817211556669</v>
      </c>
      <c r="CR48">
        <v>-1</v>
      </c>
      <c r="CS48">
        <v>12.19838</v>
      </c>
      <c r="CT48">
        <v>5.5188742964351251E-2</v>
      </c>
      <c r="CU48">
        <v>6.9360002883505183E-3</v>
      </c>
      <c r="CV48">
        <v>-1</v>
      </c>
      <c r="CW48">
        <v>0</v>
      </c>
      <c r="CX48">
        <v>0</v>
      </c>
      <c r="CY48" t="s">
        <v>333</v>
      </c>
      <c r="CZ48">
        <v>2.3647499999999999</v>
      </c>
      <c r="DA48">
        <v>2.71387</v>
      </c>
      <c r="DB48">
        <v>0.118217</v>
      </c>
      <c r="DC48">
        <v>0.146152</v>
      </c>
      <c r="DD48">
        <v>0.101175</v>
      </c>
      <c r="DE48">
        <v>5.0378600000000003E-2</v>
      </c>
      <c r="DF48">
        <v>32151.3</v>
      </c>
      <c r="DG48">
        <v>27436.5</v>
      </c>
      <c r="DH48">
        <v>31127.599999999999</v>
      </c>
      <c r="DI48">
        <v>27999.4</v>
      </c>
      <c r="DJ48">
        <v>37978.199999999997</v>
      </c>
      <c r="DK48">
        <v>37787.300000000003</v>
      </c>
      <c r="DL48">
        <v>44287.1</v>
      </c>
      <c r="DM48">
        <v>42411.1</v>
      </c>
      <c r="DN48">
        <v>1.4752000000000001</v>
      </c>
      <c r="DO48">
        <v>2.0510000000000002</v>
      </c>
      <c r="DP48">
        <v>0.137296</v>
      </c>
      <c r="DQ48">
        <v>0.12665999999999999</v>
      </c>
      <c r="DR48">
        <v>24.732600000000001</v>
      </c>
      <c r="DS48">
        <v>24.4681</v>
      </c>
      <c r="DT48">
        <v>26.7</v>
      </c>
      <c r="DU48">
        <v>27.3</v>
      </c>
      <c r="DV48">
        <v>9.8214500000000005</v>
      </c>
      <c r="DW48">
        <v>61.255499999999998</v>
      </c>
      <c r="DX48">
        <v>35.7652</v>
      </c>
      <c r="DY48">
        <v>1</v>
      </c>
      <c r="DZ48">
        <v>-9.1204300000000002E-2</v>
      </c>
      <c r="EA48">
        <v>2.6720999999999999</v>
      </c>
      <c r="EB48">
        <v>20.165900000000001</v>
      </c>
      <c r="EC48">
        <v>5.2408000000000001</v>
      </c>
      <c r="ED48">
        <v>12.039899999999999</v>
      </c>
      <c r="EE48">
        <v>5.01675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</v>
      </c>
      <c r="EL48">
        <v>1.8646199999999999</v>
      </c>
      <c r="EM48">
        <v>1.8691500000000001</v>
      </c>
      <c r="EN48">
        <v>1.8672200000000001</v>
      </c>
      <c r="EO48">
        <v>1.8633999999999999</v>
      </c>
      <c r="EP48">
        <v>1.8644700000000001</v>
      </c>
      <c r="EQ48">
        <v>1.8701399999999999</v>
      </c>
      <c r="ER48">
        <v>1.86937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-0.84399999999999997</v>
      </c>
      <c r="FG48">
        <v>0.1867</v>
      </c>
      <c r="FH48">
        <v>-0.44422204735670362</v>
      </c>
      <c r="FI48">
        <v>-6.1462078757559423E-4</v>
      </c>
      <c r="FJ48">
        <v>-1.8861989874597051E-7</v>
      </c>
      <c r="FK48">
        <v>1.1980462299894961E-10</v>
      </c>
      <c r="FL48">
        <v>-5.4907600448225742E-2</v>
      </c>
      <c r="FM48">
        <v>-1.6848085045870601E-2</v>
      </c>
      <c r="FN48">
        <v>1.9789084769509481E-3</v>
      </c>
      <c r="FO48">
        <v>-2.7142391389806329E-5</v>
      </c>
      <c r="FP48">
        <v>3</v>
      </c>
      <c r="FQ48">
        <v>2158</v>
      </c>
      <c r="FR48">
        <v>1</v>
      </c>
      <c r="FS48">
        <v>19</v>
      </c>
      <c r="FT48">
        <v>16.100000000000001</v>
      </c>
      <c r="FU48">
        <v>16.100000000000001</v>
      </c>
      <c r="FV48">
        <v>1.78101</v>
      </c>
      <c r="FW48">
        <v>2.5537100000000001</v>
      </c>
      <c r="FX48">
        <v>1.5490699999999999</v>
      </c>
      <c r="FY48">
        <v>2.33643</v>
      </c>
      <c r="FZ48">
        <v>1.50146</v>
      </c>
      <c r="GA48">
        <v>2.33643</v>
      </c>
      <c r="GB48">
        <v>32.134399999999999</v>
      </c>
      <c r="GC48">
        <v>23.973700000000001</v>
      </c>
      <c r="GD48">
        <v>19</v>
      </c>
      <c r="GE48">
        <v>281.74700000000001</v>
      </c>
      <c r="GF48">
        <v>592.529</v>
      </c>
      <c r="GG48">
        <v>20.730499999999999</v>
      </c>
      <c r="GH48">
        <v>26.246500000000001</v>
      </c>
      <c r="GI48">
        <v>30.000800000000002</v>
      </c>
      <c r="GJ48">
        <v>26.190999999999999</v>
      </c>
      <c r="GK48">
        <v>26.095199999999998</v>
      </c>
      <c r="GL48">
        <v>35.619999999999997</v>
      </c>
      <c r="GM48">
        <v>-30</v>
      </c>
      <c r="GN48">
        <v>-30</v>
      </c>
      <c r="GO48">
        <v>20.7944</v>
      </c>
      <c r="GP48">
        <v>800</v>
      </c>
      <c r="GQ48">
        <v>12.5298</v>
      </c>
      <c r="GR48">
        <v>99.581299999999999</v>
      </c>
      <c r="GS48">
        <v>99.238699999999994</v>
      </c>
    </row>
    <row r="49" spans="1:201" x14ac:dyDescent="0.25">
      <c r="A49">
        <v>33</v>
      </c>
      <c r="B49">
        <v>1690204095.5</v>
      </c>
      <c r="C49">
        <v>655.90000009536743</v>
      </c>
      <c r="D49" t="s">
        <v>399</v>
      </c>
      <c r="E49" t="s">
        <v>400</v>
      </c>
      <c r="F49" t="s">
        <v>330</v>
      </c>
      <c r="H49">
        <v>1690204095.5</v>
      </c>
      <c r="I49">
        <f t="shared" si="0"/>
        <v>1.1981295141789091E-3</v>
      </c>
      <c r="J49">
        <f t="shared" si="1"/>
        <v>1.1981295141789092</v>
      </c>
      <c r="K49">
        <f t="shared" si="2"/>
        <v>20.327629166028569</v>
      </c>
      <c r="L49">
        <f t="shared" si="3"/>
        <v>581.43299999999999</v>
      </c>
      <c r="M49">
        <f t="shared" si="4"/>
        <v>144.11622267873327</v>
      </c>
      <c r="N49">
        <f t="shared" si="5"/>
        <v>14.287510673948407</v>
      </c>
      <c r="O49">
        <f t="shared" si="6"/>
        <v>57.642575133297001</v>
      </c>
      <c r="P49">
        <f t="shared" si="7"/>
        <v>7.7234886961773955E-2</v>
      </c>
      <c r="Q49">
        <f t="shared" si="8"/>
        <v>2.1904048825731741</v>
      </c>
      <c r="R49">
        <f t="shared" si="9"/>
        <v>7.5753231719918046E-2</v>
      </c>
      <c r="S49">
        <f t="shared" si="10"/>
        <v>4.7476523224299766E-2</v>
      </c>
      <c r="T49">
        <f t="shared" si="11"/>
        <v>276.11404799654463</v>
      </c>
      <c r="U49">
        <f t="shared" si="12"/>
        <v>26.81090630198754</v>
      </c>
      <c r="V49">
        <f t="shared" si="13"/>
        <v>26.81090630198754</v>
      </c>
      <c r="W49">
        <f t="shared" si="14"/>
        <v>3.5396019126112099</v>
      </c>
      <c r="X49">
        <f t="shared" si="15"/>
        <v>63.060850133006596</v>
      </c>
      <c r="Y49">
        <f t="shared" si="16"/>
        <v>2.0155316424936003</v>
      </c>
      <c r="Z49">
        <f t="shared" si="17"/>
        <v>3.1961694747890079</v>
      </c>
      <c r="AA49">
        <f t="shared" si="18"/>
        <v>1.5240702701176096</v>
      </c>
      <c r="AB49">
        <f t="shared" si="19"/>
        <v>-52.837511575289895</v>
      </c>
      <c r="AC49">
        <f t="shared" si="20"/>
        <v>-203.59817534937761</v>
      </c>
      <c r="AD49">
        <f t="shared" si="21"/>
        <v>-19.849747048230665</v>
      </c>
      <c r="AE49">
        <f t="shared" si="22"/>
        <v>-0.17138597635354813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52569.046546319922</v>
      </c>
      <c r="AK49">
        <f t="shared" si="26"/>
        <v>1799.99</v>
      </c>
      <c r="AL49">
        <f t="shared" si="27"/>
        <v>1499.10375079956</v>
      </c>
      <c r="AM49">
        <f t="shared" si="28"/>
        <v>0.832840044</v>
      </c>
      <c r="AN49">
        <f t="shared" si="29"/>
        <v>0.15339754554000001</v>
      </c>
      <c r="AO49">
        <v>31.2</v>
      </c>
      <c r="AP49">
        <v>0.5</v>
      </c>
      <c r="AQ49" t="s">
        <v>331</v>
      </c>
      <c r="AR49">
        <v>2</v>
      </c>
      <c r="AS49">
        <v>1690204095.5</v>
      </c>
      <c r="AT49">
        <v>581.43299999999999</v>
      </c>
      <c r="AU49">
        <v>800.01099999999997</v>
      </c>
      <c r="AV49">
        <v>20.330400000000001</v>
      </c>
      <c r="AW49">
        <v>8.1273300000000006</v>
      </c>
      <c r="AX49">
        <v>582.27599999999995</v>
      </c>
      <c r="AY49">
        <v>20.143599999999999</v>
      </c>
      <c r="AZ49">
        <v>300.10199999999998</v>
      </c>
      <c r="BA49">
        <v>99.038700000000006</v>
      </c>
      <c r="BB49">
        <v>0.100109</v>
      </c>
      <c r="BC49">
        <v>25.0868</v>
      </c>
      <c r="BD49">
        <v>26.979700000000001</v>
      </c>
      <c r="BE49">
        <v>26.5242</v>
      </c>
      <c r="BF49">
        <v>0</v>
      </c>
      <c r="BG49">
        <v>0</v>
      </c>
      <c r="BH49">
        <v>9973.1200000000008</v>
      </c>
      <c r="BI49">
        <v>1061.3</v>
      </c>
      <c r="BJ49">
        <v>1.5137799999999999</v>
      </c>
      <c r="BK49">
        <v>-218.577</v>
      </c>
      <c r="BL49">
        <v>593.5</v>
      </c>
      <c r="BM49">
        <v>806.56600000000003</v>
      </c>
      <c r="BN49">
        <v>12.203099999999999</v>
      </c>
      <c r="BO49">
        <v>800.01099999999997</v>
      </c>
      <c r="BP49">
        <v>8.1273300000000006</v>
      </c>
      <c r="BQ49">
        <v>2.0135000000000001</v>
      </c>
      <c r="BR49">
        <v>0.80491999999999997</v>
      </c>
      <c r="BS49">
        <v>17.550899999999999</v>
      </c>
      <c r="BT49">
        <v>3.7943699999999998</v>
      </c>
      <c r="BU49">
        <v>1799.99</v>
      </c>
      <c r="BV49">
        <v>0.90999600000000003</v>
      </c>
      <c r="BW49">
        <v>3.3995699999999997E-2</v>
      </c>
      <c r="BX49">
        <v>2.20022E-2</v>
      </c>
      <c r="BY49">
        <v>3.4006000000000002E-2</v>
      </c>
      <c r="BZ49">
        <v>25</v>
      </c>
      <c r="CA49">
        <v>33528.1</v>
      </c>
      <c r="CB49">
        <v>1690203121.0999999</v>
      </c>
      <c r="CC49" t="s">
        <v>332</v>
      </c>
      <c r="CD49">
        <v>1690203121.0999999</v>
      </c>
      <c r="CE49">
        <v>1690203121.0999999</v>
      </c>
      <c r="CF49">
        <v>3</v>
      </c>
      <c r="CG49">
        <v>0.53600000000000003</v>
      </c>
      <c r="CH49">
        <v>-0.01</v>
      </c>
      <c r="CI49">
        <v>-0.996</v>
      </c>
      <c r="CJ49">
        <v>-6.6000000000000003E-2</v>
      </c>
      <c r="CK49">
        <v>800</v>
      </c>
      <c r="CL49">
        <v>9</v>
      </c>
      <c r="CM49">
        <v>0.82</v>
      </c>
      <c r="CN49">
        <v>0.01</v>
      </c>
      <c r="CO49">
        <v>-216.08</v>
      </c>
      <c r="CP49">
        <v>-13.28926829268312</v>
      </c>
      <c r="CQ49">
        <v>1.3110105765047499</v>
      </c>
      <c r="CR49">
        <v>-1</v>
      </c>
      <c r="CS49">
        <v>12.196512195121951</v>
      </c>
      <c r="CT49">
        <v>-6.3846689895491388E-2</v>
      </c>
      <c r="CU49">
        <v>7.8804851627898662E-3</v>
      </c>
      <c r="CV49">
        <v>-1</v>
      </c>
      <c r="CW49">
        <v>0</v>
      </c>
      <c r="CX49">
        <v>0</v>
      </c>
      <c r="CY49" t="s">
        <v>333</v>
      </c>
      <c r="CZ49">
        <v>2.3643100000000001</v>
      </c>
      <c r="DA49">
        <v>2.7138800000000001</v>
      </c>
      <c r="DB49">
        <v>0.11790299999999999</v>
      </c>
      <c r="DC49">
        <v>0.146152</v>
      </c>
      <c r="DD49">
        <v>0.101189</v>
      </c>
      <c r="DE49">
        <v>5.0342699999999997E-2</v>
      </c>
      <c r="DF49">
        <v>32162.799999999999</v>
      </c>
      <c r="DG49">
        <v>27437</v>
      </c>
      <c r="DH49">
        <v>31127.5</v>
      </c>
      <c r="DI49">
        <v>27999.8</v>
      </c>
      <c r="DJ49">
        <v>37977.599999999999</v>
      </c>
      <c r="DK49">
        <v>37789.599999999999</v>
      </c>
      <c r="DL49">
        <v>44287.1</v>
      </c>
      <c r="DM49">
        <v>42412.2</v>
      </c>
      <c r="DN49">
        <v>1.4757499999999999</v>
      </c>
      <c r="DO49">
        <v>2.0508000000000002</v>
      </c>
      <c r="DP49">
        <v>0.13894200000000001</v>
      </c>
      <c r="DQ49">
        <v>0.12676000000000001</v>
      </c>
      <c r="DR49">
        <v>24.703099999999999</v>
      </c>
      <c r="DS49">
        <v>24.446000000000002</v>
      </c>
      <c r="DT49">
        <v>26.6</v>
      </c>
      <c r="DU49">
        <v>27.3</v>
      </c>
      <c r="DV49">
        <v>9.7845700000000004</v>
      </c>
      <c r="DW49">
        <v>61.455500000000001</v>
      </c>
      <c r="DX49">
        <v>36.883000000000003</v>
      </c>
      <c r="DY49">
        <v>1</v>
      </c>
      <c r="DZ49">
        <v>-9.2456800000000006E-2</v>
      </c>
      <c r="EA49">
        <v>2.0646300000000002</v>
      </c>
      <c r="EB49">
        <v>20.176200000000001</v>
      </c>
      <c r="EC49">
        <v>5.2406499999999996</v>
      </c>
      <c r="ED49">
        <v>12.039899999999999</v>
      </c>
      <c r="EE49">
        <v>5.0168499999999998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</v>
      </c>
      <c r="EL49">
        <v>1.8646199999999999</v>
      </c>
      <c r="EM49">
        <v>1.86914</v>
      </c>
      <c r="EN49">
        <v>1.8672200000000001</v>
      </c>
      <c r="EO49">
        <v>1.8633999999999999</v>
      </c>
      <c r="EP49">
        <v>1.8644700000000001</v>
      </c>
      <c r="EQ49">
        <v>1.87015</v>
      </c>
      <c r="ER49">
        <v>1.8693900000000001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-0.84299999999999997</v>
      </c>
      <c r="FG49">
        <v>0.18679999999999999</v>
      </c>
      <c r="FH49">
        <v>-0.44422204735670362</v>
      </c>
      <c r="FI49">
        <v>-6.1462078757559423E-4</v>
      </c>
      <c r="FJ49">
        <v>-1.8861989874597051E-7</v>
      </c>
      <c r="FK49">
        <v>1.1980462299894961E-10</v>
      </c>
      <c r="FL49">
        <v>-5.4907600448225742E-2</v>
      </c>
      <c r="FM49">
        <v>-1.6848085045870601E-2</v>
      </c>
      <c r="FN49">
        <v>1.9789084769509481E-3</v>
      </c>
      <c r="FO49">
        <v>-2.7142391389806329E-5</v>
      </c>
      <c r="FP49">
        <v>3</v>
      </c>
      <c r="FQ49">
        <v>2158</v>
      </c>
      <c r="FR49">
        <v>1</v>
      </c>
      <c r="FS49">
        <v>19</v>
      </c>
      <c r="FT49">
        <v>16.2</v>
      </c>
      <c r="FU49">
        <v>16.2</v>
      </c>
      <c r="FV49">
        <v>1.78101</v>
      </c>
      <c r="FW49">
        <v>2.5488300000000002</v>
      </c>
      <c r="FX49">
        <v>1.5490699999999999</v>
      </c>
      <c r="FY49">
        <v>2.33643</v>
      </c>
      <c r="FZ49">
        <v>1.50146</v>
      </c>
      <c r="GA49">
        <v>2.3779300000000001</v>
      </c>
      <c r="GB49">
        <v>32.134399999999999</v>
      </c>
      <c r="GC49">
        <v>23.982399999999998</v>
      </c>
      <c r="GD49">
        <v>19</v>
      </c>
      <c r="GE49">
        <v>282.00799999999998</v>
      </c>
      <c r="GF49">
        <v>592.45399999999995</v>
      </c>
      <c r="GG49">
        <v>20.7821</v>
      </c>
      <c r="GH49">
        <v>26.248699999999999</v>
      </c>
      <c r="GI49">
        <v>29.999700000000001</v>
      </c>
      <c r="GJ49">
        <v>26.197099999999999</v>
      </c>
      <c r="GK49">
        <v>26.103200000000001</v>
      </c>
      <c r="GL49">
        <v>35.618299999999998</v>
      </c>
      <c r="GM49">
        <v>-30</v>
      </c>
      <c r="GN49">
        <v>-30</v>
      </c>
      <c r="GO49">
        <v>20.851400000000002</v>
      </c>
      <c r="GP49">
        <v>800</v>
      </c>
      <c r="GQ49">
        <v>12.5298</v>
      </c>
      <c r="GR49">
        <v>99.581299999999999</v>
      </c>
      <c r="GS49">
        <v>99.240799999999993</v>
      </c>
    </row>
    <row r="50" spans="1:201" x14ac:dyDescent="0.25">
      <c r="A50">
        <v>34</v>
      </c>
      <c r="B50">
        <v>1690204105.5</v>
      </c>
      <c r="C50">
        <v>665.90000009536743</v>
      </c>
      <c r="D50" t="s">
        <v>401</v>
      </c>
      <c r="E50" t="s">
        <v>402</v>
      </c>
      <c r="F50" t="s">
        <v>330</v>
      </c>
      <c r="H50">
        <v>1690204105.5</v>
      </c>
      <c r="I50">
        <f t="shared" si="0"/>
        <v>1.2057692679441393E-3</v>
      </c>
      <c r="J50">
        <f t="shared" si="1"/>
        <v>1.2057692679441392</v>
      </c>
      <c r="K50">
        <f t="shared" si="2"/>
        <v>20.539309641926298</v>
      </c>
      <c r="L50">
        <f t="shared" si="3"/>
        <v>579.29499999999996</v>
      </c>
      <c r="M50">
        <f t="shared" si="4"/>
        <v>143.92357258399943</v>
      </c>
      <c r="N50">
        <f t="shared" si="5"/>
        <v>14.268382212593949</v>
      </c>
      <c r="O50">
        <f t="shared" si="6"/>
        <v>57.430498183474995</v>
      </c>
      <c r="P50">
        <f t="shared" si="7"/>
        <v>7.839347659760694E-2</v>
      </c>
      <c r="Q50">
        <f t="shared" si="8"/>
        <v>2.1936344881321554</v>
      </c>
      <c r="R50">
        <f t="shared" si="9"/>
        <v>7.6869708588344007E-2</v>
      </c>
      <c r="S50">
        <f t="shared" si="10"/>
        <v>4.8178005458080569E-2</v>
      </c>
      <c r="T50">
        <f t="shared" si="11"/>
        <v>276.11365358273582</v>
      </c>
      <c r="U50">
        <f t="shared" si="12"/>
        <v>26.78202678791267</v>
      </c>
      <c r="V50">
        <f t="shared" si="13"/>
        <v>26.78202678791267</v>
      </c>
      <c r="W50">
        <f t="shared" si="14"/>
        <v>3.5335941362159891</v>
      </c>
      <c r="X50">
        <f t="shared" si="15"/>
        <v>63.356597743976593</v>
      </c>
      <c r="Y50">
        <f t="shared" si="16"/>
        <v>2.0220904707430001</v>
      </c>
      <c r="Z50">
        <f t="shared" si="17"/>
        <v>3.1916020473735798</v>
      </c>
      <c r="AA50">
        <f t="shared" si="18"/>
        <v>1.511503665472989</v>
      </c>
      <c r="AB50">
        <f t="shared" si="19"/>
        <v>-53.174424716336546</v>
      </c>
      <c r="AC50">
        <f t="shared" si="20"/>
        <v>-203.32130018844873</v>
      </c>
      <c r="AD50">
        <f t="shared" si="21"/>
        <v>-19.788316678544341</v>
      </c>
      <c r="AE50">
        <f t="shared" si="22"/>
        <v>-0.170388000593789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52706.036541163739</v>
      </c>
      <c r="AK50">
        <f t="shared" si="26"/>
        <v>1799.99</v>
      </c>
      <c r="AL50">
        <f t="shared" si="27"/>
        <v>1499.1040531978801</v>
      </c>
      <c r="AM50">
        <f t="shared" si="28"/>
        <v>0.83284021200000002</v>
      </c>
      <c r="AN50">
        <f t="shared" si="29"/>
        <v>0.15339732642000001</v>
      </c>
      <c r="AO50">
        <v>31.2</v>
      </c>
      <c r="AP50">
        <v>0.5</v>
      </c>
      <c r="AQ50" t="s">
        <v>331</v>
      </c>
      <c r="AR50">
        <v>2</v>
      </c>
      <c r="AS50">
        <v>1690204105.5</v>
      </c>
      <c r="AT50">
        <v>579.29499999999996</v>
      </c>
      <c r="AU50">
        <v>800.03499999999997</v>
      </c>
      <c r="AV50">
        <v>20.396599999999999</v>
      </c>
      <c r="AW50">
        <v>8.1197800000000004</v>
      </c>
      <c r="AX50">
        <v>580.13599999999997</v>
      </c>
      <c r="AY50">
        <v>20.207799999999999</v>
      </c>
      <c r="AZ50">
        <v>300.18099999999998</v>
      </c>
      <c r="BA50">
        <v>99.038600000000002</v>
      </c>
      <c r="BB50">
        <v>0.100005</v>
      </c>
      <c r="BC50">
        <v>25.062799999999999</v>
      </c>
      <c r="BD50">
        <v>26.926300000000001</v>
      </c>
      <c r="BE50">
        <v>26.4712</v>
      </c>
      <c r="BF50">
        <v>0</v>
      </c>
      <c r="BG50">
        <v>0</v>
      </c>
      <c r="BH50">
        <v>9999.3799999999992</v>
      </c>
      <c r="BI50">
        <v>1060.79</v>
      </c>
      <c r="BJ50">
        <v>1.5137799999999999</v>
      </c>
      <c r="BK50">
        <v>-220.74</v>
      </c>
      <c r="BL50">
        <v>591.35599999999999</v>
      </c>
      <c r="BM50">
        <v>806.58399999999995</v>
      </c>
      <c r="BN50">
        <v>12.2768</v>
      </c>
      <c r="BO50">
        <v>800.03499999999997</v>
      </c>
      <c r="BP50">
        <v>8.1197800000000004</v>
      </c>
      <c r="BQ50">
        <v>2.0200499999999999</v>
      </c>
      <c r="BR50">
        <v>0.804172</v>
      </c>
      <c r="BS50">
        <v>17.6023</v>
      </c>
      <c r="BT50">
        <v>3.7811499999999998</v>
      </c>
      <c r="BU50">
        <v>1799.99</v>
      </c>
      <c r="BV50">
        <v>0.91000199999999998</v>
      </c>
      <c r="BW50">
        <v>3.3993299999999997E-2</v>
      </c>
      <c r="BX50">
        <v>2.2000599999999999E-2</v>
      </c>
      <c r="BY50">
        <v>3.4003600000000002E-2</v>
      </c>
      <c r="BZ50">
        <v>25</v>
      </c>
      <c r="CA50">
        <v>33528.300000000003</v>
      </c>
      <c r="CB50">
        <v>1690203121.0999999</v>
      </c>
      <c r="CC50" t="s">
        <v>332</v>
      </c>
      <c r="CD50">
        <v>1690203121.0999999</v>
      </c>
      <c r="CE50">
        <v>1690203121.0999999</v>
      </c>
      <c r="CF50">
        <v>3</v>
      </c>
      <c r="CG50">
        <v>0.53600000000000003</v>
      </c>
      <c r="CH50">
        <v>-0.01</v>
      </c>
      <c r="CI50">
        <v>-0.996</v>
      </c>
      <c r="CJ50">
        <v>-6.6000000000000003E-2</v>
      </c>
      <c r="CK50">
        <v>800</v>
      </c>
      <c r="CL50">
        <v>9</v>
      </c>
      <c r="CM50">
        <v>0.82</v>
      </c>
      <c r="CN50">
        <v>0.01</v>
      </c>
      <c r="CO50">
        <v>-218.42162500000001</v>
      </c>
      <c r="CP50">
        <v>-13.06015384615352</v>
      </c>
      <c r="CQ50">
        <v>1.256823907464764</v>
      </c>
      <c r="CR50">
        <v>-1</v>
      </c>
      <c r="CS50">
        <v>12.2108975</v>
      </c>
      <c r="CT50">
        <v>0.25449793621011951</v>
      </c>
      <c r="CU50">
        <v>2.6488766368972339E-2</v>
      </c>
      <c r="CV50">
        <v>-1</v>
      </c>
      <c r="CW50">
        <v>0</v>
      </c>
      <c r="CX50">
        <v>0</v>
      </c>
      <c r="CY50" t="s">
        <v>333</v>
      </c>
      <c r="CZ50">
        <v>2.3645499999999999</v>
      </c>
      <c r="DA50">
        <v>2.7138</v>
      </c>
      <c r="DB50">
        <v>0.11759500000000001</v>
      </c>
      <c r="DC50">
        <v>0.146152</v>
      </c>
      <c r="DD50">
        <v>0.10141699999999999</v>
      </c>
      <c r="DE50">
        <v>5.0304799999999997E-2</v>
      </c>
      <c r="DF50">
        <v>32174.2</v>
      </c>
      <c r="DG50">
        <v>27437.1</v>
      </c>
      <c r="DH50">
        <v>31127.8</v>
      </c>
      <c r="DI50">
        <v>28000</v>
      </c>
      <c r="DJ50">
        <v>37968.1</v>
      </c>
      <c r="DK50">
        <v>37791.199999999997</v>
      </c>
      <c r="DL50">
        <v>44287.5</v>
      </c>
      <c r="DM50">
        <v>42412.2</v>
      </c>
      <c r="DN50">
        <v>1.47563</v>
      </c>
      <c r="DO50">
        <v>2.0509499999999998</v>
      </c>
      <c r="DP50">
        <v>0.13744799999999999</v>
      </c>
      <c r="DQ50">
        <v>0.125024</v>
      </c>
      <c r="DR50">
        <v>24.673999999999999</v>
      </c>
      <c r="DS50">
        <v>24.421299999999999</v>
      </c>
      <c r="DT50">
        <v>26.6</v>
      </c>
      <c r="DU50">
        <v>27.3</v>
      </c>
      <c r="DV50">
        <v>9.7841500000000003</v>
      </c>
      <c r="DW50">
        <v>61.955500000000001</v>
      </c>
      <c r="DX50">
        <v>36.406199999999998</v>
      </c>
      <c r="DY50">
        <v>1</v>
      </c>
      <c r="DZ50">
        <v>-9.2716000000000007E-2</v>
      </c>
      <c r="EA50">
        <v>1.90367</v>
      </c>
      <c r="EB50">
        <v>20.1783</v>
      </c>
      <c r="EC50">
        <v>5.2409499999999998</v>
      </c>
      <c r="ED50">
        <v>12.039899999999999</v>
      </c>
      <c r="EE50">
        <v>5.0167999999999999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</v>
      </c>
      <c r="EL50">
        <v>1.8646199999999999</v>
      </c>
      <c r="EM50">
        <v>1.86911</v>
      </c>
      <c r="EN50">
        <v>1.8672200000000001</v>
      </c>
      <c r="EO50">
        <v>1.8633999999999999</v>
      </c>
      <c r="EP50">
        <v>1.8644700000000001</v>
      </c>
      <c r="EQ50">
        <v>1.8701300000000001</v>
      </c>
      <c r="ER50">
        <v>1.8693599999999999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-0.84099999999999997</v>
      </c>
      <c r="FG50">
        <v>0.1888</v>
      </c>
      <c r="FH50">
        <v>-0.44422204735670362</v>
      </c>
      <c r="FI50">
        <v>-6.1462078757559423E-4</v>
      </c>
      <c r="FJ50">
        <v>-1.8861989874597051E-7</v>
      </c>
      <c r="FK50">
        <v>1.1980462299894961E-10</v>
      </c>
      <c r="FL50">
        <v>-5.4907600448225742E-2</v>
      </c>
      <c r="FM50">
        <v>-1.6848085045870601E-2</v>
      </c>
      <c r="FN50">
        <v>1.9789084769509481E-3</v>
      </c>
      <c r="FO50">
        <v>-2.7142391389806329E-5</v>
      </c>
      <c r="FP50">
        <v>3</v>
      </c>
      <c r="FQ50">
        <v>2158</v>
      </c>
      <c r="FR50">
        <v>1</v>
      </c>
      <c r="FS50">
        <v>19</v>
      </c>
      <c r="FT50">
        <v>16.399999999999999</v>
      </c>
      <c r="FU50">
        <v>16.399999999999999</v>
      </c>
      <c r="FV50">
        <v>1.78101</v>
      </c>
      <c r="FW50">
        <v>2.5610400000000002</v>
      </c>
      <c r="FX50">
        <v>1.5490699999999999</v>
      </c>
      <c r="FY50">
        <v>2.33643</v>
      </c>
      <c r="FZ50">
        <v>1.50146</v>
      </c>
      <c r="GA50">
        <v>2.2668499999999998</v>
      </c>
      <c r="GB50">
        <v>32.156399999999998</v>
      </c>
      <c r="GC50">
        <v>23.973700000000001</v>
      </c>
      <c r="GD50">
        <v>19</v>
      </c>
      <c r="GE50">
        <v>281.98399999999998</v>
      </c>
      <c r="GF50">
        <v>592.66399999999999</v>
      </c>
      <c r="GG50">
        <v>20.875</v>
      </c>
      <c r="GH50">
        <v>26.248699999999999</v>
      </c>
      <c r="GI50">
        <v>29.9999</v>
      </c>
      <c r="GJ50">
        <v>26.203700000000001</v>
      </c>
      <c r="GK50">
        <v>26.110499999999998</v>
      </c>
      <c r="GL50">
        <v>35.616399999999999</v>
      </c>
      <c r="GM50">
        <v>-30</v>
      </c>
      <c r="GN50">
        <v>-30</v>
      </c>
      <c r="GO50">
        <v>20.9192</v>
      </c>
      <c r="GP50">
        <v>800</v>
      </c>
      <c r="GQ50">
        <v>12.5298</v>
      </c>
      <c r="GR50">
        <v>99.582099999999997</v>
      </c>
      <c r="GS50">
        <v>99.241200000000006</v>
      </c>
    </row>
    <row r="51" spans="1:201" x14ac:dyDescent="0.25">
      <c r="A51">
        <v>35</v>
      </c>
      <c r="B51">
        <v>1690204115.5</v>
      </c>
      <c r="C51">
        <v>675.90000009536743</v>
      </c>
      <c r="D51" t="s">
        <v>403</v>
      </c>
      <c r="E51" t="s">
        <v>404</v>
      </c>
      <c r="F51" t="s">
        <v>330</v>
      </c>
      <c r="H51">
        <v>1690204115.5</v>
      </c>
      <c r="I51">
        <f t="shared" si="0"/>
        <v>1.2131533995042778E-3</v>
      </c>
      <c r="J51">
        <f t="shared" si="1"/>
        <v>1.2131533995042778</v>
      </c>
      <c r="K51">
        <f t="shared" si="2"/>
        <v>20.72510210117315</v>
      </c>
      <c r="L51">
        <f t="shared" si="3"/>
        <v>577.21799999999996</v>
      </c>
      <c r="M51">
        <f t="shared" si="4"/>
        <v>144.47932280265263</v>
      </c>
      <c r="N51">
        <f t="shared" si="5"/>
        <v>14.324188080849819</v>
      </c>
      <c r="O51">
        <f t="shared" si="6"/>
        <v>57.22742213393159</v>
      </c>
      <c r="P51">
        <f t="shared" si="7"/>
        <v>7.9594035441754654E-2</v>
      </c>
      <c r="Q51">
        <f t="shared" si="8"/>
        <v>2.1966943908497867</v>
      </c>
      <c r="R51">
        <f t="shared" si="9"/>
        <v>7.802588317520226E-2</v>
      </c>
      <c r="S51">
        <f t="shared" si="10"/>
        <v>4.8904495938567473E-2</v>
      </c>
      <c r="T51">
        <f t="shared" si="11"/>
        <v>276.11515980000001</v>
      </c>
      <c r="U51">
        <f t="shared" si="12"/>
        <v>26.751485294883476</v>
      </c>
      <c r="V51">
        <f t="shared" si="13"/>
        <v>26.751485294883476</v>
      </c>
      <c r="W51">
        <f t="shared" si="14"/>
        <v>3.5272503073393899</v>
      </c>
      <c r="X51">
        <f t="shared" si="15"/>
        <v>63.669794023431137</v>
      </c>
      <c r="Y51">
        <f t="shared" si="16"/>
        <v>2.02895223032976</v>
      </c>
      <c r="Z51">
        <f t="shared" si="17"/>
        <v>3.1866794316675264</v>
      </c>
      <c r="AA51">
        <f t="shared" si="18"/>
        <v>1.4982980770096299</v>
      </c>
      <c r="AB51">
        <f t="shared" si="19"/>
        <v>-53.500064918138648</v>
      </c>
      <c r="AC51">
        <f t="shared" si="20"/>
        <v>-203.0552296436278</v>
      </c>
      <c r="AD51">
        <f t="shared" si="21"/>
        <v>-19.729303317132178</v>
      </c>
      <c r="AE51">
        <f t="shared" si="22"/>
        <v>-0.16943807889862228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52836.707948933246</v>
      </c>
      <c r="AK51">
        <f t="shared" si="26"/>
        <v>1800</v>
      </c>
      <c r="AL51">
        <f t="shared" si="27"/>
        <v>1499.113926</v>
      </c>
      <c r="AM51">
        <f t="shared" si="28"/>
        <v>0.83284106999999996</v>
      </c>
      <c r="AN51">
        <f t="shared" si="29"/>
        <v>0.15339731100000001</v>
      </c>
      <c r="AO51">
        <v>31.2</v>
      </c>
      <c r="AP51">
        <v>0.5</v>
      </c>
      <c r="AQ51" t="s">
        <v>331</v>
      </c>
      <c r="AR51">
        <v>2</v>
      </c>
      <c r="AS51">
        <v>1690204115.5</v>
      </c>
      <c r="AT51">
        <v>577.21799999999996</v>
      </c>
      <c r="AU51">
        <v>799.96299999999997</v>
      </c>
      <c r="AV51">
        <v>20.4648</v>
      </c>
      <c r="AW51">
        <v>8.1105699999999992</v>
      </c>
      <c r="AX51">
        <v>578.05700000000002</v>
      </c>
      <c r="AY51">
        <v>20.274000000000001</v>
      </c>
      <c r="AZ51">
        <v>300.10599999999999</v>
      </c>
      <c r="BA51">
        <v>99.043599999999998</v>
      </c>
      <c r="BB51">
        <v>9.9916199999999997E-2</v>
      </c>
      <c r="BC51">
        <v>25.036899999999999</v>
      </c>
      <c r="BD51">
        <v>26.809000000000001</v>
      </c>
      <c r="BE51">
        <v>26.436199999999999</v>
      </c>
      <c r="BF51">
        <v>0</v>
      </c>
      <c r="BG51">
        <v>0</v>
      </c>
      <c r="BH51">
        <v>10023.799999999999</v>
      </c>
      <c r="BI51">
        <v>1060.32</v>
      </c>
      <c r="BJ51">
        <v>1.5137799999999999</v>
      </c>
      <c r="BK51">
        <v>-222.745</v>
      </c>
      <c r="BL51">
        <v>589.27700000000004</v>
      </c>
      <c r="BM51">
        <v>806.50400000000002</v>
      </c>
      <c r="BN51">
        <v>12.354200000000001</v>
      </c>
      <c r="BO51">
        <v>799.96299999999997</v>
      </c>
      <c r="BP51">
        <v>8.1105699999999992</v>
      </c>
      <c r="BQ51">
        <v>2.02691</v>
      </c>
      <c r="BR51">
        <v>0.80330000000000001</v>
      </c>
      <c r="BS51">
        <v>17.656099999999999</v>
      </c>
      <c r="BT51">
        <v>3.7657600000000002</v>
      </c>
      <c r="BU51">
        <v>1800</v>
      </c>
      <c r="BV51">
        <v>0.91000700000000001</v>
      </c>
      <c r="BW51">
        <v>3.3993299999999997E-2</v>
      </c>
      <c r="BX51">
        <v>2.1999000000000001E-2</v>
      </c>
      <c r="BY51">
        <v>3.4001000000000003E-2</v>
      </c>
      <c r="BZ51">
        <v>25</v>
      </c>
      <c r="CA51">
        <v>33528.400000000001</v>
      </c>
      <c r="CB51">
        <v>1690203121.0999999</v>
      </c>
      <c r="CC51" t="s">
        <v>332</v>
      </c>
      <c r="CD51">
        <v>1690203121.0999999</v>
      </c>
      <c r="CE51">
        <v>1690203121.0999999</v>
      </c>
      <c r="CF51">
        <v>3</v>
      </c>
      <c r="CG51">
        <v>0.53600000000000003</v>
      </c>
      <c r="CH51">
        <v>-0.01</v>
      </c>
      <c r="CI51">
        <v>-0.996</v>
      </c>
      <c r="CJ51">
        <v>-6.6000000000000003E-2</v>
      </c>
      <c r="CK51">
        <v>800</v>
      </c>
      <c r="CL51">
        <v>9</v>
      </c>
      <c r="CM51">
        <v>0.82</v>
      </c>
      <c r="CN51">
        <v>0.01</v>
      </c>
      <c r="CO51">
        <v>-220.58221951219511</v>
      </c>
      <c r="CP51">
        <v>-12.3217630662019</v>
      </c>
      <c r="CQ51">
        <v>1.2155461988630869</v>
      </c>
      <c r="CR51">
        <v>-1</v>
      </c>
      <c r="CS51">
        <v>12.27241219512195</v>
      </c>
      <c r="CT51">
        <v>0.45434216027875463</v>
      </c>
      <c r="CU51">
        <v>4.4812091111837003E-2</v>
      </c>
      <c r="CV51">
        <v>-1</v>
      </c>
      <c r="CW51">
        <v>0</v>
      </c>
      <c r="CX51">
        <v>0</v>
      </c>
      <c r="CY51" t="s">
        <v>333</v>
      </c>
      <c r="CZ51">
        <v>2.3643200000000002</v>
      </c>
      <c r="DA51">
        <v>2.71373</v>
      </c>
      <c r="DB51">
        <v>0.117301</v>
      </c>
      <c r="DC51">
        <v>0.146148</v>
      </c>
      <c r="DD51">
        <v>0.101658</v>
      </c>
      <c r="DE51">
        <v>5.0261399999999998E-2</v>
      </c>
      <c r="DF51">
        <v>32185</v>
      </c>
      <c r="DG51">
        <v>27437</v>
      </c>
      <c r="DH51">
        <v>31127.8</v>
      </c>
      <c r="DI51">
        <v>27999.8</v>
      </c>
      <c r="DJ51">
        <v>37957.699999999997</v>
      </c>
      <c r="DK51">
        <v>37792.9</v>
      </c>
      <c r="DL51">
        <v>44287.3</v>
      </c>
      <c r="DM51">
        <v>42412.2</v>
      </c>
      <c r="DN51">
        <v>1.4755</v>
      </c>
      <c r="DO51">
        <v>2.0510000000000002</v>
      </c>
      <c r="DP51">
        <v>0.13223699999999999</v>
      </c>
      <c r="DQ51">
        <v>0.12445100000000001</v>
      </c>
      <c r="DR51">
        <v>24.6419</v>
      </c>
      <c r="DS51">
        <v>24.395700000000001</v>
      </c>
      <c r="DT51">
        <v>26.6</v>
      </c>
      <c r="DU51">
        <v>27.3</v>
      </c>
      <c r="DV51">
        <v>9.7827400000000004</v>
      </c>
      <c r="DW51">
        <v>61.735500000000002</v>
      </c>
      <c r="DX51">
        <v>35.993600000000001</v>
      </c>
      <c r="DY51">
        <v>1</v>
      </c>
      <c r="DZ51">
        <v>-9.3239299999999997E-2</v>
      </c>
      <c r="EA51">
        <v>1.51915</v>
      </c>
      <c r="EB51">
        <v>20.182200000000002</v>
      </c>
      <c r="EC51">
        <v>5.2406499999999996</v>
      </c>
      <c r="ED51">
        <v>12.039899999999999</v>
      </c>
      <c r="EE51">
        <v>5.0168499999999998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</v>
      </c>
      <c r="EL51">
        <v>1.8646199999999999</v>
      </c>
      <c r="EM51">
        <v>1.86914</v>
      </c>
      <c r="EN51">
        <v>1.8672200000000001</v>
      </c>
      <c r="EO51">
        <v>1.8633999999999999</v>
      </c>
      <c r="EP51">
        <v>1.8644700000000001</v>
      </c>
      <c r="EQ51">
        <v>1.87012</v>
      </c>
      <c r="ER51">
        <v>1.86938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-0.83899999999999997</v>
      </c>
      <c r="FG51">
        <v>0.1908</v>
      </c>
      <c r="FH51">
        <v>-0.44422204735670362</v>
      </c>
      <c r="FI51">
        <v>-6.1462078757559423E-4</v>
      </c>
      <c r="FJ51">
        <v>-1.8861989874597051E-7</v>
      </c>
      <c r="FK51">
        <v>1.1980462299894961E-10</v>
      </c>
      <c r="FL51">
        <v>-5.4907600448225742E-2</v>
      </c>
      <c r="FM51">
        <v>-1.6848085045870601E-2</v>
      </c>
      <c r="FN51">
        <v>1.9789084769509481E-3</v>
      </c>
      <c r="FO51">
        <v>-2.7142391389806329E-5</v>
      </c>
      <c r="FP51">
        <v>3</v>
      </c>
      <c r="FQ51">
        <v>2158</v>
      </c>
      <c r="FR51">
        <v>1</v>
      </c>
      <c r="FS51">
        <v>19</v>
      </c>
      <c r="FT51">
        <v>16.600000000000001</v>
      </c>
      <c r="FU51">
        <v>16.600000000000001</v>
      </c>
      <c r="FV51">
        <v>1.78101</v>
      </c>
      <c r="FW51">
        <v>2.5549300000000001</v>
      </c>
      <c r="FX51">
        <v>1.5490699999999999</v>
      </c>
      <c r="FY51">
        <v>2.33643</v>
      </c>
      <c r="FZ51">
        <v>1.50146</v>
      </c>
      <c r="GA51">
        <v>2.3730500000000001</v>
      </c>
      <c r="GB51">
        <v>32.156399999999998</v>
      </c>
      <c r="GC51">
        <v>23.982399999999998</v>
      </c>
      <c r="GD51">
        <v>19</v>
      </c>
      <c r="GE51">
        <v>281.952</v>
      </c>
      <c r="GF51">
        <v>592.78099999999995</v>
      </c>
      <c r="GG51">
        <v>20.980599999999999</v>
      </c>
      <c r="GH51">
        <v>26.246500000000001</v>
      </c>
      <c r="GI51">
        <v>29.9999</v>
      </c>
      <c r="GJ51">
        <v>26.208600000000001</v>
      </c>
      <c r="GK51">
        <v>26.117100000000001</v>
      </c>
      <c r="GL51">
        <v>35.617199999999997</v>
      </c>
      <c r="GM51">
        <v>-30</v>
      </c>
      <c r="GN51">
        <v>-30</v>
      </c>
      <c r="GO51">
        <v>21.135000000000002</v>
      </c>
      <c r="GP51">
        <v>800</v>
      </c>
      <c r="GQ51">
        <v>12.5298</v>
      </c>
      <c r="GR51">
        <v>99.581800000000001</v>
      </c>
      <c r="GS51">
        <v>99.240799999999993</v>
      </c>
    </row>
    <row r="52" spans="1:201" x14ac:dyDescent="0.25">
      <c r="A52">
        <v>36</v>
      </c>
      <c r="B52">
        <v>1690204125.5</v>
      </c>
      <c r="C52">
        <v>685.90000009536743</v>
      </c>
      <c r="D52" t="s">
        <v>405</v>
      </c>
      <c r="E52" t="s">
        <v>406</v>
      </c>
      <c r="F52" t="s">
        <v>330</v>
      </c>
      <c r="H52">
        <v>1690204125.5</v>
      </c>
      <c r="I52">
        <f t="shared" si="0"/>
        <v>1.2229704979257964E-3</v>
      </c>
      <c r="J52">
        <f t="shared" si="1"/>
        <v>1.2229704979257965</v>
      </c>
      <c r="K52">
        <f t="shared" si="2"/>
        <v>20.903444548562998</v>
      </c>
      <c r="L52">
        <f t="shared" si="3"/>
        <v>575.41800000000001</v>
      </c>
      <c r="M52">
        <f t="shared" si="4"/>
        <v>144.5642790959923</v>
      </c>
      <c r="N52">
        <f t="shared" si="5"/>
        <v>14.33200316935266</v>
      </c>
      <c r="O52">
        <f t="shared" si="6"/>
        <v>57.046544632416001</v>
      </c>
      <c r="P52">
        <f t="shared" si="7"/>
        <v>8.0643455756039248E-2</v>
      </c>
      <c r="Q52">
        <f t="shared" si="8"/>
        <v>2.1964815922611947</v>
      </c>
      <c r="R52">
        <f t="shared" si="9"/>
        <v>7.903397775030914E-2</v>
      </c>
      <c r="S52">
        <f t="shared" si="10"/>
        <v>4.9538165869757386E-2</v>
      </c>
      <c r="T52">
        <f t="shared" si="11"/>
        <v>276.11213726727539</v>
      </c>
      <c r="U52">
        <f t="shared" si="12"/>
        <v>26.757964084824781</v>
      </c>
      <c r="V52">
        <f t="shared" si="13"/>
        <v>26.757964084824781</v>
      </c>
      <c r="W52">
        <f t="shared" si="14"/>
        <v>3.5285951970072928</v>
      </c>
      <c r="X52">
        <f t="shared" si="15"/>
        <v>63.903600858270096</v>
      </c>
      <c r="Y52">
        <f t="shared" si="16"/>
        <v>2.0375805377424006</v>
      </c>
      <c r="Z52">
        <f t="shared" si="17"/>
        <v>3.1885222591157114</v>
      </c>
      <c r="AA52">
        <f t="shared" si="18"/>
        <v>1.4910146592648923</v>
      </c>
      <c r="AB52">
        <f t="shared" si="19"/>
        <v>-53.932998958527619</v>
      </c>
      <c r="AC52">
        <f t="shared" si="20"/>
        <v>-202.65411412414821</v>
      </c>
      <c r="AD52">
        <f t="shared" si="21"/>
        <v>-19.693835962952313</v>
      </c>
      <c r="AE52">
        <f t="shared" si="22"/>
        <v>-0.16881177835276162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52826.126433583144</v>
      </c>
      <c r="AK52">
        <f t="shared" si="26"/>
        <v>1799.98</v>
      </c>
      <c r="AL52">
        <f t="shared" si="27"/>
        <v>1499.0938996160398</v>
      </c>
      <c r="AM52">
        <f t="shared" si="28"/>
        <v>0.83283919799999995</v>
      </c>
      <c r="AN52">
        <f t="shared" si="29"/>
        <v>0.15339733622999999</v>
      </c>
      <c r="AO52">
        <v>31.2</v>
      </c>
      <c r="AP52">
        <v>0.5</v>
      </c>
      <c r="AQ52" t="s">
        <v>331</v>
      </c>
      <c r="AR52">
        <v>2</v>
      </c>
      <c r="AS52">
        <v>1690204125.5</v>
      </c>
      <c r="AT52">
        <v>575.41800000000001</v>
      </c>
      <c r="AU52">
        <v>800</v>
      </c>
      <c r="AV52">
        <v>20.552700000000002</v>
      </c>
      <c r="AW52">
        <v>8.1025600000000004</v>
      </c>
      <c r="AX52">
        <v>576.25599999999997</v>
      </c>
      <c r="AY52">
        <v>20.359400000000001</v>
      </c>
      <c r="AZ52">
        <v>300.17700000000002</v>
      </c>
      <c r="BA52">
        <v>99.039299999999997</v>
      </c>
      <c r="BB52">
        <v>0.100012</v>
      </c>
      <c r="BC52">
        <v>25.046600000000002</v>
      </c>
      <c r="BD52">
        <v>26.834399999999999</v>
      </c>
      <c r="BE52">
        <v>26.4482</v>
      </c>
      <c r="BF52">
        <v>0</v>
      </c>
      <c r="BG52">
        <v>0</v>
      </c>
      <c r="BH52">
        <v>10022.5</v>
      </c>
      <c r="BI52">
        <v>1059.8699999999999</v>
      </c>
      <c r="BJ52">
        <v>1.2993300000000001</v>
      </c>
      <c r="BK52">
        <v>-224.58199999999999</v>
      </c>
      <c r="BL52">
        <v>587.49199999999996</v>
      </c>
      <c r="BM52">
        <v>806.53499999999997</v>
      </c>
      <c r="BN52">
        <v>12.450100000000001</v>
      </c>
      <c r="BO52">
        <v>800</v>
      </c>
      <c r="BP52">
        <v>8.1025600000000004</v>
      </c>
      <c r="BQ52">
        <v>2.0355300000000001</v>
      </c>
      <c r="BR52">
        <v>0.80247199999999996</v>
      </c>
      <c r="BS52">
        <v>17.723400000000002</v>
      </c>
      <c r="BT52">
        <v>3.7511100000000002</v>
      </c>
      <c r="BU52">
        <v>1799.98</v>
      </c>
      <c r="BV52">
        <v>0.90999600000000003</v>
      </c>
      <c r="BW52">
        <v>3.4006799999999997E-2</v>
      </c>
      <c r="BX52">
        <v>2.1997900000000001E-2</v>
      </c>
      <c r="BY52">
        <v>3.3999500000000002E-2</v>
      </c>
      <c r="BZ52">
        <v>25</v>
      </c>
      <c r="CA52">
        <v>33528.1</v>
      </c>
      <c r="CB52">
        <v>1690203121.0999999</v>
      </c>
      <c r="CC52" t="s">
        <v>332</v>
      </c>
      <c r="CD52">
        <v>1690203121.0999999</v>
      </c>
      <c r="CE52">
        <v>1690203121.0999999</v>
      </c>
      <c r="CF52">
        <v>3</v>
      </c>
      <c r="CG52">
        <v>0.53600000000000003</v>
      </c>
      <c r="CH52">
        <v>-0.01</v>
      </c>
      <c r="CI52">
        <v>-0.996</v>
      </c>
      <c r="CJ52">
        <v>-6.6000000000000003E-2</v>
      </c>
      <c r="CK52">
        <v>800</v>
      </c>
      <c r="CL52">
        <v>9</v>
      </c>
      <c r="CM52">
        <v>0.82</v>
      </c>
      <c r="CN52">
        <v>0.01</v>
      </c>
      <c r="CO52">
        <v>-222.61099999999999</v>
      </c>
      <c r="CP52">
        <v>-11.938013937282321</v>
      </c>
      <c r="CQ52">
        <v>1.178750992550599</v>
      </c>
      <c r="CR52">
        <v>-1</v>
      </c>
      <c r="CS52">
        <v>12.35274390243902</v>
      </c>
      <c r="CT52">
        <v>0.51014425087108362</v>
      </c>
      <c r="CU52">
        <v>5.040810546892327E-2</v>
      </c>
      <c r="CV52">
        <v>-1</v>
      </c>
      <c r="CW52">
        <v>0</v>
      </c>
      <c r="CX52">
        <v>0</v>
      </c>
      <c r="CY52" t="s">
        <v>333</v>
      </c>
      <c r="CZ52">
        <v>2.3645499999999999</v>
      </c>
      <c r="DA52">
        <v>2.7138200000000001</v>
      </c>
      <c r="DB52">
        <v>0.117036</v>
      </c>
      <c r="DC52">
        <v>0.146144</v>
      </c>
      <c r="DD52">
        <v>0.10195799999999999</v>
      </c>
      <c r="DE52">
        <v>5.0219300000000001E-2</v>
      </c>
      <c r="DF52">
        <v>32194.3</v>
      </c>
      <c r="DG52">
        <v>27437.3</v>
      </c>
      <c r="DH52">
        <v>31127.4</v>
      </c>
      <c r="DI52">
        <v>27999.9</v>
      </c>
      <c r="DJ52">
        <v>37944.5</v>
      </c>
      <c r="DK52">
        <v>37794.699999999997</v>
      </c>
      <c r="DL52">
        <v>44286.9</v>
      </c>
      <c r="DM52">
        <v>42412.4</v>
      </c>
      <c r="DN52">
        <v>1.4760500000000001</v>
      </c>
      <c r="DO52">
        <v>2.05063</v>
      </c>
      <c r="DP52">
        <v>0.135683</v>
      </c>
      <c r="DQ52">
        <v>0.12668199999999999</v>
      </c>
      <c r="DR52">
        <v>24.610800000000001</v>
      </c>
      <c r="DS52">
        <v>24.370999999999999</v>
      </c>
      <c r="DT52">
        <v>26.6</v>
      </c>
      <c r="DU52">
        <v>27.3</v>
      </c>
      <c r="DV52">
        <v>9.7839500000000008</v>
      </c>
      <c r="DW52">
        <v>61.545499999999997</v>
      </c>
      <c r="DX52">
        <v>36.866999999999997</v>
      </c>
      <c r="DY52">
        <v>1</v>
      </c>
      <c r="DZ52">
        <v>-9.3854199999999999E-2</v>
      </c>
      <c r="EA52">
        <v>1.0659099999999999</v>
      </c>
      <c r="EB52">
        <v>20.186900000000001</v>
      </c>
      <c r="EC52">
        <v>5.2404999999999999</v>
      </c>
      <c r="ED52">
        <v>12.039899999999999</v>
      </c>
      <c r="EE52">
        <v>5.0167000000000002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</v>
      </c>
      <c r="EL52">
        <v>1.8646100000000001</v>
      </c>
      <c r="EM52">
        <v>1.86914</v>
      </c>
      <c r="EN52">
        <v>1.8672200000000001</v>
      </c>
      <c r="EO52">
        <v>1.8633900000000001</v>
      </c>
      <c r="EP52">
        <v>1.8644700000000001</v>
      </c>
      <c r="EQ52">
        <v>1.8701399999999999</v>
      </c>
      <c r="ER52">
        <v>1.8693599999999999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-0.83799999999999997</v>
      </c>
      <c r="FG52">
        <v>0.1933</v>
      </c>
      <c r="FH52">
        <v>-0.44422204735670362</v>
      </c>
      <c r="FI52">
        <v>-6.1462078757559423E-4</v>
      </c>
      <c r="FJ52">
        <v>-1.8861989874597051E-7</v>
      </c>
      <c r="FK52">
        <v>1.1980462299894961E-10</v>
      </c>
      <c r="FL52">
        <v>-5.4907600448225742E-2</v>
      </c>
      <c r="FM52">
        <v>-1.6848085045870601E-2</v>
      </c>
      <c r="FN52">
        <v>1.9789084769509481E-3</v>
      </c>
      <c r="FO52">
        <v>-2.7142391389806329E-5</v>
      </c>
      <c r="FP52">
        <v>3</v>
      </c>
      <c r="FQ52">
        <v>2158</v>
      </c>
      <c r="FR52">
        <v>1</v>
      </c>
      <c r="FS52">
        <v>19</v>
      </c>
      <c r="FT52">
        <v>16.7</v>
      </c>
      <c r="FU52">
        <v>16.7</v>
      </c>
      <c r="FV52">
        <v>1.78101</v>
      </c>
      <c r="FW52">
        <v>2.5549300000000001</v>
      </c>
      <c r="FX52">
        <v>1.5490699999999999</v>
      </c>
      <c r="FY52">
        <v>2.33643</v>
      </c>
      <c r="FZ52">
        <v>1.50146</v>
      </c>
      <c r="GA52">
        <v>2.31934</v>
      </c>
      <c r="GB52">
        <v>32.156399999999998</v>
      </c>
      <c r="GC52">
        <v>23.982399999999998</v>
      </c>
      <c r="GD52">
        <v>19</v>
      </c>
      <c r="GE52">
        <v>282.20800000000003</v>
      </c>
      <c r="GF52">
        <v>592.54300000000001</v>
      </c>
      <c r="GG52">
        <v>21.279699999999998</v>
      </c>
      <c r="GH52">
        <v>26.244299999999999</v>
      </c>
      <c r="GI52">
        <v>29.9998</v>
      </c>
      <c r="GJ52">
        <v>26.2136</v>
      </c>
      <c r="GK52">
        <v>26.1236</v>
      </c>
      <c r="GL52">
        <v>35.614800000000002</v>
      </c>
      <c r="GM52">
        <v>-30</v>
      </c>
      <c r="GN52">
        <v>-30</v>
      </c>
      <c r="GO52">
        <v>21.387899999999998</v>
      </c>
      <c r="GP52">
        <v>800</v>
      </c>
      <c r="GQ52">
        <v>12.5298</v>
      </c>
      <c r="GR52">
        <v>99.580799999999996</v>
      </c>
      <c r="GS52">
        <v>99.241299999999995</v>
      </c>
    </row>
    <row r="53" spans="1:201" x14ac:dyDescent="0.25">
      <c r="A53">
        <v>37</v>
      </c>
      <c r="B53">
        <v>1690204135.5</v>
      </c>
      <c r="C53">
        <v>695.90000009536743</v>
      </c>
      <c r="D53" t="s">
        <v>407</v>
      </c>
      <c r="E53" t="s">
        <v>408</v>
      </c>
      <c r="F53" t="s">
        <v>330</v>
      </c>
      <c r="H53">
        <v>1690204135.5</v>
      </c>
      <c r="I53">
        <f t="shared" si="0"/>
        <v>1.2342774834697944E-3</v>
      </c>
      <c r="J53">
        <f t="shared" si="1"/>
        <v>1.2342774834697943</v>
      </c>
      <c r="K53">
        <f t="shared" si="2"/>
        <v>21.092469274942424</v>
      </c>
      <c r="L53">
        <f t="shared" si="3"/>
        <v>573.51</v>
      </c>
      <c r="M53">
        <f t="shared" si="4"/>
        <v>144.53813174088276</v>
      </c>
      <c r="N53">
        <f t="shared" si="5"/>
        <v>14.329531945880371</v>
      </c>
      <c r="O53">
        <f t="shared" si="6"/>
        <v>56.857866967691997</v>
      </c>
      <c r="P53">
        <f t="shared" si="7"/>
        <v>8.1749894477899862E-2</v>
      </c>
      <c r="Q53">
        <f t="shared" si="8"/>
        <v>2.1884217362338005</v>
      </c>
      <c r="R53">
        <f t="shared" si="9"/>
        <v>8.0090480540514833E-2</v>
      </c>
      <c r="S53">
        <f t="shared" si="10"/>
        <v>5.020283657030318E-2</v>
      </c>
      <c r="T53">
        <f t="shared" si="11"/>
        <v>276.11327328084855</v>
      </c>
      <c r="U53">
        <f t="shared" si="12"/>
        <v>26.777539345841813</v>
      </c>
      <c r="V53">
        <f t="shared" si="13"/>
        <v>26.777539345841813</v>
      </c>
      <c r="W53">
        <f t="shared" si="14"/>
        <v>3.5326614176989528</v>
      </c>
      <c r="X53">
        <f t="shared" si="15"/>
        <v>64.156687215940451</v>
      </c>
      <c r="Y53">
        <f t="shared" si="16"/>
        <v>2.0478091798304399</v>
      </c>
      <c r="Z53">
        <f t="shared" si="17"/>
        <v>3.1918873443977303</v>
      </c>
      <c r="AA53">
        <f t="shared" si="18"/>
        <v>1.4848522378685129</v>
      </c>
      <c r="AB53">
        <f t="shared" si="19"/>
        <v>-54.431637021017934</v>
      </c>
      <c r="AC53">
        <f t="shared" si="20"/>
        <v>-202.13173454610956</v>
      </c>
      <c r="AD53">
        <f t="shared" si="21"/>
        <v>-19.71910441794013</v>
      </c>
      <c r="AE53">
        <f t="shared" si="22"/>
        <v>-0.16920270421906025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52491.625216009794</v>
      </c>
      <c r="AK53">
        <f t="shared" si="26"/>
        <v>1799.99</v>
      </c>
      <c r="AL53">
        <f t="shared" si="27"/>
        <v>1499.1018428101597</v>
      </c>
      <c r="AM53">
        <f t="shared" si="28"/>
        <v>0.83283898399999989</v>
      </c>
      <c r="AN53">
        <f t="shared" si="29"/>
        <v>0.15339711513999998</v>
      </c>
      <c r="AO53">
        <v>31.2</v>
      </c>
      <c r="AP53">
        <v>0.5</v>
      </c>
      <c r="AQ53" t="s">
        <v>331</v>
      </c>
      <c r="AR53">
        <v>2</v>
      </c>
      <c r="AS53">
        <v>1690204135.5</v>
      </c>
      <c r="AT53">
        <v>573.51</v>
      </c>
      <c r="AU53">
        <v>800.04399999999998</v>
      </c>
      <c r="AV53">
        <v>20.6557</v>
      </c>
      <c r="AW53">
        <v>8.0948700000000002</v>
      </c>
      <c r="AX53">
        <v>574.346</v>
      </c>
      <c r="AY53">
        <v>20.459399999999999</v>
      </c>
      <c r="AZ53">
        <v>300.25099999999998</v>
      </c>
      <c r="BA53">
        <v>99.040199999999999</v>
      </c>
      <c r="BB53">
        <v>9.9949200000000002E-2</v>
      </c>
      <c r="BC53">
        <v>25.064299999999999</v>
      </c>
      <c r="BD53">
        <v>26.921600000000002</v>
      </c>
      <c r="BE53">
        <v>26.478100000000001</v>
      </c>
      <c r="BF53">
        <v>0</v>
      </c>
      <c r="BG53">
        <v>0</v>
      </c>
      <c r="BH53">
        <v>9956.8799999999992</v>
      </c>
      <c r="BI53">
        <v>1059.46</v>
      </c>
      <c r="BJ53">
        <v>1.51799</v>
      </c>
      <c r="BK53">
        <v>-226.53399999999999</v>
      </c>
      <c r="BL53">
        <v>585.60599999999999</v>
      </c>
      <c r="BM53">
        <v>806.57299999999998</v>
      </c>
      <c r="BN53">
        <v>12.5608</v>
      </c>
      <c r="BO53">
        <v>800.04399999999998</v>
      </c>
      <c r="BP53">
        <v>8.0948700000000002</v>
      </c>
      <c r="BQ53">
        <v>2.04575</v>
      </c>
      <c r="BR53">
        <v>0.80171700000000001</v>
      </c>
      <c r="BS53">
        <v>17.802900000000001</v>
      </c>
      <c r="BT53">
        <v>3.7377500000000001</v>
      </c>
      <c r="BU53">
        <v>1799.99</v>
      </c>
      <c r="BV53">
        <v>0.91</v>
      </c>
      <c r="BW53">
        <v>3.4006700000000001E-2</v>
      </c>
      <c r="BX53">
        <v>2.19962E-2</v>
      </c>
      <c r="BY53">
        <v>3.3996800000000001E-2</v>
      </c>
      <c r="BZ53">
        <v>25</v>
      </c>
      <c r="CA53">
        <v>33528.199999999997</v>
      </c>
      <c r="CB53">
        <v>1690203121.0999999</v>
      </c>
      <c r="CC53" t="s">
        <v>332</v>
      </c>
      <c r="CD53">
        <v>1690203121.0999999</v>
      </c>
      <c r="CE53">
        <v>1690203121.0999999</v>
      </c>
      <c r="CF53">
        <v>3</v>
      </c>
      <c r="CG53">
        <v>0.53600000000000003</v>
      </c>
      <c r="CH53">
        <v>-0.01</v>
      </c>
      <c r="CI53">
        <v>-0.996</v>
      </c>
      <c r="CJ53">
        <v>-6.6000000000000003E-2</v>
      </c>
      <c r="CK53">
        <v>800</v>
      </c>
      <c r="CL53">
        <v>9</v>
      </c>
      <c r="CM53">
        <v>0.82</v>
      </c>
      <c r="CN53">
        <v>0.01</v>
      </c>
      <c r="CO53">
        <v>-224.3456585365854</v>
      </c>
      <c r="CP53">
        <v>-10.973519163763321</v>
      </c>
      <c r="CQ53">
        <v>1.082817544474713</v>
      </c>
      <c r="CR53">
        <v>-1</v>
      </c>
      <c r="CS53">
        <v>12.43704146341463</v>
      </c>
      <c r="CT53">
        <v>0.61374146341465019</v>
      </c>
      <c r="CU53">
        <v>6.0584494416575659E-2</v>
      </c>
      <c r="CV53">
        <v>-1</v>
      </c>
      <c r="CW53">
        <v>0</v>
      </c>
      <c r="CX53">
        <v>0</v>
      </c>
      <c r="CY53" t="s">
        <v>333</v>
      </c>
      <c r="CZ53">
        <v>2.3647900000000002</v>
      </c>
      <c r="DA53">
        <v>2.7136999999999998</v>
      </c>
      <c r="DB53">
        <v>0.116762</v>
      </c>
      <c r="DC53">
        <v>0.146149</v>
      </c>
      <c r="DD53">
        <v>0.102315</v>
      </c>
      <c r="DE53">
        <v>5.0181200000000002E-2</v>
      </c>
      <c r="DF53">
        <v>32204.3</v>
      </c>
      <c r="DG53">
        <v>27437</v>
      </c>
      <c r="DH53">
        <v>31127.5</v>
      </c>
      <c r="DI53">
        <v>27999.7</v>
      </c>
      <c r="DJ53">
        <v>37929.199999999997</v>
      </c>
      <c r="DK53">
        <v>37796</v>
      </c>
      <c r="DL53">
        <v>44286.9</v>
      </c>
      <c r="DM53">
        <v>42412.1</v>
      </c>
      <c r="DN53">
        <v>1.47563</v>
      </c>
      <c r="DO53">
        <v>2.0507499999999999</v>
      </c>
      <c r="DP53">
        <v>0.14279</v>
      </c>
      <c r="DQ53">
        <v>0.1298</v>
      </c>
      <c r="DR53">
        <v>24.581600000000002</v>
      </c>
      <c r="DS53">
        <v>24.349900000000002</v>
      </c>
      <c r="DT53">
        <v>26.5</v>
      </c>
      <c r="DU53">
        <v>27.3</v>
      </c>
      <c r="DV53">
        <v>9.7461900000000004</v>
      </c>
      <c r="DW53">
        <v>61.625500000000002</v>
      </c>
      <c r="DX53">
        <v>35.833300000000001</v>
      </c>
      <c r="DY53">
        <v>1</v>
      </c>
      <c r="DZ53">
        <v>-9.4187000000000007E-2</v>
      </c>
      <c r="EA53">
        <v>1.2321800000000001</v>
      </c>
      <c r="EB53">
        <v>20.185500000000001</v>
      </c>
      <c r="EC53">
        <v>5.2408000000000001</v>
      </c>
      <c r="ED53">
        <v>12.039899999999999</v>
      </c>
      <c r="EE53">
        <v>5.01675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</v>
      </c>
      <c r="EL53">
        <v>1.8646199999999999</v>
      </c>
      <c r="EM53">
        <v>1.8691899999999999</v>
      </c>
      <c r="EN53">
        <v>1.8672200000000001</v>
      </c>
      <c r="EO53">
        <v>1.8633999999999999</v>
      </c>
      <c r="EP53">
        <v>1.8644700000000001</v>
      </c>
      <c r="EQ53">
        <v>1.8701399999999999</v>
      </c>
      <c r="ER53">
        <v>1.8694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-0.83599999999999997</v>
      </c>
      <c r="FG53">
        <v>0.1963</v>
      </c>
      <c r="FH53">
        <v>-0.44422204735670362</v>
      </c>
      <c r="FI53">
        <v>-6.1462078757559423E-4</v>
      </c>
      <c r="FJ53">
        <v>-1.8861989874597051E-7</v>
      </c>
      <c r="FK53">
        <v>1.1980462299894961E-10</v>
      </c>
      <c r="FL53">
        <v>-5.4907600448225742E-2</v>
      </c>
      <c r="FM53">
        <v>-1.6848085045870601E-2</v>
      </c>
      <c r="FN53">
        <v>1.9789084769509481E-3</v>
      </c>
      <c r="FO53">
        <v>-2.7142391389806329E-5</v>
      </c>
      <c r="FP53">
        <v>3</v>
      </c>
      <c r="FQ53">
        <v>2158</v>
      </c>
      <c r="FR53">
        <v>1</v>
      </c>
      <c r="FS53">
        <v>19</v>
      </c>
      <c r="FT53">
        <v>16.899999999999999</v>
      </c>
      <c r="FU53">
        <v>16.899999999999999</v>
      </c>
      <c r="FV53">
        <v>1.78101</v>
      </c>
      <c r="FW53">
        <v>2.5573700000000001</v>
      </c>
      <c r="FX53">
        <v>1.5490699999999999</v>
      </c>
      <c r="FY53">
        <v>2.33643</v>
      </c>
      <c r="FZ53">
        <v>1.50146</v>
      </c>
      <c r="GA53">
        <v>2.3168899999999999</v>
      </c>
      <c r="GB53">
        <v>32.156399999999998</v>
      </c>
      <c r="GC53">
        <v>23.973700000000001</v>
      </c>
      <c r="GD53">
        <v>19</v>
      </c>
      <c r="GE53">
        <v>282.04500000000002</v>
      </c>
      <c r="GF53">
        <v>592.72299999999996</v>
      </c>
      <c r="GG53">
        <v>21.508700000000001</v>
      </c>
      <c r="GH53">
        <v>26.241599999999998</v>
      </c>
      <c r="GI53">
        <v>30</v>
      </c>
      <c r="GJ53">
        <v>26.217400000000001</v>
      </c>
      <c r="GK53">
        <v>26.130099999999999</v>
      </c>
      <c r="GL53">
        <v>35.613599999999998</v>
      </c>
      <c r="GM53">
        <v>-30</v>
      </c>
      <c r="GN53">
        <v>-30</v>
      </c>
      <c r="GO53">
        <v>21.489899999999999</v>
      </c>
      <c r="GP53">
        <v>800</v>
      </c>
      <c r="GQ53">
        <v>12.5298</v>
      </c>
      <c r="GR53">
        <v>99.580799999999996</v>
      </c>
      <c r="GS53">
        <v>99.240600000000001</v>
      </c>
    </row>
    <row r="54" spans="1:201" x14ac:dyDescent="0.25">
      <c r="A54">
        <v>38</v>
      </c>
      <c r="B54">
        <v>1690204145.5</v>
      </c>
      <c r="C54">
        <v>705.90000009536743</v>
      </c>
      <c r="D54" t="s">
        <v>409</v>
      </c>
      <c r="E54" t="s">
        <v>410</v>
      </c>
      <c r="F54" t="s">
        <v>330</v>
      </c>
      <c r="H54">
        <v>1690204145.5</v>
      </c>
      <c r="I54">
        <f t="shared" si="0"/>
        <v>1.2412308096766997E-3</v>
      </c>
      <c r="J54">
        <f t="shared" si="1"/>
        <v>1.2412308096766997</v>
      </c>
      <c r="K54">
        <f t="shared" si="2"/>
        <v>21.245457947031593</v>
      </c>
      <c r="L54">
        <f t="shared" si="3"/>
        <v>571.68299999999999</v>
      </c>
      <c r="M54">
        <f t="shared" si="4"/>
        <v>143.73750066180719</v>
      </c>
      <c r="N54">
        <f t="shared" si="5"/>
        <v>14.250671812751534</v>
      </c>
      <c r="O54">
        <f t="shared" si="6"/>
        <v>56.678784425907004</v>
      </c>
      <c r="P54">
        <f t="shared" si="7"/>
        <v>8.2539563371351862E-2</v>
      </c>
      <c r="Q54">
        <f t="shared" si="8"/>
        <v>2.1970757400446623</v>
      </c>
      <c r="R54">
        <f t="shared" si="9"/>
        <v>8.0854808679740944E-2</v>
      </c>
      <c r="S54">
        <f t="shared" si="10"/>
        <v>5.0682759753804374E-2</v>
      </c>
      <c r="T54">
        <f t="shared" si="11"/>
        <v>276.11322009114406</v>
      </c>
      <c r="U54">
        <f t="shared" si="12"/>
        <v>26.783200946730631</v>
      </c>
      <c r="V54">
        <f t="shared" si="13"/>
        <v>26.783200946730631</v>
      </c>
      <c r="W54">
        <f t="shared" si="14"/>
        <v>3.5338382215736432</v>
      </c>
      <c r="X54">
        <f t="shared" si="15"/>
        <v>64.319500931450662</v>
      </c>
      <c r="Y54">
        <f t="shared" si="16"/>
        <v>2.0547438691521003</v>
      </c>
      <c r="Z54">
        <f t="shared" si="17"/>
        <v>3.1945892604825556</v>
      </c>
      <c r="AA54">
        <f t="shared" si="18"/>
        <v>1.479094352421543</v>
      </c>
      <c r="AB54">
        <f t="shared" si="19"/>
        <v>-54.738278706742456</v>
      </c>
      <c r="AC54">
        <f t="shared" si="20"/>
        <v>-201.91969165674405</v>
      </c>
      <c r="AD54">
        <f t="shared" si="21"/>
        <v>-19.622782833323154</v>
      </c>
      <c r="AE54">
        <f t="shared" si="22"/>
        <v>-0.16753310566556934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52845.047748230318</v>
      </c>
      <c r="AK54">
        <f t="shared" si="26"/>
        <v>1799.99</v>
      </c>
      <c r="AL54">
        <f t="shared" si="27"/>
        <v>1499.1039487984599</v>
      </c>
      <c r="AM54">
        <f t="shared" si="28"/>
        <v>0.83284015399999989</v>
      </c>
      <c r="AN54">
        <f t="shared" si="29"/>
        <v>0.15339708558999998</v>
      </c>
      <c r="AO54">
        <v>31.2</v>
      </c>
      <c r="AP54">
        <v>0.5</v>
      </c>
      <c r="AQ54" t="s">
        <v>331</v>
      </c>
      <c r="AR54">
        <v>2</v>
      </c>
      <c r="AS54">
        <v>1690204145.5</v>
      </c>
      <c r="AT54">
        <v>571.68299999999999</v>
      </c>
      <c r="AU54">
        <v>799.96299999999997</v>
      </c>
      <c r="AV54">
        <v>20.724900000000002</v>
      </c>
      <c r="AW54">
        <v>8.0865399999999994</v>
      </c>
      <c r="AX54">
        <v>572.51800000000003</v>
      </c>
      <c r="AY54">
        <v>20.526599999999998</v>
      </c>
      <c r="AZ54">
        <v>300.06900000000002</v>
      </c>
      <c r="BA54">
        <v>99.043700000000001</v>
      </c>
      <c r="BB54">
        <v>0.10002900000000001</v>
      </c>
      <c r="BC54">
        <v>25.078499999999998</v>
      </c>
      <c r="BD54">
        <v>26.977</v>
      </c>
      <c r="BE54">
        <v>26.462299999999999</v>
      </c>
      <c r="BF54">
        <v>0</v>
      </c>
      <c r="BG54">
        <v>0</v>
      </c>
      <c r="BH54">
        <v>10026.9</v>
      </c>
      <c r="BI54">
        <v>1059.2</v>
      </c>
      <c r="BJ54">
        <v>1.5137799999999999</v>
      </c>
      <c r="BK54">
        <v>-228.28</v>
      </c>
      <c r="BL54">
        <v>583.78200000000004</v>
      </c>
      <c r="BM54">
        <v>806.48400000000004</v>
      </c>
      <c r="BN54">
        <v>12.638299999999999</v>
      </c>
      <c r="BO54">
        <v>799.96299999999997</v>
      </c>
      <c r="BP54">
        <v>8.0865399999999994</v>
      </c>
      <c r="BQ54">
        <v>2.05267</v>
      </c>
      <c r="BR54">
        <v>0.80091999999999997</v>
      </c>
      <c r="BS54">
        <v>17.8566</v>
      </c>
      <c r="BT54">
        <v>3.72363</v>
      </c>
      <c r="BU54">
        <v>1799.99</v>
      </c>
      <c r="BV54">
        <v>0.91000700000000001</v>
      </c>
      <c r="BW54">
        <v>3.4004300000000001E-2</v>
      </c>
      <c r="BX54">
        <v>2.1994699999999999E-2</v>
      </c>
      <c r="BY54">
        <v>3.3994499999999997E-2</v>
      </c>
      <c r="BZ54">
        <v>25</v>
      </c>
      <c r="CA54">
        <v>33528.199999999997</v>
      </c>
      <c r="CB54">
        <v>1690203121.0999999</v>
      </c>
      <c r="CC54" t="s">
        <v>332</v>
      </c>
      <c r="CD54">
        <v>1690203121.0999999</v>
      </c>
      <c r="CE54">
        <v>1690203121.0999999</v>
      </c>
      <c r="CF54">
        <v>3</v>
      </c>
      <c r="CG54">
        <v>0.53600000000000003</v>
      </c>
      <c r="CH54">
        <v>-0.01</v>
      </c>
      <c r="CI54">
        <v>-0.996</v>
      </c>
      <c r="CJ54">
        <v>-6.6000000000000003E-2</v>
      </c>
      <c r="CK54">
        <v>800</v>
      </c>
      <c r="CL54">
        <v>9</v>
      </c>
      <c r="CM54">
        <v>0.82</v>
      </c>
      <c r="CN54">
        <v>0.01</v>
      </c>
      <c r="CO54">
        <v>-226.37358536585359</v>
      </c>
      <c r="CP54">
        <v>-11.080787456446281</v>
      </c>
      <c r="CQ54">
        <v>1.093335486762923</v>
      </c>
      <c r="CR54">
        <v>-1</v>
      </c>
      <c r="CS54">
        <v>12.54866097560976</v>
      </c>
      <c r="CT54">
        <v>0.58479721254355077</v>
      </c>
      <c r="CU54">
        <v>5.7919388379606522E-2</v>
      </c>
      <c r="CV54">
        <v>-1</v>
      </c>
      <c r="CW54">
        <v>0</v>
      </c>
      <c r="CX54">
        <v>0</v>
      </c>
      <c r="CY54" t="s">
        <v>333</v>
      </c>
      <c r="CZ54">
        <v>2.3641899999999998</v>
      </c>
      <c r="DA54">
        <v>2.7138399999999998</v>
      </c>
      <c r="DB54">
        <v>0.11650199999999999</v>
      </c>
      <c r="DC54">
        <v>0.14614199999999999</v>
      </c>
      <c r="DD54">
        <v>0.102557</v>
      </c>
      <c r="DE54">
        <v>5.0141600000000001E-2</v>
      </c>
      <c r="DF54">
        <v>32213.7</v>
      </c>
      <c r="DG54">
        <v>27437.200000000001</v>
      </c>
      <c r="DH54">
        <v>31127.4</v>
      </c>
      <c r="DI54">
        <v>27999.7</v>
      </c>
      <c r="DJ54">
        <v>37919</v>
      </c>
      <c r="DK54">
        <v>37797.800000000003</v>
      </c>
      <c r="DL54">
        <v>44287.1</v>
      </c>
      <c r="DM54">
        <v>42412.3</v>
      </c>
      <c r="DN54">
        <v>1.47563</v>
      </c>
      <c r="DO54">
        <v>2.0507499999999999</v>
      </c>
      <c r="DP54">
        <v>0.14768500000000001</v>
      </c>
      <c r="DQ54">
        <v>0.129968</v>
      </c>
      <c r="DR54">
        <v>24.556799999999999</v>
      </c>
      <c r="DS54">
        <v>24.331299999999999</v>
      </c>
      <c r="DT54">
        <v>26.5</v>
      </c>
      <c r="DU54">
        <v>27.3</v>
      </c>
      <c r="DV54">
        <v>9.7457200000000004</v>
      </c>
      <c r="DW54">
        <v>61.405500000000004</v>
      </c>
      <c r="DX54">
        <v>36.514400000000002</v>
      </c>
      <c r="DY54">
        <v>1</v>
      </c>
      <c r="DZ54">
        <v>-9.3688999999999995E-2</v>
      </c>
      <c r="EA54">
        <v>1.3178099999999999</v>
      </c>
      <c r="EB54">
        <v>20.1846</v>
      </c>
      <c r="EC54">
        <v>5.2408000000000001</v>
      </c>
      <c r="ED54">
        <v>12.039899999999999</v>
      </c>
      <c r="EE54">
        <v>5.0166500000000003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</v>
      </c>
      <c r="EL54">
        <v>1.8646199999999999</v>
      </c>
      <c r="EM54">
        <v>1.8691800000000001</v>
      </c>
      <c r="EN54">
        <v>1.8672200000000001</v>
      </c>
      <c r="EO54">
        <v>1.8633999999999999</v>
      </c>
      <c r="EP54">
        <v>1.8644700000000001</v>
      </c>
      <c r="EQ54">
        <v>1.87015</v>
      </c>
      <c r="ER54">
        <v>1.8693900000000001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-0.83499999999999996</v>
      </c>
      <c r="FG54">
        <v>0.1983</v>
      </c>
      <c r="FH54">
        <v>-0.44422204735670362</v>
      </c>
      <c r="FI54">
        <v>-6.1462078757559423E-4</v>
      </c>
      <c r="FJ54">
        <v>-1.8861989874597051E-7</v>
      </c>
      <c r="FK54">
        <v>1.1980462299894961E-10</v>
      </c>
      <c r="FL54">
        <v>-5.4907600448225742E-2</v>
      </c>
      <c r="FM54">
        <v>-1.6848085045870601E-2</v>
      </c>
      <c r="FN54">
        <v>1.9789084769509481E-3</v>
      </c>
      <c r="FO54">
        <v>-2.7142391389806329E-5</v>
      </c>
      <c r="FP54">
        <v>3</v>
      </c>
      <c r="FQ54">
        <v>2158</v>
      </c>
      <c r="FR54">
        <v>1</v>
      </c>
      <c r="FS54">
        <v>19</v>
      </c>
      <c r="FT54">
        <v>17.100000000000001</v>
      </c>
      <c r="FU54">
        <v>17.100000000000001</v>
      </c>
      <c r="FV54">
        <v>1.78101</v>
      </c>
      <c r="FW54">
        <v>2.5537100000000001</v>
      </c>
      <c r="FX54">
        <v>1.5490699999999999</v>
      </c>
      <c r="FY54">
        <v>2.33643</v>
      </c>
      <c r="FZ54">
        <v>1.50146</v>
      </c>
      <c r="GA54">
        <v>2.3840300000000001</v>
      </c>
      <c r="GB54">
        <v>32.156399999999998</v>
      </c>
      <c r="GC54">
        <v>23.982399999999998</v>
      </c>
      <c r="GD54">
        <v>19</v>
      </c>
      <c r="GE54">
        <v>282.05700000000002</v>
      </c>
      <c r="GF54">
        <v>592.78</v>
      </c>
      <c r="GG54">
        <v>21.569400000000002</v>
      </c>
      <c r="GH54">
        <v>26.236599999999999</v>
      </c>
      <c r="GI54">
        <v>30.0001</v>
      </c>
      <c r="GJ54">
        <v>26.220199999999998</v>
      </c>
      <c r="GK54">
        <v>26.135000000000002</v>
      </c>
      <c r="GL54">
        <v>35.6143</v>
      </c>
      <c r="GM54">
        <v>-30</v>
      </c>
      <c r="GN54">
        <v>-30</v>
      </c>
      <c r="GO54">
        <v>21.5822</v>
      </c>
      <c r="GP54">
        <v>800</v>
      </c>
      <c r="GQ54">
        <v>12.5298</v>
      </c>
      <c r="GR54">
        <v>99.5809</v>
      </c>
      <c r="GS54">
        <v>99.241</v>
      </c>
    </row>
    <row r="55" spans="1:201" x14ac:dyDescent="0.25">
      <c r="A55">
        <v>39</v>
      </c>
      <c r="B55">
        <v>1690204155.5</v>
      </c>
      <c r="C55">
        <v>715.90000009536743</v>
      </c>
      <c r="D55" t="s">
        <v>411</v>
      </c>
      <c r="E55" t="s">
        <v>412</v>
      </c>
      <c r="F55" t="s">
        <v>330</v>
      </c>
      <c r="H55">
        <v>1690204155.5</v>
      </c>
      <c r="I55">
        <f t="shared" si="0"/>
        <v>1.2477869325515222E-3</v>
      </c>
      <c r="J55">
        <f t="shared" si="1"/>
        <v>1.2477869325515223</v>
      </c>
      <c r="K55">
        <f t="shared" si="2"/>
        <v>21.427848282068794</v>
      </c>
      <c r="L55">
        <f t="shared" si="3"/>
        <v>569.93799999999999</v>
      </c>
      <c r="M55">
        <f t="shared" si="4"/>
        <v>142.13596959476737</v>
      </c>
      <c r="N55">
        <f t="shared" si="5"/>
        <v>14.091691202434394</v>
      </c>
      <c r="O55">
        <f t="shared" si="6"/>
        <v>56.504981275539997</v>
      </c>
      <c r="P55">
        <f t="shared" si="7"/>
        <v>8.3278439883831989E-2</v>
      </c>
      <c r="Q55">
        <f t="shared" si="8"/>
        <v>2.1928346383326356</v>
      </c>
      <c r="R55">
        <f t="shared" si="9"/>
        <v>8.1560482035344703E-2</v>
      </c>
      <c r="S55">
        <f t="shared" si="10"/>
        <v>5.1126701195143481E-2</v>
      </c>
      <c r="T55">
        <f t="shared" si="11"/>
        <v>276.1128766350522</v>
      </c>
      <c r="U55">
        <f t="shared" si="12"/>
        <v>26.784673651751007</v>
      </c>
      <c r="V55">
        <f t="shared" si="13"/>
        <v>26.784673651751007</v>
      </c>
      <c r="W55">
        <f t="shared" si="14"/>
        <v>3.5341443898359377</v>
      </c>
      <c r="X55">
        <f t="shared" si="15"/>
        <v>64.486593117614362</v>
      </c>
      <c r="Y55">
        <f t="shared" si="16"/>
        <v>2.060167703167</v>
      </c>
      <c r="Z55">
        <f t="shared" si="17"/>
        <v>3.1947225052028214</v>
      </c>
      <c r="AA55">
        <f t="shared" si="18"/>
        <v>1.4739766866689377</v>
      </c>
      <c r="AB55">
        <f t="shared" si="19"/>
        <v>-55.027403725522127</v>
      </c>
      <c r="AC55">
        <f t="shared" si="20"/>
        <v>-201.62126740000346</v>
      </c>
      <c r="AD55">
        <f t="shared" si="21"/>
        <v>-19.631891603658698</v>
      </c>
      <c r="AE55">
        <f t="shared" si="22"/>
        <v>-0.16768609413207969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52670.320443361539</v>
      </c>
      <c r="AK55">
        <f t="shared" si="26"/>
        <v>1799.99</v>
      </c>
      <c r="AL55">
        <f t="shared" si="27"/>
        <v>1499.10411799752</v>
      </c>
      <c r="AM55">
        <f t="shared" si="28"/>
        <v>0.83284024800000001</v>
      </c>
      <c r="AN55">
        <f t="shared" si="29"/>
        <v>0.15339689478000001</v>
      </c>
      <c r="AO55">
        <v>31.2</v>
      </c>
      <c r="AP55">
        <v>0.5</v>
      </c>
      <c r="AQ55" t="s">
        <v>331</v>
      </c>
      <c r="AR55">
        <v>2</v>
      </c>
      <c r="AS55">
        <v>1690204155.5</v>
      </c>
      <c r="AT55">
        <v>569.93799999999999</v>
      </c>
      <c r="AU55">
        <v>800.05100000000004</v>
      </c>
      <c r="AV55">
        <v>20.779900000000001</v>
      </c>
      <c r="AW55">
        <v>8.0799000000000003</v>
      </c>
      <c r="AX55">
        <v>570.77200000000005</v>
      </c>
      <c r="AY55">
        <v>20.58</v>
      </c>
      <c r="AZ55">
        <v>300.173</v>
      </c>
      <c r="BA55">
        <v>99.042299999999997</v>
      </c>
      <c r="BB55">
        <v>0.10002999999999999</v>
      </c>
      <c r="BC55">
        <v>25.0792</v>
      </c>
      <c r="BD55">
        <v>26.8855</v>
      </c>
      <c r="BE55">
        <v>26.5015</v>
      </c>
      <c r="BF55">
        <v>0</v>
      </c>
      <c r="BG55">
        <v>0</v>
      </c>
      <c r="BH55">
        <v>9992.5</v>
      </c>
      <c r="BI55">
        <v>1058.8699999999999</v>
      </c>
      <c r="BJ55">
        <v>1.5137799999999999</v>
      </c>
      <c r="BK55">
        <v>-230.113</v>
      </c>
      <c r="BL55">
        <v>582.03200000000004</v>
      </c>
      <c r="BM55">
        <v>806.56799999999998</v>
      </c>
      <c r="BN55">
        <v>12.7</v>
      </c>
      <c r="BO55">
        <v>800.05100000000004</v>
      </c>
      <c r="BP55">
        <v>8.0799000000000003</v>
      </c>
      <c r="BQ55">
        <v>2.05809</v>
      </c>
      <c r="BR55">
        <v>0.80025199999999996</v>
      </c>
      <c r="BS55">
        <v>17.898499999999999</v>
      </c>
      <c r="BT55">
        <v>3.71177</v>
      </c>
      <c r="BU55">
        <v>1799.99</v>
      </c>
      <c r="BV55">
        <v>0.91001200000000004</v>
      </c>
      <c r="BW55">
        <v>3.4002299999999999E-2</v>
      </c>
      <c r="BX55">
        <v>2.19934E-2</v>
      </c>
      <c r="BY55">
        <v>3.3992399999999999E-2</v>
      </c>
      <c r="BZ55">
        <v>25</v>
      </c>
      <c r="CA55">
        <v>33528.400000000001</v>
      </c>
      <c r="CB55">
        <v>1690203121.0999999</v>
      </c>
      <c r="CC55" t="s">
        <v>332</v>
      </c>
      <c r="CD55">
        <v>1690203121.0999999</v>
      </c>
      <c r="CE55">
        <v>1690203121.0999999</v>
      </c>
      <c r="CF55">
        <v>3</v>
      </c>
      <c r="CG55">
        <v>0.53600000000000003</v>
      </c>
      <c r="CH55">
        <v>-0.01</v>
      </c>
      <c r="CI55">
        <v>-0.996</v>
      </c>
      <c r="CJ55">
        <v>-6.6000000000000003E-2</v>
      </c>
      <c r="CK55">
        <v>800</v>
      </c>
      <c r="CL55">
        <v>9</v>
      </c>
      <c r="CM55">
        <v>0.82</v>
      </c>
      <c r="CN55">
        <v>0.01</v>
      </c>
      <c r="CO55">
        <v>-228.0698536585366</v>
      </c>
      <c r="CP55">
        <v>-11.279498257839951</v>
      </c>
      <c r="CQ55">
        <v>1.1143164931368741</v>
      </c>
      <c r="CR55">
        <v>-1</v>
      </c>
      <c r="CS55">
        <v>12.6258756097561</v>
      </c>
      <c r="CT55">
        <v>0.43357003484318513</v>
      </c>
      <c r="CU55">
        <v>4.2851734065648642E-2</v>
      </c>
      <c r="CV55">
        <v>-1</v>
      </c>
      <c r="CW55">
        <v>0</v>
      </c>
      <c r="CX55">
        <v>0</v>
      </c>
      <c r="CY55" t="s">
        <v>333</v>
      </c>
      <c r="CZ55">
        <v>2.3645499999999999</v>
      </c>
      <c r="DA55">
        <v>2.7138200000000001</v>
      </c>
      <c r="DB55">
        <v>0.116247</v>
      </c>
      <c r="DC55">
        <v>0.146149</v>
      </c>
      <c r="DD55">
        <v>0.102744</v>
      </c>
      <c r="DE55">
        <v>5.0107699999999998E-2</v>
      </c>
      <c r="DF55">
        <v>32222.799999999999</v>
      </c>
      <c r="DG55">
        <v>27437.200000000001</v>
      </c>
      <c r="DH55">
        <v>31127.200000000001</v>
      </c>
      <c r="DI55">
        <v>27999.9</v>
      </c>
      <c r="DJ55">
        <v>37910.699999999997</v>
      </c>
      <c r="DK55">
        <v>37799.4</v>
      </c>
      <c r="DL55">
        <v>44286.8</v>
      </c>
      <c r="DM55">
        <v>42412.6</v>
      </c>
      <c r="DN55">
        <v>1.4756</v>
      </c>
      <c r="DO55">
        <v>2.05098</v>
      </c>
      <c r="DP55">
        <v>0.14363200000000001</v>
      </c>
      <c r="DQ55">
        <v>0.133295</v>
      </c>
      <c r="DR55">
        <v>24.531500000000001</v>
      </c>
      <c r="DS55">
        <v>24.315899999999999</v>
      </c>
      <c r="DT55">
        <v>26.4</v>
      </c>
      <c r="DU55">
        <v>27.3</v>
      </c>
      <c r="DV55">
        <v>9.7087199999999996</v>
      </c>
      <c r="DW55">
        <v>61.2455</v>
      </c>
      <c r="DX55">
        <v>36.442300000000003</v>
      </c>
      <c r="DY55">
        <v>1</v>
      </c>
      <c r="DZ55">
        <v>-9.3635700000000002E-2</v>
      </c>
      <c r="EA55">
        <v>1.3149</v>
      </c>
      <c r="EB55">
        <v>20.184699999999999</v>
      </c>
      <c r="EC55">
        <v>5.2406499999999996</v>
      </c>
      <c r="ED55">
        <v>12.039899999999999</v>
      </c>
      <c r="EE55">
        <v>5.0167000000000002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</v>
      </c>
      <c r="EL55">
        <v>1.8646199999999999</v>
      </c>
      <c r="EM55">
        <v>1.86913</v>
      </c>
      <c r="EN55">
        <v>1.8672200000000001</v>
      </c>
      <c r="EO55">
        <v>1.8633999999999999</v>
      </c>
      <c r="EP55">
        <v>1.8644700000000001</v>
      </c>
      <c r="EQ55">
        <v>1.8701300000000001</v>
      </c>
      <c r="ER55">
        <v>1.86937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-0.83399999999999996</v>
      </c>
      <c r="FG55">
        <v>0.19989999999999999</v>
      </c>
      <c r="FH55">
        <v>-0.44422204735670362</v>
      </c>
      <c r="FI55">
        <v>-6.1462078757559423E-4</v>
      </c>
      <c r="FJ55">
        <v>-1.8861989874597051E-7</v>
      </c>
      <c r="FK55">
        <v>1.1980462299894961E-10</v>
      </c>
      <c r="FL55">
        <v>-5.4907600448225742E-2</v>
      </c>
      <c r="FM55">
        <v>-1.6848085045870601E-2</v>
      </c>
      <c r="FN55">
        <v>1.9789084769509481E-3</v>
      </c>
      <c r="FO55">
        <v>-2.7142391389806329E-5</v>
      </c>
      <c r="FP55">
        <v>3</v>
      </c>
      <c r="FQ55">
        <v>2158</v>
      </c>
      <c r="FR55">
        <v>1</v>
      </c>
      <c r="FS55">
        <v>19</v>
      </c>
      <c r="FT55">
        <v>17.2</v>
      </c>
      <c r="FU55">
        <v>17.2</v>
      </c>
      <c r="FV55">
        <v>1.78101</v>
      </c>
      <c r="FW55">
        <v>2.5622600000000002</v>
      </c>
      <c r="FX55">
        <v>1.5490699999999999</v>
      </c>
      <c r="FY55">
        <v>2.33643</v>
      </c>
      <c r="FZ55">
        <v>1.50146</v>
      </c>
      <c r="GA55">
        <v>2.2692899999999998</v>
      </c>
      <c r="GB55">
        <v>32.178400000000003</v>
      </c>
      <c r="GC55">
        <v>23.973700000000001</v>
      </c>
      <c r="GD55">
        <v>19</v>
      </c>
      <c r="GE55">
        <v>282.05599999999998</v>
      </c>
      <c r="GF55">
        <v>593.02099999999996</v>
      </c>
      <c r="GG55">
        <v>21.6172</v>
      </c>
      <c r="GH55">
        <v>26.231100000000001</v>
      </c>
      <c r="GI55">
        <v>30.0002</v>
      </c>
      <c r="GJ55">
        <v>26.2224</v>
      </c>
      <c r="GK55">
        <v>26.139600000000002</v>
      </c>
      <c r="GL55">
        <v>35.611600000000003</v>
      </c>
      <c r="GM55">
        <v>-30</v>
      </c>
      <c r="GN55">
        <v>-30</v>
      </c>
      <c r="GO55">
        <v>21.644400000000001</v>
      </c>
      <c r="GP55">
        <v>800</v>
      </c>
      <c r="GQ55">
        <v>12.5298</v>
      </c>
      <c r="GR55">
        <v>99.580399999999997</v>
      </c>
      <c r="GS55">
        <v>99.241500000000002</v>
      </c>
    </row>
    <row r="56" spans="1:201" x14ac:dyDescent="0.25">
      <c r="A56">
        <v>40</v>
      </c>
      <c r="B56">
        <v>1690204165.5</v>
      </c>
      <c r="C56">
        <v>725.90000009536743</v>
      </c>
      <c r="D56" t="s">
        <v>413</v>
      </c>
      <c r="E56" t="s">
        <v>414</v>
      </c>
      <c r="F56" t="s">
        <v>330</v>
      </c>
      <c r="H56">
        <v>1690204165.5</v>
      </c>
      <c r="I56">
        <f t="shared" si="0"/>
        <v>1.2543796594199368E-3</v>
      </c>
      <c r="J56">
        <f t="shared" si="1"/>
        <v>1.2543796594199368</v>
      </c>
      <c r="K56">
        <f t="shared" si="2"/>
        <v>21.609586497546108</v>
      </c>
      <c r="L56">
        <f t="shared" si="3"/>
        <v>567.96</v>
      </c>
      <c r="M56">
        <f t="shared" si="4"/>
        <v>140.40155544007419</v>
      </c>
      <c r="N56">
        <f t="shared" si="5"/>
        <v>13.919701651877737</v>
      </c>
      <c r="O56">
        <f t="shared" si="6"/>
        <v>56.308733371368007</v>
      </c>
      <c r="P56">
        <f t="shared" si="7"/>
        <v>8.4034781245206649E-2</v>
      </c>
      <c r="Q56">
        <f t="shared" si="8"/>
        <v>2.1885217706748481</v>
      </c>
      <c r="R56">
        <f t="shared" si="9"/>
        <v>8.2282460371351882E-2</v>
      </c>
      <c r="S56">
        <f t="shared" si="10"/>
        <v>5.1580933417360267E-2</v>
      </c>
      <c r="T56">
        <f t="shared" si="11"/>
        <v>276.11255128685968</v>
      </c>
      <c r="U56">
        <f t="shared" si="12"/>
        <v>26.788484284482276</v>
      </c>
      <c r="V56">
        <f t="shared" si="13"/>
        <v>26.788484284482276</v>
      </c>
      <c r="W56">
        <f t="shared" si="14"/>
        <v>3.5349367094665003</v>
      </c>
      <c r="X56">
        <f t="shared" si="15"/>
        <v>64.664790432028596</v>
      </c>
      <c r="Y56">
        <f t="shared" si="16"/>
        <v>2.0662299159553799</v>
      </c>
      <c r="Z56">
        <f t="shared" si="17"/>
        <v>3.1952936090116393</v>
      </c>
      <c r="AA56">
        <f t="shared" si="18"/>
        <v>1.4687067935111204</v>
      </c>
      <c r="AB56">
        <f t="shared" si="19"/>
        <v>-55.318142980419211</v>
      </c>
      <c r="AC56">
        <f t="shared" si="20"/>
        <v>-201.32036324497776</v>
      </c>
      <c r="AD56">
        <f t="shared" si="21"/>
        <v>-19.641894276170564</v>
      </c>
      <c r="AE56">
        <f t="shared" si="22"/>
        <v>-0.16784921470784298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52492.61823585302</v>
      </c>
      <c r="AK56">
        <f t="shared" si="26"/>
        <v>1799.99</v>
      </c>
      <c r="AL56">
        <f t="shared" si="27"/>
        <v>1499.10471199422</v>
      </c>
      <c r="AM56">
        <f t="shared" si="28"/>
        <v>0.832840578</v>
      </c>
      <c r="AN56">
        <f t="shared" si="29"/>
        <v>0.15339671402999999</v>
      </c>
      <c r="AO56">
        <v>31.2</v>
      </c>
      <c r="AP56">
        <v>0.5</v>
      </c>
      <c r="AQ56" t="s">
        <v>331</v>
      </c>
      <c r="AR56">
        <v>2</v>
      </c>
      <c r="AS56">
        <v>1690204165.5</v>
      </c>
      <c r="AT56">
        <v>567.96</v>
      </c>
      <c r="AU56">
        <v>800.01700000000005</v>
      </c>
      <c r="AV56">
        <v>20.841100000000001</v>
      </c>
      <c r="AW56">
        <v>8.0724999999999998</v>
      </c>
      <c r="AX56">
        <v>568.79200000000003</v>
      </c>
      <c r="AY56">
        <v>20.639399999999998</v>
      </c>
      <c r="AZ56">
        <v>300.11900000000003</v>
      </c>
      <c r="BA56">
        <v>99.042100000000005</v>
      </c>
      <c r="BB56">
        <v>9.9975800000000004E-2</v>
      </c>
      <c r="BC56">
        <v>25.0822</v>
      </c>
      <c r="BD56">
        <v>26.913399999999999</v>
      </c>
      <c r="BE56">
        <v>26.507100000000001</v>
      </c>
      <c r="BF56">
        <v>0</v>
      </c>
      <c r="BG56">
        <v>0</v>
      </c>
      <c r="BH56">
        <v>9957.5</v>
      </c>
      <c r="BI56">
        <v>1058.69</v>
      </c>
      <c r="BJ56">
        <v>1.4016500000000001</v>
      </c>
      <c r="BK56">
        <v>-232.05699999999999</v>
      </c>
      <c r="BL56">
        <v>580.04899999999998</v>
      </c>
      <c r="BM56">
        <v>806.52800000000002</v>
      </c>
      <c r="BN56">
        <v>12.768599999999999</v>
      </c>
      <c r="BO56">
        <v>800.01700000000005</v>
      </c>
      <c r="BP56">
        <v>8.0724999999999998</v>
      </c>
      <c r="BQ56">
        <v>2.0641500000000002</v>
      </c>
      <c r="BR56">
        <v>0.79951799999999995</v>
      </c>
      <c r="BS56">
        <v>17.9452</v>
      </c>
      <c r="BT56">
        <v>3.6987399999999999</v>
      </c>
      <c r="BU56">
        <v>1799.99</v>
      </c>
      <c r="BV56">
        <v>0.91001799999999999</v>
      </c>
      <c r="BW56">
        <v>3.39999E-2</v>
      </c>
      <c r="BX56">
        <v>2.1991900000000002E-2</v>
      </c>
      <c r="BY56">
        <v>3.3990100000000002E-2</v>
      </c>
      <c r="BZ56">
        <v>25</v>
      </c>
      <c r="CA56">
        <v>33528.400000000001</v>
      </c>
      <c r="CB56">
        <v>1690203121.0999999</v>
      </c>
      <c r="CC56" t="s">
        <v>332</v>
      </c>
      <c r="CD56">
        <v>1690203121.0999999</v>
      </c>
      <c r="CE56">
        <v>1690203121.0999999</v>
      </c>
      <c r="CF56">
        <v>3</v>
      </c>
      <c r="CG56">
        <v>0.53600000000000003</v>
      </c>
      <c r="CH56">
        <v>-0.01</v>
      </c>
      <c r="CI56">
        <v>-0.996</v>
      </c>
      <c r="CJ56">
        <v>-6.6000000000000003E-2</v>
      </c>
      <c r="CK56">
        <v>800</v>
      </c>
      <c r="CL56">
        <v>9</v>
      </c>
      <c r="CM56">
        <v>0.82</v>
      </c>
      <c r="CN56">
        <v>0.01</v>
      </c>
      <c r="CO56">
        <v>-229.91963414634151</v>
      </c>
      <c r="CP56">
        <v>-11.24972822299693</v>
      </c>
      <c r="CQ56">
        <v>1.111881853613504</v>
      </c>
      <c r="CR56">
        <v>-1</v>
      </c>
      <c r="CS56">
        <v>12.692417073170731</v>
      </c>
      <c r="CT56">
        <v>0.37728710801395721</v>
      </c>
      <c r="CU56">
        <v>3.7249775919699413E-2</v>
      </c>
      <c r="CV56">
        <v>-1</v>
      </c>
      <c r="CW56">
        <v>0</v>
      </c>
      <c r="CX56">
        <v>0</v>
      </c>
      <c r="CY56" t="s">
        <v>333</v>
      </c>
      <c r="CZ56">
        <v>2.36436</v>
      </c>
      <c r="DA56">
        <v>2.71373</v>
      </c>
      <c r="DB56">
        <v>0.11596099999999999</v>
      </c>
      <c r="DC56">
        <v>0.146143</v>
      </c>
      <c r="DD56">
        <v>0.102955</v>
      </c>
      <c r="DE56">
        <v>5.0070900000000002E-2</v>
      </c>
      <c r="DF56">
        <v>32233.3</v>
      </c>
      <c r="DG56">
        <v>27437.599999999999</v>
      </c>
      <c r="DH56">
        <v>31127.200000000001</v>
      </c>
      <c r="DI56">
        <v>28000.1</v>
      </c>
      <c r="DJ56">
        <v>37901.800000000003</v>
      </c>
      <c r="DK56">
        <v>37801.199999999997</v>
      </c>
      <c r="DL56">
        <v>44286.9</v>
      </c>
      <c r="DM56">
        <v>42413</v>
      </c>
      <c r="DN56">
        <v>1.4755499999999999</v>
      </c>
      <c r="DO56">
        <v>2.0508999999999999</v>
      </c>
      <c r="DP56">
        <v>0.14663899999999999</v>
      </c>
      <c r="DQ56">
        <v>0.13439400000000001</v>
      </c>
      <c r="DR56">
        <v>24.510200000000001</v>
      </c>
      <c r="DS56">
        <v>24.3035</v>
      </c>
      <c r="DT56">
        <v>26.4</v>
      </c>
      <c r="DU56">
        <v>27.3</v>
      </c>
      <c r="DV56">
        <v>9.7100899999999992</v>
      </c>
      <c r="DW56">
        <v>61.715499999999999</v>
      </c>
      <c r="DX56">
        <v>35.821300000000001</v>
      </c>
      <c r="DY56">
        <v>1</v>
      </c>
      <c r="DZ56">
        <v>-9.4136200000000003E-2</v>
      </c>
      <c r="EA56">
        <v>0.98085199999999995</v>
      </c>
      <c r="EB56">
        <v>20.1874</v>
      </c>
      <c r="EC56">
        <v>5.2404999999999999</v>
      </c>
      <c r="ED56">
        <v>12.039899999999999</v>
      </c>
      <c r="EE56">
        <v>5.01675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</v>
      </c>
      <c r="EL56">
        <v>1.8646199999999999</v>
      </c>
      <c r="EM56">
        <v>1.8691500000000001</v>
      </c>
      <c r="EN56">
        <v>1.8672200000000001</v>
      </c>
      <c r="EO56">
        <v>1.8633999999999999</v>
      </c>
      <c r="EP56">
        <v>1.8644799999999999</v>
      </c>
      <c r="EQ56">
        <v>1.87016</v>
      </c>
      <c r="ER56">
        <v>1.8693900000000001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-0.83199999999999996</v>
      </c>
      <c r="FG56">
        <v>0.20169999999999999</v>
      </c>
      <c r="FH56">
        <v>-0.44422204735670362</v>
      </c>
      <c r="FI56">
        <v>-6.1462078757559423E-4</v>
      </c>
      <c r="FJ56">
        <v>-1.8861989874597051E-7</v>
      </c>
      <c r="FK56">
        <v>1.1980462299894961E-10</v>
      </c>
      <c r="FL56">
        <v>-5.4907600448225742E-2</v>
      </c>
      <c r="FM56">
        <v>-1.6848085045870601E-2</v>
      </c>
      <c r="FN56">
        <v>1.9789084769509481E-3</v>
      </c>
      <c r="FO56">
        <v>-2.7142391389806329E-5</v>
      </c>
      <c r="FP56">
        <v>3</v>
      </c>
      <c r="FQ56">
        <v>2158</v>
      </c>
      <c r="FR56">
        <v>1</v>
      </c>
      <c r="FS56">
        <v>19</v>
      </c>
      <c r="FT56">
        <v>17.399999999999999</v>
      </c>
      <c r="FU56">
        <v>17.399999999999999</v>
      </c>
      <c r="FV56">
        <v>1.78101</v>
      </c>
      <c r="FW56">
        <v>2.5500500000000001</v>
      </c>
      <c r="FX56">
        <v>1.5490699999999999</v>
      </c>
      <c r="FY56">
        <v>2.33643</v>
      </c>
      <c r="FZ56">
        <v>1.50146</v>
      </c>
      <c r="GA56">
        <v>2.3718300000000001</v>
      </c>
      <c r="GB56">
        <v>32.178400000000003</v>
      </c>
      <c r="GC56">
        <v>23.982399999999998</v>
      </c>
      <c r="GD56">
        <v>19</v>
      </c>
      <c r="GE56">
        <v>282.04199999999997</v>
      </c>
      <c r="GF56">
        <v>593.00900000000001</v>
      </c>
      <c r="GG56">
        <v>21.734200000000001</v>
      </c>
      <c r="GH56">
        <v>26.225000000000001</v>
      </c>
      <c r="GI56">
        <v>29.9998</v>
      </c>
      <c r="GJ56">
        <v>26.224</v>
      </c>
      <c r="GK56">
        <v>26.143899999999999</v>
      </c>
      <c r="GL56">
        <v>35.611499999999999</v>
      </c>
      <c r="GM56">
        <v>-30</v>
      </c>
      <c r="GN56">
        <v>-30</v>
      </c>
      <c r="GO56">
        <v>21.807500000000001</v>
      </c>
      <c r="GP56">
        <v>800</v>
      </c>
      <c r="GQ56">
        <v>12.5298</v>
      </c>
      <c r="GR56">
        <v>99.580500000000001</v>
      </c>
      <c r="GS56">
        <v>99.242500000000007</v>
      </c>
    </row>
    <row r="57" spans="1:201" x14ac:dyDescent="0.25">
      <c r="A57">
        <v>41</v>
      </c>
      <c r="B57">
        <v>1690204175.5</v>
      </c>
      <c r="C57">
        <v>735.90000009536743</v>
      </c>
      <c r="D57" t="s">
        <v>415</v>
      </c>
      <c r="E57" t="s">
        <v>416</v>
      </c>
      <c r="F57" t="s">
        <v>330</v>
      </c>
      <c r="H57">
        <v>1690204175.5</v>
      </c>
      <c r="I57">
        <f t="shared" si="0"/>
        <v>1.2636355611902901E-3</v>
      </c>
      <c r="J57">
        <f t="shared" si="1"/>
        <v>1.2636355611902901</v>
      </c>
      <c r="K57">
        <f t="shared" si="2"/>
        <v>21.795999475837917</v>
      </c>
      <c r="L57">
        <f t="shared" si="3"/>
        <v>565.96900000000005</v>
      </c>
      <c r="M57">
        <f t="shared" si="4"/>
        <v>140.05071091108442</v>
      </c>
      <c r="N57">
        <f t="shared" si="5"/>
        <v>13.885226560645904</v>
      </c>
      <c r="O57">
        <f t="shared" si="6"/>
        <v>56.112587648994413</v>
      </c>
      <c r="P57">
        <f t="shared" si="7"/>
        <v>8.5095338489563382E-2</v>
      </c>
      <c r="Q57">
        <f t="shared" si="8"/>
        <v>2.1916292453022099</v>
      </c>
      <c r="R57">
        <f t="shared" si="9"/>
        <v>8.3301506860776142E-2</v>
      </c>
      <c r="S57">
        <f t="shared" si="10"/>
        <v>5.2221460905612534E-2</v>
      </c>
      <c r="T57">
        <f t="shared" si="11"/>
        <v>276.11237281785122</v>
      </c>
      <c r="U57">
        <f t="shared" si="12"/>
        <v>26.794209614288643</v>
      </c>
      <c r="V57">
        <f t="shared" si="13"/>
        <v>26.794209614288643</v>
      </c>
      <c r="W57">
        <f t="shared" si="14"/>
        <v>3.5361274309110464</v>
      </c>
      <c r="X57">
        <f t="shared" si="15"/>
        <v>64.887660285192879</v>
      </c>
      <c r="Y57">
        <f t="shared" si="16"/>
        <v>2.0747228963408801</v>
      </c>
      <c r="Z57">
        <f t="shared" si="17"/>
        <v>3.1974074688809884</v>
      </c>
      <c r="AA57">
        <f t="shared" si="18"/>
        <v>1.4614045345701663</v>
      </c>
      <c r="AB57">
        <f t="shared" si="19"/>
        <v>-55.726328248491797</v>
      </c>
      <c r="AC57">
        <f t="shared" si="20"/>
        <v>-200.9711725653199</v>
      </c>
      <c r="AD57">
        <f t="shared" si="21"/>
        <v>-19.581675854331969</v>
      </c>
      <c r="AE57">
        <f t="shared" si="22"/>
        <v>-0.16680385029246736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52618.321654315085</v>
      </c>
      <c r="AK57">
        <f t="shared" si="26"/>
        <v>1799.99</v>
      </c>
      <c r="AL57">
        <f t="shared" si="27"/>
        <v>1499.10527899107</v>
      </c>
      <c r="AM57">
        <f t="shared" si="28"/>
        <v>0.83284089299999997</v>
      </c>
      <c r="AN57">
        <f t="shared" si="29"/>
        <v>0.15339661488</v>
      </c>
      <c r="AO57">
        <v>31.2</v>
      </c>
      <c r="AP57">
        <v>0.5</v>
      </c>
      <c r="AQ57" t="s">
        <v>331</v>
      </c>
      <c r="AR57">
        <v>2</v>
      </c>
      <c r="AS57">
        <v>1690204175.5</v>
      </c>
      <c r="AT57">
        <v>565.96900000000005</v>
      </c>
      <c r="AU57">
        <v>800.00099999999998</v>
      </c>
      <c r="AV57">
        <v>20.926300000000001</v>
      </c>
      <c r="AW57">
        <v>8.0641300000000005</v>
      </c>
      <c r="AX57">
        <v>566.79999999999995</v>
      </c>
      <c r="AY57">
        <v>20.722100000000001</v>
      </c>
      <c r="AZ57">
        <v>300.108</v>
      </c>
      <c r="BA57">
        <v>99.044300000000007</v>
      </c>
      <c r="BB57">
        <v>9.99776E-2</v>
      </c>
      <c r="BC57">
        <v>25.093299999999999</v>
      </c>
      <c r="BD57">
        <v>26.946999999999999</v>
      </c>
      <c r="BE57">
        <v>26.5242</v>
      </c>
      <c r="BF57">
        <v>0</v>
      </c>
      <c r="BG57">
        <v>0</v>
      </c>
      <c r="BH57">
        <v>9982.5</v>
      </c>
      <c r="BI57">
        <v>1058.56</v>
      </c>
      <c r="BJ57">
        <v>1.5137799999999999</v>
      </c>
      <c r="BK57">
        <v>-234.03200000000001</v>
      </c>
      <c r="BL57">
        <v>578.06500000000005</v>
      </c>
      <c r="BM57">
        <v>806.505</v>
      </c>
      <c r="BN57">
        <v>12.8622</v>
      </c>
      <c r="BO57">
        <v>800.00099999999998</v>
      </c>
      <c r="BP57">
        <v>8.0641300000000005</v>
      </c>
      <c r="BQ57">
        <v>2.0726300000000002</v>
      </c>
      <c r="BR57">
        <v>0.79870600000000003</v>
      </c>
      <c r="BS57">
        <v>18.010400000000001</v>
      </c>
      <c r="BT57">
        <v>3.6843300000000001</v>
      </c>
      <c r="BU57">
        <v>1799.99</v>
      </c>
      <c r="BV57">
        <v>0.910022</v>
      </c>
      <c r="BW57">
        <v>3.3998399999999998E-2</v>
      </c>
      <c r="BX57">
        <v>2.1990900000000001E-2</v>
      </c>
      <c r="BY57">
        <v>3.3988600000000001E-2</v>
      </c>
      <c r="BZ57">
        <v>25</v>
      </c>
      <c r="CA57">
        <v>33528.300000000003</v>
      </c>
      <c r="CB57">
        <v>1690203121.0999999</v>
      </c>
      <c r="CC57" t="s">
        <v>332</v>
      </c>
      <c r="CD57">
        <v>1690203121.0999999</v>
      </c>
      <c r="CE57">
        <v>1690203121.0999999</v>
      </c>
      <c r="CF57">
        <v>3</v>
      </c>
      <c r="CG57">
        <v>0.53600000000000003</v>
      </c>
      <c r="CH57">
        <v>-0.01</v>
      </c>
      <c r="CI57">
        <v>-0.996</v>
      </c>
      <c r="CJ57">
        <v>-6.6000000000000003E-2</v>
      </c>
      <c r="CK57">
        <v>800</v>
      </c>
      <c r="CL57">
        <v>9</v>
      </c>
      <c r="CM57">
        <v>0.82</v>
      </c>
      <c r="CN57">
        <v>0.01</v>
      </c>
      <c r="CO57">
        <v>-231.92932500000001</v>
      </c>
      <c r="CP57">
        <v>-11.616551594746239</v>
      </c>
      <c r="CQ57">
        <v>1.1180123744283881</v>
      </c>
      <c r="CR57">
        <v>-1</v>
      </c>
      <c r="CS57">
        <v>12.768179999999999</v>
      </c>
      <c r="CT57">
        <v>0.48373958724198413</v>
      </c>
      <c r="CU57">
        <v>4.6661655564285309E-2</v>
      </c>
      <c r="CV57">
        <v>-1</v>
      </c>
      <c r="CW57">
        <v>0</v>
      </c>
      <c r="CX57">
        <v>0</v>
      </c>
      <c r="CY57" t="s">
        <v>333</v>
      </c>
      <c r="CZ57">
        <v>2.3643299999999998</v>
      </c>
      <c r="DA57">
        <v>2.7137500000000001</v>
      </c>
      <c r="DB57">
        <v>0.115675</v>
      </c>
      <c r="DC57">
        <v>0.146143</v>
      </c>
      <c r="DD57">
        <v>0.103251</v>
      </c>
      <c r="DE57">
        <v>5.0030499999999999E-2</v>
      </c>
      <c r="DF57">
        <v>32244.3</v>
      </c>
      <c r="DG57">
        <v>27437.9</v>
      </c>
      <c r="DH57">
        <v>31127.7</v>
      </c>
      <c r="DI57">
        <v>28000.400000000001</v>
      </c>
      <c r="DJ57">
        <v>37889.699999999997</v>
      </c>
      <c r="DK57">
        <v>37803.199999999997</v>
      </c>
      <c r="DL57">
        <v>44287.6</v>
      </c>
      <c r="DM57">
        <v>42413.5</v>
      </c>
      <c r="DN57">
        <v>1.4759199999999999</v>
      </c>
      <c r="DO57">
        <v>2.05098</v>
      </c>
      <c r="DP57">
        <v>0.14982000000000001</v>
      </c>
      <c r="DQ57">
        <v>0.136185</v>
      </c>
      <c r="DR57">
        <v>24.491700000000002</v>
      </c>
      <c r="DS57">
        <v>24.2912</v>
      </c>
      <c r="DT57">
        <v>26.4</v>
      </c>
      <c r="DU57">
        <v>27.3</v>
      </c>
      <c r="DV57">
        <v>9.7102199999999996</v>
      </c>
      <c r="DW57">
        <v>61.585500000000003</v>
      </c>
      <c r="DX57">
        <v>36.955100000000002</v>
      </c>
      <c r="DY57">
        <v>1</v>
      </c>
      <c r="DZ57">
        <v>-9.4519800000000001E-2</v>
      </c>
      <c r="EA57">
        <v>0.87035700000000005</v>
      </c>
      <c r="EB57">
        <v>20.188199999999998</v>
      </c>
      <c r="EC57">
        <v>5.2409499999999998</v>
      </c>
      <c r="ED57">
        <v>12.039899999999999</v>
      </c>
      <c r="EE57">
        <v>5.0169499999999996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</v>
      </c>
      <c r="EL57">
        <v>1.8646199999999999</v>
      </c>
      <c r="EM57">
        <v>1.8691500000000001</v>
      </c>
      <c r="EN57">
        <v>1.8672200000000001</v>
      </c>
      <c r="EO57">
        <v>1.86338</v>
      </c>
      <c r="EP57">
        <v>1.8644700000000001</v>
      </c>
      <c r="EQ57">
        <v>1.8701300000000001</v>
      </c>
      <c r="ER57">
        <v>1.8693599999999999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-0.83099999999999996</v>
      </c>
      <c r="FG57">
        <v>0.20419999999999999</v>
      </c>
      <c r="FH57">
        <v>-0.44422204735670362</v>
      </c>
      <c r="FI57">
        <v>-6.1462078757559423E-4</v>
      </c>
      <c r="FJ57">
        <v>-1.8861989874597051E-7</v>
      </c>
      <c r="FK57">
        <v>1.1980462299894961E-10</v>
      </c>
      <c r="FL57">
        <v>-5.4907600448225742E-2</v>
      </c>
      <c r="FM57">
        <v>-1.6848085045870601E-2</v>
      </c>
      <c r="FN57">
        <v>1.9789084769509481E-3</v>
      </c>
      <c r="FO57">
        <v>-2.7142391389806329E-5</v>
      </c>
      <c r="FP57">
        <v>3</v>
      </c>
      <c r="FQ57">
        <v>2158</v>
      </c>
      <c r="FR57">
        <v>1</v>
      </c>
      <c r="FS57">
        <v>19</v>
      </c>
      <c r="FT57">
        <v>17.600000000000001</v>
      </c>
      <c r="FU57">
        <v>17.600000000000001</v>
      </c>
      <c r="FV57">
        <v>1.78101</v>
      </c>
      <c r="FW57">
        <v>2.5549300000000001</v>
      </c>
      <c r="FX57">
        <v>1.5490699999999999</v>
      </c>
      <c r="FY57">
        <v>2.33643</v>
      </c>
      <c r="FZ57">
        <v>1.50146</v>
      </c>
      <c r="GA57">
        <v>2.3828100000000001</v>
      </c>
      <c r="GB57">
        <v>32.178400000000003</v>
      </c>
      <c r="GC57">
        <v>23.982399999999998</v>
      </c>
      <c r="GD57">
        <v>19</v>
      </c>
      <c r="GE57">
        <v>282.20400000000001</v>
      </c>
      <c r="GF57">
        <v>593.11900000000003</v>
      </c>
      <c r="GG57">
        <v>21.889900000000001</v>
      </c>
      <c r="GH57">
        <v>26.218299999999999</v>
      </c>
      <c r="GI57">
        <v>29.9999</v>
      </c>
      <c r="GJ57">
        <v>26.224599999999999</v>
      </c>
      <c r="GK57">
        <v>26.148099999999999</v>
      </c>
      <c r="GL57">
        <v>35.610700000000001</v>
      </c>
      <c r="GM57">
        <v>-30</v>
      </c>
      <c r="GN57">
        <v>-30</v>
      </c>
      <c r="GO57">
        <v>21.9528</v>
      </c>
      <c r="GP57">
        <v>800</v>
      </c>
      <c r="GQ57">
        <v>12.5298</v>
      </c>
      <c r="GR57">
        <v>99.582099999999997</v>
      </c>
      <c r="GS57">
        <v>99.243399999999994</v>
      </c>
    </row>
    <row r="58" spans="1:201" x14ac:dyDescent="0.25">
      <c r="A58">
        <v>42</v>
      </c>
      <c r="B58">
        <v>1690204185.5</v>
      </c>
      <c r="C58">
        <v>745.90000009536743</v>
      </c>
      <c r="D58" t="s">
        <v>417</v>
      </c>
      <c r="E58" t="s">
        <v>418</v>
      </c>
      <c r="F58" t="s">
        <v>330</v>
      </c>
      <c r="H58">
        <v>1690204185.5</v>
      </c>
      <c r="I58">
        <f t="shared" si="0"/>
        <v>1.2734862798371635E-3</v>
      </c>
      <c r="J58">
        <f t="shared" si="1"/>
        <v>1.2734862798371636</v>
      </c>
      <c r="K58">
        <f t="shared" si="2"/>
        <v>21.983853180404179</v>
      </c>
      <c r="L58">
        <f t="shared" si="3"/>
        <v>564.07299999999998</v>
      </c>
      <c r="M58">
        <f t="shared" si="4"/>
        <v>139.84843635951344</v>
      </c>
      <c r="N58">
        <f t="shared" si="5"/>
        <v>13.86478501197263</v>
      </c>
      <c r="O58">
        <f t="shared" si="6"/>
        <v>55.923048406156994</v>
      </c>
      <c r="P58">
        <f t="shared" si="7"/>
        <v>8.6181591531441268E-2</v>
      </c>
      <c r="Q58">
        <f t="shared" si="8"/>
        <v>2.1960550348316019</v>
      </c>
      <c r="R58">
        <f t="shared" si="9"/>
        <v>8.4345825864447679E-2</v>
      </c>
      <c r="S58">
        <f t="shared" si="10"/>
        <v>5.2877820495698641E-2</v>
      </c>
      <c r="T58">
        <f t="shared" si="11"/>
        <v>276.11554653000002</v>
      </c>
      <c r="U58">
        <f t="shared" si="12"/>
        <v>26.802538784185543</v>
      </c>
      <c r="V58">
        <f t="shared" si="13"/>
        <v>26.802538784185543</v>
      </c>
      <c r="W58">
        <f t="shared" si="14"/>
        <v>3.5378603094100094</v>
      </c>
      <c r="X58">
        <f t="shared" si="15"/>
        <v>65.102213123407353</v>
      </c>
      <c r="Y58">
        <f t="shared" si="16"/>
        <v>2.0834191550314003</v>
      </c>
      <c r="Z58">
        <f t="shared" si="17"/>
        <v>3.2002278495234622</v>
      </c>
      <c r="AA58">
        <f t="shared" si="18"/>
        <v>1.4544411543786091</v>
      </c>
      <c r="AB58">
        <f t="shared" si="19"/>
        <v>-56.160744940818908</v>
      </c>
      <c r="AC58">
        <f t="shared" si="20"/>
        <v>-200.61090934168465</v>
      </c>
      <c r="AD58">
        <f t="shared" si="21"/>
        <v>-19.509443369688082</v>
      </c>
      <c r="AE58">
        <f t="shared" si="22"/>
        <v>-0.16555112219162993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52797.709843119876</v>
      </c>
      <c r="AK58">
        <f t="shared" si="26"/>
        <v>1800</v>
      </c>
      <c r="AL58">
        <f t="shared" si="27"/>
        <v>1499.115969</v>
      </c>
      <c r="AM58">
        <f t="shared" si="28"/>
        <v>0.83284220499999995</v>
      </c>
      <c r="AN58">
        <f t="shared" si="29"/>
        <v>0.15339752585000002</v>
      </c>
      <c r="AO58">
        <v>31.2</v>
      </c>
      <c r="AP58">
        <v>0.5</v>
      </c>
      <c r="AQ58" t="s">
        <v>331</v>
      </c>
      <c r="AR58">
        <v>2</v>
      </c>
      <c r="AS58">
        <v>1690204185.5</v>
      </c>
      <c r="AT58">
        <v>564.07299999999998</v>
      </c>
      <c r="AU58">
        <v>800.00199999999995</v>
      </c>
      <c r="AV58">
        <v>21.014600000000002</v>
      </c>
      <c r="AW58">
        <v>8.0582100000000008</v>
      </c>
      <c r="AX58">
        <v>564.90300000000002</v>
      </c>
      <c r="AY58">
        <v>20.8078</v>
      </c>
      <c r="AZ58">
        <v>300.221</v>
      </c>
      <c r="BA58">
        <v>99.041499999999999</v>
      </c>
      <c r="BB58">
        <v>0.100009</v>
      </c>
      <c r="BC58">
        <v>25.1081</v>
      </c>
      <c r="BD58">
        <v>26.9375</v>
      </c>
      <c r="BE58">
        <v>26.5063</v>
      </c>
      <c r="BF58">
        <v>0</v>
      </c>
      <c r="BG58">
        <v>0</v>
      </c>
      <c r="BH58">
        <v>10018.799999999999</v>
      </c>
      <c r="BI58">
        <v>1058.46</v>
      </c>
      <c r="BJ58">
        <v>1.5137799999999999</v>
      </c>
      <c r="BK58">
        <v>-235.929</v>
      </c>
      <c r="BL58">
        <v>576.18100000000004</v>
      </c>
      <c r="BM58">
        <v>806.50099999999998</v>
      </c>
      <c r="BN58">
        <v>12.9564</v>
      </c>
      <c r="BO58">
        <v>800.00199999999995</v>
      </c>
      <c r="BP58">
        <v>8.0582100000000008</v>
      </c>
      <c r="BQ58">
        <v>2.0813100000000002</v>
      </c>
      <c r="BR58">
        <v>0.79809699999999995</v>
      </c>
      <c r="BS58">
        <v>18.076899999999998</v>
      </c>
      <c r="BT58">
        <v>3.6735099999999998</v>
      </c>
      <c r="BU58">
        <v>1800</v>
      </c>
      <c r="BV58">
        <v>0.91001500000000002</v>
      </c>
      <c r="BW58">
        <v>3.3996699999999998E-2</v>
      </c>
      <c r="BX58">
        <v>2.2002000000000001E-2</v>
      </c>
      <c r="BY58">
        <v>3.39869E-2</v>
      </c>
      <c r="BZ58">
        <v>25</v>
      </c>
      <c r="CA58">
        <v>33528.300000000003</v>
      </c>
      <c r="CB58">
        <v>1690203121.0999999</v>
      </c>
      <c r="CC58" t="s">
        <v>332</v>
      </c>
      <c r="CD58">
        <v>1690203121.0999999</v>
      </c>
      <c r="CE58">
        <v>1690203121.0999999</v>
      </c>
      <c r="CF58">
        <v>3</v>
      </c>
      <c r="CG58">
        <v>0.53600000000000003</v>
      </c>
      <c r="CH58">
        <v>-0.01</v>
      </c>
      <c r="CI58">
        <v>-0.996</v>
      </c>
      <c r="CJ58">
        <v>-6.6000000000000003E-2</v>
      </c>
      <c r="CK58">
        <v>800</v>
      </c>
      <c r="CL58">
        <v>9</v>
      </c>
      <c r="CM58">
        <v>0.82</v>
      </c>
      <c r="CN58">
        <v>0.01</v>
      </c>
      <c r="CO58">
        <v>-233.72773170731699</v>
      </c>
      <c r="CP58">
        <v>-11.689442508711011</v>
      </c>
      <c r="CQ58">
        <v>1.153314904734372</v>
      </c>
      <c r="CR58">
        <v>-1</v>
      </c>
      <c r="CS58">
        <v>12.8489243902439</v>
      </c>
      <c r="CT58">
        <v>0.5664585365853565</v>
      </c>
      <c r="CU58">
        <v>5.586081911709749E-2</v>
      </c>
      <c r="CV58">
        <v>-1</v>
      </c>
      <c r="CW58">
        <v>0</v>
      </c>
      <c r="CX58">
        <v>0</v>
      </c>
      <c r="CY58" t="s">
        <v>333</v>
      </c>
      <c r="CZ58">
        <v>2.3647200000000002</v>
      </c>
      <c r="DA58">
        <v>2.7138200000000001</v>
      </c>
      <c r="DB58">
        <v>0.115397</v>
      </c>
      <c r="DC58">
        <v>0.14613799999999999</v>
      </c>
      <c r="DD58">
        <v>0.103551</v>
      </c>
      <c r="DE58">
        <v>4.9999799999999997E-2</v>
      </c>
      <c r="DF58">
        <v>32255</v>
      </c>
      <c r="DG58">
        <v>27438.5</v>
      </c>
      <c r="DH58">
        <v>31128.3</v>
      </c>
      <c r="DI58">
        <v>28000.799999999999</v>
      </c>
      <c r="DJ58">
        <v>37877.5</v>
      </c>
      <c r="DK58">
        <v>37805</v>
      </c>
      <c r="DL58">
        <v>44288.4</v>
      </c>
      <c r="DM58">
        <v>42414</v>
      </c>
      <c r="DN58">
        <v>1.4757499999999999</v>
      </c>
      <c r="DO58">
        <v>2.0511499999999998</v>
      </c>
      <c r="DP58">
        <v>0.15031900000000001</v>
      </c>
      <c r="DQ58">
        <v>0.13583500000000001</v>
      </c>
      <c r="DR58">
        <v>24.474</v>
      </c>
      <c r="DS58">
        <v>24.279</v>
      </c>
      <c r="DT58">
        <v>26.4</v>
      </c>
      <c r="DU58">
        <v>27.3</v>
      </c>
      <c r="DV58">
        <v>9.7086500000000004</v>
      </c>
      <c r="DW58">
        <v>61.695500000000003</v>
      </c>
      <c r="DX58">
        <v>35.721200000000003</v>
      </c>
      <c r="DY58">
        <v>1</v>
      </c>
      <c r="DZ58">
        <v>-9.48933E-2</v>
      </c>
      <c r="EA58">
        <v>0.90870399999999996</v>
      </c>
      <c r="EB58">
        <v>20.1877</v>
      </c>
      <c r="EC58">
        <v>5.2411000000000003</v>
      </c>
      <c r="ED58">
        <v>12.039899999999999</v>
      </c>
      <c r="EE58">
        <v>5.0166000000000004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</v>
      </c>
      <c r="EL58">
        <v>1.8646100000000001</v>
      </c>
      <c r="EM58">
        <v>1.86914</v>
      </c>
      <c r="EN58">
        <v>1.8672200000000001</v>
      </c>
      <c r="EO58">
        <v>1.8633999999999999</v>
      </c>
      <c r="EP58">
        <v>1.8644700000000001</v>
      </c>
      <c r="EQ58">
        <v>1.8701399999999999</v>
      </c>
      <c r="ER58">
        <v>1.86937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-0.83</v>
      </c>
      <c r="FG58">
        <v>0.20680000000000001</v>
      </c>
      <c r="FH58">
        <v>-0.44422204735670362</v>
      </c>
      <c r="FI58">
        <v>-6.1462078757559423E-4</v>
      </c>
      <c r="FJ58">
        <v>-1.8861989874597051E-7</v>
      </c>
      <c r="FK58">
        <v>1.1980462299894961E-10</v>
      </c>
      <c r="FL58">
        <v>-5.4907600448225742E-2</v>
      </c>
      <c r="FM58">
        <v>-1.6848085045870601E-2</v>
      </c>
      <c r="FN58">
        <v>1.9789084769509481E-3</v>
      </c>
      <c r="FO58">
        <v>-2.7142391389806329E-5</v>
      </c>
      <c r="FP58">
        <v>3</v>
      </c>
      <c r="FQ58">
        <v>2158</v>
      </c>
      <c r="FR58">
        <v>1</v>
      </c>
      <c r="FS58">
        <v>19</v>
      </c>
      <c r="FT58">
        <v>17.7</v>
      </c>
      <c r="FU58">
        <v>17.7</v>
      </c>
      <c r="FV58">
        <v>1.78101</v>
      </c>
      <c r="FW58">
        <v>2.5598100000000001</v>
      </c>
      <c r="FX58">
        <v>1.5490699999999999</v>
      </c>
      <c r="FY58">
        <v>2.33643</v>
      </c>
      <c r="FZ58">
        <v>1.50146</v>
      </c>
      <c r="GA58">
        <v>2.3559600000000001</v>
      </c>
      <c r="GB58">
        <v>32.178400000000003</v>
      </c>
      <c r="GC58">
        <v>23.982399999999998</v>
      </c>
      <c r="GD58">
        <v>19</v>
      </c>
      <c r="GE58">
        <v>282.13600000000002</v>
      </c>
      <c r="GF58">
        <v>593.29700000000003</v>
      </c>
      <c r="GG58">
        <v>22.014600000000002</v>
      </c>
      <c r="GH58">
        <v>26.2117</v>
      </c>
      <c r="GI58">
        <v>30.0001</v>
      </c>
      <c r="GJ58">
        <v>26.226199999999999</v>
      </c>
      <c r="GK58">
        <v>26.1509</v>
      </c>
      <c r="GL58">
        <v>35.610799999999998</v>
      </c>
      <c r="GM58">
        <v>-30</v>
      </c>
      <c r="GN58">
        <v>-30</v>
      </c>
      <c r="GO58">
        <v>22.0382</v>
      </c>
      <c r="GP58">
        <v>800</v>
      </c>
      <c r="GQ58">
        <v>12.5298</v>
      </c>
      <c r="GR58">
        <v>99.583799999999997</v>
      </c>
      <c r="GS58">
        <v>99.244799999999998</v>
      </c>
    </row>
    <row r="59" spans="1:201" x14ac:dyDescent="0.25">
      <c r="A59">
        <v>43</v>
      </c>
      <c r="B59">
        <v>1690204195.5</v>
      </c>
      <c r="C59">
        <v>755.90000009536743</v>
      </c>
      <c r="D59" t="s">
        <v>419</v>
      </c>
      <c r="E59" t="s">
        <v>420</v>
      </c>
      <c r="F59" t="s">
        <v>330</v>
      </c>
      <c r="H59">
        <v>1690204195.5</v>
      </c>
      <c r="I59">
        <f t="shared" si="0"/>
        <v>1.2809949002827146E-3</v>
      </c>
      <c r="J59">
        <f t="shared" si="1"/>
        <v>1.2809949002827146</v>
      </c>
      <c r="K59">
        <f t="shared" si="2"/>
        <v>22.178705001382603</v>
      </c>
      <c r="L59">
        <f t="shared" si="3"/>
        <v>561.98400000000004</v>
      </c>
      <c r="M59">
        <f t="shared" si="4"/>
        <v>138.3186550437724</v>
      </c>
      <c r="N59">
        <f t="shared" si="5"/>
        <v>13.713594755195512</v>
      </c>
      <c r="O59">
        <f t="shared" si="6"/>
        <v>55.717869960960009</v>
      </c>
      <c r="P59">
        <f t="shared" si="7"/>
        <v>8.706464916664243E-2</v>
      </c>
      <c r="Q59">
        <f t="shared" si="8"/>
        <v>2.1930980535684039</v>
      </c>
      <c r="R59">
        <f t="shared" si="9"/>
        <v>8.5189044085916141E-2</v>
      </c>
      <c r="S59">
        <f t="shared" si="10"/>
        <v>5.3408302887278096E-2</v>
      </c>
      <c r="T59">
        <f t="shared" si="11"/>
        <v>276.11638498799999</v>
      </c>
      <c r="U59">
        <f t="shared" si="12"/>
        <v>26.81006268328634</v>
      </c>
      <c r="V59">
        <f t="shared" si="13"/>
        <v>26.81006268328634</v>
      </c>
      <c r="W59">
        <f t="shared" si="14"/>
        <v>3.5394262890996813</v>
      </c>
      <c r="X59">
        <f t="shared" si="15"/>
        <v>65.305072309357328</v>
      </c>
      <c r="Y59">
        <f t="shared" si="16"/>
        <v>2.0909072976360004</v>
      </c>
      <c r="Z59">
        <f t="shared" si="17"/>
        <v>3.2017532845398931</v>
      </c>
      <c r="AA59">
        <f t="shared" si="18"/>
        <v>1.4485189914636809</v>
      </c>
      <c r="AB59">
        <f t="shared" si="19"/>
        <v>-56.491875102467716</v>
      </c>
      <c r="AC59">
        <f t="shared" si="20"/>
        <v>-200.28449591957946</v>
      </c>
      <c r="AD59">
        <f t="shared" si="21"/>
        <v>-19.505480756336844</v>
      </c>
      <c r="AE59">
        <f t="shared" si="22"/>
        <v>-0.16546679038401635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52674.688581783819</v>
      </c>
      <c r="AK59">
        <f t="shared" si="26"/>
        <v>1800</v>
      </c>
      <c r="AL59">
        <f t="shared" si="27"/>
        <v>1499.1146838000002</v>
      </c>
      <c r="AM59">
        <f t="shared" si="28"/>
        <v>0.83284149100000004</v>
      </c>
      <c r="AN59">
        <f t="shared" si="29"/>
        <v>0.15339799165999998</v>
      </c>
      <c r="AO59">
        <v>31.2</v>
      </c>
      <c r="AP59">
        <v>0.5</v>
      </c>
      <c r="AQ59" t="s">
        <v>331</v>
      </c>
      <c r="AR59">
        <v>2</v>
      </c>
      <c r="AS59">
        <v>1690204195.5</v>
      </c>
      <c r="AT59">
        <v>561.98400000000004</v>
      </c>
      <c r="AU59">
        <v>800.08900000000006</v>
      </c>
      <c r="AV59">
        <v>21.089400000000001</v>
      </c>
      <c r="AW59">
        <v>8.0502300000000009</v>
      </c>
      <c r="AX59">
        <v>562.81200000000001</v>
      </c>
      <c r="AY59">
        <v>20.880400000000002</v>
      </c>
      <c r="AZ59">
        <v>300.05099999999999</v>
      </c>
      <c r="BA59">
        <v>99.044899999999998</v>
      </c>
      <c r="BB59">
        <v>0.10004</v>
      </c>
      <c r="BC59">
        <v>25.116099999999999</v>
      </c>
      <c r="BD59">
        <v>26.8734</v>
      </c>
      <c r="BE59">
        <v>26.5154</v>
      </c>
      <c r="BF59">
        <v>0</v>
      </c>
      <c r="BG59">
        <v>0</v>
      </c>
      <c r="BH59">
        <v>9994.3799999999992</v>
      </c>
      <c r="BI59">
        <v>1058.31</v>
      </c>
      <c r="BJ59">
        <v>1.5137799999999999</v>
      </c>
      <c r="BK59">
        <v>-238.10499999999999</v>
      </c>
      <c r="BL59">
        <v>574.09100000000001</v>
      </c>
      <c r="BM59">
        <v>806.58199999999999</v>
      </c>
      <c r="BN59">
        <v>13.039199999999999</v>
      </c>
      <c r="BO59">
        <v>800.08900000000006</v>
      </c>
      <c r="BP59">
        <v>8.0502300000000009</v>
      </c>
      <c r="BQ59">
        <v>2.0888</v>
      </c>
      <c r="BR59">
        <v>0.79733399999999999</v>
      </c>
      <c r="BS59">
        <v>18.134</v>
      </c>
      <c r="BT59">
        <v>3.6599300000000001</v>
      </c>
      <c r="BU59">
        <v>1800</v>
      </c>
      <c r="BV59">
        <v>0.91000199999999998</v>
      </c>
      <c r="BW59">
        <v>3.39946E-2</v>
      </c>
      <c r="BX59">
        <v>2.2009299999999999E-2</v>
      </c>
      <c r="BY59">
        <v>3.3994000000000003E-2</v>
      </c>
      <c r="BZ59">
        <v>25</v>
      </c>
      <c r="CA59">
        <v>33528.199999999997</v>
      </c>
      <c r="CB59">
        <v>1690203121.0999999</v>
      </c>
      <c r="CC59" t="s">
        <v>332</v>
      </c>
      <c r="CD59">
        <v>1690203121.0999999</v>
      </c>
      <c r="CE59">
        <v>1690203121.0999999</v>
      </c>
      <c r="CF59">
        <v>3</v>
      </c>
      <c r="CG59">
        <v>0.53600000000000003</v>
      </c>
      <c r="CH59">
        <v>-0.01</v>
      </c>
      <c r="CI59">
        <v>-0.996</v>
      </c>
      <c r="CJ59">
        <v>-6.6000000000000003E-2</v>
      </c>
      <c r="CK59">
        <v>800</v>
      </c>
      <c r="CL59">
        <v>9</v>
      </c>
      <c r="CM59">
        <v>0.82</v>
      </c>
      <c r="CN59">
        <v>0.01</v>
      </c>
      <c r="CO59">
        <v>-235.83122499999999</v>
      </c>
      <c r="CP59">
        <v>-11.60254784240049</v>
      </c>
      <c r="CQ59">
        <v>1.117375037476227</v>
      </c>
      <c r="CR59">
        <v>-1</v>
      </c>
      <c r="CS59">
        <v>12.947547500000001</v>
      </c>
      <c r="CT59">
        <v>0.5315178236397371</v>
      </c>
      <c r="CU59">
        <v>5.1169991144712927E-2</v>
      </c>
      <c r="CV59">
        <v>-1</v>
      </c>
      <c r="CW59">
        <v>0</v>
      </c>
      <c r="CX59">
        <v>0</v>
      </c>
      <c r="CY59" t="s">
        <v>333</v>
      </c>
      <c r="CZ59">
        <v>2.3641700000000001</v>
      </c>
      <c r="DA59">
        <v>2.7138200000000001</v>
      </c>
      <c r="DB59">
        <v>0.115097</v>
      </c>
      <c r="DC59">
        <v>0.146152</v>
      </c>
      <c r="DD59">
        <v>0.103812</v>
      </c>
      <c r="DE59">
        <v>4.9961899999999997E-2</v>
      </c>
      <c r="DF59">
        <v>32266.7</v>
      </c>
      <c r="DG59">
        <v>27438.2</v>
      </c>
      <c r="DH59">
        <v>31128.9</v>
      </c>
      <c r="DI59">
        <v>28000.9</v>
      </c>
      <c r="DJ59">
        <v>37867.1</v>
      </c>
      <c r="DK59">
        <v>37806.699999999997</v>
      </c>
      <c r="DL59">
        <v>44289.2</v>
      </c>
      <c r="DM59">
        <v>42414.3</v>
      </c>
      <c r="DN59">
        <v>1.4762</v>
      </c>
      <c r="DO59">
        <v>2.0512999999999999</v>
      </c>
      <c r="DP59">
        <v>0.14745800000000001</v>
      </c>
      <c r="DQ59">
        <v>0.137042</v>
      </c>
      <c r="DR59">
        <v>24.456600000000002</v>
      </c>
      <c r="DS59">
        <v>24.2683</v>
      </c>
      <c r="DT59">
        <v>26.3</v>
      </c>
      <c r="DU59">
        <v>27.3</v>
      </c>
      <c r="DV59">
        <v>9.6730699999999992</v>
      </c>
      <c r="DW59">
        <v>61.505499999999998</v>
      </c>
      <c r="DX59">
        <v>36.722799999999999</v>
      </c>
      <c r="DY59">
        <v>1</v>
      </c>
      <c r="DZ59">
        <v>-9.5149899999999996E-2</v>
      </c>
      <c r="EA59">
        <v>0.87927</v>
      </c>
      <c r="EB59">
        <v>20.187999999999999</v>
      </c>
      <c r="EC59">
        <v>5.2406499999999996</v>
      </c>
      <c r="ED59">
        <v>12.039899999999999</v>
      </c>
      <c r="EE59">
        <v>5.0167000000000002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</v>
      </c>
      <c r="EL59">
        <v>1.8646199999999999</v>
      </c>
      <c r="EM59">
        <v>1.86913</v>
      </c>
      <c r="EN59">
        <v>1.8672200000000001</v>
      </c>
      <c r="EO59">
        <v>1.8633999999999999</v>
      </c>
      <c r="EP59">
        <v>1.8644700000000001</v>
      </c>
      <c r="EQ59">
        <v>1.8701300000000001</v>
      </c>
      <c r="ER59">
        <v>1.8693599999999999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-0.82799999999999996</v>
      </c>
      <c r="FG59">
        <v>0.20899999999999999</v>
      </c>
      <c r="FH59">
        <v>-0.44422204735670362</v>
      </c>
      <c r="FI59">
        <v>-6.1462078757559423E-4</v>
      </c>
      <c r="FJ59">
        <v>-1.8861989874597051E-7</v>
      </c>
      <c r="FK59">
        <v>1.1980462299894961E-10</v>
      </c>
      <c r="FL59">
        <v>-5.4907600448225742E-2</v>
      </c>
      <c r="FM59">
        <v>-1.6848085045870601E-2</v>
      </c>
      <c r="FN59">
        <v>1.9789084769509481E-3</v>
      </c>
      <c r="FO59">
        <v>-2.7142391389806329E-5</v>
      </c>
      <c r="FP59">
        <v>3</v>
      </c>
      <c r="FQ59">
        <v>2158</v>
      </c>
      <c r="FR59">
        <v>1</v>
      </c>
      <c r="FS59">
        <v>19</v>
      </c>
      <c r="FT59">
        <v>17.899999999999999</v>
      </c>
      <c r="FU59">
        <v>17.899999999999999</v>
      </c>
      <c r="FV59">
        <v>1.78101</v>
      </c>
      <c r="FW59">
        <v>2.5500500000000001</v>
      </c>
      <c r="FX59">
        <v>1.5490699999999999</v>
      </c>
      <c r="FY59">
        <v>2.33643</v>
      </c>
      <c r="FZ59">
        <v>1.50146</v>
      </c>
      <c r="GA59">
        <v>2.3901400000000002</v>
      </c>
      <c r="GB59">
        <v>32.178400000000003</v>
      </c>
      <c r="GC59">
        <v>23.982399999999998</v>
      </c>
      <c r="GD59">
        <v>19</v>
      </c>
      <c r="GE59">
        <v>282.327</v>
      </c>
      <c r="GF59">
        <v>593.46</v>
      </c>
      <c r="GG59">
        <v>22.097200000000001</v>
      </c>
      <c r="GH59">
        <v>26.203399999999998</v>
      </c>
      <c r="GI59">
        <v>29.9999</v>
      </c>
      <c r="GJ59">
        <v>26.2258</v>
      </c>
      <c r="GK59">
        <v>26.1541</v>
      </c>
      <c r="GL59">
        <v>35.607100000000003</v>
      </c>
      <c r="GM59">
        <v>-30</v>
      </c>
      <c r="GN59">
        <v>-30</v>
      </c>
      <c r="GO59">
        <v>22.124199999999998</v>
      </c>
      <c r="GP59">
        <v>800</v>
      </c>
      <c r="GQ59">
        <v>12.5298</v>
      </c>
      <c r="GR59">
        <v>99.585800000000006</v>
      </c>
      <c r="GS59">
        <v>99.245400000000004</v>
      </c>
    </row>
    <row r="60" spans="1:201" x14ac:dyDescent="0.25">
      <c r="A60">
        <v>44</v>
      </c>
      <c r="B60">
        <v>1690204205.5</v>
      </c>
      <c r="C60">
        <v>765.90000009536743</v>
      </c>
      <c r="D60" t="s">
        <v>421</v>
      </c>
      <c r="E60" t="s">
        <v>422</v>
      </c>
      <c r="F60" t="s">
        <v>330</v>
      </c>
      <c r="H60">
        <v>1690204205.5</v>
      </c>
      <c r="I60">
        <f t="shared" si="0"/>
        <v>1.2896728772325832E-3</v>
      </c>
      <c r="J60">
        <f t="shared" si="1"/>
        <v>1.2896728772325832</v>
      </c>
      <c r="K60">
        <f t="shared" si="2"/>
        <v>22.366703543713452</v>
      </c>
      <c r="L60">
        <f t="shared" si="3"/>
        <v>560.04300000000001</v>
      </c>
      <c r="M60">
        <f t="shared" si="4"/>
        <v>137.18489922680291</v>
      </c>
      <c r="N60">
        <f t="shared" si="5"/>
        <v>13.601077894533745</v>
      </c>
      <c r="O60">
        <f t="shared" si="6"/>
        <v>55.524977677719001</v>
      </c>
      <c r="P60">
        <f t="shared" si="7"/>
        <v>8.7976956295974712E-2</v>
      </c>
      <c r="Q60">
        <f t="shared" si="8"/>
        <v>2.192780727829049</v>
      </c>
      <c r="R60">
        <f t="shared" si="9"/>
        <v>8.6062033335009933E-2</v>
      </c>
      <c r="S60">
        <f t="shared" si="10"/>
        <v>5.3957347529668034E-2</v>
      </c>
      <c r="T60">
        <f t="shared" si="11"/>
        <v>276.11502855909697</v>
      </c>
      <c r="U60">
        <f t="shared" si="12"/>
        <v>26.820004590157293</v>
      </c>
      <c r="V60">
        <f t="shared" si="13"/>
        <v>26.820004590157293</v>
      </c>
      <c r="W60">
        <f t="shared" si="14"/>
        <v>3.5414964666515765</v>
      </c>
      <c r="X60">
        <f t="shared" si="15"/>
        <v>65.478251756802422</v>
      </c>
      <c r="Y60">
        <f t="shared" si="16"/>
        <v>2.0980385704794999</v>
      </c>
      <c r="Z60">
        <f t="shared" si="17"/>
        <v>3.2041762175813413</v>
      </c>
      <c r="AA60">
        <f t="shared" si="18"/>
        <v>1.4434578961720765</v>
      </c>
      <c r="AB60">
        <f t="shared" si="19"/>
        <v>-56.87457388595692</v>
      </c>
      <c r="AC60">
        <f t="shared" si="20"/>
        <v>-199.92946214087289</v>
      </c>
      <c r="AD60">
        <f t="shared" si="21"/>
        <v>-19.47593394811512</v>
      </c>
      <c r="AE60">
        <f t="shared" si="22"/>
        <v>-0.16494141584797717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52659.380108478559</v>
      </c>
      <c r="AK60">
        <f t="shared" si="26"/>
        <v>1799.99</v>
      </c>
      <c r="AL60">
        <f t="shared" si="27"/>
        <v>1499.1044815954999</v>
      </c>
      <c r="AM60">
        <f t="shared" si="28"/>
        <v>0.83284044999999995</v>
      </c>
      <c r="AN60">
        <f t="shared" si="29"/>
        <v>0.15339809029999998</v>
      </c>
      <c r="AO60">
        <v>31.2</v>
      </c>
      <c r="AP60">
        <v>0.5</v>
      </c>
      <c r="AQ60" t="s">
        <v>331</v>
      </c>
      <c r="AR60">
        <v>2</v>
      </c>
      <c r="AS60">
        <v>1690204205.5</v>
      </c>
      <c r="AT60">
        <v>560.04300000000001</v>
      </c>
      <c r="AU60">
        <v>799.97799999999995</v>
      </c>
      <c r="AV60">
        <v>21.1615</v>
      </c>
      <c r="AW60">
        <v>8.0431399999999993</v>
      </c>
      <c r="AX60">
        <v>560.87</v>
      </c>
      <c r="AY60">
        <v>20.950399999999998</v>
      </c>
      <c r="AZ60">
        <v>300.238</v>
      </c>
      <c r="BA60">
        <v>99.0441</v>
      </c>
      <c r="BB60">
        <v>0.100033</v>
      </c>
      <c r="BC60">
        <v>25.128799999999998</v>
      </c>
      <c r="BD60">
        <v>26.929300000000001</v>
      </c>
      <c r="BE60">
        <v>26.553000000000001</v>
      </c>
      <c r="BF60">
        <v>0</v>
      </c>
      <c r="BG60">
        <v>0</v>
      </c>
      <c r="BH60">
        <v>9991.8799999999992</v>
      </c>
      <c r="BI60">
        <v>1058.23</v>
      </c>
      <c r="BJ60">
        <v>1.5137799999999999</v>
      </c>
      <c r="BK60">
        <v>-239.935</v>
      </c>
      <c r="BL60">
        <v>572.15099999999995</v>
      </c>
      <c r="BM60">
        <v>806.46500000000003</v>
      </c>
      <c r="BN60">
        <v>13.118399999999999</v>
      </c>
      <c r="BO60">
        <v>799.97799999999995</v>
      </c>
      <c r="BP60">
        <v>8.0431399999999993</v>
      </c>
      <c r="BQ60">
        <v>2.09592</v>
      </c>
      <c r="BR60">
        <v>0.79662599999999995</v>
      </c>
      <c r="BS60">
        <v>18.188199999999998</v>
      </c>
      <c r="BT60">
        <v>3.6473200000000001</v>
      </c>
      <c r="BU60">
        <v>1799.99</v>
      </c>
      <c r="BV60">
        <v>0.90998599999999996</v>
      </c>
      <c r="BW60">
        <v>3.3992500000000002E-2</v>
      </c>
      <c r="BX60">
        <v>2.2008E-2</v>
      </c>
      <c r="BY60">
        <v>3.4014000000000003E-2</v>
      </c>
      <c r="BZ60">
        <v>25</v>
      </c>
      <c r="CA60">
        <v>33528.1</v>
      </c>
      <c r="CB60">
        <v>1690203121.0999999</v>
      </c>
      <c r="CC60" t="s">
        <v>332</v>
      </c>
      <c r="CD60">
        <v>1690203121.0999999</v>
      </c>
      <c r="CE60">
        <v>1690203121.0999999</v>
      </c>
      <c r="CF60">
        <v>3</v>
      </c>
      <c r="CG60">
        <v>0.53600000000000003</v>
      </c>
      <c r="CH60">
        <v>-0.01</v>
      </c>
      <c r="CI60">
        <v>-0.996</v>
      </c>
      <c r="CJ60">
        <v>-6.6000000000000003E-2</v>
      </c>
      <c r="CK60">
        <v>800</v>
      </c>
      <c r="CL60">
        <v>9</v>
      </c>
      <c r="CM60">
        <v>0.82</v>
      </c>
      <c r="CN60">
        <v>0.01</v>
      </c>
      <c r="CO60">
        <v>-237.81365</v>
      </c>
      <c r="CP60">
        <v>-11.90096060037539</v>
      </c>
      <c r="CQ60">
        <v>1.146231315005833</v>
      </c>
      <c r="CR60">
        <v>-1</v>
      </c>
      <c r="CS60">
        <v>13.031857499999999</v>
      </c>
      <c r="CT60">
        <v>0.4796116322701221</v>
      </c>
      <c r="CU60">
        <v>4.6147924587677643E-2</v>
      </c>
      <c r="CV60">
        <v>-1</v>
      </c>
      <c r="CW60">
        <v>0</v>
      </c>
      <c r="CX60">
        <v>0</v>
      </c>
      <c r="CY60" t="s">
        <v>333</v>
      </c>
      <c r="CZ60">
        <v>2.3647999999999998</v>
      </c>
      <c r="DA60">
        <v>2.7138200000000001</v>
      </c>
      <c r="DB60">
        <v>0.114814</v>
      </c>
      <c r="DC60">
        <v>0.14613699999999999</v>
      </c>
      <c r="DD60">
        <v>0.104059</v>
      </c>
      <c r="DE60">
        <v>4.9926600000000002E-2</v>
      </c>
      <c r="DF60">
        <v>32276.9</v>
      </c>
      <c r="DG60">
        <v>27438.9</v>
      </c>
      <c r="DH60">
        <v>31128.799999999999</v>
      </c>
      <c r="DI60">
        <v>28001.1</v>
      </c>
      <c r="DJ60">
        <v>37856.300000000003</v>
      </c>
      <c r="DK60">
        <v>37808.6</v>
      </c>
      <c r="DL60">
        <v>44289</v>
      </c>
      <c r="DM60">
        <v>42414.8</v>
      </c>
      <c r="DN60">
        <v>1.4762299999999999</v>
      </c>
      <c r="DO60">
        <v>2.0513300000000001</v>
      </c>
      <c r="DP60">
        <v>0.15185399999999999</v>
      </c>
      <c r="DQ60">
        <v>0.13983999999999999</v>
      </c>
      <c r="DR60">
        <v>24.4406</v>
      </c>
      <c r="DS60">
        <v>24.260100000000001</v>
      </c>
      <c r="DT60">
        <v>26.3</v>
      </c>
      <c r="DU60">
        <v>27.3</v>
      </c>
      <c r="DV60">
        <v>9.6736799999999992</v>
      </c>
      <c r="DW60">
        <v>61.345500000000001</v>
      </c>
      <c r="DX60">
        <v>35.985599999999998</v>
      </c>
      <c r="DY60">
        <v>1</v>
      </c>
      <c r="DZ60">
        <v>-9.59985E-2</v>
      </c>
      <c r="EA60">
        <v>0.55261400000000005</v>
      </c>
      <c r="EB60">
        <v>20.189800000000002</v>
      </c>
      <c r="EC60">
        <v>5.2406499999999996</v>
      </c>
      <c r="ED60">
        <v>12.039899999999999</v>
      </c>
      <c r="EE60">
        <v>5.0164999999999997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</v>
      </c>
      <c r="EL60">
        <v>1.8646199999999999</v>
      </c>
      <c r="EM60">
        <v>1.86913</v>
      </c>
      <c r="EN60">
        <v>1.8672299999999999</v>
      </c>
      <c r="EO60">
        <v>1.8633900000000001</v>
      </c>
      <c r="EP60">
        <v>1.8644700000000001</v>
      </c>
      <c r="EQ60">
        <v>1.87015</v>
      </c>
      <c r="ER60">
        <v>1.8693599999999999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-0.82699999999999996</v>
      </c>
      <c r="FG60">
        <v>0.21110000000000001</v>
      </c>
      <c r="FH60">
        <v>-0.44422204735670362</v>
      </c>
      <c r="FI60">
        <v>-6.1462078757559423E-4</v>
      </c>
      <c r="FJ60">
        <v>-1.8861989874597051E-7</v>
      </c>
      <c r="FK60">
        <v>1.1980462299894961E-10</v>
      </c>
      <c r="FL60">
        <v>-5.4907600448225742E-2</v>
      </c>
      <c r="FM60">
        <v>-1.6848085045870601E-2</v>
      </c>
      <c r="FN60">
        <v>1.9789084769509481E-3</v>
      </c>
      <c r="FO60">
        <v>-2.7142391389806329E-5</v>
      </c>
      <c r="FP60">
        <v>3</v>
      </c>
      <c r="FQ60">
        <v>2158</v>
      </c>
      <c r="FR60">
        <v>1</v>
      </c>
      <c r="FS60">
        <v>19</v>
      </c>
      <c r="FT60">
        <v>18.100000000000001</v>
      </c>
      <c r="FU60">
        <v>18.100000000000001</v>
      </c>
      <c r="FV60">
        <v>1.78101</v>
      </c>
      <c r="FW60">
        <v>2.5622600000000002</v>
      </c>
      <c r="FX60">
        <v>1.5490699999999999</v>
      </c>
      <c r="FY60">
        <v>2.33643</v>
      </c>
      <c r="FZ60">
        <v>1.50146</v>
      </c>
      <c r="GA60">
        <v>2.3010299999999999</v>
      </c>
      <c r="GB60">
        <v>32.178400000000003</v>
      </c>
      <c r="GC60">
        <v>23.982399999999998</v>
      </c>
      <c r="GD60">
        <v>19</v>
      </c>
      <c r="GE60">
        <v>282.33100000000002</v>
      </c>
      <c r="GF60">
        <v>593.5</v>
      </c>
      <c r="GG60">
        <v>22.232700000000001</v>
      </c>
      <c r="GH60">
        <v>26.1952</v>
      </c>
      <c r="GI60">
        <v>29.999700000000001</v>
      </c>
      <c r="GJ60">
        <v>26.224599999999999</v>
      </c>
      <c r="GK60">
        <v>26.155799999999999</v>
      </c>
      <c r="GL60">
        <v>35.6081</v>
      </c>
      <c r="GM60">
        <v>-30</v>
      </c>
      <c r="GN60">
        <v>-30</v>
      </c>
      <c r="GO60">
        <v>22.3201</v>
      </c>
      <c r="GP60">
        <v>800</v>
      </c>
      <c r="GQ60">
        <v>12.5298</v>
      </c>
      <c r="GR60">
        <v>99.585400000000007</v>
      </c>
      <c r="GS60">
        <v>99.246300000000005</v>
      </c>
    </row>
    <row r="61" spans="1:201" x14ac:dyDescent="0.25">
      <c r="A61">
        <v>45</v>
      </c>
      <c r="B61">
        <v>1690204215.5</v>
      </c>
      <c r="C61">
        <v>775.90000009536743</v>
      </c>
      <c r="D61" t="s">
        <v>423</v>
      </c>
      <c r="E61" t="s">
        <v>424</v>
      </c>
      <c r="F61" t="s">
        <v>330</v>
      </c>
      <c r="H61">
        <v>1690204215.5</v>
      </c>
      <c r="I61">
        <f t="shared" si="0"/>
        <v>1.2990616337599315E-3</v>
      </c>
      <c r="J61">
        <f t="shared" si="1"/>
        <v>1.2990616337599314</v>
      </c>
      <c r="K61">
        <f t="shared" si="2"/>
        <v>22.560027668938883</v>
      </c>
      <c r="L61">
        <f t="shared" si="3"/>
        <v>558</v>
      </c>
      <c r="M61">
        <f t="shared" si="4"/>
        <v>136.35809036119713</v>
      </c>
      <c r="N61">
        <f t="shared" si="5"/>
        <v>13.51894374384992</v>
      </c>
      <c r="O61">
        <f t="shared" si="6"/>
        <v>55.321767774000001</v>
      </c>
      <c r="P61">
        <f t="shared" si="7"/>
        <v>8.8999675878063955E-2</v>
      </c>
      <c r="Q61">
        <f t="shared" si="8"/>
        <v>2.1972141628059463</v>
      </c>
      <c r="R61">
        <f t="shared" si="9"/>
        <v>8.7044366402132756E-2</v>
      </c>
      <c r="S61">
        <f t="shared" si="10"/>
        <v>5.4574827882481317E-2</v>
      </c>
      <c r="T61">
        <f t="shared" si="11"/>
        <v>276.11634830399998</v>
      </c>
      <c r="U61">
        <f t="shared" si="12"/>
        <v>26.836180767798233</v>
      </c>
      <c r="V61">
        <f t="shared" si="13"/>
        <v>26.836180767798233</v>
      </c>
      <c r="W61">
        <f t="shared" si="14"/>
        <v>3.5448670494852581</v>
      </c>
      <c r="X61">
        <f t="shared" si="15"/>
        <v>65.68303460154813</v>
      </c>
      <c r="Y61">
        <f t="shared" si="16"/>
        <v>2.1074222661491997</v>
      </c>
      <c r="Z61">
        <f t="shared" si="17"/>
        <v>3.2084727493688736</v>
      </c>
      <c r="AA61">
        <f t="shared" si="18"/>
        <v>1.4374447833360584</v>
      </c>
      <c r="AB61">
        <f t="shared" si="19"/>
        <v>-57.288618048812978</v>
      </c>
      <c r="AC61">
        <f t="shared" si="20"/>
        <v>-199.58458996292751</v>
      </c>
      <c r="AD61">
        <f t="shared" si="21"/>
        <v>-19.406872854627125</v>
      </c>
      <c r="AE61">
        <f t="shared" si="22"/>
        <v>-0.16373256236761335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52837.831286076653</v>
      </c>
      <c r="AK61">
        <f t="shared" si="26"/>
        <v>1800</v>
      </c>
      <c r="AL61">
        <f t="shared" si="27"/>
        <v>1499.1132384</v>
      </c>
      <c r="AM61">
        <f t="shared" si="28"/>
        <v>0.832840688</v>
      </c>
      <c r="AN61">
        <f t="shared" si="29"/>
        <v>0.15339797127999999</v>
      </c>
      <c r="AO61">
        <v>31.2</v>
      </c>
      <c r="AP61">
        <v>0.5</v>
      </c>
      <c r="AQ61" t="s">
        <v>331</v>
      </c>
      <c r="AR61">
        <v>2</v>
      </c>
      <c r="AS61">
        <v>1690204215.5</v>
      </c>
      <c r="AT61">
        <v>558</v>
      </c>
      <c r="AU61">
        <v>800.11699999999996</v>
      </c>
      <c r="AV61">
        <v>21.256399999999999</v>
      </c>
      <c r="AW61">
        <v>8.0358499999999999</v>
      </c>
      <c r="AX61">
        <v>558.82600000000002</v>
      </c>
      <c r="AY61">
        <v>21.0425</v>
      </c>
      <c r="AZ61">
        <v>300.05700000000002</v>
      </c>
      <c r="BA61">
        <v>99.043000000000006</v>
      </c>
      <c r="BB61">
        <v>9.9953E-2</v>
      </c>
      <c r="BC61">
        <v>25.151299999999999</v>
      </c>
      <c r="BD61">
        <v>26.965299999999999</v>
      </c>
      <c r="BE61">
        <v>26.567699999999999</v>
      </c>
      <c r="BF61">
        <v>0</v>
      </c>
      <c r="BG61">
        <v>0</v>
      </c>
      <c r="BH61">
        <v>10028.1</v>
      </c>
      <c r="BI61">
        <v>1058.1500000000001</v>
      </c>
      <c r="BJ61">
        <v>1.5137799999999999</v>
      </c>
      <c r="BK61">
        <v>-242.11699999999999</v>
      </c>
      <c r="BL61">
        <v>570.11900000000003</v>
      </c>
      <c r="BM61">
        <v>806.59900000000005</v>
      </c>
      <c r="BN61">
        <v>13.220599999999999</v>
      </c>
      <c r="BO61">
        <v>800.11699999999996</v>
      </c>
      <c r="BP61">
        <v>8.0358499999999999</v>
      </c>
      <c r="BQ61">
        <v>2.1053000000000002</v>
      </c>
      <c r="BR61">
        <v>0.79589399999999999</v>
      </c>
      <c r="BS61">
        <v>18.259399999999999</v>
      </c>
      <c r="BT61">
        <v>3.63429</v>
      </c>
      <c r="BU61">
        <v>1800</v>
      </c>
      <c r="BV61">
        <v>0.90998999999999997</v>
      </c>
      <c r="BW61">
        <v>3.3992599999999998E-2</v>
      </c>
      <c r="BX61">
        <v>2.2006399999999999E-2</v>
      </c>
      <c r="BY61">
        <v>3.4011600000000003E-2</v>
      </c>
      <c r="BZ61">
        <v>25</v>
      </c>
      <c r="CA61">
        <v>33528.199999999997</v>
      </c>
      <c r="CB61">
        <v>1690203121.0999999</v>
      </c>
      <c r="CC61" t="s">
        <v>332</v>
      </c>
      <c r="CD61">
        <v>1690203121.0999999</v>
      </c>
      <c r="CE61">
        <v>1690203121.0999999</v>
      </c>
      <c r="CF61">
        <v>3</v>
      </c>
      <c r="CG61">
        <v>0.53600000000000003</v>
      </c>
      <c r="CH61">
        <v>-0.01</v>
      </c>
      <c r="CI61">
        <v>-0.996</v>
      </c>
      <c r="CJ61">
        <v>-6.6000000000000003E-2</v>
      </c>
      <c r="CK61">
        <v>800</v>
      </c>
      <c r="CL61">
        <v>9</v>
      </c>
      <c r="CM61">
        <v>0.82</v>
      </c>
      <c r="CN61">
        <v>0.01</v>
      </c>
      <c r="CO61">
        <v>-239.89246341463419</v>
      </c>
      <c r="CP61">
        <v>-12.247505226481071</v>
      </c>
      <c r="CQ61">
        <v>1.2092097418897281</v>
      </c>
      <c r="CR61">
        <v>-1</v>
      </c>
      <c r="CS61">
        <v>13.11931219512195</v>
      </c>
      <c r="CT61">
        <v>0.54118327526133547</v>
      </c>
      <c r="CU61">
        <v>5.3505797247437377E-2</v>
      </c>
      <c r="CV61">
        <v>-1</v>
      </c>
      <c r="CW61">
        <v>0</v>
      </c>
      <c r="CX61">
        <v>0</v>
      </c>
      <c r="CY61" t="s">
        <v>333</v>
      </c>
      <c r="CZ61">
        <v>2.3642099999999999</v>
      </c>
      <c r="DA61">
        <v>2.7137699999999998</v>
      </c>
      <c r="DB61">
        <v>0.11451500000000001</v>
      </c>
      <c r="DC61">
        <v>0.146152</v>
      </c>
      <c r="DD61">
        <v>0.104383</v>
      </c>
      <c r="DE61">
        <v>4.9890299999999999E-2</v>
      </c>
      <c r="DF61">
        <v>32288.2</v>
      </c>
      <c r="DG61">
        <v>27439.4</v>
      </c>
      <c r="DH61">
        <v>31129.200000000001</v>
      </c>
      <c r="DI61">
        <v>28002.1</v>
      </c>
      <c r="DJ61">
        <v>37843.1</v>
      </c>
      <c r="DK61">
        <v>37811.199999999997</v>
      </c>
      <c r="DL61">
        <v>44289.7</v>
      </c>
      <c r="DM61">
        <v>42416.1</v>
      </c>
      <c r="DN61">
        <v>1.4760500000000001</v>
      </c>
      <c r="DO61">
        <v>2.0513699999999999</v>
      </c>
      <c r="DP61">
        <v>0.15493899999999999</v>
      </c>
      <c r="DQ61">
        <v>0.141151</v>
      </c>
      <c r="DR61">
        <v>24.425999999999998</v>
      </c>
      <c r="DS61">
        <v>24.253299999999999</v>
      </c>
      <c r="DT61">
        <v>26.3</v>
      </c>
      <c r="DU61">
        <v>27.3</v>
      </c>
      <c r="DV61">
        <v>9.6743600000000001</v>
      </c>
      <c r="DW61">
        <v>61.095500000000001</v>
      </c>
      <c r="DX61">
        <v>36.265999999999998</v>
      </c>
      <c r="DY61">
        <v>1</v>
      </c>
      <c r="DZ61">
        <v>-9.7106200000000004E-2</v>
      </c>
      <c r="EA61">
        <v>0.61470000000000002</v>
      </c>
      <c r="EB61">
        <v>20.189599999999999</v>
      </c>
      <c r="EC61">
        <v>5.2404999999999999</v>
      </c>
      <c r="ED61">
        <v>12.039899999999999</v>
      </c>
      <c r="EE61">
        <v>5.0167000000000002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</v>
      </c>
      <c r="EL61">
        <v>1.8646199999999999</v>
      </c>
      <c r="EM61">
        <v>1.86917</v>
      </c>
      <c r="EN61">
        <v>1.8672200000000001</v>
      </c>
      <c r="EO61">
        <v>1.8633999999999999</v>
      </c>
      <c r="EP61">
        <v>1.8644700000000001</v>
      </c>
      <c r="EQ61">
        <v>1.87015</v>
      </c>
      <c r="ER61">
        <v>1.8693599999999999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-0.82599999999999996</v>
      </c>
      <c r="FG61">
        <v>0.21390000000000001</v>
      </c>
      <c r="FH61">
        <v>-0.44422204735670362</v>
      </c>
      <c r="FI61">
        <v>-6.1462078757559423E-4</v>
      </c>
      <c r="FJ61">
        <v>-1.8861989874597051E-7</v>
      </c>
      <c r="FK61">
        <v>1.1980462299894961E-10</v>
      </c>
      <c r="FL61">
        <v>-5.4907600448225742E-2</v>
      </c>
      <c r="FM61">
        <v>-1.6848085045870601E-2</v>
      </c>
      <c r="FN61">
        <v>1.9789084769509481E-3</v>
      </c>
      <c r="FO61">
        <v>-2.7142391389806329E-5</v>
      </c>
      <c r="FP61">
        <v>3</v>
      </c>
      <c r="FQ61">
        <v>2158</v>
      </c>
      <c r="FR61">
        <v>1</v>
      </c>
      <c r="FS61">
        <v>19</v>
      </c>
      <c r="FT61">
        <v>18.2</v>
      </c>
      <c r="FU61">
        <v>18.2</v>
      </c>
      <c r="FV61">
        <v>1.78101</v>
      </c>
      <c r="FW61">
        <v>2.5549300000000001</v>
      </c>
      <c r="FX61">
        <v>1.5490699999999999</v>
      </c>
      <c r="FY61">
        <v>2.33643</v>
      </c>
      <c r="FZ61">
        <v>1.50146</v>
      </c>
      <c r="GA61">
        <v>2.3779300000000001</v>
      </c>
      <c r="GB61">
        <v>32.178400000000003</v>
      </c>
      <c r="GC61">
        <v>23.982399999999998</v>
      </c>
      <c r="GD61">
        <v>19</v>
      </c>
      <c r="GE61">
        <v>282.25700000000001</v>
      </c>
      <c r="GF61">
        <v>593.55700000000002</v>
      </c>
      <c r="GG61">
        <v>22.400400000000001</v>
      </c>
      <c r="GH61">
        <v>26.1874</v>
      </c>
      <c r="GI61">
        <v>29.999700000000001</v>
      </c>
      <c r="GJ61">
        <v>26.224599999999999</v>
      </c>
      <c r="GK61">
        <v>26.157</v>
      </c>
      <c r="GL61">
        <v>35.604799999999997</v>
      </c>
      <c r="GM61">
        <v>-30</v>
      </c>
      <c r="GN61">
        <v>-30</v>
      </c>
      <c r="GO61">
        <v>22.401599999999998</v>
      </c>
      <c r="GP61">
        <v>800</v>
      </c>
      <c r="GQ61">
        <v>12.5298</v>
      </c>
      <c r="GR61">
        <v>99.586799999999997</v>
      </c>
      <c r="GS61">
        <v>99.249700000000004</v>
      </c>
    </row>
    <row r="62" spans="1:201" x14ac:dyDescent="0.25">
      <c r="A62">
        <v>46</v>
      </c>
      <c r="B62">
        <v>1690204225.5</v>
      </c>
      <c r="C62">
        <v>785.90000009536743</v>
      </c>
      <c r="D62" t="s">
        <v>425</v>
      </c>
      <c r="E62" t="s">
        <v>426</v>
      </c>
      <c r="F62" t="s">
        <v>330</v>
      </c>
      <c r="H62">
        <v>1690204225.5</v>
      </c>
      <c r="I62">
        <f t="shared" si="0"/>
        <v>1.308679100126857E-3</v>
      </c>
      <c r="J62">
        <f t="shared" si="1"/>
        <v>1.308679100126857</v>
      </c>
      <c r="K62">
        <f t="shared" si="2"/>
        <v>22.765042247944326</v>
      </c>
      <c r="L62">
        <f t="shared" si="3"/>
        <v>555.83299999999997</v>
      </c>
      <c r="M62">
        <f t="shared" si="4"/>
        <v>135.13915421160274</v>
      </c>
      <c r="N62">
        <f t="shared" si="5"/>
        <v>13.398283806567848</v>
      </c>
      <c r="O62">
        <f t="shared" si="6"/>
        <v>55.107702327299499</v>
      </c>
      <c r="P62">
        <f t="shared" si="7"/>
        <v>9.002449105856633E-2</v>
      </c>
      <c r="Q62">
        <f t="shared" si="8"/>
        <v>2.1900148335421141</v>
      </c>
      <c r="R62">
        <f t="shared" si="9"/>
        <v>8.8018020443807549E-2</v>
      </c>
      <c r="S62">
        <f t="shared" si="10"/>
        <v>5.5187811490152866E-2</v>
      </c>
      <c r="T62">
        <f t="shared" si="11"/>
        <v>276.11633284200002</v>
      </c>
      <c r="U62">
        <f t="shared" si="12"/>
        <v>26.850736330829506</v>
      </c>
      <c r="V62">
        <f t="shared" si="13"/>
        <v>26.850736330829506</v>
      </c>
      <c r="W62">
        <f t="shared" si="14"/>
        <v>3.5479023429608243</v>
      </c>
      <c r="X62">
        <f t="shared" si="15"/>
        <v>65.896988709237846</v>
      </c>
      <c r="Y62">
        <f t="shared" si="16"/>
        <v>2.1158990919724001</v>
      </c>
      <c r="Z62">
        <f t="shared" si="17"/>
        <v>3.21091924444156</v>
      </c>
      <c r="AA62">
        <f t="shared" si="18"/>
        <v>1.4320032509884242</v>
      </c>
      <c r="AB62">
        <f t="shared" si="19"/>
        <v>-57.712748315594396</v>
      </c>
      <c r="AC62">
        <f t="shared" si="20"/>
        <v>-199.1379127432825</v>
      </c>
      <c r="AD62">
        <f t="shared" si="21"/>
        <v>-19.429760430891932</v>
      </c>
      <c r="AE62">
        <f t="shared" si="22"/>
        <v>-0.16408864776880705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52539.52453444546</v>
      </c>
      <c r="AK62">
        <f t="shared" si="26"/>
        <v>1800</v>
      </c>
      <c r="AL62">
        <f t="shared" si="27"/>
        <v>1499.1089202000003</v>
      </c>
      <c r="AM62">
        <f t="shared" si="28"/>
        <v>0.83283828900000012</v>
      </c>
      <c r="AN62">
        <f t="shared" si="29"/>
        <v>0.15339796269</v>
      </c>
      <c r="AO62">
        <v>31.2</v>
      </c>
      <c r="AP62">
        <v>0.5</v>
      </c>
      <c r="AQ62" t="s">
        <v>331</v>
      </c>
      <c r="AR62">
        <v>2</v>
      </c>
      <c r="AS62">
        <v>1690204225.5</v>
      </c>
      <c r="AT62">
        <v>555.83299999999997</v>
      </c>
      <c r="AU62">
        <v>800.03399999999999</v>
      </c>
      <c r="AV62">
        <v>21.3416</v>
      </c>
      <c r="AW62">
        <v>8.0283700000000007</v>
      </c>
      <c r="AX62">
        <v>556.65700000000004</v>
      </c>
      <c r="AY62">
        <v>21.1252</v>
      </c>
      <c r="AZ62">
        <v>300.14800000000002</v>
      </c>
      <c r="BA62">
        <v>99.044399999999996</v>
      </c>
      <c r="BB62">
        <v>9.9951499999999999E-2</v>
      </c>
      <c r="BC62">
        <v>25.164100000000001</v>
      </c>
      <c r="BD62">
        <v>26.941400000000002</v>
      </c>
      <c r="BE62">
        <v>26.591999999999999</v>
      </c>
      <c r="BF62">
        <v>0</v>
      </c>
      <c r="BG62">
        <v>0</v>
      </c>
      <c r="BH62">
        <v>9969.3799999999992</v>
      </c>
      <c r="BI62">
        <v>1058.1199999999999</v>
      </c>
      <c r="BJ62">
        <v>1.5137799999999999</v>
      </c>
      <c r="BK62">
        <v>-244.2</v>
      </c>
      <c r="BL62">
        <v>567.95399999999995</v>
      </c>
      <c r="BM62">
        <v>806.50900000000001</v>
      </c>
      <c r="BN62">
        <v>13.3132</v>
      </c>
      <c r="BO62">
        <v>800.03399999999999</v>
      </c>
      <c r="BP62">
        <v>8.0283700000000007</v>
      </c>
      <c r="BQ62">
        <v>2.1137700000000001</v>
      </c>
      <c r="BR62">
        <v>0.79516500000000001</v>
      </c>
      <c r="BS62">
        <v>18.3233</v>
      </c>
      <c r="BT62">
        <v>3.6212900000000001</v>
      </c>
      <c r="BU62">
        <v>1800</v>
      </c>
      <c r="BV62">
        <v>0.90997700000000004</v>
      </c>
      <c r="BW62">
        <v>3.4008299999999998E-2</v>
      </c>
      <c r="BX62">
        <v>2.2005199999999999E-2</v>
      </c>
      <c r="BY62">
        <v>3.4009699999999997E-2</v>
      </c>
      <c r="BZ62">
        <v>25</v>
      </c>
      <c r="CA62">
        <v>33528.300000000003</v>
      </c>
      <c r="CB62">
        <v>1690203121.0999999</v>
      </c>
      <c r="CC62" t="s">
        <v>332</v>
      </c>
      <c r="CD62">
        <v>1690203121.0999999</v>
      </c>
      <c r="CE62">
        <v>1690203121.0999999</v>
      </c>
      <c r="CF62">
        <v>3</v>
      </c>
      <c r="CG62">
        <v>0.53600000000000003</v>
      </c>
      <c r="CH62">
        <v>-0.01</v>
      </c>
      <c r="CI62">
        <v>-0.996</v>
      </c>
      <c r="CJ62">
        <v>-6.6000000000000003E-2</v>
      </c>
      <c r="CK62">
        <v>800</v>
      </c>
      <c r="CL62">
        <v>9</v>
      </c>
      <c r="CM62">
        <v>0.82</v>
      </c>
      <c r="CN62">
        <v>0.01</v>
      </c>
      <c r="CO62">
        <v>-241.7394146341463</v>
      </c>
      <c r="CP62">
        <v>-12.564209059234051</v>
      </c>
      <c r="CQ62">
        <v>1.2394466305693621</v>
      </c>
      <c r="CR62">
        <v>-1</v>
      </c>
      <c r="CS62">
        <v>13.204214634146339</v>
      </c>
      <c r="CT62">
        <v>0.59712125435538876</v>
      </c>
      <c r="CU62">
        <v>5.889530007740542E-2</v>
      </c>
      <c r="CV62">
        <v>-1</v>
      </c>
      <c r="CW62">
        <v>0</v>
      </c>
      <c r="CX62">
        <v>0</v>
      </c>
      <c r="CY62" t="s">
        <v>333</v>
      </c>
      <c r="CZ62">
        <v>2.3645100000000001</v>
      </c>
      <c r="DA62">
        <v>2.7137199999999999</v>
      </c>
      <c r="DB62">
        <v>0.1142</v>
      </c>
      <c r="DC62">
        <v>0.146143</v>
      </c>
      <c r="DD62">
        <v>0.104675</v>
      </c>
      <c r="DE62">
        <v>4.98539E-2</v>
      </c>
      <c r="DF62">
        <v>32300.1</v>
      </c>
      <c r="DG62">
        <v>27440.2</v>
      </c>
      <c r="DH62">
        <v>31129.5</v>
      </c>
      <c r="DI62">
        <v>28002.6</v>
      </c>
      <c r="DJ62">
        <v>37831.300000000003</v>
      </c>
      <c r="DK62">
        <v>37813.300000000003</v>
      </c>
      <c r="DL62">
        <v>44290.6</v>
      </c>
      <c r="DM62">
        <v>42416.800000000003</v>
      </c>
      <c r="DN62">
        <v>1.476</v>
      </c>
      <c r="DO62">
        <v>2.0515300000000001</v>
      </c>
      <c r="DP62">
        <v>0.15431300000000001</v>
      </c>
      <c r="DQ62">
        <v>0.14300599999999999</v>
      </c>
      <c r="DR62">
        <v>24.412299999999998</v>
      </c>
      <c r="DS62">
        <v>24.247199999999999</v>
      </c>
      <c r="DT62">
        <v>26.3</v>
      </c>
      <c r="DU62">
        <v>27.3</v>
      </c>
      <c r="DV62">
        <v>9.6720699999999997</v>
      </c>
      <c r="DW62">
        <v>61.655500000000004</v>
      </c>
      <c r="DX62">
        <v>36.486400000000003</v>
      </c>
      <c r="DY62">
        <v>1</v>
      </c>
      <c r="DZ62">
        <v>-9.7459299999999999E-2</v>
      </c>
      <c r="EA62">
        <v>0.70908000000000004</v>
      </c>
      <c r="EB62">
        <v>20.1892</v>
      </c>
      <c r="EC62">
        <v>5.2409499999999998</v>
      </c>
      <c r="ED62">
        <v>12.039899999999999</v>
      </c>
      <c r="EE62">
        <v>5.0169499999999996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</v>
      </c>
      <c r="EL62">
        <v>1.8646100000000001</v>
      </c>
      <c r="EM62">
        <v>1.86911</v>
      </c>
      <c r="EN62">
        <v>1.8672200000000001</v>
      </c>
      <c r="EO62">
        <v>1.8633999999999999</v>
      </c>
      <c r="EP62">
        <v>1.8644700000000001</v>
      </c>
      <c r="EQ62">
        <v>1.8701300000000001</v>
      </c>
      <c r="ER62">
        <v>1.86937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-0.82399999999999995</v>
      </c>
      <c r="FG62">
        <v>0.21640000000000001</v>
      </c>
      <c r="FH62">
        <v>-0.44422204735670362</v>
      </c>
      <c r="FI62">
        <v>-6.1462078757559423E-4</v>
      </c>
      <c r="FJ62">
        <v>-1.8861989874597051E-7</v>
      </c>
      <c r="FK62">
        <v>1.1980462299894961E-10</v>
      </c>
      <c r="FL62">
        <v>-5.4907600448225742E-2</v>
      </c>
      <c r="FM62">
        <v>-1.6848085045870601E-2</v>
      </c>
      <c r="FN62">
        <v>1.9789084769509481E-3</v>
      </c>
      <c r="FO62">
        <v>-2.7142391389806329E-5</v>
      </c>
      <c r="FP62">
        <v>3</v>
      </c>
      <c r="FQ62">
        <v>2158</v>
      </c>
      <c r="FR62">
        <v>1</v>
      </c>
      <c r="FS62">
        <v>19</v>
      </c>
      <c r="FT62">
        <v>18.399999999999999</v>
      </c>
      <c r="FU62">
        <v>18.399999999999999</v>
      </c>
      <c r="FV62">
        <v>1.78101</v>
      </c>
      <c r="FW62">
        <v>2.5622600000000002</v>
      </c>
      <c r="FX62">
        <v>1.5490699999999999</v>
      </c>
      <c r="FY62">
        <v>2.33643</v>
      </c>
      <c r="FZ62">
        <v>1.50146</v>
      </c>
      <c r="GA62">
        <v>2.2497600000000002</v>
      </c>
      <c r="GB62">
        <v>32.178400000000003</v>
      </c>
      <c r="GC62">
        <v>23.973700000000001</v>
      </c>
      <c r="GD62">
        <v>19</v>
      </c>
      <c r="GE62">
        <v>282.226</v>
      </c>
      <c r="GF62">
        <v>593.70799999999997</v>
      </c>
      <c r="GG62">
        <v>22.442699999999999</v>
      </c>
      <c r="GH62">
        <v>26.178599999999999</v>
      </c>
      <c r="GI62">
        <v>30</v>
      </c>
      <c r="GJ62">
        <v>26.2224</v>
      </c>
      <c r="GK62">
        <v>26.159199999999998</v>
      </c>
      <c r="GL62">
        <v>35.604300000000002</v>
      </c>
      <c r="GM62">
        <v>-30</v>
      </c>
      <c r="GN62">
        <v>-30</v>
      </c>
      <c r="GO62">
        <v>22.465499999999999</v>
      </c>
      <c r="GP62">
        <v>800</v>
      </c>
      <c r="GQ62">
        <v>12.5298</v>
      </c>
      <c r="GR62">
        <v>99.588499999999996</v>
      </c>
      <c r="GS62">
        <v>99.251300000000001</v>
      </c>
    </row>
    <row r="63" spans="1:201" x14ac:dyDescent="0.25">
      <c r="A63">
        <v>47</v>
      </c>
      <c r="B63">
        <v>1690204235.5</v>
      </c>
      <c r="C63">
        <v>795.90000009536743</v>
      </c>
      <c r="D63" t="s">
        <v>427</v>
      </c>
      <c r="E63" t="s">
        <v>428</v>
      </c>
      <c r="F63" t="s">
        <v>330</v>
      </c>
      <c r="H63">
        <v>1690204235.5</v>
      </c>
      <c r="I63">
        <f t="shared" si="0"/>
        <v>1.316327377808127E-3</v>
      </c>
      <c r="J63">
        <f t="shared" si="1"/>
        <v>1.316327377808127</v>
      </c>
      <c r="K63">
        <f t="shared" si="2"/>
        <v>22.949751946685229</v>
      </c>
      <c r="L63">
        <f t="shared" si="3"/>
        <v>553.73800000000006</v>
      </c>
      <c r="M63">
        <f t="shared" si="4"/>
        <v>134.06761588085229</v>
      </c>
      <c r="N63">
        <f t="shared" si="5"/>
        <v>13.292389282569445</v>
      </c>
      <c r="O63">
        <f t="shared" si="6"/>
        <v>54.901409323880408</v>
      </c>
      <c r="P63">
        <f t="shared" si="7"/>
        <v>9.097619578565419E-2</v>
      </c>
      <c r="Q63">
        <f t="shared" si="8"/>
        <v>2.1979623790592995</v>
      </c>
      <c r="R63">
        <f t="shared" si="9"/>
        <v>8.8934826085731722E-2</v>
      </c>
      <c r="S63">
        <f t="shared" si="10"/>
        <v>5.5763860195191098E-2</v>
      </c>
      <c r="T63">
        <f t="shared" si="11"/>
        <v>276.1144650182278</v>
      </c>
      <c r="U63">
        <f t="shared" si="12"/>
        <v>26.854245973724964</v>
      </c>
      <c r="V63">
        <f t="shared" si="13"/>
        <v>26.854245973724964</v>
      </c>
      <c r="W63">
        <f t="shared" si="14"/>
        <v>3.5486345534801482</v>
      </c>
      <c r="X63">
        <f t="shared" si="15"/>
        <v>66.076195278051927</v>
      </c>
      <c r="Y63">
        <f t="shared" si="16"/>
        <v>2.1231318408012001</v>
      </c>
      <c r="Z63">
        <f t="shared" si="17"/>
        <v>3.2131569196243146</v>
      </c>
      <c r="AA63">
        <f t="shared" si="18"/>
        <v>1.4255027126789481</v>
      </c>
      <c r="AB63">
        <f t="shared" si="19"/>
        <v>-58.050037361338397</v>
      </c>
      <c r="AC63">
        <f t="shared" si="20"/>
        <v>-198.89005352138875</v>
      </c>
      <c r="AD63">
        <f t="shared" si="21"/>
        <v>-19.336882769840258</v>
      </c>
      <c r="AE63">
        <f t="shared" si="22"/>
        <v>-0.16250863433961626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52864.405308637441</v>
      </c>
      <c r="AK63">
        <f t="shared" si="26"/>
        <v>1799.99</v>
      </c>
      <c r="AL63">
        <f t="shared" si="27"/>
        <v>1499.1004802177301</v>
      </c>
      <c r="AM63">
        <f t="shared" si="28"/>
        <v>0.8328382270000001</v>
      </c>
      <c r="AN63">
        <f t="shared" si="29"/>
        <v>0.15339777722</v>
      </c>
      <c r="AO63">
        <v>31.2</v>
      </c>
      <c r="AP63">
        <v>0.5</v>
      </c>
      <c r="AQ63" t="s">
        <v>331</v>
      </c>
      <c r="AR63">
        <v>2</v>
      </c>
      <c r="AS63">
        <v>1690204235.5</v>
      </c>
      <c r="AT63">
        <v>553.73800000000006</v>
      </c>
      <c r="AU63">
        <v>799.94100000000003</v>
      </c>
      <c r="AV63">
        <v>21.414000000000001</v>
      </c>
      <c r="AW63">
        <v>8.0203399999999991</v>
      </c>
      <c r="AX63">
        <v>554.56100000000004</v>
      </c>
      <c r="AY63">
        <v>21.195399999999999</v>
      </c>
      <c r="AZ63">
        <v>300.06700000000001</v>
      </c>
      <c r="BA63">
        <v>99.046999999999997</v>
      </c>
      <c r="BB63">
        <v>9.9905800000000003E-2</v>
      </c>
      <c r="BC63">
        <v>25.175799999999999</v>
      </c>
      <c r="BD63">
        <v>26.966799999999999</v>
      </c>
      <c r="BE63">
        <v>26.5931</v>
      </c>
      <c r="BF63">
        <v>0</v>
      </c>
      <c r="BG63">
        <v>0</v>
      </c>
      <c r="BH63">
        <v>10033.799999999999</v>
      </c>
      <c r="BI63">
        <v>1058.1300000000001</v>
      </c>
      <c r="BJ63">
        <v>1.5137799999999999</v>
      </c>
      <c r="BK63">
        <v>-246.203</v>
      </c>
      <c r="BL63">
        <v>565.85500000000002</v>
      </c>
      <c r="BM63">
        <v>806.40899999999999</v>
      </c>
      <c r="BN63">
        <v>13.393599999999999</v>
      </c>
      <c r="BO63">
        <v>799.94100000000003</v>
      </c>
      <c r="BP63">
        <v>8.0203399999999991</v>
      </c>
      <c r="BQ63">
        <v>2.1209899999999999</v>
      </c>
      <c r="BR63">
        <v>0.79439000000000004</v>
      </c>
      <c r="BS63">
        <v>18.377700000000001</v>
      </c>
      <c r="BT63">
        <v>3.6074600000000001</v>
      </c>
      <c r="BU63">
        <v>1799.99</v>
      </c>
      <c r="BV63">
        <v>0.90998100000000004</v>
      </c>
      <c r="BW63">
        <v>3.4006599999999998E-2</v>
      </c>
      <c r="BX63">
        <v>2.2004099999999999E-2</v>
      </c>
      <c r="BY63">
        <v>3.4007999999999997E-2</v>
      </c>
      <c r="BZ63">
        <v>25</v>
      </c>
      <c r="CA63">
        <v>33528.1</v>
      </c>
      <c r="CB63">
        <v>1690203121.0999999</v>
      </c>
      <c r="CC63" t="s">
        <v>332</v>
      </c>
      <c r="CD63">
        <v>1690203121.0999999</v>
      </c>
      <c r="CE63">
        <v>1690203121.0999999</v>
      </c>
      <c r="CF63">
        <v>3</v>
      </c>
      <c r="CG63">
        <v>0.53600000000000003</v>
      </c>
      <c r="CH63">
        <v>-0.01</v>
      </c>
      <c r="CI63">
        <v>-0.996</v>
      </c>
      <c r="CJ63">
        <v>-6.6000000000000003E-2</v>
      </c>
      <c r="CK63">
        <v>800</v>
      </c>
      <c r="CL63">
        <v>9</v>
      </c>
      <c r="CM63">
        <v>0.82</v>
      </c>
      <c r="CN63">
        <v>0.01</v>
      </c>
      <c r="CO63">
        <v>-243.99</v>
      </c>
      <c r="CP63">
        <v>-12.51325328330118</v>
      </c>
      <c r="CQ63">
        <v>1.2045691968500609</v>
      </c>
      <c r="CR63">
        <v>-1</v>
      </c>
      <c r="CS63">
        <v>13.3039775</v>
      </c>
      <c r="CT63">
        <v>0.51313508442773248</v>
      </c>
      <c r="CU63">
        <v>4.9402973025416172E-2</v>
      </c>
      <c r="CV63">
        <v>-1</v>
      </c>
      <c r="CW63">
        <v>0</v>
      </c>
      <c r="CX63">
        <v>0</v>
      </c>
      <c r="CY63" t="s">
        <v>333</v>
      </c>
      <c r="CZ63">
        <v>2.3642699999999999</v>
      </c>
      <c r="DA63">
        <v>2.71373</v>
      </c>
      <c r="DB63">
        <v>0.113897</v>
      </c>
      <c r="DC63">
        <v>0.14613499999999999</v>
      </c>
      <c r="DD63">
        <v>0.104925</v>
      </c>
      <c r="DE63">
        <v>4.9815699999999997E-2</v>
      </c>
      <c r="DF63">
        <v>32311.5</v>
      </c>
      <c r="DG63">
        <v>27440.3</v>
      </c>
      <c r="DH63">
        <v>31129.8</v>
      </c>
      <c r="DI63">
        <v>28002.400000000001</v>
      </c>
      <c r="DJ63">
        <v>37820.800000000003</v>
      </c>
      <c r="DK63">
        <v>37814.800000000003</v>
      </c>
      <c r="DL63">
        <v>44290.9</v>
      </c>
      <c r="DM63">
        <v>42416.800000000003</v>
      </c>
      <c r="DN63">
        <v>1.4762299999999999</v>
      </c>
      <c r="DO63">
        <v>2.05165</v>
      </c>
      <c r="DP63">
        <v>0.15656300000000001</v>
      </c>
      <c r="DQ63">
        <v>0.14338600000000001</v>
      </c>
      <c r="DR63">
        <v>24.4009</v>
      </c>
      <c r="DS63">
        <v>24.242100000000001</v>
      </c>
      <c r="DT63">
        <v>26.2</v>
      </c>
      <c r="DU63">
        <v>27.3</v>
      </c>
      <c r="DV63">
        <v>9.6362699999999997</v>
      </c>
      <c r="DW63">
        <v>61.525500000000001</v>
      </c>
      <c r="DX63">
        <v>35.985599999999998</v>
      </c>
      <c r="DY63">
        <v>1</v>
      </c>
      <c r="DZ63">
        <v>-9.8056400000000002E-2</v>
      </c>
      <c r="EA63">
        <v>0.59687400000000002</v>
      </c>
      <c r="EB63">
        <v>20.189599999999999</v>
      </c>
      <c r="EC63">
        <v>5.2411000000000003</v>
      </c>
      <c r="ED63">
        <v>12.039899999999999</v>
      </c>
      <c r="EE63">
        <v>5.0170500000000002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</v>
      </c>
      <c r="EL63">
        <v>1.8646199999999999</v>
      </c>
      <c r="EM63">
        <v>1.8691199999999999</v>
      </c>
      <c r="EN63">
        <v>1.8672200000000001</v>
      </c>
      <c r="EO63">
        <v>1.8633999999999999</v>
      </c>
      <c r="EP63">
        <v>1.8644700000000001</v>
      </c>
      <c r="EQ63">
        <v>1.8701300000000001</v>
      </c>
      <c r="ER63">
        <v>1.86938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-0.82299999999999995</v>
      </c>
      <c r="FG63">
        <v>0.21859999999999999</v>
      </c>
      <c r="FH63">
        <v>-0.44422204735670362</v>
      </c>
      <c r="FI63">
        <v>-6.1462078757559423E-4</v>
      </c>
      <c r="FJ63">
        <v>-1.8861989874597051E-7</v>
      </c>
      <c r="FK63">
        <v>1.1980462299894961E-10</v>
      </c>
      <c r="FL63">
        <v>-5.4907600448225742E-2</v>
      </c>
      <c r="FM63">
        <v>-1.6848085045870601E-2</v>
      </c>
      <c r="FN63">
        <v>1.9789084769509481E-3</v>
      </c>
      <c r="FO63">
        <v>-2.7142391389806329E-5</v>
      </c>
      <c r="FP63">
        <v>3</v>
      </c>
      <c r="FQ63">
        <v>2158</v>
      </c>
      <c r="FR63">
        <v>1</v>
      </c>
      <c r="FS63">
        <v>19</v>
      </c>
      <c r="FT63">
        <v>18.600000000000001</v>
      </c>
      <c r="FU63">
        <v>18.600000000000001</v>
      </c>
      <c r="FV63">
        <v>1.78101</v>
      </c>
      <c r="FW63">
        <v>2.5524900000000001</v>
      </c>
      <c r="FX63">
        <v>1.5490699999999999</v>
      </c>
      <c r="FY63">
        <v>2.33643</v>
      </c>
      <c r="FZ63">
        <v>1.50146</v>
      </c>
      <c r="GA63">
        <v>2.3803700000000001</v>
      </c>
      <c r="GB63">
        <v>32.200499999999998</v>
      </c>
      <c r="GC63">
        <v>23.982399999999998</v>
      </c>
      <c r="GD63">
        <v>19</v>
      </c>
      <c r="GE63">
        <v>282.31599999999997</v>
      </c>
      <c r="GF63">
        <v>593.82299999999998</v>
      </c>
      <c r="GG63">
        <v>22.518799999999999</v>
      </c>
      <c r="GH63">
        <v>26.169799999999999</v>
      </c>
      <c r="GI63">
        <v>29.999700000000001</v>
      </c>
      <c r="GJ63">
        <v>26.220800000000001</v>
      </c>
      <c r="GK63">
        <v>26.1601</v>
      </c>
      <c r="GL63">
        <v>35.605800000000002</v>
      </c>
      <c r="GM63">
        <v>-30</v>
      </c>
      <c r="GN63">
        <v>-30</v>
      </c>
      <c r="GO63">
        <v>22.5535</v>
      </c>
      <c r="GP63">
        <v>800</v>
      </c>
      <c r="GQ63">
        <v>12.5298</v>
      </c>
      <c r="GR63">
        <v>99.589200000000005</v>
      </c>
      <c r="GS63">
        <v>99.251000000000005</v>
      </c>
    </row>
    <row r="64" spans="1:201" x14ac:dyDescent="0.25">
      <c r="A64">
        <v>48</v>
      </c>
      <c r="B64">
        <v>1690204245.5</v>
      </c>
      <c r="C64">
        <v>805.90000009536743</v>
      </c>
      <c r="D64" t="s">
        <v>429</v>
      </c>
      <c r="E64" t="s">
        <v>430</v>
      </c>
      <c r="F64" t="s">
        <v>330</v>
      </c>
      <c r="H64">
        <v>1690204245.5</v>
      </c>
      <c r="I64">
        <f t="shared" si="0"/>
        <v>1.3258410551631489E-3</v>
      </c>
      <c r="J64">
        <f t="shared" si="1"/>
        <v>1.325841055163149</v>
      </c>
      <c r="K64">
        <f t="shared" si="2"/>
        <v>23.182734453072129</v>
      </c>
      <c r="L64">
        <f t="shared" si="3"/>
        <v>551.50900000000001</v>
      </c>
      <c r="M64">
        <f t="shared" si="4"/>
        <v>132.00388528553785</v>
      </c>
      <c r="N64">
        <f t="shared" si="5"/>
        <v>13.087609689121233</v>
      </c>
      <c r="O64">
        <f t="shared" si="6"/>
        <v>54.679712770759998</v>
      </c>
      <c r="P64">
        <f t="shared" si="7"/>
        <v>9.1943093565036438E-2</v>
      </c>
      <c r="Q64">
        <f t="shared" si="8"/>
        <v>2.1924143759861776</v>
      </c>
      <c r="R64">
        <f t="shared" si="9"/>
        <v>8.9853491722906881E-2</v>
      </c>
      <c r="S64">
        <f t="shared" si="10"/>
        <v>5.6342219311634037E-2</v>
      </c>
      <c r="T64">
        <f t="shared" si="11"/>
        <v>276.11432402501111</v>
      </c>
      <c r="U64">
        <f t="shared" si="12"/>
        <v>26.872854374146055</v>
      </c>
      <c r="V64">
        <f t="shared" si="13"/>
        <v>26.872854374146055</v>
      </c>
      <c r="W64">
        <f t="shared" si="14"/>
        <v>3.5525189951920506</v>
      </c>
      <c r="X64">
        <f t="shared" si="15"/>
        <v>66.265651338380323</v>
      </c>
      <c r="Y64">
        <f t="shared" si="16"/>
        <v>2.1315023706680001</v>
      </c>
      <c r="Z64">
        <f t="shared" si="17"/>
        <v>3.216602157554675</v>
      </c>
      <c r="AA64">
        <f t="shared" si="18"/>
        <v>1.4210166245240505</v>
      </c>
      <c r="AB64">
        <f t="shared" si="19"/>
        <v>-58.469590532694866</v>
      </c>
      <c r="AC64">
        <f t="shared" si="20"/>
        <v>-198.45993508935672</v>
      </c>
      <c r="AD64">
        <f t="shared" si="21"/>
        <v>-19.3474446897654</v>
      </c>
      <c r="AE64">
        <f t="shared" si="22"/>
        <v>-0.16264628680585247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52632.876514414143</v>
      </c>
      <c r="AK64">
        <f t="shared" si="26"/>
        <v>1799.99</v>
      </c>
      <c r="AL64">
        <f t="shared" si="27"/>
        <v>1499.10187880996</v>
      </c>
      <c r="AM64">
        <f t="shared" si="28"/>
        <v>0.83283900399999999</v>
      </c>
      <c r="AN64">
        <f t="shared" si="29"/>
        <v>0.15339769889000002</v>
      </c>
      <c r="AO64">
        <v>31.2</v>
      </c>
      <c r="AP64">
        <v>0.5</v>
      </c>
      <c r="AQ64" t="s">
        <v>331</v>
      </c>
      <c r="AR64">
        <v>2</v>
      </c>
      <c r="AS64">
        <v>1690204245.5</v>
      </c>
      <c r="AT64">
        <v>551.50900000000001</v>
      </c>
      <c r="AU64">
        <v>800.07899999999995</v>
      </c>
      <c r="AV64">
        <v>21.498699999999999</v>
      </c>
      <c r="AW64">
        <v>8.0137199999999993</v>
      </c>
      <c r="AX64">
        <v>552.33000000000004</v>
      </c>
      <c r="AY64">
        <v>21.277699999999999</v>
      </c>
      <c r="AZ64">
        <v>300.16300000000001</v>
      </c>
      <c r="BA64">
        <v>99.045599999999993</v>
      </c>
      <c r="BB64">
        <v>0.10004</v>
      </c>
      <c r="BC64">
        <v>25.1938</v>
      </c>
      <c r="BD64">
        <v>26.964200000000002</v>
      </c>
      <c r="BE64">
        <v>26.607299999999999</v>
      </c>
      <c r="BF64">
        <v>0</v>
      </c>
      <c r="BG64">
        <v>0</v>
      </c>
      <c r="BH64">
        <v>9988.75</v>
      </c>
      <c r="BI64">
        <v>1058.2</v>
      </c>
      <c r="BJ64">
        <v>1.5137799999999999</v>
      </c>
      <c r="BK64">
        <v>-248.57</v>
      </c>
      <c r="BL64">
        <v>563.62599999999998</v>
      </c>
      <c r="BM64">
        <v>806.54200000000003</v>
      </c>
      <c r="BN64">
        <v>13.484999999999999</v>
      </c>
      <c r="BO64">
        <v>800.07899999999995</v>
      </c>
      <c r="BP64">
        <v>8.0137199999999993</v>
      </c>
      <c r="BQ64">
        <v>2.1293600000000001</v>
      </c>
      <c r="BR64">
        <v>0.79372399999999999</v>
      </c>
      <c r="BS64">
        <v>18.4405</v>
      </c>
      <c r="BT64">
        <v>3.5955499999999998</v>
      </c>
      <c r="BU64">
        <v>1799.99</v>
      </c>
      <c r="BV64">
        <v>0.90998699999999999</v>
      </c>
      <c r="BW64">
        <v>3.40045E-2</v>
      </c>
      <c r="BX64">
        <v>2.20027E-2</v>
      </c>
      <c r="BY64">
        <v>3.4005899999999999E-2</v>
      </c>
      <c r="BZ64">
        <v>25</v>
      </c>
      <c r="CA64">
        <v>33528.199999999997</v>
      </c>
      <c r="CB64">
        <v>1690203121.0999999</v>
      </c>
      <c r="CC64" t="s">
        <v>332</v>
      </c>
      <c r="CD64">
        <v>1690203121.0999999</v>
      </c>
      <c r="CE64">
        <v>1690203121.0999999</v>
      </c>
      <c r="CF64">
        <v>3</v>
      </c>
      <c r="CG64">
        <v>0.53600000000000003</v>
      </c>
      <c r="CH64">
        <v>-0.01</v>
      </c>
      <c r="CI64">
        <v>-0.996</v>
      </c>
      <c r="CJ64">
        <v>-6.6000000000000003E-2</v>
      </c>
      <c r="CK64">
        <v>800</v>
      </c>
      <c r="CL64">
        <v>9</v>
      </c>
      <c r="CM64">
        <v>0.82</v>
      </c>
      <c r="CN64">
        <v>0.01</v>
      </c>
      <c r="CO64">
        <v>-245.94551219512189</v>
      </c>
      <c r="CP64">
        <v>-12.683623693380049</v>
      </c>
      <c r="CQ64">
        <v>1.251766675873299</v>
      </c>
      <c r="CR64">
        <v>-1</v>
      </c>
      <c r="CS64">
        <v>13.38211463414634</v>
      </c>
      <c r="CT64">
        <v>0.50036027874561351</v>
      </c>
      <c r="CU64">
        <v>4.9367677590907599E-2</v>
      </c>
      <c r="CV64">
        <v>-1</v>
      </c>
      <c r="CW64">
        <v>0</v>
      </c>
      <c r="CX64">
        <v>0</v>
      </c>
      <c r="CY64" t="s">
        <v>333</v>
      </c>
      <c r="CZ64">
        <v>2.3645900000000002</v>
      </c>
      <c r="DA64">
        <v>2.7138200000000001</v>
      </c>
      <c r="DB64">
        <v>0.113569</v>
      </c>
      <c r="DC64">
        <v>0.146149</v>
      </c>
      <c r="DD64">
        <v>0.105213</v>
      </c>
      <c r="DE64">
        <v>4.9782399999999997E-2</v>
      </c>
      <c r="DF64">
        <v>32323.5</v>
      </c>
      <c r="DG64">
        <v>27440.400000000001</v>
      </c>
      <c r="DH64">
        <v>31129.8</v>
      </c>
      <c r="DI64">
        <v>28003</v>
      </c>
      <c r="DJ64">
        <v>37808.6</v>
      </c>
      <c r="DK64">
        <v>37816.9</v>
      </c>
      <c r="DL64">
        <v>44291</v>
      </c>
      <c r="DM64">
        <v>42417.599999999999</v>
      </c>
      <c r="DN64">
        <v>1.4761500000000001</v>
      </c>
      <c r="DO64">
        <v>2.0518000000000001</v>
      </c>
      <c r="DP64">
        <v>0.157028</v>
      </c>
      <c r="DQ64">
        <v>0.14441100000000001</v>
      </c>
      <c r="DR64">
        <v>24.390599999999999</v>
      </c>
      <c r="DS64">
        <v>24.2395</v>
      </c>
      <c r="DT64">
        <v>26.2</v>
      </c>
      <c r="DU64">
        <v>27.4</v>
      </c>
      <c r="DV64">
        <v>9.6922700000000006</v>
      </c>
      <c r="DW64">
        <v>62.085500000000003</v>
      </c>
      <c r="DX64">
        <v>36.7348</v>
      </c>
      <c r="DY64">
        <v>1</v>
      </c>
      <c r="DZ64">
        <v>-9.8221500000000003E-2</v>
      </c>
      <c r="EA64">
        <v>2.3820600000000001</v>
      </c>
      <c r="EB64">
        <v>20.1508</v>
      </c>
      <c r="EC64">
        <v>5.2406499999999996</v>
      </c>
      <c r="ED64">
        <v>12.039899999999999</v>
      </c>
      <c r="EE64">
        <v>5.0171000000000001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</v>
      </c>
      <c r="EL64">
        <v>1.8646199999999999</v>
      </c>
      <c r="EM64">
        <v>1.86914</v>
      </c>
      <c r="EN64">
        <v>1.8672200000000001</v>
      </c>
      <c r="EO64">
        <v>1.8633999999999999</v>
      </c>
      <c r="EP64">
        <v>1.8644700000000001</v>
      </c>
      <c r="EQ64">
        <v>1.8701399999999999</v>
      </c>
      <c r="ER64">
        <v>1.86937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-0.82099999999999995</v>
      </c>
      <c r="FG64">
        <v>0.221</v>
      </c>
      <c r="FH64">
        <v>-0.44422204735670362</v>
      </c>
      <c r="FI64">
        <v>-6.1462078757559423E-4</v>
      </c>
      <c r="FJ64">
        <v>-1.8861989874597051E-7</v>
      </c>
      <c r="FK64">
        <v>1.1980462299894961E-10</v>
      </c>
      <c r="FL64">
        <v>-5.4907600448225742E-2</v>
      </c>
      <c r="FM64">
        <v>-1.6848085045870601E-2</v>
      </c>
      <c r="FN64">
        <v>1.9789084769509481E-3</v>
      </c>
      <c r="FO64">
        <v>-2.7142391389806329E-5</v>
      </c>
      <c r="FP64">
        <v>3</v>
      </c>
      <c r="FQ64">
        <v>2158</v>
      </c>
      <c r="FR64">
        <v>1</v>
      </c>
      <c r="FS64">
        <v>19</v>
      </c>
      <c r="FT64">
        <v>18.7</v>
      </c>
      <c r="FU64">
        <v>18.7</v>
      </c>
      <c r="FV64">
        <v>1.78101</v>
      </c>
      <c r="FW64">
        <v>2.5549300000000001</v>
      </c>
      <c r="FX64">
        <v>1.5490699999999999</v>
      </c>
      <c r="FY64">
        <v>2.33643</v>
      </c>
      <c r="FZ64">
        <v>1.50146</v>
      </c>
      <c r="GA64">
        <v>2.33643</v>
      </c>
      <c r="GB64">
        <v>32.200499999999998</v>
      </c>
      <c r="GC64">
        <v>23.938700000000001</v>
      </c>
      <c r="GD64">
        <v>19</v>
      </c>
      <c r="GE64">
        <v>282.27600000000001</v>
      </c>
      <c r="GF64">
        <v>593.96299999999997</v>
      </c>
      <c r="GG64">
        <v>22.553899999999999</v>
      </c>
      <c r="GH64">
        <v>26.160399999999999</v>
      </c>
      <c r="GI64">
        <v>30.0001</v>
      </c>
      <c r="GJ64">
        <v>26.219200000000001</v>
      </c>
      <c r="GK64">
        <v>26.1614</v>
      </c>
      <c r="GL64">
        <v>35.604700000000001</v>
      </c>
      <c r="GM64">
        <v>-30</v>
      </c>
      <c r="GN64">
        <v>-30</v>
      </c>
      <c r="GO64">
        <v>21.683700000000002</v>
      </c>
      <c r="GP64">
        <v>800</v>
      </c>
      <c r="GQ64">
        <v>12.5298</v>
      </c>
      <c r="GR64">
        <v>99.589299999999994</v>
      </c>
      <c r="GS64">
        <v>99.253</v>
      </c>
    </row>
    <row r="65" spans="1:201" x14ac:dyDescent="0.25">
      <c r="A65">
        <v>49</v>
      </c>
      <c r="B65">
        <v>1690204255.5</v>
      </c>
      <c r="C65">
        <v>815.90000009536743</v>
      </c>
      <c r="D65" t="s">
        <v>431</v>
      </c>
      <c r="E65" t="s">
        <v>432</v>
      </c>
      <c r="F65" t="s">
        <v>330</v>
      </c>
      <c r="H65">
        <v>1690204255.5</v>
      </c>
      <c r="I65">
        <f t="shared" si="0"/>
        <v>1.322089970499168E-3</v>
      </c>
      <c r="J65">
        <f t="shared" si="1"/>
        <v>1.322089970499168</v>
      </c>
      <c r="K65">
        <f t="shared" si="2"/>
        <v>23.396528738361255</v>
      </c>
      <c r="L65">
        <f t="shared" si="3"/>
        <v>549.34500000000003</v>
      </c>
      <c r="M65">
        <f t="shared" si="4"/>
        <v>127.02891861955565</v>
      </c>
      <c r="N65">
        <f t="shared" si="5"/>
        <v>12.59452184010528</v>
      </c>
      <c r="O65">
        <f t="shared" si="6"/>
        <v>54.465846639015005</v>
      </c>
      <c r="P65">
        <f t="shared" si="7"/>
        <v>9.213526442649142E-2</v>
      </c>
      <c r="Q65">
        <f t="shared" si="8"/>
        <v>2.1955072450938933</v>
      </c>
      <c r="R65">
        <f t="shared" si="9"/>
        <v>9.0039909278389313E-2</v>
      </c>
      <c r="S65">
        <f t="shared" si="10"/>
        <v>5.6459233679852991E-2</v>
      </c>
      <c r="T65">
        <f t="shared" si="11"/>
        <v>276.11554289399999</v>
      </c>
      <c r="U65">
        <f t="shared" si="12"/>
        <v>26.816963092318467</v>
      </c>
      <c r="V65">
        <f t="shared" si="13"/>
        <v>26.816963092318467</v>
      </c>
      <c r="W65">
        <f t="shared" si="14"/>
        <v>3.5408630312270417</v>
      </c>
      <c r="X65">
        <f t="shared" si="15"/>
        <v>66.332415483152758</v>
      </c>
      <c r="Y65">
        <f t="shared" si="16"/>
        <v>2.1266610673952</v>
      </c>
      <c r="Z65">
        <f t="shared" si="17"/>
        <v>3.2060660717765259</v>
      </c>
      <c r="AA65">
        <f t="shared" si="18"/>
        <v>1.4142019638318417</v>
      </c>
      <c r="AB65">
        <f t="shared" si="19"/>
        <v>-58.304167699013313</v>
      </c>
      <c r="AC65">
        <f t="shared" si="20"/>
        <v>-198.64624581888373</v>
      </c>
      <c r="AD65">
        <f t="shared" si="21"/>
        <v>-19.327562179934425</v>
      </c>
      <c r="AE65">
        <f t="shared" si="22"/>
        <v>-0.16243280383147862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52769.854887089088</v>
      </c>
      <c r="AK65">
        <f t="shared" si="26"/>
        <v>1800</v>
      </c>
      <c r="AL65">
        <f t="shared" si="27"/>
        <v>1499.1105113999997</v>
      </c>
      <c r="AM65">
        <f t="shared" si="28"/>
        <v>0.83283917299999988</v>
      </c>
      <c r="AN65">
        <f t="shared" si="29"/>
        <v>0.15339752382999999</v>
      </c>
      <c r="AO65">
        <v>31.2</v>
      </c>
      <c r="AP65">
        <v>0.5</v>
      </c>
      <c r="AQ65" t="s">
        <v>331</v>
      </c>
      <c r="AR65">
        <v>2</v>
      </c>
      <c r="AS65">
        <v>1690204255.5</v>
      </c>
      <c r="AT65">
        <v>549.34500000000003</v>
      </c>
      <c r="AU65">
        <v>800</v>
      </c>
      <c r="AV65">
        <v>21.4496</v>
      </c>
      <c r="AW65">
        <v>8.00671</v>
      </c>
      <c r="AX65">
        <v>550.16499999999996</v>
      </c>
      <c r="AY65">
        <v>21.229900000000001</v>
      </c>
      <c r="AZ65">
        <v>300.26600000000002</v>
      </c>
      <c r="BA65">
        <v>99.046800000000005</v>
      </c>
      <c r="BB65">
        <v>0.100087</v>
      </c>
      <c r="BC65">
        <v>25.1387</v>
      </c>
      <c r="BD65">
        <v>26.941500000000001</v>
      </c>
      <c r="BE65">
        <v>26.577300000000001</v>
      </c>
      <c r="BF65">
        <v>0</v>
      </c>
      <c r="BG65">
        <v>0</v>
      </c>
      <c r="BH65">
        <v>10013.799999999999</v>
      </c>
      <c r="BI65">
        <v>1058.08</v>
      </c>
      <c r="BJ65">
        <v>1.3540000000000001</v>
      </c>
      <c r="BK65">
        <v>-250.655</v>
      </c>
      <c r="BL65">
        <v>561.38699999999994</v>
      </c>
      <c r="BM65">
        <v>806.45699999999999</v>
      </c>
      <c r="BN65">
        <v>13.4428</v>
      </c>
      <c r="BO65">
        <v>800</v>
      </c>
      <c r="BP65">
        <v>8.00671</v>
      </c>
      <c r="BQ65">
        <v>2.1245099999999999</v>
      </c>
      <c r="BR65">
        <v>0.79303800000000002</v>
      </c>
      <c r="BS65">
        <v>18.4041</v>
      </c>
      <c r="BT65">
        <v>3.5832999999999999</v>
      </c>
      <c r="BU65">
        <v>1800</v>
      </c>
      <c r="BV65">
        <v>0.90999200000000002</v>
      </c>
      <c r="BW65">
        <v>3.4002499999999998E-2</v>
      </c>
      <c r="BX65">
        <v>2.2001400000000001E-2</v>
      </c>
      <c r="BY65">
        <v>3.4003899999999997E-2</v>
      </c>
      <c r="BZ65">
        <v>25</v>
      </c>
      <c r="CA65">
        <v>33528.300000000003</v>
      </c>
      <c r="CB65">
        <v>1690203121.0999999</v>
      </c>
      <c r="CC65" t="s">
        <v>332</v>
      </c>
      <c r="CD65">
        <v>1690203121.0999999</v>
      </c>
      <c r="CE65">
        <v>1690203121.0999999</v>
      </c>
      <c r="CF65">
        <v>3</v>
      </c>
      <c r="CG65">
        <v>0.53600000000000003</v>
      </c>
      <c r="CH65">
        <v>-0.01</v>
      </c>
      <c r="CI65">
        <v>-0.996</v>
      </c>
      <c r="CJ65">
        <v>-6.6000000000000003E-2</v>
      </c>
      <c r="CK65">
        <v>800</v>
      </c>
      <c r="CL65">
        <v>9</v>
      </c>
      <c r="CM65">
        <v>0.82</v>
      </c>
      <c r="CN65">
        <v>0.01</v>
      </c>
      <c r="CO65">
        <v>-248.28645</v>
      </c>
      <c r="CP65">
        <v>-13.3325853658539</v>
      </c>
      <c r="CQ65">
        <v>1.2835185614162381</v>
      </c>
      <c r="CR65">
        <v>-1</v>
      </c>
      <c r="CS65">
        <v>13.458012500000001</v>
      </c>
      <c r="CT65">
        <v>0.2895140712945129</v>
      </c>
      <c r="CU65">
        <v>3.5040335240262767E-2</v>
      </c>
      <c r="CV65">
        <v>-1</v>
      </c>
      <c r="CW65">
        <v>0</v>
      </c>
      <c r="CX65">
        <v>0</v>
      </c>
      <c r="CY65" t="s">
        <v>333</v>
      </c>
      <c r="CZ65">
        <v>2.3649399999999998</v>
      </c>
      <c r="DA65">
        <v>2.7138900000000001</v>
      </c>
      <c r="DB65">
        <v>0.113251</v>
      </c>
      <c r="DC65">
        <v>0.14614099999999999</v>
      </c>
      <c r="DD65">
        <v>0.105048</v>
      </c>
      <c r="DE65">
        <v>4.9748500000000001E-2</v>
      </c>
      <c r="DF65">
        <v>32334.6</v>
      </c>
      <c r="DG65">
        <v>27440.1</v>
      </c>
      <c r="DH65">
        <v>31129.3</v>
      </c>
      <c r="DI65">
        <v>28002.3</v>
      </c>
      <c r="DJ65">
        <v>37815.1</v>
      </c>
      <c r="DK65">
        <v>37817.4</v>
      </c>
      <c r="DL65">
        <v>44290.400000000001</v>
      </c>
      <c r="DM65">
        <v>42416.6</v>
      </c>
      <c r="DN65">
        <v>1.4758</v>
      </c>
      <c r="DO65">
        <v>2.0515500000000002</v>
      </c>
      <c r="DP65">
        <v>0.15626799999999999</v>
      </c>
      <c r="DQ65">
        <v>0.142794</v>
      </c>
      <c r="DR65">
        <v>24.380299999999998</v>
      </c>
      <c r="DS65">
        <v>24.235900000000001</v>
      </c>
      <c r="DT65">
        <v>26.2</v>
      </c>
      <c r="DU65">
        <v>27.4</v>
      </c>
      <c r="DV65">
        <v>9.6917799999999996</v>
      </c>
      <c r="DW65">
        <v>61.5655</v>
      </c>
      <c r="DX65">
        <v>35.588900000000002</v>
      </c>
      <c r="DY65">
        <v>1</v>
      </c>
      <c r="DZ65">
        <v>-9.6067100000000002E-2</v>
      </c>
      <c r="EA65">
        <v>1.6487000000000001</v>
      </c>
      <c r="EB65">
        <v>20.179099999999998</v>
      </c>
      <c r="EC65">
        <v>5.2411000000000003</v>
      </c>
      <c r="ED65">
        <v>12.039899999999999</v>
      </c>
      <c r="EE65">
        <v>5.0169499999999996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</v>
      </c>
      <c r="EL65">
        <v>1.8646100000000001</v>
      </c>
      <c r="EM65">
        <v>1.86913</v>
      </c>
      <c r="EN65">
        <v>1.8672200000000001</v>
      </c>
      <c r="EO65">
        <v>1.8633999999999999</v>
      </c>
      <c r="EP65">
        <v>1.8644700000000001</v>
      </c>
      <c r="EQ65">
        <v>1.8701399999999999</v>
      </c>
      <c r="ER65">
        <v>1.86938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-0.82</v>
      </c>
      <c r="FG65">
        <v>0.21970000000000001</v>
      </c>
      <c r="FH65">
        <v>-0.44422204735670362</v>
      </c>
      <c r="FI65">
        <v>-6.1462078757559423E-4</v>
      </c>
      <c r="FJ65">
        <v>-1.8861989874597051E-7</v>
      </c>
      <c r="FK65">
        <v>1.1980462299894961E-10</v>
      </c>
      <c r="FL65">
        <v>-5.4907600448225742E-2</v>
      </c>
      <c r="FM65">
        <v>-1.6848085045870601E-2</v>
      </c>
      <c r="FN65">
        <v>1.9789084769509481E-3</v>
      </c>
      <c r="FO65">
        <v>-2.7142391389806329E-5</v>
      </c>
      <c r="FP65">
        <v>3</v>
      </c>
      <c r="FQ65">
        <v>2158</v>
      </c>
      <c r="FR65">
        <v>1</v>
      </c>
      <c r="FS65">
        <v>19</v>
      </c>
      <c r="FT65">
        <v>18.899999999999999</v>
      </c>
      <c r="FU65">
        <v>18.899999999999999</v>
      </c>
      <c r="FV65">
        <v>1.78101</v>
      </c>
      <c r="FW65">
        <v>2.5598100000000001</v>
      </c>
      <c r="FX65">
        <v>1.5490699999999999</v>
      </c>
      <c r="FY65">
        <v>2.33643</v>
      </c>
      <c r="FZ65">
        <v>1.50146</v>
      </c>
      <c r="GA65">
        <v>2.2790499999999998</v>
      </c>
      <c r="GB65">
        <v>32.200499999999998</v>
      </c>
      <c r="GC65">
        <v>23.973700000000001</v>
      </c>
      <c r="GD65">
        <v>19</v>
      </c>
      <c r="GE65">
        <v>282.11</v>
      </c>
      <c r="GF65">
        <v>593.75400000000002</v>
      </c>
      <c r="GG65">
        <v>21.750699999999998</v>
      </c>
      <c r="GH65">
        <v>26.151599999999998</v>
      </c>
      <c r="GI65">
        <v>29.9986</v>
      </c>
      <c r="GJ65">
        <v>26.215399999999999</v>
      </c>
      <c r="GK65">
        <v>26.1614</v>
      </c>
      <c r="GL65">
        <v>35.602400000000003</v>
      </c>
      <c r="GM65">
        <v>-30</v>
      </c>
      <c r="GN65">
        <v>-30</v>
      </c>
      <c r="GO65">
        <v>21.927700000000002</v>
      </c>
      <c r="GP65">
        <v>800</v>
      </c>
      <c r="GQ65">
        <v>12.5298</v>
      </c>
      <c r="GR65">
        <v>99.587900000000005</v>
      </c>
      <c r="GS65">
        <v>99.250699999999995</v>
      </c>
    </row>
    <row r="66" spans="1:201" x14ac:dyDescent="0.25">
      <c r="A66">
        <v>50</v>
      </c>
      <c r="B66">
        <v>1690204265.5</v>
      </c>
      <c r="C66">
        <v>825.90000009536743</v>
      </c>
      <c r="D66" t="s">
        <v>433</v>
      </c>
      <c r="E66" t="s">
        <v>434</v>
      </c>
      <c r="F66" t="s">
        <v>330</v>
      </c>
      <c r="H66">
        <v>1690204265.5</v>
      </c>
      <c r="I66">
        <f t="shared" si="0"/>
        <v>1.3255867435455506E-3</v>
      </c>
      <c r="J66">
        <f t="shared" si="1"/>
        <v>1.3255867435455506</v>
      </c>
      <c r="K66">
        <f t="shared" si="2"/>
        <v>23.598341794790358</v>
      </c>
      <c r="L66">
        <f t="shared" si="3"/>
        <v>547.09299999999996</v>
      </c>
      <c r="M66">
        <f t="shared" si="4"/>
        <v>126.503980822362</v>
      </c>
      <c r="N66">
        <f t="shared" si="5"/>
        <v>12.542760905113685</v>
      </c>
      <c r="O66">
        <f t="shared" si="6"/>
        <v>54.243800450019997</v>
      </c>
      <c r="P66">
        <f t="shared" si="7"/>
        <v>9.3319130732648845E-2</v>
      </c>
      <c r="Q66">
        <f t="shared" si="8"/>
        <v>2.1935337037749454</v>
      </c>
      <c r="R66">
        <f t="shared" si="9"/>
        <v>9.1168373444453971E-2</v>
      </c>
      <c r="S66">
        <f t="shared" si="10"/>
        <v>5.7169341833839288E-2</v>
      </c>
      <c r="T66">
        <f t="shared" si="11"/>
        <v>276.11536442400001</v>
      </c>
      <c r="U66">
        <f t="shared" si="12"/>
        <v>26.767822995050537</v>
      </c>
      <c r="V66">
        <f t="shared" si="13"/>
        <v>26.767822995050537</v>
      </c>
      <c r="W66">
        <f t="shared" si="14"/>
        <v>3.53064260271662</v>
      </c>
      <c r="X66">
        <f t="shared" si="15"/>
        <v>66.637656479654211</v>
      </c>
      <c r="Y66">
        <f t="shared" si="16"/>
        <v>2.1301696983300005</v>
      </c>
      <c r="Z66">
        <f t="shared" si="17"/>
        <v>3.1966455767849271</v>
      </c>
      <c r="AA66">
        <f t="shared" si="18"/>
        <v>1.4004729043866195</v>
      </c>
      <c r="AB66">
        <f t="shared" si="19"/>
        <v>-58.458375390358782</v>
      </c>
      <c r="AC66">
        <f t="shared" si="20"/>
        <v>-198.49841824397521</v>
      </c>
      <c r="AD66">
        <f t="shared" si="21"/>
        <v>-19.321000261946971</v>
      </c>
      <c r="AE66">
        <f t="shared" si="22"/>
        <v>-0.16242947228093385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52697.433459192915</v>
      </c>
      <c r="AK66">
        <f t="shared" si="26"/>
        <v>1800</v>
      </c>
      <c r="AL66">
        <f t="shared" si="27"/>
        <v>1499.1110784</v>
      </c>
      <c r="AM66">
        <f t="shared" si="28"/>
        <v>0.83283948799999996</v>
      </c>
      <c r="AN66">
        <f t="shared" si="29"/>
        <v>0.15339742468000001</v>
      </c>
      <c r="AO66">
        <v>31.2</v>
      </c>
      <c r="AP66">
        <v>0.5</v>
      </c>
      <c r="AQ66" t="s">
        <v>331</v>
      </c>
      <c r="AR66">
        <v>2</v>
      </c>
      <c r="AS66">
        <v>1690204265.5</v>
      </c>
      <c r="AT66">
        <v>547.09299999999996</v>
      </c>
      <c r="AU66">
        <v>799.96699999999998</v>
      </c>
      <c r="AV66">
        <v>21.484500000000001</v>
      </c>
      <c r="AW66">
        <v>7.9994399999999999</v>
      </c>
      <c r="AX66">
        <v>547.91099999999994</v>
      </c>
      <c r="AY66">
        <v>21.2638</v>
      </c>
      <c r="AZ66">
        <v>300.108</v>
      </c>
      <c r="BA66">
        <v>99.049099999999996</v>
      </c>
      <c r="BB66">
        <v>0.10004</v>
      </c>
      <c r="BC66">
        <v>25.089300000000001</v>
      </c>
      <c r="BD66">
        <v>26.853400000000001</v>
      </c>
      <c r="BE66">
        <v>26.497599999999998</v>
      </c>
      <c r="BF66">
        <v>0</v>
      </c>
      <c r="BG66">
        <v>0</v>
      </c>
      <c r="BH66">
        <v>9997.5</v>
      </c>
      <c r="BI66">
        <v>1057.94</v>
      </c>
      <c r="BJ66">
        <v>1.5137799999999999</v>
      </c>
      <c r="BK66">
        <v>-252.874</v>
      </c>
      <c r="BL66">
        <v>559.10500000000002</v>
      </c>
      <c r="BM66">
        <v>806.41800000000001</v>
      </c>
      <c r="BN66">
        <v>13.484999999999999</v>
      </c>
      <c r="BO66">
        <v>799.96699999999998</v>
      </c>
      <c r="BP66">
        <v>7.9994399999999999</v>
      </c>
      <c r="BQ66">
        <v>2.1280199999999998</v>
      </c>
      <c r="BR66">
        <v>0.79233699999999996</v>
      </c>
      <c r="BS66">
        <v>18.430499999999999</v>
      </c>
      <c r="BT66">
        <v>3.5707499999999999</v>
      </c>
      <c r="BU66">
        <v>1800</v>
      </c>
      <c r="BV66">
        <v>0.90999600000000003</v>
      </c>
      <c r="BW66">
        <v>3.4001000000000003E-2</v>
      </c>
      <c r="BX66">
        <v>2.20004E-2</v>
      </c>
      <c r="BY66">
        <v>3.4002400000000002E-2</v>
      </c>
      <c r="BZ66">
        <v>25</v>
      </c>
      <c r="CA66">
        <v>33528.400000000001</v>
      </c>
      <c r="CB66">
        <v>1690203121.0999999</v>
      </c>
      <c r="CC66" t="s">
        <v>332</v>
      </c>
      <c r="CD66">
        <v>1690203121.0999999</v>
      </c>
      <c r="CE66">
        <v>1690203121.0999999</v>
      </c>
      <c r="CF66">
        <v>3</v>
      </c>
      <c r="CG66">
        <v>0.53600000000000003</v>
      </c>
      <c r="CH66">
        <v>-0.01</v>
      </c>
      <c r="CI66">
        <v>-0.996</v>
      </c>
      <c r="CJ66">
        <v>-6.6000000000000003E-2</v>
      </c>
      <c r="CK66">
        <v>800</v>
      </c>
      <c r="CL66">
        <v>9</v>
      </c>
      <c r="CM66">
        <v>0.82</v>
      </c>
      <c r="CN66">
        <v>0.01</v>
      </c>
      <c r="CO66">
        <v>-250.48532499999999</v>
      </c>
      <c r="CP66">
        <v>-12.99544840525191</v>
      </c>
      <c r="CQ66">
        <v>1.250700071709838</v>
      </c>
      <c r="CR66">
        <v>-1</v>
      </c>
      <c r="CS66">
        <v>13.465417499999999</v>
      </c>
      <c r="CT66">
        <v>-0.18638161350849239</v>
      </c>
      <c r="CU66">
        <v>2.467281791263418E-2</v>
      </c>
      <c r="CV66">
        <v>-1</v>
      </c>
      <c r="CW66">
        <v>0</v>
      </c>
      <c r="CX66">
        <v>0</v>
      </c>
      <c r="CY66" t="s">
        <v>333</v>
      </c>
      <c r="CZ66">
        <v>2.3643999999999998</v>
      </c>
      <c r="DA66">
        <v>2.7138300000000002</v>
      </c>
      <c r="DB66">
        <v>0.11292199999999999</v>
      </c>
      <c r="DC66">
        <v>0.14613999999999999</v>
      </c>
      <c r="DD66">
        <v>0.10517</v>
      </c>
      <c r="DE66">
        <v>4.9714000000000001E-2</v>
      </c>
      <c r="DF66">
        <v>32347.4</v>
      </c>
      <c r="DG66">
        <v>27441.7</v>
      </c>
      <c r="DH66">
        <v>31130.1</v>
      </c>
      <c r="DI66">
        <v>28003.9</v>
      </c>
      <c r="DJ66">
        <v>37810.699999999997</v>
      </c>
      <c r="DK66">
        <v>37820.9</v>
      </c>
      <c r="DL66">
        <v>44291.5</v>
      </c>
      <c r="DM66">
        <v>42419</v>
      </c>
      <c r="DN66">
        <v>1.4762</v>
      </c>
      <c r="DO66">
        <v>2.05193</v>
      </c>
      <c r="DP66">
        <v>0.15165300000000001</v>
      </c>
      <c r="DQ66">
        <v>0.138491</v>
      </c>
      <c r="DR66">
        <v>24.367699999999999</v>
      </c>
      <c r="DS66">
        <v>24.226600000000001</v>
      </c>
      <c r="DT66">
        <v>26.1</v>
      </c>
      <c r="DU66">
        <v>27.4</v>
      </c>
      <c r="DV66">
        <v>9.65489</v>
      </c>
      <c r="DW66">
        <v>61.645499999999998</v>
      </c>
      <c r="DX66">
        <v>36.971200000000003</v>
      </c>
      <c r="DY66">
        <v>1</v>
      </c>
      <c r="DZ66">
        <v>-9.9372500000000002E-2</v>
      </c>
      <c r="EA66">
        <v>0.88742100000000002</v>
      </c>
      <c r="EB66">
        <v>20.187899999999999</v>
      </c>
      <c r="EC66">
        <v>5.24125</v>
      </c>
      <c r="ED66">
        <v>12.039899999999999</v>
      </c>
      <c r="EE66">
        <v>5.0171000000000001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</v>
      </c>
      <c r="EL66">
        <v>1.8646199999999999</v>
      </c>
      <c r="EM66">
        <v>1.8691</v>
      </c>
      <c r="EN66">
        <v>1.8672200000000001</v>
      </c>
      <c r="EO66">
        <v>1.8633999999999999</v>
      </c>
      <c r="EP66">
        <v>1.8644700000000001</v>
      </c>
      <c r="EQ66">
        <v>1.87015</v>
      </c>
      <c r="ER66">
        <v>1.8693599999999999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-0.81799999999999995</v>
      </c>
      <c r="FG66">
        <v>0.22070000000000001</v>
      </c>
      <c r="FH66">
        <v>-0.44422204735670362</v>
      </c>
      <c r="FI66">
        <v>-6.1462078757559423E-4</v>
      </c>
      <c r="FJ66">
        <v>-1.8861989874597051E-7</v>
      </c>
      <c r="FK66">
        <v>1.1980462299894961E-10</v>
      </c>
      <c r="FL66">
        <v>-5.4907600448225742E-2</v>
      </c>
      <c r="FM66">
        <v>-1.6848085045870601E-2</v>
      </c>
      <c r="FN66">
        <v>1.9789084769509481E-3</v>
      </c>
      <c r="FO66">
        <v>-2.7142391389806329E-5</v>
      </c>
      <c r="FP66">
        <v>3</v>
      </c>
      <c r="FQ66">
        <v>2158</v>
      </c>
      <c r="FR66">
        <v>1</v>
      </c>
      <c r="FS66">
        <v>19</v>
      </c>
      <c r="FT66">
        <v>19.100000000000001</v>
      </c>
      <c r="FU66">
        <v>19.100000000000001</v>
      </c>
      <c r="FV66">
        <v>1.78101</v>
      </c>
      <c r="FW66">
        <v>2.5537100000000001</v>
      </c>
      <c r="FX66">
        <v>1.5490699999999999</v>
      </c>
      <c r="FY66">
        <v>2.33643</v>
      </c>
      <c r="FZ66">
        <v>1.50146</v>
      </c>
      <c r="GA66">
        <v>2.323</v>
      </c>
      <c r="GB66">
        <v>32.200499999999998</v>
      </c>
      <c r="GC66">
        <v>23.982399999999998</v>
      </c>
      <c r="GD66">
        <v>19</v>
      </c>
      <c r="GE66">
        <v>282.26799999999997</v>
      </c>
      <c r="GF66">
        <v>594.06799999999998</v>
      </c>
      <c r="GG66">
        <v>21.904</v>
      </c>
      <c r="GH66">
        <v>26.142800000000001</v>
      </c>
      <c r="GI66">
        <v>29.998699999999999</v>
      </c>
      <c r="GJ66">
        <v>26.212599999999998</v>
      </c>
      <c r="GK66">
        <v>26.1614</v>
      </c>
      <c r="GL66">
        <v>35.604199999999999</v>
      </c>
      <c r="GM66">
        <v>-30</v>
      </c>
      <c r="GN66">
        <v>-30</v>
      </c>
      <c r="GO66">
        <v>22.011700000000001</v>
      </c>
      <c r="GP66">
        <v>800</v>
      </c>
      <c r="GQ66">
        <v>12.5298</v>
      </c>
      <c r="GR66">
        <v>99.590299999999999</v>
      </c>
      <c r="GS66">
        <v>99.256200000000007</v>
      </c>
    </row>
    <row r="67" spans="1:201" x14ac:dyDescent="0.25">
      <c r="A67">
        <v>51</v>
      </c>
      <c r="B67">
        <v>1690204275.5</v>
      </c>
      <c r="C67">
        <v>835.90000009536743</v>
      </c>
      <c r="D67" t="s">
        <v>435</v>
      </c>
      <c r="E67" t="s">
        <v>436</v>
      </c>
      <c r="F67" t="s">
        <v>330</v>
      </c>
      <c r="H67">
        <v>1690204275.5</v>
      </c>
      <c r="I67">
        <f t="shared" si="0"/>
        <v>1.3380965578513094E-3</v>
      </c>
      <c r="J67">
        <f t="shared" si="1"/>
        <v>1.3380965578513093</v>
      </c>
      <c r="K67">
        <f t="shared" si="2"/>
        <v>23.796523780706536</v>
      </c>
      <c r="L67">
        <f t="shared" si="3"/>
        <v>545.02</v>
      </c>
      <c r="M67">
        <f t="shared" si="4"/>
        <v>128.17826165819579</v>
      </c>
      <c r="N67">
        <f t="shared" si="5"/>
        <v>12.708653856354406</v>
      </c>
      <c r="O67">
        <f t="shared" si="6"/>
        <v>54.037794203049991</v>
      </c>
      <c r="P67">
        <f t="shared" si="7"/>
        <v>9.4985171641728233E-2</v>
      </c>
      <c r="Q67">
        <f t="shared" si="8"/>
        <v>2.1911396923487589</v>
      </c>
      <c r="R67">
        <f t="shared" si="9"/>
        <v>9.2755548598700596E-2</v>
      </c>
      <c r="S67">
        <f t="shared" si="10"/>
        <v>5.8168181563340873E-2</v>
      </c>
      <c r="T67">
        <f t="shared" si="11"/>
        <v>276.11530273799997</v>
      </c>
      <c r="U67">
        <f t="shared" si="12"/>
        <v>26.769330075895894</v>
      </c>
      <c r="V67">
        <f t="shared" si="13"/>
        <v>26.769330075895894</v>
      </c>
      <c r="W67">
        <f t="shared" si="14"/>
        <v>3.5309556704569007</v>
      </c>
      <c r="X67">
        <f t="shared" si="15"/>
        <v>66.977402222082588</v>
      </c>
      <c r="Y67">
        <f t="shared" si="16"/>
        <v>2.1415532198612497</v>
      </c>
      <c r="Z67">
        <f t="shared" si="17"/>
        <v>3.197426518216282</v>
      </c>
      <c r="AA67">
        <f t="shared" si="18"/>
        <v>1.389402450595651</v>
      </c>
      <c r="AB67">
        <f t="shared" si="19"/>
        <v>-59.010058201242742</v>
      </c>
      <c r="AC67">
        <f t="shared" si="20"/>
        <v>-197.97547986025555</v>
      </c>
      <c r="AD67">
        <f t="shared" si="21"/>
        <v>-19.291696214449804</v>
      </c>
      <c r="AE67">
        <f t="shared" si="22"/>
        <v>-0.16193153794813497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52598.273411616625</v>
      </c>
      <c r="AK67">
        <f t="shared" si="26"/>
        <v>1800</v>
      </c>
      <c r="AL67">
        <f t="shared" si="27"/>
        <v>1499.1124788</v>
      </c>
      <c r="AM67">
        <f t="shared" si="28"/>
        <v>0.83284026599999994</v>
      </c>
      <c r="AN67">
        <f t="shared" si="29"/>
        <v>0.15339739040999997</v>
      </c>
      <c r="AO67">
        <v>31.2</v>
      </c>
      <c r="AP67">
        <v>0.5</v>
      </c>
      <c r="AQ67" t="s">
        <v>331</v>
      </c>
      <c r="AR67">
        <v>2</v>
      </c>
      <c r="AS67">
        <v>1690204275.5</v>
      </c>
      <c r="AT67">
        <v>545.02</v>
      </c>
      <c r="AU67">
        <v>799.94399999999996</v>
      </c>
      <c r="AV67">
        <v>21.599499999999999</v>
      </c>
      <c r="AW67">
        <v>7.9915900000000004</v>
      </c>
      <c r="AX67">
        <v>545.83699999999999</v>
      </c>
      <c r="AY67">
        <v>21.375499999999999</v>
      </c>
      <c r="AZ67">
        <v>300.17</v>
      </c>
      <c r="BA67">
        <v>99.048299999999998</v>
      </c>
      <c r="BB67">
        <v>9.9977499999999997E-2</v>
      </c>
      <c r="BC67">
        <v>25.093399999999999</v>
      </c>
      <c r="BD67">
        <v>26.8248</v>
      </c>
      <c r="BE67">
        <v>26.501300000000001</v>
      </c>
      <c r="BF67">
        <v>0</v>
      </c>
      <c r="BG67">
        <v>0</v>
      </c>
      <c r="BH67">
        <v>9978.1200000000008</v>
      </c>
      <c r="BI67">
        <v>1057.8800000000001</v>
      </c>
      <c r="BJ67">
        <v>1.5137799999999999</v>
      </c>
      <c r="BK67">
        <v>-254.92400000000001</v>
      </c>
      <c r="BL67">
        <v>557.05200000000002</v>
      </c>
      <c r="BM67">
        <v>806.38800000000003</v>
      </c>
      <c r="BN67">
        <v>13.607900000000001</v>
      </c>
      <c r="BO67">
        <v>799.94399999999996</v>
      </c>
      <c r="BP67">
        <v>7.9915900000000004</v>
      </c>
      <c r="BQ67">
        <v>2.1394000000000002</v>
      </c>
      <c r="BR67">
        <v>0.79155399999999998</v>
      </c>
      <c r="BS67">
        <v>18.515599999999999</v>
      </c>
      <c r="BT67">
        <v>3.55674</v>
      </c>
      <c r="BU67">
        <v>1800</v>
      </c>
      <c r="BV67">
        <v>0.91000099999999995</v>
      </c>
      <c r="BW67">
        <v>3.3999300000000003E-2</v>
      </c>
      <c r="BX67">
        <v>2.1999299999999999E-2</v>
      </c>
      <c r="BY67">
        <v>3.4000700000000002E-2</v>
      </c>
      <c r="BZ67">
        <v>25</v>
      </c>
      <c r="CA67">
        <v>33528.300000000003</v>
      </c>
      <c r="CB67">
        <v>1690203121.0999999</v>
      </c>
      <c r="CC67" t="s">
        <v>332</v>
      </c>
      <c r="CD67">
        <v>1690203121.0999999</v>
      </c>
      <c r="CE67">
        <v>1690203121.0999999</v>
      </c>
      <c r="CF67">
        <v>3</v>
      </c>
      <c r="CG67">
        <v>0.53600000000000003</v>
      </c>
      <c r="CH67">
        <v>-0.01</v>
      </c>
      <c r="CI67">
        <v>-0.996</v>
      </c>
      <c r="CJ67">
        <v>-6.6000000000000003E-2</v>
      </c>
      <c r="CK67">
        <v>800</v>
      </c>
      <c r="CL67">
        <v>9</v>
      </c>
      <c r="CM67">
        <v>0.82</v>
      </c>
      <c r="CN67">
        <v>0.01</v>
      </c>
      <c r="CO67">
        <v>-252.50956097560979</v>
      </c>
      <c r="CP67">
        <v>-13.16573519163782</v>
      </c>
      <c r="CQ67">
        <v>1.2988354079765749</v>
      </c>
      <c r="CR67">
        <v>-1</v>
      </c>
      <c r="CS67">
        <v>13.48607804878049</v>
      </c>
      <c r="CT67">
        <v>0.46857073170733332</v>
      </c>
      <c r="CU67">
        <v>4.9506242583428978E-2</v>
      </c>
      <c r="CV67">
        <v>-1</v>
      </c>
      <c r="CW67">
        <v>0</v>
      </c>
      <c r="CX67">
        <v>0</v>
      </c>
      <c r="CY67" t="s">
        <v>333</v>
      </c>
      <c r="CZ67">
        <v>2.3646500000000001</v>
      </c>
      <c r="DA67">
        <v>2.7137500000000001</v>
      </c>
      <c r="DB67">
        <v>0.11261599999999999</v>
      </c>
      <c r="DC67">
        <v>0.14613499999999999</v>
      </c>
      <c r="DD67">
        <v>0.10556</v>
      </c>
      <c r="DE67">
        <v>4.9674999999999997E-2</v>
      </c>
      <c r="DF67">
        <v>32360</v>
      </c>
      <c r="DG67">
        <v>27442.799999999999</v>
      </c>
      <c r="DH67">
        <v>31131.4</v>
      </c>
      <c r="DI67">
        <v>28004.799999999999</v>
      </c>
      <c r="DJ67">
        <v>37795.5</v>
      </c>
      <c r="DK67">
        <v>37823.599999999999</v>
      </c>
      <c r="DL67">
        <v>44293.2</v>
      </c>
      <c r="DM67">
        <v>42420.3</v>
      </c>
      <c r="DN67">
        <v>1.47662</v>
      </c>
      <c r="DO67">
        <v>2.0523500000000001</v>
      </c>
      <c r="DP67">
        <v>0.15072199999999999</v>
      </c>
      <c r="DQ67">
        <v>0.13949700000000001</v>
      </c>
      <c r="DR67">
        <v>24.354199999999999</v>
      </c>
      <c r="DS67">
        <v>24.213799999999999</v>
      </c>
      <c r="DT67">
        <v>26.1</v>
      </c>
      <c r="DU67">
        <v>27.4</v>
      </c>
      <c r="DV67">
        <v>9.6555400000000002</v>
      </c>
      <c r="DW67">
        <v>61.935499999999998</v>
      </c>
      <c r="DX67">
        <v>35.737200000000001</v>
      </c>
      <c r="DY67">
        <v>1</v>
      </c>
      <c r="DZ67">
        <v>-0.100485</v>
      </c>
      <c r="EA67">
        <v>0.446465</v>
      </c>
      <c r="EB67">
        <v>20.190200000000001</v>
      </c>
      <c r="EC67">
        <v>5.2409499999999998</v>
      </c>
      <c r="ED67">
        <v>12.039899999999999</v>
      </c>
      <c r="EE67">
        <v>5.0167000000000002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</v>
      </c>
      <c r="EL67">
        <v>1.8646199999999999</v>
      </c>
      <c r="EM67">
        <v>1.86911</v>
      </c>
      <c r="EN67">
        <v>1.8672200000000001</v>
      </c>
      <c r="EO67">
        <v>1.8633900000000001</v>
      </c>
      <c r="EP67">
        <v>1.8644700000000001</v>
      </c>
      <c r="EQ67">
        <v>1.8701399999999999</v>
      </c>
      <c r="ER67">
        <v>1.8693900000000001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-0.81699999999999995</v>
      </c>
      <c r="FG67">
        <v>0.224</v>
      </c>
      <c r="FH67">
        <v>-0.44422204735670362</v>
      </c>
      <c r="FI67">
        <v>-6.1462078757559423E-4</v>
      </c>
      <c r="FJ67">
        <v>-1.8861989874597051E-7</v>
      </c>
      <c r="FK67">
        <v>1.1980462299894961E-10</v>
      </c>
      <c r="FL67">
        <v>-5.4907600448225742E-2</v>
      </c>
      <c r="FM67">
        <v>-1.6848085045870601E-2</v>
      </c>
      <c r="FN67">
        <v>1.9789084769509481E-3</v>
      </c>
      <c r="FO67">
        <v>-2.7142391389806329E-5</v>
      </c>
      <c r="FP67">
        <v>3</v>
      </c>
      <c r="FQ67">
        <v>2158</v>
      </c>
      <c r="FR67">
        <v>1</v>
      </c>
      <c r="FS67">
        <v>19</v>
      </c>
      <c r="FT67">
        <v>19.2</v>
      </c>
      <c r="FU67">
        <v>19.2</v>
      </c>
      <c r="FV67">
        <v>1.78101</v>
      </c>
      <c r="FW67">
        <v>2.5585900000000001</v>
      </c>
      <c r="FX67">
        <v>1.5490699999999999</v>
      </c>
      <c r="FY67">
        <v>2.33643</v>
      </c>
      <c r="FZ67">
        <v>1.50146</v>
      </c>
      <c r="GA67">
        <v>2.34131</v>
      </c>
      <c r="GB67">
        <v>32.222499999999997</v>
      </c>
      <c r="GC67">
        <v>23.982399999999998</v>
      </c>
      <c r="GD67">
        <v>19</v>
      </c>
      <c r="GE67">
        <v>282.44400000000002</v>
      </c>
      <c r="GF67">
        <v>594.42399999999998</v>
      </c>
      <c r="GG67">
        <v>22.125599999999999</v>
      </c>
      <c r="GH67">
        <v>26.134499999999999</v>
      </c>
      <c r="GI67">
        <v>29.999400000000001</v>
      </c>
      <c r="GJ67">
        <v>26.211400000000001</v>
      </c>
      <c r="GK67">
        <v>26.1614</v>
      </c>
      <c r="GL67">
        <v>35.603900000000003</v>
      </c>
      <c r="GM67">
        <v>-30</v>
      </c>
      <c r="GN67">
        <v>-30</v>
      </c>
      <c r="GO67">
        <v>22.2544</v>
      </c>
      <c r="GP67">
        <v>800</v>
      </c>
      <c r="GQ67">
        <v>12.5298</v>
      </c>
      <c r="GR67">
        <v>99.594300000000004</v>
      </c>
      <c r="GS67">
        <v>99.259399999999999</v>
      </c>
    </row>
    <row r="68" spans="1:201" x14ac:dyDescent="0.25">
      <c r="A68">
        <v>52</v>
      </c>
      <c r="B68">
        <v>1690204285.5</v>
      </c>
      <c r="C68">
        <v>845.90000009536743</v>
      </c>
      <c r="D68" t="s">
        <v>437</v>
      </c>
      <c r="E68" t="s">
        <v>438</v>
      </c>
      <c r="F68" t="s">
        <v>330</v>
      </c>
      <c r="H68">
        <v>1690204285.5</v>
      </c>
      <c r="I68">
        <f t="shared" si="0"/>
        <v>1.3466289676317491E-3</v>
      </c>
      <c r="J68">
        <f t="shared" si="1"/>
        <v>1.3466289676317491</v>
      </c>
      <c r="K68">
        <f t="shared" si="2"/>
        <v>24.027158603380542</v>
      </c>
      <c r="L68">
        <f t="shared" si="3"/>
        <v>542.65099999999995</v>
      </c>
      <c r="M68">
        <f t="shared" si="4"/>
        <v>125.70653592442538</v>
      </c>
      <c r="N68">
        <f t="shared" si="5"/>
        <v>12.463927184681657</v>
      </c>
      <c r="O68">
        <f t="shared" si="6"/>
        <v>53.804382572127601</v>
      </c>
      <c r="P68">
        <f t="shared" si="7"/>
        <v>9.5878584833680308E-2</v>
      </c>
      <c r="Q68">
        <f t="shared" si="8"/>
        <v>2.194626227961705</v>
      </c>
      <c r="R68">
        <f t="shared" si="9"/>
        <v>9.3610878178255003E-2</v>
      </c>
      <c r="S68">
        <f t="shared" si="10"/>
        <v>5.8706076040499391E-2</v>
      </c>
      <c r="T68">
        <f t="shared" si="11"/>
        <v>276.115029462</v>
      </c>
      <c r="U68">
        <f t="shared" si="12"/>
        <v>26.788562883207572</v>
      </c>
      <c r="V68">
        <f t="shared" si="13"/>
        <v>26.788562883207572</v>
      </c>
      <c r="W68">
        <f t="shared" si="14"/>
        <v>3.5349530536111429</v>
      </c>
      <c r="X68">
        <f t="shared" si="15"/>
        <v>67.127933927588003</v>
      </c>
      <c r="Y68">
        <f t="shared" si="16"/>
        <v>2.1495140903779202</v>
      </c>
      <c r="Z68">
        <f t="shared" si="17"/>
        <v>3.2021156687119792</v>
      </c>
      <c r="AA68">
        <f t="shared" si="18"/>
        <v>1.3854389632332227</v>
      </c>
      <c r="AB68">
        <f t="shared" si="19"/>
        <v>-59.386337472560136</v>
      </c>
      <c r="AC68">
        <f t="shared" si="20"/>
        <v>-197.65546944465271</v>
      </c>
      <c r="AD68">
        <f t="shared" si="21"/>
        <v>-19.234143144334858</v>
      </c>
      <c r="AE68">
        <f t="shared" si="22"/>
        <v>-0.16092059954769411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52737.348678064707</v>
      </c>
      <c r="AK68">
        <f t="shared" si="26"/>
        <v>1800</v>
      </c>
      <c r="AL68">
        <f t="shared" si="27"/>
        <v>1499.1119531999998</v>
      </c>
      <c r="AM68">
        <f t="shared" si="28"/>
        <v>0.83283997399999987</v>
      </c>
      <c r="AN68">
        <f t="shared" si="29"/>
        <v>0.15339723859000001</v>
      </c>
      <c r="AO68">
        <v>31.2</v>
      </c>
      <c r="AP68">
        <v>0.5</v>
      </c>
      <c r="AQ68" t="s">
        <v>331</v>
      </c>
      <c r="AR68">
        <v>2</v>
      </c>
      <c r="AS68">
        <v>1690204285.5</v>
      </c>
      <c r="AT68">
        <v>542.65099999999995</v>
      </c>
      <c r="AU68">
        <v>800.01400000000001</v>
      </c>
      <c r="AV68">
        <v>21.679200000000002</v>
      </c>
      <c r="AW68">
        <v>7.9842199999999997</v>
      </c>
      <c r="AX68">
        <v>543.46500000000003</v>
      </c>
      <c r="AY68">
        <v>21.511399999999998</v>
      </c>
      <c r="AZ68">
        <v>300.13900000000001</v>
      </c>
      <c r="BA68">
        <v>99.051000000000002</v>
      </c>
      <c r="BB68">
        <v>9.9987599999999996E-2</v>
      </c>
      <c r="BC68">
        <v>25.117999999999999</v>
      </c>
      <c r="BD68">
        <v>26.882300000000001</v>
      </c>
      <c r="BE68">
        <v>26.520199999999999</v>
      </c>
      <c r="BF68">
        <v>0</v>
      </c>
      <c r="BG68">
        <v>0</v>
      </c>
      <c r="BH68">
        <v>10006.200000000001</v>
      </c>
      <c r="BI68">
        <v>1057.96</v>
      </c>
      <c r="BJ68">
        <v>1.46753</v>
      </c>
      <c r="BK68">
        <v>-257.363</v>
      </c>
      <c r="BL68">
        <v>554.67600000000004</v>
      </c>
      <c r="BM68">
        <v>806.45299999999997</v>
      </c>
      <c r="BN68">
        <v>13.695</v>
      </c>
      <c r="BO68">
        <v>800.01400000000001</v>
      </c>
      <c r="BP68">
        <v>7.9842199999999997</v>
      </c>
      <c r="BQ68">
        <v>2.1473499999999999</v>
      </c>
      <c r="BR68">
        <v>0.79084500000000002</v>
      </c>
      <c r="BS68">
        <v>18.5748</v>
      </c>
      <c r="BT68">
        <v>3.5440299999999998</v>
      </c>
      <c r="BU68">
        <v>1800</v>
      </c>
      <c r="BV68">
        <v>0.91000300000000001</v>
      </c>
      <c r="BW68">
        <v>3.3998300000000002E-2</v>
      </c>
      <c r="BX68">
        <v>2.19987E-2</v>
      </c>
      <c r="BY68">
        <v>3.3999700000000001E-2</v>
      </c>
      <c r="BZ68">
        <v>25</v>
      </c>
      <c r="CA68">
        <v>33528.300000000003</v>
      </c>
      <c r="CB68">
        <v>1690203121.0999999</v>
      </c>
      <c r="CC68" t="s">
        <v>332</v>
      </c>
      <c r="CD68">
        <v>1690203121.0999999</v>
      </c>
      <c r="CE68">
        <v>1690203121.0999999</v>
      </c>
      <c r="CF68">
        <v>3</v>
      </c>
      <c r="CG68">
        <v>0.53600000000000003</v>
      </c>
      <c r="CH68">
        <v>-0.01</v>
      </c>
      <c r="CI68">
        <v>-0.996</v>
      </c>
      <c r="CJ68">
        <v>-6.6000000000000003E-2</v>
      </c>
      <c r="CK68">
        <v>800</v>
      </c>
      <c r="CL68">
        <v>9</v>
      </c>
      <c r="CM68">
        <v>0.82</v>
      </c>
      <c r="CN68">
        <v>0.01</v>
      </c>
      <c r="CO68">
        <v>-254.88595000000001</v>
      </c>
      <c r="CP68">
        <v>-13.311106941839171</v>
      </c>
      <c r="CQ68">
        <v>1.281879303015697</v>
      </c>
      <c r="CR68">
        <v>-1</v>
      </c>
      <c r="CS68">
        <v>13.5813875</v>
      </c>
      <c r="CT68">
        <v>0.5640236397748386</v>
      </c>
      <c r="CU68">
        <v>5.5769965875460313E-2</v>
      </c>
      <c r="CV68">
        <v>-1</v>
      </c>
      <c r="CW68">
        <v>0</v>
      </c>
      <c r="CX68">
        <v>0</v>
      </c>
      <c r="CY68" t="s">
        <v>333</v>
      </c>
      <c r="CZ68">
        <v>2.3645399999999999</v>
      </c>
      <c r="DA68">
        <v>2.7137799999999999</v>
      </c>
      <c r="DB68">
        <v>0.11226999999999999</v>
      </c>
      <c r="DC68">
        <v>0.146149</v>
      </c>
      <c r="DD68">
        <v>0.10604</v>
      </c>
      <c r="DE68">
        <v>4.9640499999999997E-2</v>
      </c>
      <c r="DF68">
        <v>32373.4</v>
      </c>
      <c r="DG68">
        <v>27443</v>
      </c>
      <c r="DH68">
        <v>31132.1</v>
      </c>
      <c r="DI68">
        <v>28005.4</v>
      </c>
      <c r="DJ68">
        <v>37776.1</v>
      </c>
      <c r="DK68">
        <v>37825.599999999999</v>
      </c>
      <c r="DL68">
        <v>44294.6</v>
      </c>
      <c r="DM68">
        <v>42421</v>
      </c>
      <c r="DN68">
        <v>1.47705</v>
      </c>
      <c r="DO68">
        <v>2.0520499999999999</v>
      </c>
      <c r="DP68">
        <v>0.15501699999999999</v>
      </c>
      <c r="DQ68">
        <v>0.141405</v>
      </c>
      <c r="DR68">
        <v>24.3414</v>
      </c>
      <c r="DS68">
        <v>24.201499999999999</v>
      </c>
      <c r="DT68">
        <v>26.1</v>
      </c>
      <c r="DU68">
        <v>27.4</v>
      </c>
      <c r="DV68">
        <v>9.6546699999999994</v>
      </c>
      <c r="DW68">
        <v>61.7455</v>
      </c>
      <c r="DX68">
        <v>36.726799999999997</v>
      </c>
      <c r="DY68">
        <v>1</v>
      </c>
      <c r="DZ68">
        <v>-0.101524</v>
      </c>
      <c r="EA68">
        <v>0.243145</v>
      </c>
      <c r="EB68">
        <v>20.1906</v>
      </c>
      <c r="EC68">
        <v>5.2406499999999996</v>
      </c>
      <c r="ED68">
        <v>12.039899999999999</v>
      </c>
      <c r="EE68">
        <v>5.0166000000000004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</v>
      </c>
      <c r="EL68">
        <v>1.8646199999999999</v>
      </c>
      <c r="EM68">
        <v>1.8691199999999999</v>
      </c>
      <c r="EN68">
        <v>1.8672200000000001</v>
      </c>
      <c r="EO68">
        <v>1.8633999999999999</v>
      </c>
      <c r="EP68">
        <v>1.8644700000000001</v>
      </c>
      <c r="EQ68">
        <v>1.8701399999999999</v>
      </c>
      <c r="ER68">
        <v>1.8693599999999999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-0.81399999999999995</v>
      </c>
      <c r="FG68">
        <v>0.1678</v>
      </c>
      <c r="FH68">
        <v>-0.44422204735670362</v>
      </c>
      <c r="FI68">
        <v>-6.1462078757559423E-4</v>
      </c>
      <c r="FJ68">
        <v>-1.8861989874597051E-7</v>
      </c>
      <c r="FK68">
        <v>1.1980462299894961E-10</v>
      </c>
      <c r="FL68">
        <v>0.16773393518503121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19.399999999999999</v>
      </c>
      <c r="FU68">
        <v>19.399999999999999</v>
      </c>
      <c r="FV68">
        <v>1.78101</v>
      </c>
      <c r="FW68">
        <v>2.5585900000000001</v>
      </c>
      <c r="FX68">
        <v>1.5490699999999999</v>
      </c>
      <c r="FY68">
        <v>2.33643</v>
      </c>
      <c r="FZ68">
        <v>1.50146</v>
      </c>
      <c r="GA68">
        <v>2.3730500000000001</v>
      </c>
      <c r="GB68">
        <v>32.222499999999997</v>
      </c>
      <c r="GC68">
        <v>23.982399999999998</v>
      </c>
      <c r="GD68">
        <v>19</v>
      </c>
      <c r="GE68">
        <v>282.61500000000001</v>
      </c>
      <c r="GF68">
        <v>594.14700000000005</v>
      </c>
      <c r="GG68">
        <v>22.403500000000001</v>
      </c>
      <c r="GH68">
        <v>26.125599999999999</v>
      </c>
      <c r="GI68">
        <v>29.999600000000001</v>
      </c>
      <c r="GJ68">
        <v>26.209199999999999</v>
      </c>
      <c r="GK68">
        <v>26.159199999999998</v>
      </c>
      <c r="GL68">
        <v>35.603400000000001</v>
      </c>
      <c r="GM68">
        <v>-30</v>
      </c>
      <c r="GN68">
        <v>-30</v>
      </c>
      <c r="GO68">
        <v>22.501100000000001</v>
      </c>
      <c r="GP68">
        <v>800</v>
      </c>
      <c r="GQ68">
        <v>12.5298</v>
      </c>
      <c r="GR68">
        <v>99.597099999999998</v>
      </c>
      <c r="GS68">
        <v>99.261200000000002</v>
      </c>
    </row>
    <row r="69" spans="1:201" x14ac:dyDescent="0.25">
      <c r="A69">
        <v>53</v>
      </c>
      <c r="B69">
        <v>1690204295.5</v>
      </c>
      <c r="C69">
        <v>855.90000009536743</v>
      </c>
      <c r="D69" t="s">
        <v>439</v>
      </c>
      <c r="E69" t="s">
        <v>440</v>
      </c>
      <c r="F69" t="s">
        <v>330</v>
      </c>
      <c r="H69">
        <v>1690204295.5</v>
      </c>
      <c r="I69">
        <f t="shared" si="0"/>
        <v>1.3603102666242504E-3</v>
      </c>
      <c r="J69">
        <f t="shared" si="1"/>
        <v>1.3603102666242504</v>
      </c>
      <c r="K69">
        <f t="shared" si="2"/>
        <v>24.232150447237871</v>
      </c>
      <c r="L69">
        <f t="shared" si="3"/>
        <v>540.54399999999998</v>
      </c>
      <c r="M69">
        <f t="shared" si="4"/>
        <v>126.67122798376658</v>
      </c>
      <c r="N69">
        <f t="shared" si="5"/>
        <v>12.559422904866933</v>
      </c>
      <c r="O69">
        <f t="shared" si="6"/>
        <v>53.594812355955206</v>
      </c>
      <c r="P69">
        <f t="shared" si="7"/>
        <v>9.7447850445066486E-2</v>
      </c>
      <c r="Q69">
        <f t="shared" si="8"/>
        <v>2.1930813838100742</v>
      </c>
      <c r="R69">
        <f t="shared" si="9"/>
        <v>9.5104673976098397E-2</v>
      </c>
      <c r="S69">
        <f t="shared" si="10"/>
        <v>5.9646253580090042E-2</v>
      </c>
      <c r="T69">
        <f t="shared" si="11"/>
        <v>276.11347239574241</v>
      </c>
      <c r="U69">
        <f t="shared" si="12"/>
        <v>26.80953405270003</v>
      </c>
      <c r="V69">
        <f t="shared" si="13"/>
        <v>26.80953405270003</v>
      </c>
      <c r="W69">
        <f t="shared" si="14"/>
        <v>3.5393162433064829</v>
      </c>
      <c r="X69">
        <f t="shared" si="15"/>
        <v>67.416544173905422</v>
      </c>
      <c r="Y69">
        <f t="shared" si="16"/>
        <v>2.1619210378741802</v>
      </c>
      <c r="Z69">
        <f t="shared" si="17"/>
        <v>3.2068108271722773</v>
      </c>
      <c r="AA69">
        <f t="shared" si="18"/>
        <v>1.3773952054323026</v>
      </c>
      <c r="AB69">
        <f t="shared" si="19"/>
        <v>-59.989682758129447</v>
      </c>
      <c r="AC69">
        <f t="shared" si="20"/>
        <v>-197.08728656740439</v>
      </c>
      <c r="AD69">
        <f t="shared" si="21"/>
        <v>-19.196750414084814</v>
      </c>
      <c r="AE69">
        <f t="shared" si="22"/>
        <v>-0.16024734387625017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52669.427369150202</v>
      </c>
      <c r="AK69">
        <f t="shared" si="26"/>
        <v>1799.99</v>
      </c>
      <c r="AL69">
        <f t="shared" si="27"/>
        <v>1499.1048703933402</v>
      </c>
      <c r="AM69">
        <f t="shared" si="28"/>
        <v>0.83284066600000006</v>
      </c>
      <c r="AN69">
        <f t="shared" si="29"/>
        <v>0.15339722576000001</v>
      </c>
      <c r="AO69">
        <v>31.2</v>
      </c>
      <c r="AP69">
        <v>0.5</v>
      </c>
      <c r="AQ69" t="s">
        <v>331</v>
      </c>
      <c r="AR69">
        <v>2</v>
      </c>
      <c r="AS69">
        <v>1690204295.5</v>
      </c>
      <c r="AT69">
        <v>540.54399999999998</v>
      </c>
      <c r="AU69">
        <v>799.99800000000005</v>
      </c>
      <c r="AV69">
        <v>21.804600000000001</v>
      </c>
      <c r="AW69">
        <v>7.9769100000000002</v>
      </c>
      <c r="AX69">
        <v>541.35699999999997</v>
      </c>
      <c r="AY69">
        <v>21.636800000000001</v>
      </c>
      <c r="AZ69">
        <v>300.24</v>
      </c>
      <c r="BA69">
        <v>99.049800000000005</v>
      </c>
      <c r="BB69">
        <v>9.9968299999999996E-2</v>
      </c>
      <c r="BC69">
        <v>25.142600000000002</v>
      </c>
      <c r="BD69">
        <v>26.762</v>
      </c>
      <c r="BE69">
        <v>26.530799999999999</v>
      </c>
      <c r="BF69">
        <v>0</v>
      </c>
      <c r="BG69">
        <v>0</v>
      </c>
      <c r="BH69">
        <v>9993.75</v>
      </c>
      <c r="BI69">
        <v>1057.92</v>
      </c>
      <c r="BJ69">
        <v>1.2236400000000001</v>
      </c>
      <c r="BK69">
        <v>-259.45400000000001</v>
      </c>
      <c r="BL69">
        <v>552.59299999999996</v>
      </c>
      <c r="BM69">
        <v>806.43100000000004</v>
      </c>
      <c r="BN69">
        <v>13.8277</v>
      </c>
      <c r="BO69">
        <v>799.99800000000005</v>
      </c>
      <c r="BP69">
        <v>7.9769100000000002</v>
      </c>
      <c r="BQ69">
        <v>2.1597400000000002</v>
      </c>
      <c r="BR69">
        <v>0.79011200000000004</v>
      </c>
      <c r="BS69">
        <v>18.666799999999999</v>
      </c>
      <c r="BT69">
        <v>3.5308899999999999</v>
      </c>
      <c r="BU69">
        <v>1799.99</v>
      </c>
      <c r="BV69">
        <v>0.91000700000000001</v>
      </c>
      <c r="BW69">
        <v>3.3996999999999999E-2</v>
      </c>
      <c r="BX69">
        <v>2.1997800000000001E-2</v>
      </c>
      <c r="BY69">
        <v>3.3998399999999998E-2</v>
      </c>
      <c r="BZ69">
        <v>25</v>
      </c>
      <c r="CA69">
        <v>33528.300000000003</v>
      </c>
      <c r="CB69">
        <v>1690203121.0999999</v>
      </c>
      <c r="CC69" t="s">
        <v>332</v>
      </c>
      <c r="CD69">
        <v>1690203121.0999999</v>
      </c>
      <c r="CE69">
        <v>1690203121.0999999</v>
      </c>
      <c r="CF69">
        <v>3</v>
      </c>
      <c r="CG69">
        <v>0.53600000000000003</v>
      </c>
      <c r="CH69">
        <v>-0.01</v>
      </c>
      <c r="CI69">
        <v>-0.996</v>
      </c>
      <c r="CJ69">
        <v>-6.6000000000000003E-2</v>
      </c>
      <c r="CK69">
        <v>800</v>
      </c>
      <c r="CL69">
        <v>9</v>
      </c>
      <c r="CM69">
        <v>0.82</v>
      </c>
      <c r="CN69">
        <v>0.01</v>
      </c>
      <c r="CO69">
        <v>-257.14019999999999</v>
      </c>
      <c r="CP69">
        <v>-13.56889305816059</v>
      </c>
      <c r="CQ69">
        <v>1.3066032527129261</v>
      </c>
      <c r="CR69">
        <v>-1</v>
      </c>
      <c r="CS69">
        <v>13.6911275</v>
      </c>
      <c r="CT69">
        <v>0.73947579737332036</v>
      </c>
      <c r="CU69">
        <v>7.2625322675703055E-2</v>
      </c>
      <c r="CV69">
        <v>-1</v>
      </c>
      <c r="CW69">
        <v>0</v>
      </c>
      <c r="CX69">
        <v>0</v>
      </c>
      <c r="CY69" t="s">
        <v>333</v>
      </c>
      <c r="CZ69">
        <v>2.3648899999999999</v>
      </c>
      <c r="DA69">
        <v>2.7137500000000001</v>
      </c>
      <c r="DB69">
        <v>0.111958</v>
      </c>
      <c r="DC69">
        <v>0.146145</v>
      </c>
      <c r="DD69">
        <v>0.106477</v>
      </c>
      <c r="DE69">
        <v>4.9604099999999998E-2</v>
      </c>
      <c r="DF69">
        <v>32384.9</v>
      </c>
      <c r="DG69">
        <v>27443.4</v>
      </c>
      <c r="DH69">
        <v>31132.2</v>
      </c>
      <c r="DI69">
        <v>28005.7</v>
      </c>
      <c r="DJ69">
        <v>37757.5</v>
      </c>
      <c r="DK69">
        <v>37827.599999999999</v>
      </c>
      <c r="DL69">
        <v>44294.7</v>
      </c>
      <c r="DM69">
        <v>42421.599999999999</v>
      </c>
      <c r="DN69">
        <v>1.4770000000000001</v>
      </c>
      <c r="DO69">
        <v>2.0523500000000001</v>
      </c>
      <c r="DP69">
        <v>0.148285</v>
      </c>
      <c r="DQ69">
        <v>0.14249200000000001</v>
      </c>
      <c r="DR69">
        <v>24.331099999999999</v>
      </c>
      <c r="DS69">
        <v>24.194199999999999</v>
      </c>
      <c r="DT69">
        <v>26.1</v>
      </c>
      <c r="DU69">
        <v>27.4</v>
      </c>
      <c r="DV69">
        <v>9.6556200000000008</v>
      </c>
      <c r="DW69">
        <v>61.705500000000001</v>
      </c>
      <c r="DX69">
        <v>35.873399999999997</v>
      </c>
      <c r="DY69">
        <v>1</v>
      </c>
      <c r="DZ69">
        <v>-0.101817</v>
      </c>
      <c r="EA69">
        <v>0.17940900000000001</v>
      </c>
      <c r="EB69">
        <v>20.1905</v>
      </c>
      <c r="EC69">
        <v>5.2411000000000003</v>
      </c>
      <c r="ED69">
        <v>12.039899999999999</v>
      </c>
      <c r="EE69">
        <v>5.01675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</v>
      </c>
      <c r="EL69">
        <v>1.8646199999999999</v>
      </c>
      <c r="EM69">
        <v>1.8691199999999999</v>
      </c>
      <c r="EN69">
        <v>1.8672200000000001</v>
      </c>
      <c r="EO69">
        <v>1.8633900000000001</v>
      </c>
      <c r="EP69">
        <v>1.8644700000000001</v>
      </c>
      <c r="EQ69">
        <v>1.8701300000000001</v>
      </c>
      <c r="ER69">
        <v>1.8693599999999999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-0.81299999999999994</v>
      </c>
      <c r="FG69">
        <v>0.1678</v>
      </c>
      <c r="FH69">
        <v>-0.44422204735670362</v>
      </c>
      <c r="FI69">
        <v>-6.1462078757559423E-4</v>
      </c>
      <c r="FJ69">
        <v>-1.8861989874597051E-7</v>
      </c>
      <c r="FK69">
        <v>1.1980462299894961E-10</v>
      </c>
      <c r="FL69">
        <v>0.16773393518503121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19.600000000000001</v>
      </c>
      <c r="FU69">
        <v>19.600000000000001</v>
      </c>
      <c r="FV69">
        <v>1.78101</v>
      </c>
      <c r="FW69">
        <v>2.5647000000000002</v>
      </c>
      <c r="FX69">
        <v>1.5490699999999999</v>
      </c>
      <c r="FY69">
        <v>2.33643</v>
      </c>
      <c r="FZ69">
        <v>1.50146</v>
      </c>
      <c r="GA69">
        <v>2.32056</v>
      </c>
      <c r="GB69">
        <v>32.222499999999997</v>
      </c>
      <c r="GC69">
        <v>23.973700000000001</v>
      </c>
      <c r="GD69">
        <v>19</v>
      </c>
      <c r="GE69">
        <v>282.57900000000001</v>
      </c>
      <c r="GF69">
        <v>594.399</v>
      </c>
      <c r="GG69">
        <v>22.624700000000001</v>
      </c>
      <c r="GH69">
        <v>26.1174</v>
      </c>
      <c r="GI69">
        <v>30</v>
      </c>
      <c r="GJ69">
        <v>26.206</v>
      </c>
      <c r="GK69">
        <v>26.159199999999998</v>
      </c>
      <c r="GL69">
        <v>35.604799999999997</v>
      </c>
      <c r="GM69">
        <v>-30</v>
      </c>
      <c r="GN69">
        <v>-30</v>
      </c>
      <c r="GO69">
        <v>22.729399999999998</v>
      </c>
      <c r="GP69">
        <v>800</v>
      </c>
      <c r="GQ69">
        <v>12.5298</v>
      </c>
      <c r="GR69">
        <v>99.597399999999993</v>
      </c>
      <c r="GS69">
        <v>99.262500000000003</v>
      </c>
    </row>
    <row r="70" spans="1:201" x14ac:dyDescent="0.25">
      <c r="A70">
        <v>54</v>
      </c>
      <c r="B70">
        <v>1690204305.5</v>
      </c>
      <c r="C70">
        <v>865.90000009536743</v>
      </c>
      <c r="D70" t="s">
        <v>441</v>
      </c>
      <c r="E70" t="s">
        <v>442</v>
      </c>
      <c r="F70" t="s">
        <v>330</v>
      </c>
      <c r="H70">
        <v>1690204305.5</v>
      </c>
      <c r="I70">
        <f t="shared" si="0"/>
        <v>1.3716049870348321E-3</v>
      </c>
      <c r="J70">
        <f t="shared" si="1"/>
        <v>1.3716049870348321</v>
      </c>
      <c r="K70">
        <f t="shared" si="2"/>
        <v>24.438061506088896</v>
      </c>
      <c r="L70">
        <f t="shared" si="3"/>
        <v>538.26</v>
      </c>
      <c r="M70">
        <f t="shared" si="4"/>
        <v>125.41647163079566</v>
      </c>
      <c r="N70">
        <f t="shared" si="5"/>
        <v>12.435056707172325</v>
      </c>
      <c r="O70">
        <f t="shared" si="6"/>
        <v>53.368537132080007</v>
      </c>
      <c r="P70">
        <f t="shared" si="7"/>
        <v>9.8531623958654224E-2</v>
      </c>
      <c r="Q70">
        <f t="shared" si="8"/>
        <v>2.1951553717399159</v>
      </c>
      <c r="R70">
        <f t="shared" si="9"/>
        <v>9.6138931459216856E-2</v>
      </c>
      <c r="S70">
        <f t="shared" si="10"/>
        <v>6.0296966706863894E-2</v>
      </c>
      <c r="T70">
        <f t="shared" si="11"/>
        <v>276.11323659705243</v>
      </c>
      <c r="U70">
        <f t="shared" si="12"/>
        <v>26.845995954004994</v>
      </c>
      <c r="V70">
        <f t="shared" si="13"/>
        <v>26.845995954004994</v>
      </c>
      <c r="W70">
        <f t="shared" si="14"/>
        <v>3.5469135760045813</v>
      </c>
      <c r="X70">
        <f t="shared" si="15"/>
        <v>67.59831082103598</v>
      </c>
      <c r="Y70">
        <f t="shared" si="16"/>
        <v>2.1731522371223999</v>
      </c>
      <c r="Z70">
        <f t="shared" si="17"/>
        <v>3.2148025752828939</v>
      </c>
      <c r="AA70">
        <f t="shared" si="18"/>
        <v>1.3737613388821814</v>
      </c>
      <c r="AB70">
        <f t="shared" si="19"/>
        <v>-60.487779928236094</v>
      </c>
      <c r="AC70">
        <f t="shared" si="20"/>
        <v>-196.64193274814977</v>
      </c>
      <c r="AD70">
        <f t="shared" si="21"/>
        <v>-19.142789240611343</v>
      </c>
      <c r="AE70">
        <f t="shared" si="22"/>
        <v>-0.15926531994477955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52747.358168294901</v>
      </c>
      <c r="AK70">
        <f t="shared" si="26"/>
        <v>1799.99</v>
      </c>
      <c r="AL70">
        <f t="shared" si="27"/>
        <v>1499.1051763916398</v>
      </c>
      <c r="AM70">
        <f t="shared" si="28"/>
        <v>0.83284083599999992</v>
      </c>
      <c r="AN70">
        <f t="shared" si="29"/>
        <v>0.15339709476000002</v>
      </c>
      <c r="AO70">
        <v>31.2</v>
      </c>
      <c r="AP70">
        <v>0.5</v>
      </c>
      <c r="AQ70" t="s">
        <v>331</v>
      </c>
      <c r="AR70">
        <v>2</v>
      </c>
      <c r="AS70">
        <v>1690204305.5</v>
      </c>
      <c r="AT70">
        <v>538.26</v>
      </c>
      <c r="AU70">
        <v>800.03200000000004</v>
      </c>
      <c r="AV70">
        <v>21.9178</v>
      </c>
      <c r="AW70">
        <v>7.9690599999999998</v>
      </c>
      <c r="AX70">
        <v>539.072</v>
      </c>
      <c r="AY70">
        <v>21.7501</v>
      </c>
      <c r="AZ70">
        <v>300.07100000000003</v>
      </c>
      <c r="BA70">
        <v>99.0501</v>
      </c>
      <c r="BB70">
        <v>0.100008</v>
      </c>
      <c r="BC70">
        <v>25.1844</v>
      </c>
      <c r="BD70">
        <v>26.817900000000002</v>
      </c>
      <c r="BE70">
        <v>26.567399999999999</v>
      </c>
      <c r="BF70">
        <v>0</v>
      </c>
      <c r="BG70">
        <v>0</v>
      </c>
      <c r="BH70">
        <v>10010.6</v>
      </c>
      <c r="BI70">
        <v>1057.94</v>
      </c>
      <c r="BJ70">
        <v>1.56985</v>
      </c>
      <c r="BK70">
        <v>-261.77199999999999</v>
      </c>
      <c r="BL70">
        <v>550.322</v>
      </c>
      <c r="BM70">
        <v>806.45899999999995</v>
      </c>
      <c r="BN70">
        <v>13.948700000000001</v>
      </c>
      <c r="BO70">
        <v>800.03200000000004</v>
      </c>
      <c r="BP70">
        <v>7.9690599999999998</v>
      </c>
      <c r="BQ70">
        <v>2.17096</v>
      </c>
      <c r="BR70">
        <v>0.78933600000000004</v>
      </c>
      <c r="BS70">
        <v>18.749600000000001</v>
      </c>
      <c r="BT70">
        <v>3.5169600000000001</v>
      </c>
      <c r="BU70">
        <v>1799.99</v>
      </c>
      <c r="BV70">
        <v>0.91001100000000001</v>
      </c>
      <c r="BW70">
        <v>3.3995400000000002E-2</v>
      </c>
      <c r="BX70">
        <v>2.19968E-2</v>
      </c>
      <c r="BY70">
        <v>3.3996800000000001E-2</v>
      </c>
      <c r="BZ70">
        <v>25</v>
      </c>
      <c r="CA70">
        <v>33528.300000000003</v>
      </c>
      <c r="CB70">
        <v>1690203121.0999999</v>
      </c>
      <c r="CC70" t="s">
        <v>332</v>
      </c>
      <c r="CD70">
        <v>1690203121.0999999</v>
      </c>
      <c r="CE70">
        <v>1690203121.0999999</v>
      </c>
      <c r="CF70">
        <v>3</v>
      </c>
      <c r="CG70">
        <v>0.53600000000000003</v>
      </c>
      <c r="CH70">
        <v>-0.01</v>
      </c>
      <c r="CI70">
        <v>-0.996</v>
      </c>
      <c r="CJ70">
        <v>-6.6000000000000003E-2</v>
      </c>
      <c r="CK70">
        <v>800</v>
      </c>
      <c r="CL70">
        <v>9</v>
      </c>
      <c r="CM70">
        <v>0.82</v>
      </c>
      <c r="CN70">
        <v>0.01</v>
      </c>
      <c r="CO70">
        <v>-259.20151219512189</v>
      </c>
      <c r="CP70">
        <v>-13.019059233449831</v>
      </c>
      <c r="CQ70">
        <v>1.284479226767649</v>
      </c>
      <c r="CR70">
        <v>-1</v>
      </c>
      <c r="CS70">
        <v>13.807136585365861</v>
      </c>
      <c r="CT70">
        <v>0.75908571428576854</v>
      </c>
      <c r="CU70">
        <v>7.4919653730977351E-2</v>
      </c>
      <c r="CV70">
        <v>-1</v>
      </c>
      <c r="CW70">
        <v>0</v>
      </c>
      <c r="CX70">
        <v>0</v>
      </c>
      <c r="CY70" t="s">
        <v>333</v>
      </c>
      <c r="CZ70">
        <v>2.3643200000000002</v>
      </c>
      <c r="DA70">
        <v>2.7138100000000001</v>
      </c>
      <c r="DB70">
        <v>0.111621</v>
      </c>
      <c r="DC70">
        <v>0.14615</v>
      </c>
      <c r="DD70">
        <v>0.10687199999999999</v>
      </c>
      <c r="DE70">
        <v>4.9565900000000003E-2</v>
      </c>
      <c r="DF70">
        <v>32397.7</v>
      </c>
      <c r="DG70">
        <v>27444</v>
      </c>
      <c r="DH70">
        <v>31132.6</v>
      </c>
      <c r="DI70">
        <v>28006.400000000001</v>
      </c>
      <c r="DJ70">
        <v>37741</v>
      </c>
      <c r="DK70">
        <v>37830.1</v>
      </c>
      <c r="DL70">
        <v>44295.199999999997</v>
      </c>
      <c r="DM70">
        <v>42422.7</v>
      </c>
      <c r="DN70">
        <v>1.47705</v>
      </c>
      <c r="DO70">
        <v>2.05247</v>
      </c>
      <c r="DP70">
        <v>0.15220800000000001</v>
      </c>
      <c r="DQ70">
        <v>0.145011</v>
      </c>
      <c r="DR70">
        <v>24.322800000000001</v>
      </c>
      <c r="DS70">
        <v>24.189599999999999</v>
      </c>
      <c r="DT70">
        <v>26</v>
      </c>
      <c r="DU70">
        <v>27.4</v>
      </c>
      <c r="DV70">
        <v>9.6171699999999998</v>
      </c>
      <c r="DW70">
        <v>61.485500000000002</v>
      </c>
      <c r="DX70">
        <v>36.5505</v>
      </c>
      <c r="DY70">
        <v>1</v>
      </c>
      <c r="DZ70">
        <v>-0.103023</v>
      </c>
      <c r="EA70">
        <v>-0.18373900000000001</v>
      </c>
      <c r="EB70">
        <v>20.1905</v>
      </c>
      <c r="EC70">
        <v>5.2406499999999996</v>
      </c>
      <c r="ED70">
        <v>12.039899999999999</v>
      </c>
      <c r="EE70">
        <v>5.0166000000000004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</v>
      </c>
      <c r="EL70">
        <v>1.8646100000000001</v>
      </c>
      <c r="EM70">
        <v>1.86914</v>
      </c>
      <c r="EN70">
        <v>1.8672200000000001</v>
      </c>
      <c r="EO70">
        <v>1.8633999999999999</v>
      </c>
      <c r="EP70">
        <v>1.8644799999999999</v>
      </c>
      <c r="EQ70">
        <v>1.8701399999999999</v>
      </c>
      <c r="ER70">
        <v>1.86937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-0.81200000000000006</v>
      </c>
      <c r="FG70">
        <v>0.16769999999999999</v>
      </c>
      <c r="FH70">
        <v>-0.44422204735670362</v>
      </c>
      <c r="FI70">
        <v>-6.1462078757559423E-4</v>
      </c>
      <c r="FJ70">
        <v>-1.8861989874597051E-7</v>
      </c>
      <c r="FK70">
        <v>1.1980462299894961E-10</v>
      </c>
      <c r="FL70">
        <v>0.16773393518503121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19.7</v>
      </c>
      <c r="FU70">
        <v>19.7</v>
      </c>
      <c r="FV70">
        <v>1.78101</v>
      </c>
      <c r="FW70">
        <v>2.5524900000000001</v>
      </c>
      <c r="FX70">
        <v>1.5490699999999999</v>
      </c>
      <c r="FY70">
        <v>2.33521</v>
      </c>
      <c r="FZ70">
        <v>1.50024</v>
      </c>
      <c r="GA70">
        <v>2.3730500000000001</v>
      </c>
      <c r="GB70">
        <v>32.222499999999997</v>
      </c>
      <c r="GC70">
        <v>23.982399999999998</v>
      </c>
      <c r="GD70">
        <v>19</v>
      </c>
      <c r="GE70">
        <v>282.58499999999998</v>
      </c>
      <c r="GF70">
        <v>594.47799999999995</v>
      </c>
      <c r="GG70">
        <v>22.9239</v>
      </c>
      <c r="GH70">
        <v>26.108599999999999</v>
      </c>
      <c r="GI70">
        <v>29.999700000000001</v>
      </c>
      <c r="GJ70">
        <v>26.2026</v>
      </c>
      <c r="GK70">
        <v>26.157</v>
      </c>
      <c r="GL70">
        <v>35.602600000000002</v>
      </c>
      <c r="GM70">
        <v>-30</v>
      </c>
      <c r="GN70">
        <v>-30</v>
      </c>
      <c r="GO70">
        <v>23.040800000000001</v>
      </c>
      <c r="GP70">
        <v>800</v>
      </c>
      <c r="GQ70">
        <v>12.5298</v>
      </c>
      <c r="GR70">
        <v>99.598600000000005</v>
      </c>
      <c r="GS70">
        <v>99.265100000000004</v>
      </c>
    </row>
    <row r="71" spans="1:201" x14ac:dyDescent="0.25">
      <c r="A71">
        <v>55</v>
      </c>
      <c r="B71">
        <v>1690204315.5</v>
      </c>
      <c r="C71">
        <v>875.90000009536743</v>
      </c>
      <c r="D71" t="s">
        <v>443</v>
      </c>
      <c r="E71" t="s">
        <v>444</v>
      </c>
      <c r="F71" t="s">
        <v>330</v>
      </c>
      <c r="H71">
        <v>1690204315.5</v>
      </c>
      <c r="I71">
        <f t="shared" si="0"/>
        <v>1.3859474116259978E-3</v>
      </c>
      <c r="J71">
        <f t="shared" si="1"/>
        <v>1.3859474116259978</v>
      </c>
      <c r="K71">
        <f t="shared" si="2"/>
        <v>24.672789739995153</v>
      </c>
      <c r="L71">
        <f t="shared" si="3"/>
        <v>535.83199999999999</v>
      </c>
      <c r="M71">
        <f t="shared" si="4"/>
        <v>125.14568661853511</v>
      </c>
      <c r="N71">
        <f t="shared" si="5"/>
        <v>12.408230169369658</v>
      </c>
      <c r="O71">
        <f t="shared" si="6"/>
        <v>53.127894118956803</v>
      </c>
      <c r="P71">
        <f t="shared" si="7"/>
        <v>0.10002504790415424</v>
      </c>
      <c r="Q71">
        <f t="shared" si="8"/>
        <v>2.1963850619565957</v>
      </c>
      <c r="R71">
        <f t="shared" si="9"/>
        <v>9.7561595188977585E-2</v>
      </c>
      <c r="S71">
        <f t="shared" si="10"/>
        <v>6.1192275169901264E-2</v>
      </c>
      <c r="T71">
        <f t="shared" si="11"/>
        <v>276.11300079836235</v>
      </c>
      <c r="U71">
        <f t="shared" si="12"/>
        <v>26.879416725659588</v>
      </c>
      <c r="V71">
        <f t="shared" si="13"/>
        <v>26.879416725659588</v>
      </c>
      <c r="W71">
        <f t="shared" si="14"/>
        <v>3.5538897493117565</v>
      </c>
      <c r="X71">
        <f t="shared" si="15"/>
        <v>67.843959358881563</v>
      </c>
      <c r="Y71">
        <f t="shared" si="16"/>
        <v>2.1861447465811197</v>
      </c>
      <c r="Z71">
        <f t="shared" si="17"/>
        <v>3.22231303603145</v>
      </c>
      <c r="AA71">
        <f t="shared" si="18"/>
        <v>1.3677450027306368</v>
      </c>
      <c r="AB71">
        <f t="shared" si="19"/>
        <v>-61.120280852706507</v>
      </c>
      <c r="AC71">
        <f t="shared" si="20"/>
        <v>-196.06776118643768</v>
      </c>
      <c r="AD71">
        <f t="shared" si="21"/>
        <v>-19.083157586007655</v>
      </c>
      <c r="AE71">
        <f t="shared" si="22"/>
        <v>-0.15819882678948716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52791.041794619676</v>
      </c>
      <c r="AK71">
        <f t="shared" si="26"/>
        <v>1799.99</v>
      </c>
      <c r="AL71">
        <f t="shared" si="27"/>
        <v>1499.1054823899401</v>
      </c>
      <c r="AM71">
        <f t="shared" si="28"/>
        <v>0.83284100599999999</v>
      </c>
      <c r="AN71">
        <f t="shared" si="29"/>
        <v>0.15339696375999998</v>
      </c>
      <c r="AO71">
        <v>31.2</v>
      </c>
      <c r="AP71">
        <v>0.5</v>
      </c>
      <c r="AQ71" t="s">
        <v>331</v>
      </c>
      <c r="AR71">
        <v>2</v>
      </c>
      <c r="AS71">
        <v>1690204315.5</v>
      </c>
      <c r="AT71">
        <v>535.83199999999999</v>
      </c>
      <c r="AU71">
        <v>799.98599999999999</v>
      </c>
      <c r="AV71">
        <v>22.0488</v>
      </c>
      <c r="AW71">
        <v>7.9616300000000004</v>
      </c>
      <c r="AX71">
        <v>536.64200000000005</v>
      </c>
      <c r="AY71">
        <v>21.881</v>
      </c>
      <c r="AZ71">
        <v>300.18900000000002</v>
      </c>
      <c r="BA71">
        <v>99.050299999999993</v>
      </c>
      <c r="BB71">
        <v>9.9982399999999999E-2</v>
      </c>
      <c r="BC71">
        <v>25.223600000000001</v>
      </c>
      <c r="BD71">
        <v>26.887799999999999</v>
      </c>
      <c r="BE71">
        <v>26.6312</v>
      </c>
      <c r="BF71">
        <v>0</v>
      </c>
      <c r="BG71">
        <v>0</v>
      </c>
      <c r="BH71">
        <v>10020.6</v>
      </c>
      <c r="BI71">
        <v>1058.1400000000001</v>
      </c>
      <c r="BJ71">
        <v>1.62592</v>
      </c>
      <c r="BK71">
        <v>-264.154</v>
      </c>
      <c r="BL71">
        <v>547.91300000000001</v>
      </c>
      <c r="BM71">
        <v>806.40599999999995</v>
      </c>
      <c r="BN71">
        <v>14.0871</v>
      </c>
      <c r="BO71">
        <v>799.98599999999999</v>
      </c>
      <c r="BP71">
        <v>7.9616300000000004</v>
      </c>
      <c r="BQ71">
        <v>2.1839400000000002</v>
      </c>
      <c r="BR71">
        <v>0.78860200000000003</v>
      </c>
      <c r="BS71">
        <v>18.844999999999999</v>
      </c>
      <c r="BT71">
        <v>3.5037799999999999</v>
      </c>
      <c r="BU71">
        <v>1799.99</v>
      </c>
      <c r="BV71">
        <v>0.91001500000000002</v>
      </c>
      <c r="BW71">
        <v>3.3993799999999998E-2</v>
      </c>
      <c r="BX71">
        <v>2.1995799999999999E-2</v>
      </c>
      <c r="BY71">
        <v>3.3995200000000003E-2</v>
      </c>
      <c r="BZ71">
        <v>25</v>
      </c>
      <c r="CA71">
        <v>33528.400000000001</v>
      </c>
      <c r="CB71">
        <v>1690203121.0999999</v>
      </c>
      <c r="CC71" t="s">
        <v>332</v>
      </c>
      <c r="CD71">
        <v>1690203121.0999999</v>
      </c>
      <c r="CE71">
        <v>1690203121.0999999</v>
      </c>
      <c r="CF71">
        <v>3</v>
      </c>
      <c r="CG71">
        <v>0.53600000000000003</v>
      </c>
      <c r="CH71">
        <v>-0.01</v>
      </c>
      <c r="CI71">
        <v>-0.996</v>
      </c>
      <c r="CJ71">
        <v>-6.6000000000000003E-2</v>
      </c>
      <c r="CK71">
        <v>800</v>
      </c>
      <c r="CL71">
        <v>9</v>
      </c>
      <c r="CM71">
        <v>0.82</v>
      </c>
      <c r="CN71">
        <v>0.01</v>
      </c>
      <c r="CO71">
        <v>-261.66177499999998</v>
      </c>
      <c r="CP71">
        <v>-14.47464540337632</v>
      </c>
      <c r="CQ71">
        <v>1.3936383047171881</v>
      </c>
      <c r="CR71">
        <v>-1</v>
      </c>
      <c r="CS71">
        <v>13.943325</v>
      </c>
      <c r="CT71">
        <v>0.77959024390238163</v>
      </c>
      <c r="CU71">
        <v>7.5045671927167212E-2</v>
      </c>
      <c r="CV71">
        <v>-1</v>
      </c>
      <c r="CW71">
        <v>0</v>
      </c>
      <c r="CX71">
        <v>0</v>
      </c>
      <c r="CY71" t="s">
        <v>333</v>
      </c>
      <c r="CZ71">
        <v>2.3647300000000002</v>
      </c>
      <c r="DA71">
        <v>2.7137899999999999</v>
      </c>
      <c r="DB71">
        <v>0.111261</v>
      </c>
      <c r="DC71">
        <v>0.146145</v>
      </c>
      <c r="DD71">
        <v>0.10732800000000001</v>
      </c>
      <c r="DE71">
        <v>4.9529700000000003E-2</v>
      </c>
      <c r="DF71">
        <v>32411</v>
      </c>
      <c r="DG71">
        <v>27444.5</v>
      </c>
      <c r="DH71">
        <v>31132.799999999999</v>
      </c>
      <c r="DI71">
        <v>28006.799999999999</v>
      </c>
      <c r="DJ71">
        <v>37721.9</v>
      </c>
      <c r="DK71">
        <v>37832</v>
      </c>
      <c r="DL71">
        <v>44295.6</v>
      </c>
      <c r="DM71">
        <v>42423.199999999997</v>
      </c>
      <c r="DN71">
        <v>1.4771700000000001</v>
      </c>
      <c r="DO71">
        <v>2.0525000000000002</v>
      </c>
      <c r="DP71">
        <v>0.15692</v>
      </c>
      <c r="DQ71">
        <v>0.148948</v>
      </c>
      <c r="DR71">
        <v>24.3156</v>
      </c>
      <c r="DS71">
        <v>24.189</v>
      </c>
      <c r="DT71">
        <v>26</v>
      </c>
      <c r="DU71">
        <v>27.4</v>
      </c>
      <c r="DV71">
        <v>9.6183499999999995</v>
      </c>
      <c r="DW71">
        <v>61.295499999999997</v>
      </c>
      <c r="DX71">
        <v>36.073700000000002</v>
      </c>
      <c r="DY71">
        <v>1</v>
      </c>
      <c r="DZ71">
        <v>-0.10375</v>
      </c>
      <c r="EA71">
        <v>-0.15415599999999999</v>
      </c>
      <c r="EB71">
        <v>20.190899999999999</v>
      </c>
      <c r="EC71">
        <v>5.2411000000000003</v>
      </c>
      <c r="ED71">
        <v>12.039899999999999</v>
      </c>
      <c r="EE71">
        <v>5.0169499999999996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</v>
      </c>
      <c r="EL71">
        <v>1.8646199999999999</v>
      </c>
      <c r="EM71">
        <v>1.8691</v>
      </c>
      <c r="EN71">
        <v>1.8672200000000001</v>
      </c>
      <c r="EO71">
        <v>1.8633900000000001</v>
      </c>
      <c r="EP71">
        <v>1.8644700000000001</v>
      </c>
      <c r="EQ71">
        <v>1.8701300000000001</v>
      </c>
      <c r="ER71">
        <v>1.86937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-0.81</v>
      </c>
      <c r="FG71">
        <v>0.1678</v>
      </c>
      <c r="FH71">
        <v>-0.44422204735670362</v>
      </c>
      <c r="FI71">
        <v>-6.1462078757559423E-4</v>
      </c>
      <c r="FJ71">
        <v>-1.8861989874597051E-7</v>
      </c>
      <c r="FK71">
        <v>1.1980462299894961E-10</v>
      </c>
      <c r="FL71">
        <v>0.16773393518503121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19.899999999999999</v>
      </c>
      <c r="FU71">
        <v>19.899999999999999</v>
      </c>
      <c r="FV71">
        <v>1.78101</v>
      </c>
      <c r="FW71">
        <v>2.5549300000000001</v>
      </c>
      <c r="FX71">
        <v>1.5490699999999999</v>
      </c>
      <c r="FY71">
        <v>2.33643</v>
      </c>
      <c r="FZ71">
        <v>1.50146</v>
      </c>
      <c r="GA71">
        <v>2.3645</v>
      </c>
      <c r="GB71">
        <v>32.222499999999997</v>
      </c>
      <c r="GC71">
        <v>23.982399999999998</v>
      </c>
      <c r="GD71">
        <v>19</v>
      </c>
      <c r="GE71">
        <v>282.62400000000002</v>
      </c>
      <c r="GF71">
        <v>594.476</v>
      </c>
      <c r="GG71">
        <v>23.195399999999999</v>
      </c>
      <c r="GH71">
        <v>26.1004</v>
      </c>
      <c r="GI71">
        <v>29.9998</v>
      </c>
      <c r="GJ71">
        <v>26.199400000000001</v>
      </c>
      <c r="GK71">
        <v>26.155000000000001</v>
      </c>
      <c r="GL71">
        <v>35.601100000000002</v>
      </c>
      <c r="GM71">
        <v>-30</v>
      </c>
      <c r="GN71">
        <v>-30</v>
      </c>
      <c r="GO71">
        <v>23.2469</v>
      </c>
      <c r="GP71">
        <v>800</v>
      </c>
      <c r="GQ71">
        <v>12.5298</v>
      </c>
      <c r="GR71">
        <v>99.599400000000003</v>
      </c>
      <c r="GS71">
        <v>99.266300000000001</v>
      </c>
    </row>
    <row r="72" spans="1:201" x14ac:dyDescent="0.25">
      <c r="A72">
        <v>56</v>
      </c>
      <c r="B72">
        <v>1690204325.5</v>
      </c>
      <c r="C72">
        <v>885.90000009536743</v>
      </c>
      <c r="D72" t="s">
        <v>445</v>
      </c>
      <c r="E72" t="s">
        <v>446</v>
      </c>
      <c r="F72" t="s">
        <v>330</v>
      </c>
      <c r="H72">
        <v>1690204325.5</v>
      </c>
      <c r="I72">
        <f t="shared" si="0"/>
        <v>1.3972061721341052E-3</v>
      </c>
      <c r="J72">
        <f t="shared" si="1"/>
        <v>1.3972061721341051</v>
      </c>
      <c r="K72">
        <f t="shared" si="2"/>
        <v>24.901221653650367</v>
      </c>
      <c r="L72">
        <f t="shared" si="3"/>
        <v>533.45399999999995</v>
      </c>
      <c r="M72">
        <f t="shared" si="4"/>
        <v>122.8053649557516</v>
      </c>
      <c r="N72">
        <f t="shared" si="5"/>
        <v>12.176368072805094</v>
      </c>
      <c r="O72">
        <f t="shared" si="6"/>
        <v>52.892902979039995</v>
      </c>
      <c r="P72">
        <f t="shared" si="7"/>
        <v>0.10096523244129513</v>
      </c>
      <c r="Q72">
        <f t="shared" si="8"/>
        <v>2.1964024356556782</v>
      </c>
      <c r="R72">
        <f t="shared" si="9"/>
        <v>9.8455896710885574E-2</v>
      </c>
      <c r="S72">
        <f t="shared" si="10"/>
        <v>6.1755194848112177E-2</v>
      </c>
      <c r="T72">
        <f t="shared" si="11"/>
        <v>276.11443560599997</v>
      </c>
      <c r="U72">
        <f t="shared" si="12"/>
        <v>26.922922514280181</v>
      </c>
      <c r="V72">
        <f t="shared" si="13"/>
        <v>26.922922514280181</v>
      </c>
      <c r="W72">
        <f t="shared" si="14"/>
        <v>3.5629889887093493</v>
      </c>
      <c r="X72">
        <f t="shared" si="15"/>
        <v>67.981878666862656</v>
      </c>
      <c r="Y72">
        <f t="shared" si="16"/>
        <v>2.196776649032</v>
      </c>
      <c r="Z72">
        <f t="shared" si="17"/>
        <v>3.2314150360525487</v>
      </c>
      <c r="AA72">
        <f t="shared" si="18"/>
        <v>1.3662123396773493</v>
      </c>
      <c r="AB72">
        <f t="shared" si="19"/>
        <v>-61.616792191114037</v>
      </c>
      <c r="AC72">
        <f t="shared" si="20"/>
        <v>-195.60818900570834</v>
      </c>
      <c r="AD72">
        <f t="shared" si="21"/>
        <v>-19.046958589320607</v>
      </c>
      <c r="AE72">
        <f t="shared" si="22"/>
        <v>-0.15750418014297907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52783.398501779404</v>
      </c>
      <c r="AK72">
        <f t="shared" si="26"/>
        <v>1800</v>
      </c>
      <c r="AL72">
        <f t="shared" si="27"/>
        <v>1499.1143796000001</v>
      </c>
      <c r="AM72">
        <f t="shared" si="28"/>
        <v>0.83284132200000005</v>
      </c>
      <c r="AN72">
        <f t="shared" si="29"/>
        <v>0.15339690866999997</v>
      </c>
      <c r="AO72">
        <v>31.2</v>
      </c>
      <c r="AP72">
        <v>0.5</v>
      </c>
      <c r="AQ72" t="s">
        <v>331</v>
      </c>
      <c r="AR72">
        <v>2</v>
      </c>
      <c r="AS72">
        <v>1690204325.5</v>
      </c>
      <c r="AT72">
        <v>533.45399999999995</v>
      </c>
      <c r="AU72">
        <v>800.04499999999996</v>
      </c>
      <c r="AV72">
        <v>22.1557</v>
      </c>
      <c r="AW72">
        <v>7.9538000000000002</v>
      </c>
      <c r="AX72">
        <v>534.26199999999994</v>
      </c>
      <c r="AY72">
        <v>21.988</v>
      </c>
      <c r="AZ72">
        <v>300.14999999999998</v>
      </c>
      <c r="BA72">
        <v>99.051699999999997</v>
      </c>
      <c r="BB72">
        <v>0.10006</v>
      </c>
      <c r="BC72">
        <v>25.271000000000001</v>
      </c>
      <c r="BD72">
        <v>27.009399999999999</v>
      </c>
      <c r="BE72">
        <v>26.675999999999998</v>
      </c>
      <c r="BF72">
        <v>0</v>
      </c>
      <c r="BG72">
        <v>0</v>
      </c>
      <c r="BH72">
        <v>10020.6</v>
      </c>
      <c r="BI72">
        <v>1058.4000000000001</v>
      </c>
      <c r="BJ72">
        <v>1.5460199999999999</v>
      </c>
      <c r="BK72">
        <v>-266.59100000000001</v>
      </c>
      <c r="BL72">
        <v>545.54100000000005</v>
      </c>
      <c r="BM72">
        <v>806.46</v>
      </c>
      <c r="BN72">
        <v>14.2019</v>
      </c>
      <c r="BO72">
        <v>800.04499999999996</v>
      </c>
      <c r="BP72">
        <v>7.9538000000000002</v>
      </c>
      <c r="BQ72">
        <v>2.1945600000000001</v>
      </c>
      <c r="BR72">
        <v>0.78783800000000004</v>
      </c>
      <c r="BS72">
        <v>18.922699999999999</v>
      </c>
      <c r="BT72">
        <v>3.49004</v>
      </c>
      <c r="BU72">
        <v>1800</v>
      </c>
      <c r="BV72">
        <v>0.91001799999999999</v>
      </c>
      <c r="BW72">
        <v>3.3992700000000001E-2</v>
      </c>
      <c r="BX72">
        <v>2.19951E-2</v>
      </c>
      <c r="BY72">
        <v>3.3994099999999999E-2</v>
      </c>
      <c r="BZ72">
        <v>25</v>
      </c>
      <c r="CA72">
        <v>33528.5</v>
      </c>
      <c r="CB72">
        <v>1690203121.0999999</v>
      </c>
      <c r="CC72" t="s">
        <v>332</v>
      </c>
      <c r="CD72">
        <v>1690203121.0999999</v>
      </c>
      <c r="CE72">
        <v>1690203121.0999999</v>
      </c>
      <c r="CF72">
        <v>3</v>
      </c>
      <c r="CG72">
        <v>0.53600000000000003</v>
      </c>
      <c r="CH72">
        <v>-0.01</v>
      </c>
      <c r="CI72">
        <v>-0.996</v>
      </c>
      <c r="CJ72">
        <v>-6.6000000000000003E-2</v>
      </c>
      <c r="CK72">
        <v>800</v>
      </c>
      <c r="CL72">
        <v>9</v>
      </c>
      <c r="CM72">
        <v>0.82</v>
      </c>
      <c r="CN72">
        <v>0.01</v>
      </c>
      <c r="CO72">
        <v>-264.07095121951221</v>
      </c>
      <c r="CP72">
        <v>-13.92098257839746</v>
      </c>
      <c r="CQ72">
        <v>1.3737829549738041</v>
      </c>
      <c r="CR72">
        <v>-1</v>
      </c>
      <c r="CS72">
        <v>14.07596097560976</v>
      </c>
      <c r="CT72">
        <v>0.77403344947735919</v>
      </c>
      <c r="CU72">
        <v>7.6417680491697032E-2</v>
      </c>
      <c r="CV72">
        <v>-1</v>
      </c>
      <c r="CW72">
        <v>0</v>
      </c>
      <c r="CX72">
        <v>0</v>
      </c>
      <c r="CY72" t="s">
        <v>333</v>
      </c>
      <c r="CZ72">
        <v>2.3646099999999999</v>
      </c>
      <c r="DA72">
        <v>2.71387</v>
      </c>
      <c r="DB72">
        <v>0.11090899999999999</v>
      </c>
      <c r="DC72">
        <v>0.14615500000000001</v>
      </c>
      <c r="DD72">
        <v>0.10770100000000001</v>
      </c>
      <c r="DE72">
        <v>4.9492099999999997E-2</v>
      </c>
      <c r="DF72">
        <v>32424.2</v>
      </c>
      <c r="DG72">
        <v>27444.799999999999</v>
      </c>
      <c r="DH72">
        <v>31133.200000000001</v>
      </c>
      <c r="DI72">
        <v>28007.4</v>
      </c>
      <c r="DJ72">
        <v>37706.199999999997</v>
      </c>
      <c r="DK72">
        <v>37834.5</v>
      </c>
      <c r="DL72">
        <v>44295.9</v>
      </c>
      <c r="DM72">
        <v>42424.2</v>
      </c>
      <c r="DN72">
        <v>1.47777</v>
      </c>
      <c r="DO72">
        <v>2.0523799999999999</v>
      </c>
      <c r="DP72">
        <v>0.16475500000000001</v>
      </c>
      <c r="DQ72">
        <v>0.15168599999999999</v>
      </c>
      <c r="DR72">
        <v>24.309100000000001</v>
      </c>
      <c r="DS72">
        <v>24.189</v>
      </c>
      <c r="DT72">
        <v>26</v>
      </c>
      <c r="DU72">
        <v>27.4</v>
      </c>
      <c r="DV72">
        <v>9.6173599999999997</v>
      </c>
      <c r="DW72">
        <v>61.405500000000004</v>
      </c>
      <c r="DX72">
        <v>36.406199999999998</v>
      </c>
      <c r="DY72">
        <v>1</v>
      </c>
      <c r="DZ72">
        <v>-0.104301</v>
      </c>
      <c r="EA72">
        <v>0.129055</v>
      </c>
      <c r="EB72">
        <v>20.191099999999999</v>
      </c>
      <c r="EC72">
        <v>5.2411000000000003</v>
      </c>
      <c r="ED72">
        <v>12.039899999999999</v>
      </c>
      <c r="EE72">
        <v>5.0168499999999998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</v>
      </c>
      <c r="EL72">
        <v>1.8646199999999999</v>
      </c>
      <c r="EM72">
        <v>1.86913</v>
      </c>
      <c r="EN72">
        <v>1.8672200000000001</v>
      </c>
      <c r="EO72">
        <v>1.8633999999999999</v>
      </c>
      <c r="EP72">
        <v>1.8644700000000001</v>
      </c>
      <c r="EQ72">
        <v>1.8701399999999999</v>
      </c>
      <c r="ER72">
        <v>1.8693599999999999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-0.80800000000000005</v>
      </c>
      <c r="FG72">
        <v>0.16769999999999999</v>
      </c>
      <c r="FH72">
        <v>-0.44422204735670362</v>
      </c>
      <c r="FI72">
        <v>-6.1462078757559423E-4</v>
      </c>
      <c r="FJ72">
        <v>-1.8861989874597051E-7</v>
      </c>
      <c r="FK72">
        <v>1.1980462299894961E-10</v>
      </c>
      <c r="FL72">
        <v>0.16773393518503121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20.100000000000001</v>
      </c>
      <c r="FU72">
        <v>20.100000000000001</v>
      </c>
      <c r="FV72">
        <v>1.77979</v>
      </c>
      <c r="FW72">
        <v>2.5549300000000001</v>
      </c>
      <c r="FX72">
        <v>1.5490699999999999</v>
      </c>
      <c r="FY72">
        <v>2.33643</v>
      </c>
      <c r="FZ72">
        <v>1.50146</v>
      </c>
      <c r="GA72">
        <v>2.4035600000000001</v>
      </c>
      <c r="GB72">
        <v>32.222499999999997</v>
      </c>
      <c r="GC72">
        <v>23.991199999999999</v>
      </c>
      <c r="GD72">
        <v>19</v>
      </c>
      <c r="GE72">
        <v>282.863</v>
      </c>
      <c r="GF72">
        <v>594.35299999999995</v>
      </c>
      <c r="GG72">
        <v>23.3308</v>
      </c>
      <c r="GH72">
        <v>26.0916</v>
      </c>
      <c r="GI72">
        <v>29.9999</v>
      </c>
      <c r="GJ72">
        <v>26.195499999999999</v>
      </c>
      <c r="GK72">
        <v>26.153400000000001</v>
      </c>
      <c r="GL72">
        <v>35.599400000000003</v>
      </c>
      <c r="GM72">
        <v>-30</v>
      </c>
      <c r="GN72">
        <v>-30</v>
      </c>
      <c r="GO72">
        <v>23.299399999999999</v>
      </c>
      <c r="GP72">
        <v>800</v>
      </c>
      <c r="GQ72">
        <v>12.5298</v>
      </c>
      <c r="GR72">
        <v>99.600300000000004</v>
      </c>
      <c r="GS72">
        <v>99.268600000000006</v>
      </c>
    </row>
    <row r="73" spans="1:201" x14ac:dyDescent="0.25">
      <c r="A73">
        <v>57</v>
      </c>
      <c r="B73">
        <v>1690204335.5</v>
      </c>
      <c r="C73">
        <v>895.90000009536743</v>
      </c>
      <c r="D73" t="s">
        <v>447</v>
      </c>
      <c r="E73" t="s">
        <v>448</v>
      </c>
      <c r="F73" t="s">
        <v>330</v>
      </c>
      <c r="H73">
        <v>1690204335.5</v>
      </c>
      <c r="I73">
        <f t="shared" si="0"/>
        <v>1.405049345222921E-3</v>
      </c>
      <c r="J73">
        <f t="shared" si="1"/>
        <v>1.4050493452229209</v>
      </c>
      <c r="K73">
        <f t="shared" si="2"/>
        <v>25.137481349757273</v>
      </c>
      <c r="L73">
        <f t="shared" si="3"/>
        <v>531.01</v>
      </c>
      <c r="M73">
        <f t="shared" si="4"/>
        <v>120.08123593609677</v>
      </c>
      <c r="N73">
        <f t="shared" si="5"/>
        <v>11.906281724754264</v>
      </c>
      <c r="O73">
        <f t="shared" si="6"/>
        <v>52.650646117819008</v>
      </c>
      <c r="P73">
        <f t="shared" si="7"/>
        <v>0.10184936727916767</v>
      </c>
      <c r="Q73">
        <f t="shared" si="8"/>
        <v>2.1982437279660982</v>
      </c>
      <c r="R73">
        <f t="shared" si="9"/>
        <v>9.9298570610642747E-2</v>
      </c>
      <c r="S73">
        <f t="shared" si="10"/>
        <v>6.2285464648425617E-2</v>
      </c>
      <c r="T73">
        <f t="shared" si="11"/>
        <v>276.11440439400008</v>
      </c>
      <c r="U73">
        <f t="shared" si="12"/>
        <v>26.93567425085843</v>
      </c>
      <c r="V73">
        <f t="shared" si="13"/>
        <v>26.93567425085843</v>
      </c>
      <c r="W73">
        <f t="shared" si="14"/>
        <v>3.5656598666690473</v>
      </c>
      <c r="X73">
        <f t="shared" si="15"/>
        <v>68.122288265946935</v>
      </c>
      <c r="Y73">
        <f t="shared" si="16"/>
        <v>2.2035020696396503</v>
      </c>
      <c r="Z73">
        <f t="shared" si="17"/>
        <v>3.2346272060581085</v>
      </c>
      <c r="AA73">
        <f t="shared" si="18"/>
        <v>1.362157797029397</v>
      </c>
      <c r="AB73">
        <f t="shared" si="19"/>
        <v>-61.96267612433082</v>
      </c>
      <c r="AC73">
        <f t="shared" si="20"/>
        <v>-195.30425616580487</v>
      </c>
      <c r="AD73">
        <f t="shared" si="21"/>
        <v>-19.004240420554172</v>
      </c>
      <c r="AE73">
        <f t="shared" si="22"/>
        <v>-0.1567683166898064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52856.273011492449</v>
      </c>
      <c r="AK73">
        <f t="shared" si="26"/>
        <v>1800</v>
      </c>
      <c r="AL73">
        <f t="shared" si="27"/>
        <v>1499.1146064000002</v>
      </c>
      <c r="AM73">
        <f t="shared" si="28"/>
        <v>0.83284144800000004</v>
      </c>
      <c r="AN73">
        <f t="shared" si="29"/>
        <v>0.15339689133000003</v>
      </c>
      <c r="AO73">
        <v>31.2</v>
      </c>
      <c r="AP73">
        <v>0.5</v>
      </c>
      <c r="AQ73" t="s">
        <v>331</v>
      </c>
      <c r="AR73">
        <v>2</v>
      </c>
      <c r="AS73">
        <v>1690204335.5</v>
      </c>
      <c r="AT73">
        <v>531.01</v>
      </c>
      <c r="AU73">
        <v>800.01</v>
      </c>
      <c r="AV73">
        <v>22.223500000000001</v>
      </c>
      <c r="AW73">
        <v>7.9457700000000004</v>
      </c>
      <c r="AX73">
        <v>531.81700000000001</v>
      </c>
      <c r="AY73">
        <v>22.055700000000002</v>
      </c>
      <c r="AZ73">
        <v>300.21100000000001</v>
      </c>
      <c r="BA73">
        <v>99.051900000000003</v>
      </c>
      <c r="BB73">
        <v>9.9991899999999995E-2</v>
      </c>
      <c r="BC73">
        <v>25.287700000000001</v>
      </c>
      <c r="BD73">
        <v>26.9816</v>
      </c>
      <c r="BE73">
        <v>26.693100000000001</v>
      </c>
      <c r="BF73">
        <v>0</v>
      </c>
      <c r="BG73">
        <v>0</v>
      </c>
      <c r="BH73">
        <v>10035.6</v>
      </c>
      <c r="BI73">
        <v>1058.55</v>
      </c>
      <c r="BJ73">
        <v>1.5137799999999999</v>
      </c>
      <c r="BK73">
        <v>-269</v>
      </c>
      <c r="BL73">
        <v>543.07899999999995</v>
      </c>
      <c r="BM73">
        <v>806.41800000000001</v>
      </c>
      <c r="BN73">
        <v>14.277699999999999</v>
      </c>
      <c r="BO73">
        <v>800.01</v>
      </c>
      <c r="BP73">
        <v>7.9457700000000004</v>
      </c>
      <c r="BQ73">
        <v>2.2012800000000001</v>
      </c>
      <c r="BR73">
        <v>0.78704399999999997</v>
      </c>
      <c r="BS73">
        <v>18.971599999999999</v>
      </c>
      <c r="BT73">
        <v>3.4757500000000001</v>
      </c>
      <c r="BU73">
        <v>1800</v>
      </c>
      <c r="BV73">
        <v>0.91001900000000002</v>
      </c>
      <c r="BW73">
        <v>3.39951E-2</v>
      </c>
      <c r="BX73">
        <v>2.19939E-2</v>
      </c>
      <c r="BY73">
        <v>3.3992300000000003E-2</v>
      </c>
      <c r="BZ73">
        <v>25</v>
      </c>
      <c r="CA73">
        <v>33528.5</v>
      </c>
      <c r="CB73">
        <v>1690203121.0999999</v>
      </c>
      <c r="CC73" t="s">
        <v>332</v>
      </c>
      <c r="CD73">
        <v>1690203121.0999999</v>
      </c>
      <c r="CE73">
        <v>1690203121.0999999</v>
      </c>
      <c r="CF73">
        <v>3</v>
      </c>
      <c r="CG73">
        <v>0.53600000000000003</v>
      </c>
      <c r="CH73">
        <v>-0.01</v>
      </c>
      <c r="CI73">
        <v>-0.996</v>
      </c>
      <c r="CJ73">
        <v>-6.6000000000000003E-2</v>
      </c>
      <c r="CK73">
        <v>800</v>
      </c>
      <c r="CL73">
        <v>9</v>
      </c>
      <c r="CM73">
        <v>0.82</v>
      </c>
      <c r="CN73">
        <v>0.01</v>
      </c>
      <c r="CO73">
        <v>-266.21146341463412</v>
      </c>
      <c r="CP73">
        <v>-14.590452961672881</v>
      </c>
      <c r="CQ73">
        <v>1.439425462917636</v>
      </c>
      <c r="CR73">
        <v>-1</v>
      </c>
      <c r="CS73">
        <v>14.183290243902441</v>
      </c>
      <c r="CT73">
        <v>0.65270801393734434</v>
      </c>
      <c r="CU73">
        <v>6.4458263315859035E-2</v>
      </c>
      <c r="CV73">
        <v>-1</v>
      </c>
      <c r="CW73">
        <v>0</v>
      </c>
      <c r="CX73">
        <v>0</v>
      </c>
      <c r="CY73" t="s">
        <v>333</v>
      </c>
      <c r="CZ73">
        <v>2.3648099999999999</v>
      </c>
      <c r="DA73">
        <v>2.7138100000000001</v>
      </c>
      <c r="DB73">
        <v>0.110545</v>
      </c>
      <c r="DC73">
        <v>0.146151</v>
      </c>
      <c r="DD73">
        <v>0.10793700000000001</v>
      </c>
      <c r="DE73">
        <v>4.9452900000000001E-2</v>
      </c>
      <c r="DF73">
        <v>32437.8</v>
      </c>
      <c r="DG73">
        <v>27444.799999999999</v>
      </c>
      <c r="DH73">
        <v>31133.4</v>
      </c>
      <c r="DI73">
        <v>28007.200000000001</v>
      </c>
      <c r="DJ73">
        <v>37696.699999999997</v>
      </c>
      <c r="DK73">
        <v>37835.699999999997</v>
      </c>
      <c r="DL73">
        <v>44296.800000000003</v>
      </c>
      <c r="DM73">
        <v>42423.9</v>
      </c>
      <c r="DN73">
        <v>1.4762500000000001</v>
      </c>
      <c r="DO73">
        <v>2.0526300000000002</v>
      </c>
      <c r="DP73">
        <v>0.16337299999999999</v>
      </c>
      <c r="DQ73">
        <v>0.15248</v>
      </c>
      <c r="DR73">
        <v>24.303899999999999</v>
      </c>
      <c r="DS73">
        <v>24.193000000000001</v>
      </c>
      <c r="DT73">
        <v>26</v>
      </c>
      <c r="DU73">
        <v>27.4</v>
      </c>
      <c r="DV73">
        <v>9.6179699999999997</v>
      </c>
      <c r="DW73">
        <v>61.4255</v>
      </c>
      <c r="DX73">
        <v>36.238</v>
      </c>
      <c r="DY73">
        <v>1</v>
      </c>
      <c r="DZ73">
        <v>-9.9613800000000002E-2</v>
      </c>
      <c r="EA73">
        <v>2.1746300000000001</v>
      </c>
      <c r="EB73">
        <v>20.169799999999999</v>
      </c>
      <c r="EC73">
        <v>5.2418500000000003</v>
      </c>
      <c r="ED73">
        <v>12.039899999999999</v>
      </c>
      <c r="EE73">
        <v>5.0170500000000002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</v>
      </c>
      <c r="EL73">
        <v>1.8646</v>
      </c>
      <c r="EM73">
        <v>1.8691199999999999</v>
      </c>
      <c r="EN73">
        <v>1.8672200000000001</v>
      </c>
      <c r="EO73">
        <v>1.86338</v>
      </c>
      <c r="EP73">
        <v>1.8644700000000001</v>
      </c>
      <c r="EQ73">
        <v>1.8701300000000001</v>
      </c>
      <c r="ER73">
        <v>1.8693599999999999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-0.80700000000000005</v>
      </c>
      <c r="FG73">
        <v>0.1678</v>
      </c>
      <c r="FH73">
        <v>-0.44422204735670362</v>
      </c>
      <c r="FI73">
        <v>-6.1462078757559423E-4</v>
      </c>
      <c r="FJ73">
        <v>-1.8861989874597051E-7</v>
      </c>
      <c r="FK73">
        <v>1.1980462299894961E-10</v>
      </c>
      <c r="FL73">
        <v>0.16773393518503121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20.2</v>
      </c>
      <c r="FU73">
        <v>20.2</v>
      </c>
      <c r="FV73">
        <v>1.78101</v>
      </c>
      <c r="FW73">
        <v>2.5610400000000002</v>
      </c>
      <c r="FX73">
        <v>1.5490699999999999</v>
      </c>
      <c r="FY73">
        <v>2.33643</v>
      </c>
      <c r="FZ73">
        <v>1.50146</v>
      </c>
      <c r="GA73">
        <v>2.2680699999999998</v>
      </c>
      <c r="GB73">
        <v>32.244599999999998</v>
      </c>
      <c r="GC73">
        <v>23.973700000000001</v>
      </c>
      <c r="GD73">
        <v>19</v>
      </c>
      <c r="GE73">
        <v>282.19499999999999</v>
      </c>
      <c r="GF73">
        <v>594.53700000000003</v>
      </c>
      <c r="GG73">
        <v>22.732199999999999</v>
      </c>
      <c r="GH73">
        <v>26.0822</v>
      </c>
      <c r="GI73">
        <v>30.002400000000002</v>
      </c>
      <c r="GJ73">
        <v>26.191199999999998</v>
      </c>
      <c r="GK73">
        <v>26.151199999999999</v>
      </c>
      <c r="GL73">
        <v>35.596899999999998</v>
      </c>
      <c r="GM73">
        <v>-30</v>
      </c>
      <c r="GN73">
        <v>-30</v>
      </c>
      <c r="GO73">
        <v>22.755800000000001</v>
      </c>
      <c r="GP73">
        <v>800</v>
      </c>
      <c r="GQ73">
        <v>12.5298</v>
      </c>
      <c r="GR73">
        <v>99.601699999999994</v>
      </c>
      <c r="GS73">
        <v>99.267799999999994</v>
      </c>
    </row>
    <row r="74" spans="1:201" x14ac:dyDescent="0.25">
      <c r="A74">
        <v>58</v>
      </c>
      <c r="B74">
        <v>1690204345.5</v>
      </c>
      <c r="C74">
        <v>905.90000009536743</v>
      </c>
      <c r="D74" t="s">
        <v>449</v>
      </c>
      <c r="E74" t="s">
        <v>450</v>
      </c>
      <c r="F74" t="s">
        <v>330</v>
      </c>
      <c r="H74">
        <v>1690204345.5</v>
      </c>
      <c r="I74">
        <f t="shared" si="0"/>
        <v>1.4034258093111277E-3</v>
      </c>
      <c r="J74">
        <f t="shared" si="1"/>
        <v>1.4034258093111276</v>
      </c>
      <c r="K74">
        <f t="shared" si="2"/>
        <v>25.377219906305982</v>
      </c>
      <c r="L74">
        <f t="shared" si="3"/>
        <v>528.46199999999999</v>
      </c>
      <c r="M74">
        <f t="shared" si="4"/>
        <v>115.64253582146523</v>
      </c>
      <c r="N74">
        <f t="shared" si="5"/>
        <v>11.466058637045629</v>
      </c>
      <c r="O74">
        <f t="shared" si="6"/>
        <v>52.3974698099424</v>
      </c>
      <c r="P74">
        <f t="shared" si="7"/>
        <v>0.1023233221827687</v>
      </c>
      <c r="Q74">
        <f t="shared" si="8"/>
        <v>2.1961716891078762</v>
      </c>
      <c r="R74">
        <f t="shared" si="9"/>
        <v>9.9746690332443044E-2</v>
      </c>
      <c r="S74">
        <f t="shared" si="10"/>
        <v>6.2567777472499614E-2</v>
      </c>
      <c r="T74">
        <f t="shared" si="11"/>
        <v>276.11446044600001</v>
      </c>
      <c r="U74">
        <f t="shared" si="12"/>
        <v>26.890712689538965</v>
      </c>
      <c r="V74">
        <f t="shared" si="13"/>
        <v>26.890712689538965</v>
      </c>
      <c r="W74">
        <f t="shared" si="14"/>
        <v>3.5562503491536308</v>
      </c>
      <c r="X74">
        <f t="shared" si="15"/>
        <v>68.257645973726127</v>
      </c>
      <c r="Y74">
        <f t="shared" si="16"/>
        <v>2.2017145894286401</v>
      </c>
      <c r="Z74">
        <f t="shared" si="17"/>
        <v>3.2255940825678762</v>
      </c>
      <c r="AA74">
        <f t="shared" si="18"/>
        <v>1.3545357597249907</v>
      </c>
      <c r="AB74">
        <f t="shared" si="19"/>
        <v>-61.891078190620732</v>
      </c>
      <c r="AC74">
        <f t="shared" si="20"/>
        <v>-195.36151581176958</v>
      </c>
      <c r="AD74">
        <f t="shared" si="21"/>
        <v>-19.018974110121448</v>
      </c>
      <c r="AE74">
        <f t="shared" si="22"/>
        <v>-0.157107666511763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52779.244381923716</v>
      </c>
      <c r="AK74">
        <f t="shared" si="26"/>
        <v>1800</v>
      </c>
      <c r="AL74">
        <f t="shared" si="27"/>
        <v>1499.1105995999999</v>
      </c>
      <c r="AM74">
        <f t="shared" si="28"/>
        <v>0.83283922199999993</v>
      </c>
      <c r="AN74">
        <f t="shared" si="29"/>
        <v>0.15339692247</v>
      </c>
      <c r="AO74">
        <v>31.2</v>
      </c>
      <c r="AP74">
        <v>0.5</v>
      </c>
      <c r="AQ74" t="s">
        <v>331</v>
      </c>
      <c r="AR74">
        <v>2</v>
      </c>
      <c r="AS74">
        <v>1690204345.5</v>
      </c>
      <c r="AT74">
        <v>528.46199999999999</v>
      </c>
      <c r="AU74">
        <v>800.02499999999998</v>
      </c>
      <c r="AV74">
        <v>22.2057</v>
      </c>
      <c r="AW74">
        <v>7.9380300000000004</v>
      </c>
      <c r="AX74">
        <v>529.26700000000005</v>
      </c>
      <c r="AY74">
        <v>22.038</v>
      </c>
      <c r="AZ74">
        <v>300.08100000000002</v>
      </c>
      <c r="BA74">
        <v>99.050899999999999</v>
      </c>
      <c r="BB74">
        <v>9.99752E-2</v>
      </c>
      <c r="BC74">
        <v>25.2407</v>
      </c>
      <c r="BD74">
        <v>27.0121</v>
      </c>
      <c r="BE74">
        <v>26.6632</v>
      </c>
      <c r="BF74">
        <v>0</v>
      </c>
      <c r="BG74">
        <v>0</v>
      </c>
      <c r="BH74">
        <v>10018.799999999999</v>
      </c>
      <c r="BI74">
        <v>1058.6099999999999</v>
      </c>
      <c r="BJ74">
        <v>1.2909200000000001</v>
      </c>
      <c r="BK74">
        <v>-271.56200000000001</v>
      </c>
      <c r="BL74">
        <v>540.46400000000006</v>
      </c>
      <c r="BM74">
        <v>806.42600000000004</v>
      </c>
      <c r="BN74">
        <v>14.2677</v>
      </c>
      <c r="BO74">
        <v>800.02499999999998</v>
      </c>
      <c r="BP74">
        <v>7.9380300000000004</v>
      </c>
      <c r="BQ74">
        <v>2.1994899999999999</v>
      </c>
      <c r="BR74">
        <v>0.78626799999999997</v>
      </c>
      <c r="BS74">
        <v>18.958600000000001</v>
      </c>
      <c r="BT74">
        <v>3.4617800000000001</v>
      </c>
      <c r="BU74">
        <v>1800</v>
      </c>
      <c r="BV74">
        <v>0.91000599999999998</v>
      </c>
      <c r="BW74">
        <v>3.40098E-2</v>
      </c>
      <c r="BX74">
        <v>2.1993100000000002E-2</v>
      </c>
      <c r="BY74">
        <v>3.3991100000000003E-2</v>
      </c>
      <c r="BZ74">
        <v>25</v>
      </c>
      <c r="CA74">
        <v>33528.5</v>
      </c>
      <c r="CB74">
        <v>1690203121.0999999</v>
      </c>
      <c r="CC74" t="s">
        <v>332</v>
      </c>
      <c r="CD74">
        <v>1690203121.0999999</v>
      </c>
      <c r="CE74">
        <v>1690203121.0999999</v>
      </c>
      <c r="CF74">
        <v>3</v>
      </c>
      <c r="CG74">
        <v>0.53600000000000003</v>
      </c>
      <c r="CH74">
        <v>-0.01</v>
      </c>
      <c r="CI74">
        <v>-0.996</v>
      </c>
      <c r="CJ74">
        <v>-6.6000000000000003E-2</v>
      </c>
      <c r="CK74">
        <v>800</v>
      </c>
      <c r="CL74">
        <v>9</v>
      </c>
      <c r="CM74">
        <v>0.82</v>
      </c>
      <c r="CN74">
        <v>0.01</v>
      </c>
      <c r="CO74">
        <v>-268.69980487804878</v>
      </c>
      <c r="CP74">
        <v>-15.17652961672481</v>
      </c>
      <c r="CQ74">
        <v>1.4978523522845959</v>
      </c>
      <c r="CR74">
        <v>-1</v>
      </c>
      <c r="CS74">
        <v>14.250341463414641</v>
      </c>
      <c r="CT74">
        <v>0.17402090592332731</v>
      </c>
      <c r="CU74">
        <v>2.585712125913538E-2</v>
      </c>
      <c r="CV74">
        <v>-1</v>
      </c>
      <c r="CW74">
        <v>0</v>
      </c>
      <c r="CX74">
        <v>0</v>
      </c>
      <c r="CY74" t="s">
        <v>333</v>
      </c>
      <c r="CZ74">
        <v>2.3644099999999999</v>
      </c>
      <c r="DA74">
        <v>2.7137799999999999</v>
      </c>
      <c r="DB74">
        <v>0.110163</v>
      </c>
      <c r="DC74">
        <v>0.146152</v>
      </c>
      <c r="DD74">
        <v>0.107876</v>
      </c>
      <c r="DE74">
        <v>4.9414699999999999E-2</v>
      </c>
      <c r="DF74">
        <v>32451.7</v>
      </c>
      <c r="DG74">
        <v>27445.599999999999</v>
      </c>
      <c r="DH74">
        <v>31133.3</v>
      </c>
      <c r="DI74">
        <v>28008.1</v>
      </c>
      <c r="DJ74">
        <v>37699</v>
      </c>
      <c r="DK74">
        <v>37838.400000000001</v>
      </c>
      <c r="DL74">
        <v>44296.5</v>
      </c>
      <c r="DM74">
        <v>42425.2</v>
      </c>
      <c r="DN74">
        <v>1.4769000000000001</v>
      </c>
      <c r="DO74">
        <v>2.0529000000000002</v>
      </c>
      <c r="DP74">
        <v>0.16548499999999999</v>
      </c>
      <c r="DQ74">
        <v>0.15041599999999999</v>
      </c>
      <c r="DR74">
        <v>24.299800000000001</v>
      </c>
      <c r="DS74">
        <v>24.196899999999999</v>
      </c>
      <c r="DT74">
        <v>25.9</v>
      </c>
      <c r="DU74">
        <v>27.4</v>
      </c>
      <c r="DV74">
        <v>9.5811200000000003</v>
      </c>
      <c r="DW74">
        <v>61.835500000000003</v>
      </c>
      <c r="DX74">
        <v>36.362200000000001</v>
      </c>
      <c r="DY74">
        <v>1</v>
      </c>
      <c r="DZ74">
        <v>-0.104009</v>
      </c>
      <c r="EA74">
        <v>0.66290800000000005</v>
      </c>
      <c r="EB74">
        <v>20.1889</v>
      </c>
      <c r="EC74">
        <v>5.2413999999999996</v>
      </c>
      <c r="ED74">
        <v>12.039899999999999</v>
      </c>
      <c r="EE74">
        <v>5.0170000000000003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</v>
      </c>
      <c r="EL74">
        <v>1.8646100000000001</v>
      </c>
      <c r="EM74">
        <v>1.8691500000000001</v>
      </c>
      <c r="EN74">
        <v>1.8672200000000001</v>
      </c>
      <c r="EO74">
        <v>1.8633999999999999</v>
      </c>
      <c r="EP74">
        <v>1.8644700000000001</v>
      </c>
      <c r="EQ74">
        <v>1.8701300000000001</v>
      </c>
      <c r="ER74">
        <v>1.8694200000000001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-0.80500000000000005</v>
      </c>
      <c r="FG74">
        <v>0.16769999999999999</v>
      </c>
      <c r="FH74">
        <v>-0.44422204735670362</v>
      </c>
      <c r="FI74">
        <v>-6.1462078757559423E-4</v>
      </c>
      <c r="FJ74">
        <v>-1.8861989874597051E-7</v>
      </c>
      <c r="FK74">
        <v>1.1980462299894961E-10</v>
      </c>
      <c r="FL74">
        <v>0.16773393518503121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20.399999999999999</v>
      </c>
      <c r="FU74">
        <v>20.399999999999999</v>
      </c>
      <c r="FV74">
        <v>1.77979</v>
      </c>
      <c r="FW74">
        <v>2.5537100000000001</v>
      </c>
      <c r="FX74">
        <v>1.5490699999999999</v>
      </c>
      <c r="FY74">
        <v>2.33643</v>
      </c>
      <c r="FZ74">
        <v>1.50146</v>
      </c>
      <c r="GA74">
        <v>2.3950200000000001</v>
      </c>
      <c r="GB74">
        <v>32.244599999999998</v>
      </c>
      <c r="GC74">
        <v>23.982399999999998</v>
      </c>
      <c r="GD74">
        <v>19</v>
      </c>
      <c r="GE74">
        <v>282.44400000000002</v>
      </c>
      <c r="GF74">
        <v>594.74199999999996</v>
      </c>
      <c r="GG74">
        <v>22.697800000000001</v>
      </c>
      <c r="GH74">
        <v>26.073399999999999</v>
      </c>
      <c r="GI74">
        <v>29.999099999999999</v>
      </c>
      <c r="GJ74">
        <v>26.185099999999998</v>
      </c>
      <c r="GK74">
        <v>26.149000000000001</v>
      </c>
      <c r="GL74">
        <v>35.5959</v>
      </c>
      <c r="GM74">
        <v>-30</v>
      </c>
      <c r="GN74">
        <v>-30</v>
      </c>
      <c r="GO74">
        <v>22.779</v>
      </c>
      <c r="GP74">
        <v>800</v>
      </c>
      <c r="GQ74">
        <v>12.5298</v>
      </c>
      <c r="GR74">
        <v>99.601200000000006</v>
      </c>
      <c r="GS74">
        <v>99.270799999999994</v>
      </c>
    </row>
    <row r="75" spans="1:201" x14ac:dyDescent="0.25">
      <c r="A75">
        <v>59</v>
      </c>
      <c r="B75">
        <v>1690204355.5</v>
      </c>
      <c r="C75">
        <v>915.90000009536743</v>
      </c>
      <c r="D75" t="s">
        <v>451</v>
      </c>
      <c r="E75" t="s">
        <v>452</v>
      </c>
      <c r="F75" t="s">
        <v>330</v>
      </c>
      <c r="H75">
        <v>1690204355.5</v>
      </c>
      <c r="I75">
        <f t="shared" si="0"/>
        <v>1.4151436742566243E-3</v>
      </c>
      <c r="J75">
        <f t="shared" si="1"/>
        <v>1.4151436742566244</v>
      </c>
      <c r="K75">
        <f t="shared" si="2"/>
        <v>25.655111599437454</v>
      </c>
      <c r="L75">
        <f t="shared" si="3"/>
        <v>525.678</v>
      </c>
      <c r="M75">
        <f t="shared" si="4"/>
        <v>115.39516722888082</v>
      </c>
      <c r="N75">
        <f t="shared" si="5"/>
        <v>11.441736627936688</v>
      </c>
      <c r="O75">
        <f t="shared" si="6"/>
        <v>52.122366746699996</v>
      </c>
      <c r="P75">
        <f t="shared" si="7"/>
        <v>0.10411174033868649</v>
      </c>
      <c r="Q75">
        <f t="shared" si="8"/>
        <v>2.1939581100059993</v>
      </c>
      <c r="R75">
        <f t="shared" si="9"/>
        <v>0.10144290017266155</v>
      </c>
      <c r="S75">
        <f t="shared" si="10"/>
        <v>6.3635899025471288E-2</v>
      </c>
      <c r="T75">
        <f t="shared" si="11"/>
        <v>276.11270941598116</v>
      </c>
      <c r="U75">
        <f t="shared" si="12"/>
        <v>26.88423920168362</v>
      </c>
      <c r="V75">
        <f t="shared" si="13"/>
        <v>26.88423920168362</v>
      </c>
      <c r="W75">
        <f t="shared" si="14"/>
        <v>3.5548973698603836</v>
      </c>
      <c r="X75">
        <f t="shared" si="15"/>
        <v>68.590579434927605</v>
      </c>
      <c r="Y75">
        <f t="shared" si="16"/>
        <v>2.211927061995</v>
      </c>
      <c r="Z75">
        <f t="shared" si="17"/>
        <v>3.2248263248650226</v>
      </c>
      <c r="AA75">
        <f t="shared" si="18"/>
        <v>1.3429703078653836</v>
      </c>
      <c r="AB75">
        <f t="shared" si="19"/>
        <v>-62.407836034717128</v>
      </c>
      <c r="AC75">
        <f t="shared" si="20"/>
        <v>-194.87204001128427</v>
      </c>
      <c r="AD75">
        <f t="shared" si="21"/>
        <v>-18.98946529903375</v>
      </c>
      <c r="AE75">
        <f t="shared" si="22"/>
        <v>-0.15663192905395817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52688.915065383124</v>
      </c>
      <c r="AK75">
        <f t="shared" si="26"/>
        <v>1799.99</v>
      </c>
      <c r="AL75">
        <f t="shared" si="27"/>
        <v>1499.1029930037698</v>
      </c>
      <c r="AM75">
        <f t="shared" si="28"/>
        <v>0.83283962299999992</v>
      </c>
      <c r="AN75">
        <f t="shared" si="29"/>
        <v>0.15339680187999999</v>
      </c>
      <c r="AO75">
        <v>31.2</v>
      </c>
      <c r="AP75">
        <v>0.5</v>
      </c>
      <c r="AQ75" t="s">
        <v>331</v>
      </c>
      <c r="AR75">
        <v>2</v>
      </c>
      <c r="AS75">
        <v>1690204355.5</v>
      </c>
      <c r="AT75">
        <v>525.678</v>
      </c>
      <c r="AU75">
        <v>799.99099999999999</v>
      </c>
      <c r="AV75">
        <v>22.308299999999999</v>
      </c>
      <c r="AW75">
        <v>7.93154</v>
      </c>
      <c r="AX75">
        <v>526.48</v>
      </c>
      <c r="AY75">
        <v>22.140499999999999</v>
      </c>
      <c r="AZ75">
        <v>300.25900000000001</v>
      </c>
      <c r="BA75">
        <v>99.052599999999998</v>
      </c>
      <c r="BB75">
        <v>0.10005</v>
      </c>
      <c r="BC75">
        <v>25.236699999999999</v>
      </c>
      <c r="BD75">
        <v>26.996400000000001</v>
      </c>
      <c r="BE75">
        <v>26.627099999999999</v>
      </c>
      <c r="BF75">
        <v>0</v>
      </c>
      <c r="BG75">
        <v>0</v>
      </c>
      <c r="BH75">
        <v>10000.6</v>
      </c>
      <c r="BI75">
        <v>1058.57</v>
      </c>
      <c r="BJ75">
        <v>1.56985</v>
      </c>
      <c r="BK75">
        <v>-274.31299999999999</v>
      </c>
      <c r="BL75">
        <v>537.67200000000003</v>
      </c>
      <c r="BM75">
        <v>806.38599999999997</v>
      </c>
      <c r="BN75">
        <v>14.3767</v>
      </c>
      <c r="BO75">
        <v>799.99099999999999</v>
      </c>
      <c r="BP75">
        <v>7.93154</v>
      </c>
      <c r="BQ75">
        <v>2.2096900000000002</v>
      </c>
      <c r="BR75">
        <v>0.78564000000000001</v>
      </c>
      <c r="BS75">
        <v>19.032699999999998</v>
      </c>
      <c r="BT75">
        <v>3.4504600000000001</v>
      </c>
      <c r="BU75">
        <v>1799.99</v>
      </c>
      <c r="BV75">
        <v>0.91001100000000001</v>
      </c>
      <c r="BW75">
        <v>3.4007900000000001E-2</v>
      </c>
      <c r="BX75">
        <v>2.1991900000000002E-2</v>
      </c>
      <c r="BY75">
        <v>3.3989199999999997E-2</v>
      </c>
      <c r="BZ75">
        <v>25</v>
      </c>
      <c r="CA75">
        <v>33528.300000000003</v>
      </c>
      <c r="CB75">
        <v>1690203121.0999999</v>
      </c>
      <c r="CC75" t="s">
        <v>332</v>
      </c>
      <c r="CD75">
        <v>1690203121.0999999</v>
      </c>
      <c r="CE75">
        <v>1690203121.0999999</v>
      </c>
      <c r="CF75">
        <v>3</v>
      </c>
      <c r="CG75">
        <v>0.53600000000000003</v>
      </c>
      <c r="CH75">
        <v>-0.01</v>
      </c>
      <c r="CI75">
        <v>-0.996</v>
      </c>
      <c r="CJ75">
        <v>-6.6000000000000003E-2</v>
      </c>
      <c r="CK75">
        <v>800</v>
      </c>
      <c r="CL75">
        <v>9</v>
      </c>
      <c r="CM75">
        <v>0.82</v>
      </c>
      <c r="CN75">
        <v>0.01</v>
      </c>
      <c r="CO75">
        <v>-271.23356097560981</v>
      </c>
      <c r="CP75">
        <v>-15.701393728223</v>
      </c>
      <c r="CQ75">
        <v>1.5501162827944279</v>
      </c>
      <c r="CR75">
        <v>-1</v>
      </c>
      <c r="CS75">
        <v>14.283939024390239</v>
      </c>
      <c r="CT75">
        <v>0.22758606271776469</v>
      </c>
      <c r="CU75">
        <v>3.008262506423762E-2</v>
      </c>
      <c r="CV75">
        <v>-1</v>
      </c>
      <c r="CW75">
        <v>0</v>
      </c>
      <c r="CX75">
        <v>0</v>
      </c>
      <c r="CY75" t="s">
        <v>333</v>
      </c>
      <c r="CZ75">
        <v>2.3649900000000001</v>
      </c>
      <c r="DA75">
        <v>2.7138399999999998</v>
      </c>
      <c r="DB75">
        <v>0.109747</v>
      </c>
      <c r="DC75">
        <v>0.146151</v>
      </c>
      <c r="DD75">
        <v>0.108233</v>
      </c>
      <c r="DE75">
        <v>4.9383999999999997E-2</v>
      </c>
      <c r="DF75">
        <v>32467.9</v>
      </c>
      <c r="DG75">
        <v>27446.400000000001</v>
      </c>
      <c r="DH75">
        <v>31134.3</v>
      </c>
      <c r="DI75">
        <v>28008.799999999999</v>
      </c>
      <c r="DJ75">
        <v>37684.9</v>
      </c>
      <c r="DK75">
        <v>37840.699999999997</v>
      </c>
      <c r="DL75">
        <v>44297.9</v>
      </c>
      <c r="DM75">
        <v>42426.400000000001</v>
      </c>
      <c r="DN75">
        <v>1.4775</v>
      </c>
      <c r="DO75">
        <v>2.0530300000000001</v>
      </c>
      <c r="DP75">
        <v>0.164829</v>
      </c>
      <c r="DQ75">
        <v>0.14832600000000001</v>
      </c>
      <c r="DR75">
        <v>24.294799999999999</v>
      </c>
      <c r="DS75">
        <v>24.195</v>
      </c>
      <c r="DT75">
        <v>25.9</v>
      </c>
      <c r="DU75">
        <v>27.4</v>
      </c>
      <c r="DV75">
        <v>9.5807800000000007</v>
      </c>
      <c r="DW75">
        <v>61.765500000000003</v>
      </c>
      <c r="DX75">
        <v>36.157899999999998</v>
      </c>
      <c r="DY75">
        <v>1</v>
      </c>
      <c r="DZ75">
        <v>-0.10528999999999999</v>
      </c>
      <c r="EA75">
        <v>0.53257399999999999</v>
      </c>
      <c r="EB75">
        <v>20.189900000000002</v>
      </c>
      <c r="EC75">
        <v>5.24125</v>
      </c>
      <c r="ED75">
        <v>12.039899999999999</v>
      </c>
      <c r="EE75">
        <v>5.0174000000000003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</v>
      </c>
      <c r="EL75">
        <v>1.8646199999999999</v>
      </c>
      <c r="EM75">
        <v>1.86913</v>
      </c>
      <c r="EN75">
        <v>1.8672200000000001</v>
      </c>
      <c r="EO75">
        <v>1.8633999999999999</v>
      </c>
      <c r="EP75">
        <v>1.8644700000000001</v>
      </c>
      <c r="EQ75">
        <v>1.87012</v>
      </c>
      <c r="ER75">
        <v>1.8694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-0.80200000000000005</v>
      </c>
      <c r="FG75">
        <v>0.1678</v>
      </c>
      <c r="FH75">
        <v>-0.44422204735670362</v>
      </c>
      <c r="FI75">
        <v>-6.1462078757559423E-4</v>
      </c>
      <c r="FJ75">
        <v>-1.8861989874597051E-7</v>
      </c>
      <c r="FK75">
        <v>1.1980462299894961E-10</v>
      </c>
      <c r="FL75">
        <v>0.16773393518503121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20.6</v>
      </c>
      <c r="FU75">
        <v>20.6</v>
      </c>
      <c r="FV75">
        <v>1.77979</v>
      </c>
      <c r="FW75">
        <v>2.5537100000000001</v>
      </c>
      <c r="FX75">
        <v>1.5490699999999999</v>
      </c>
      <c r="FY75">
        <v>2.33643</v>
      </c>
      <c r="FZ75">
        <v>1.50146</v>
      </c>
      <c r="GA75">
        <v>2.3938000000000001</v>
      </c>
      <c r="GB75">
        <v>32.244599999999998</v>
      </c>
      <c r="GC75">
        <v>23.982399999999998</v>
      </c>
      <c r="GD75">
        <v>19</v>
      </c>
      <c r="GE75">
        <v>282.685</v>
      </c>
      <c r="GF75">
        <v>594.81299999999999</v>
      </c>
      <c r="GG75">
        <v>22.776299999999999</v>
      </c>
      <c r="GH75">
        <v>26.064599999999999</v>
      </c>
      <c r="GI75">
        <v>29.999500000000001</v>
      </c>
      <c r="GJ75">
        <v>26.181799999999999</v>
      </c>
      <c r="GK75">
        <v>26.146100000000001</v>
      </c>
      <c r="GL75">
        <v>35.598700000000001</v>
      </c>
      <c r="GM75">
        <v>-30</v>
      </c>
      <c r="GN75">
        <v>-30</v>
      </c>
      <c r="GO75">
        <v>22.8033</v>
      </c>
      <c r="GP75">
        <v>800</v>
      </c>
      <c r="GQ75">
        <v>12.5298</v>
      </c>
      <c r="GR75">
        <v>99.604299999999995</v>
      </c>
      <c r="GS75">
        <v>99.273600000000002</v>
      </c>
    </row>
    <row r="76" spans="1:201" x14ac:dyDescent="0.25">
      <c r="A76">
        <v>60</v>
      </c>
      <c r="B76">
        <v>1690204365.5</v>
      </c>
      <c r="C76">
        <v>925.90000009536743</v>
      </c>
      <c r="D76" t="s">
        <v>453</v>
      </c>
      <c r="E76" t="s">
        <v>454</v>
      </c>
      <c r="F76" t="s">
        <v>330</v>
      </c>
      <c r="H76">
        <v>1690204365.5</v>
      </c>
      <c r="I76">
        <f t="shared" si="0"/>
        <v>1.42534908365058E-3</v>
      </c>
      <c r="J76">
        <f t="shared" si="1"/>
        <v>1.42534908365058</v>
      </c>
      <c r="K76">
        <f t="shared" si="2"/>
        <v>25.897804915160641</v>
      </c>
      <c r="L76">
        <f t="shared" si="3"/>
        <v>523.02200000000005</v>
      </c>
      <c r="M76">
        <f t="shared" si="4"/>
        <v>115.63652016226257</v>
      </c>
      <c r="N76">
        <f t="shared" si="5"/>
        <v>11.466503150688933</v>
      </c>
      <c r="O76">
        <f t="shared" si="6"/>
        <v>51.862797345200605</v>
      </c>
      <c r="P76">
        <f t="shared" si="7"/>
        <v>0.10587072873752494</v>
      </c>
      <c r="Q76">
        <f t="shared" si="8"/>
        <v>2.1955102227954741</v>
      </c>
      <c r="R76">
        <f t="shared" si="9"/>
        <v>0.10311412774253652</v>
      </c>
      <c r="S76">
        <f t="shared" si="10"/>
        <v>6.4688021266483375E-2</v>
      </c>
      <c r="T76">
        <f t="shared" si="11"/>
        <v>276.11414422199999</v>
      </c>
      <c r="U76">
        <f t="shared" si="12"/>
        <v>26.87532706011266</v>
      </c>
      <c r="V76">
        <f t="shared" si="13"/>
        <v>26.87532706011266</v>
      </c>
      <c r="W76">
        <f t="shared" si="14"/>
        <v>3.5530354394548573</v>
      </c>
      <c r="X76">
        <f t="shared" si="15"/>
        <v>68.929110362613883</v>
      </c>
      <c r="Y76">
        <f t="shared" si="16"/>
        <v>2.2222620941825704</v>
      </c>
      <c r="Z76">
        <f t="shared" si="17"/>
        <v>3.2239819758182926</v>
      </c>
      <c r="AA76">
        <f t="shared" si="18"/>
        <v>1.330773345272287</v>
      </c>
      <c r="AB76">
        <f t="shared" si="19"/>
        <v>-62.857894588990575</v>
      </c>
      <c r="AC76">
        <f t="shared" si="20"/>
        <v>-194.4758252893759</v>
      </c>
      <c r="AD76">
        <f t="shared" si="21"/>
        <v>-18.93619334920859</v>
      </c>
      <c r="AE76">
        <f t="shared" si="22"/>
        <v>-0.15576900557505269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52753.70301207283</v>
      </c>
      <c r="AK76">
        <f t="shared" si="26"/>
        <v>1800</v>
      </c>
      <c r="AL76">
        <f t="shared" si="27"/>
        <v>1499.1118902000001</v>
      </c>
      <c r="AM76">
        <f t="shared" si="28"/>
        <v>0.83283993899999997</v>
      </c>
      <c r="AN76">
        <f t="shared" si="29"/>
        <v>0.15339674678999998</v>
      </c>
      <c r="AO76">
        <v>31.2</v>
      </c>
      <c r="AP76">
        <v>0.5</v>
      </c>
      <c r="AQ76" t="s">
        <v>331</v>
      </c>
      <c r="AR76">
        <v>2</v>
      </c>
      <c r="AS76">
        <v>1690204365.5</v>
      </c>
      <c r="AT76">
        <v>523.02200000000005</v>
      </c>
      <c r="AU76">
        <v>800.03099999999995</v>
      </c>
      <c r="AV76">
        <v>22.410900000000002</v>
      </c>
      <c r="AW76">
        <v>7.9237299999999999</v>
      </c>
      <c r="AX76">
        <v>523.82299999999998</v>
      </c>
      <c r="AY76">
        <v>22.243200000000002</v>
      </c>
      <c r="AZ76">
        <v>300.08800000000002</v>
      </c>
      <c r="BA76">
        <v>99.059899999999999</v>
      </c>
      <c r="BB76">
        <v>9.9977300000000005E-2</v>
      </c>
      <c r="BC76">
        <v>25.232299999999999</v>
      </c>
      <c r="BD76">
        <v>26.9328</v>
      </c>
      <c r="BE76">
        <v>26.629899999999999</v>
      </c>
      <c r="BF76">
        <v>0</v>
      </c>
      <c r="BG76">
        <v>0</v>
      </c>
      <c r="BH76">
        <v>10012.5</v>
      </c>
      <c r="BI76">
        <v>1058.7</v>
      </c>
      <c r="BJ76">
        <v>1.59368</v>
      </c>
      <c r="BK76">
        <v>-277.00799999999998</v>
      </c>
      <c r="BL76">
        <v>535.01199999999994</v>
      </c>
      <c r="BM76">
        <v>806.42</v>
      </c>
      <c r="BN76">
        <v>14.4872</v>
      </c>
      <c r="BO76">
        <v>800.03099999999995</v>
      </c>
      <c r="BP76">
        <v>7.9237299999999999</v>
      </c>
      <c r="BQ76">
        <v>2.2200199999999999</v>
      </c>
      <c r="BR76">
        <v>0.78492399999999996</v>
      </c>
      <c r="BS76">
        <v>19.107500000000002</v>
      </c>
      <c r="BT76">
        <v>3.4375399999999998</v>
      </c>
      <c r="BU76">
        <v>1800</v>
      </c>
      <c r="BV76">
        <v>0.91001399999999999</v>
      </c>
      <c r="BW76">
        <v>3.4006799999999997E-2</v>
      </c>
      <c r="BX76">
        <v>2.1991199999999999E-2</v>
      </c>
      <c r="BY76">
        <v>3.39881E-2</v>
      </c>
      <c r="BZ76">
        <v>25</v>
      </c>
      <c r="CA76">
        <v>33528.5</v>
      </c>
      <c r="CB76">
        <v>1690203121.0999999</v>
      </c>
      <c r="CC76" t="s">
        <v>332</v>
      </c>
      <c r="CD76">
        <v>1690203121.0999999</v>
      </c>
      <c r="CE76">
        <v>1690203121.0999999</v>
      </c>
      <c r="CF76">
        <v>3</v>
      </c>
      <c r="CG76">
        <v>0.53600000000000003</v>
      </c>
      <c r="CH76">
        <v>-0.01</v>
      </c>
      <c r="CI76">
        <v>-0.996</v>
      </c>
      <c r="CJ76">
        <v>-6.6000000000000003E-2</v>
      </c>
      <c r="CK76">
        <v>800</v>
      </c>
      <c r="CL76">
        <v>9</v>
      </c>
      <c r="CM76">
        <v>0.82</v>
      </c>
      <c r="CN76">
        <v>0.01</v>
      </c>
      <c r="CO76">
        <v>-273.85651219512198</v>
      </c>
      <c r="CP76">
        <v>-16.124571428571912</v>
      </c>
      <c r="CQ76">
        <v>1.5910901635004411</v>
      </c>
      <c r="CR76">
        <v>-1</v>
      </c>
      <c r="CS76">
        <v>14.359151219512199</v>
      </c>
      <c r="CT76">
        <v>0.66917979094077185</v>
      </c>
      <c r="CU76">
        <v>6.6087632590671685E-2</v>
      </c>
      <c r="CV76">
        <v>-1</v>
      </c>
      <c r="CW76">
        <v>0</v>
      </c>
      <c r="CX76">
        <v>0</v>
      </c>
      <c r="CY76" t="s">
        <v>333</v>
      </c>
      <c r="CZ76">
        <v>2.36442</v>
      </c>
      <c r="DA76">
        <v>2.7137799999999999</v>
      </c>
      <c r="DB76">
        <v>0.10935599999999999</v>
      </c>
      <c r="DC76">
        <v>0.14616699999999999</v>
      </c>
      <c r="DD76">
        <v>0.108596</v>
      </c>
      <c r="DE76">
        <v>4.9349400000000002E-2</v>
      </c>
      <c r="DF76">
        <v>32482.5</v>
      </c>
      <c r="DG76">
        <v>27446.400000000001</v>
      </c>
      <c r="DH76">
        <v>31134.6</v>
      </c>
      <c r="DI76">
        <v>28009.3</v>
      </c>
      <c r="DJ76">
        <v>37669.800000000003</v>
      </c>
      <c r="DK76">
        <v>37842.699999999997</v>
      </c>
      <c r="DL76">
        <v>44298.400000000001</v>
      </c>
      <c r="DM76">
        <v>42427.1</v>
      </c>
      <c r="DN76">
        <v>1.47715</v>
      </c>
      <c r="DO76">
        <v>2.0529999999999999</v>
      </c>
      <c r="DP76">
        <v>0.161353</v>
      </c>
      <c r="DQ76">
        <v>0.14874299999999999</v>
      </c>
      <c r="DR76">
        <v>24.288</v>
      </c>
      <c r="DS76">
        <v>24.190999999999999</v>
      </c>
      <c r="DT76">
        <v>25.9</v>
      </c>
      <c r="DU76">
        <v>27.4</v>
      </c>
      <c r="DV76">
        <v>9.5790900000000008</v>
      </c>
      <c r="DW76">
        <v>61.6355</v>
      </c>
      <c r="DX76">
        <v>36.314100000000003</v>
      </c>
      <c r="DY76">
        <v>1</v>
      </c>
      <c r="DZ76">
        <v>-0.106209</v>
      </c>
      <c r="EA76">
        <v>0.57692500000000002</v>
      </c>
      <c r="EB76">
        <v>20.189499999999999</v>
      </c>
      <c r="EC76">
        <v>5.2411000000000003</v>
      </c>
      <c r="ED76">
        <v>12.039899999999999</v>
      </c>
      <c r="EE76">
        <v>5.0169499999999996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</v>
      </c>
      <c r="EL76">
        <v>1.8646199999999999</v>
      </c>
      <c r="EM76">
        <v>1.86913</v>
      </c>
      <c r="EN76">
        <v>1.8672200000000001</v>
      </c>
      <c r="EO76">
        <v>1.8633999999999999</v>
      </c>
      <c r="EP76">
        <v>1.8644799999999999</v>
      </c>
      <c r="EQ76">
        <v>1.87012</v>
      </c>
      <c r="ER76">
        <v>1.86938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-0.80100000000000005</v>
      </c>
      <c r="FG76">
        <v>0.16769999999999999</v>
      </c>
      <c r="FH76">
        <v>-0.44422204735670362</v>
      </c>
      <c r="FI76">
        <v>-6.1462078757559423E-4</v>
      </c>
      <c r="FJ76">
        <v>-1.8861989874597051E-7</v>
      </c>
      <c r="FK76">
        <v>1.1980462299894961E-10</v>
      </c>
      <c r="FL76">
        <v>0.16773393518503121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20.7</v>
      </c>
      <c r="FU76">
        <v>20.7</v>
      </c>
      <c r="FV76">
        <v>1.78101</v>
      </c>
      <c r="FW76">
        <v>2.5524900000000001</v>
      </c>
      <c r="FX76">
        <v>1.5490699999999999</v>
      </c>
      <c r="FY76">
        <v>2.33643</v>
      </c>
      <c r="FZ76">
        <v>1.50146</v>
      </c>
      <c r="GA76">
        <v>2.36938</v>
      </c>
      <c r="GB76">
        <v>32.244599999999998</v>
      </c>
      <c r="GC76">
        <v>23.991199999999999</v>
      </c>
      <c r="GD76">
        <v>19</v>
      </c>
      <c r="GE76">
        <v>282.51900000000001</v>
      </c>
      <c r="GF76">
        <v>594.76700000000005</v>
      </c>
      <c r="GG76">
        <v>22.811800000000002</v>
      </c>
      <c r="GH76">
        <v>26.0564</v>
      </c>
      <c r="GI76">
        <v>29.999600000000001</v>
      </c>
      <c r="GJ76">
        <v>26.178000000000001</v>
      </c>
      <c r="GK76">
        <v>26.143899999999999</v>
      </c>
      <c r="GL76">
        <v>35.596400000000003</v>
      </c>
      <c r="GM76">
        <v>-30</v>
      </c>
      <c r="GN76">
        <v>-30</v>
      </c>
      <c r="GO76">
        <v>22.822700000000001</v>
      </c>
      <c r="GP76">
        <v>800</v>
      </c>
      <c r="GQ76">
        <v>12.5298</v>
      </c>
      <c r="GR76">
        <v>99.605500000000006</v>
      </c>
      <c r="GS76">
        <v>99.275300000000001</v>
      </c>
    </row>
    <row r="77" spans="1:201" x14ac:dyDescent="0.25">
      <c r="A77">
        <v>61</v>
      </c>
      <c r="B77">
        <v>1690204375.5</v>
      </c>
      <c r="C77">
        <v>935.90000009536743</v>
      </c>
      <c r="D77" t="s">
        <v>455</v>
      </c>
      <c r="E77" t="s">
        <v>456</v>
      </c>
      <c r="F77" t="s">
        <v>330</v>
      </c>
      <c r="H77">
        <v>1690204375.5</v>
      </c>
      <c r="I77">
        <f t="shared" si="0"/>
        <v>1.436621350940242E-3</v>
      </c>
      <c r="J77">
        <f t="shared" si="1"/>
        <v>1.4366213509402421</v>
      </c>
      <c r="K77">
        <f t="shared" si="2"/>
        <v>26.159029831878648</v>
      </c>
      <c r="L77">
        <f t="shared" si="3"/>
        <v>520.46699999999998</v>
      </c>
      <c r="M77">
        <f t="shared" si="4"/>
        <v>114.76987142485153</v>
      </c>
      <c r="N77">
        <f t="shared" si="5"/>
        <v>11.380911905876951</v>
      </c>
      <c r="O77">
        <f t="shared" si="6"/>
        <v>51.611010828695996</v>
      </c>
      <c r="P77">
        <f t="shared" si="7"/>
        <v>0.10740733546451151</v>
      </c>
      <c r="Q77">
        <f t="shared" si="8"/>
        <v>2.1930127003842319</v>
      </c>
      <c r="R77">
        <f t="shared" si="9"/>
        <v>0.10456815158407717</v>
      </c>
      <c r="S77">
        <f t="shared" si="10"/>
        <v>6.5603933041259693E-2</v>
      </c>
      <c r="T77">
        <f t="shared" si="11"/>
        <v>276.11327873481832</v>
      </c>
      <c r="U77">
        <f t="shared" si="12"/>
        <v>26.881780159072221</v>
      </c>
      <c r="V77">
        <f t="shared" si="13"/>
        <v>26.881780159072221</v>
      </c>
      <c r="W77">
        <f t="shared" si="14"/>
        <v>3.5543835400119344</v>
      </c>
      <c r="X77">
        <f t="shared" si="15"/>
        <v>69.188597621072162</v>
      </c>
      <c r="Y77">
        <f t="shared" si="16"/>
        <v>2.2317698736168001</v>
      </c>
      <c r="Z77">
        <f t="shared" si="17"/>
        <v>3.2256324746450558</v>
      </c>
      <c r="AA77">
        <f t="shared" si="18"/>
        <v>1.3226136663951342</v>
      </c>
      <c r="AB77">
        <f t="shared" si="19"/>
        <v>-63.355001576464673</v>
      </c>
      <c r="AC77">
        <f t="shared" si="20"/>
        <v>-194.00077009678802</v>
      </c>
      <c r="AD77">
        <f t="shared" si="21"/>
        <v>-18.912877453398281</v>
      </c>
      <c r="AE77">
        <f t="shared" si="22"/>
        <v>-0.15537039183263346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52649.525599116037</v>
      </c>
      <c r="AK77">
        <f t="shared" si="26"/>
        <v>1799.99</v>
      </c>
      <c r="AL77">
        <f t="shared" si="27"/>
        <v>1499.10408919768</v>
      </c>
      <c r="AM77">
        <f t="shared" si="28"/>
        <v>0.83284023200000001</v>
      </c>
      <c r="AN77">
        <f t="shared" si="29"/>
        <v>0.15339711817000001</v>
      </c>
      <c r="AO77">
        <v>31.2</v>
      </c>
      <c r="AP77">
        <v>0.5</v>
      </c>
      <c r="AQ77" t="s">
        <v>331</v>
      </c>
      <c r="AR77">
        <v>2</v>
      </c>
      <c r="AS77">
        <v>1690204375.5</v>
      </c>
      <c r="AT77">
        <v>520.46699999999998</v>
      </c>
      <c r="AU77">
        <v>800.01199999999994</v>
      </c>
      <c r="AV77">
        <v>22.5061</v>
      </c>
      <c r="AW77">
        <v>7.9163800000000002</v>
      </c>
      <c r="AX77">
        <v>521.26599999999996</v>
      </c>
      <c r="AY77">
        <v>22.3384</v>
      </c>
      <c r="AZ77">
        <v>300.30599999999998</v>
      </c>
      <c r="BA77">
        <v>99.062799999999996</v>
      </c>
      <c r="BB77">
        <v>0.100088</v>
      </c>
      <c r="BC77">
        <v>25.2409</v>
      </c>
      <c r="BD77">
        <v>26.942900000000002</v>
      </c>
      <c r="BE77">
        <v>26.622399999999999</v>
      </c>
      <c r="BF77">
        <v>0</v>
      </c>
      <c r="BG77">
        <v>0</v>
      </c>
      <c r="BH77">
        <v>9991.8799999999992</v>
      </c>
      <c r="BI77">
        <v>1058.67</v>
      </c>
      <c r="BJ77">
        <v>1.56985</v>
      </c>
      <c r="BK77">
        <v>-279.54500000000002</v>
      </c>
      <c r="BL77">
        <v>532.45000000000005</v>
      </c>
      <c r="BM77">
        <v>806.39599999999996</v>
      </c>
      <c r="BN77">
        <v>14.5898</v>
      </c>
      <c r="BO77">
        <v>800.01199999999994</v>
      </c>
      <c r="BP77">
        <v>7.9163800000000002</v>
      </c>
      <c r="BQ77">
        <v>2.2295199999999999</v>
      </c>
      <c r="BR77">
        <v>0.784219</v>
      </c>
      <c r="BS77">
        <v>19.175999999999998</v>
      </c>
      <c r="BT77">
        <v>3.4248099999999999</v>
      </c>
      <c r="BU77">
        <v>1799.99</v>
      </c>
      <c r="BV77">
        <v>0.91001100000000001</v>
      </c>
      <c r="BW77">
        <v>3.4005199999999999E-2</v>
      </c>
      <c r="BX77">
        <v>2.1997099999999999E-2</v>
      </c>
      <c r="BY77">
        <v>3.3986500000000003E-2</v>
      </c>
      <c r="BZ77">
        <v>25</v>
      </c>
      <c r="CA77">
        <v>33528.300000000003</v>
      </c>
      <c r="CB77">
        <v>1690203121.0999999</v>
      </c>
      <c r="CC77" t="s">
        <v>332</v>
      </c>
      <c r="CD77">
        <v>1690203121.0999999</v>
      </c>
      <c r="CE77">
        <v>1690203121.0999999</v>
      </c>
      <c r="CF77">
        <v>3</v>
      </c>
      <c r="CG77">
        <v>0.53600000000000003</v>
      </c>
      <c r="CH77">
        <v>-0.01</v>
      </c>
      <c r="CI77">
        <v>-0.996</v>
      </c>
      <c r="CJ77">
        <v>-6.6000000000000003E-2</v>
      </c>
      <c r="CK77">
        <v>800</v>
      </c>
      <c r="CL77">
        <v>9</v>
      </c>
      <c r="CM77">
        <v>0.82</v>
      </c>
      <c r="CN77">
        <v>0.01</v>
      </c>
      <c r="CO77">
        <v>-276.52909756097557</v>
      </c>
      <c r="CP77">
        <v>-15.76678745644611</v>
      </c>
      <c r="CQ77">
        <v>1.555772426847966</v>
      </c>
      <c r="CR77">
        <v>-1</v>
      </c>
      <c r="CS77">
        <v>14.46873658536585</v>
      </c>
      <c r="CT77">
        <v>0.6350801393727481</v>
      </c>
      <c r="CU77">
        <v>6.2646070307128113E-2</v>
      </c>
      <c r="CV77">
        <v>-1</v>
      </c>
      <c r="CW77">
        <v>0</v>
      </c>
      <c r="CX77">
        <v>0</v>
      </c>
      <c r="CY77" t="s">
        <v>333</v>
      </c>
      <c r="CZ77">
        <v>2.3651599999999999</v>
      </c>
      <c r="DA77">
        <v>2.71387</v>
      </c>
      <c r="DB77">
        <v>0.108975</v>
      </c>
      <c r="DC77">
        <v>0.14616999999999999</v>
      </c>
      <c r="DD77">
        <v>0.108929</v>
      </c>
      <c r="DE77">
        <v>4.9314999999999998E-2</v>
      </c>
      <c r="DF77">
        <v>32496.7</v>
      </c>
      <c r="DG77">
        <v>27447</v>
      </c>
      <c r="DH77">
        <v>31134.9</v>
      </c>
      <c r="DI77">
        <v>28010</v>
      </c>
      <c r="DJ77">
        <v>37656</v>
      </c>
      <c r="DK77">
        <v>37844.9</v>
      </c>
      <c r="DL77">
        <v>44299</v>
      </c>
      <c r="DM77">
        <v>42428</v>
      </c>
      <c r="DN77">
        <v>1.4778500000000001</v>
      </c>
      <c r="DO77">
        <v>2.0530499999999998</v>
      </c>
      <c r="DP77">
        <v>0.16231499999999999</v>
      </c>
      <c r="DQ77">
        <v>0.14855299999999999</v>
      </c>
      <c r="DR77">
        <v>24.282399999999999</v>
      </c>
      <c r="DS77">
        <v>24.186599999999999</v>
      </c>
      <c r="DT77">
        <v>25.8</v>
      </c>
      <c r="DU77">
        <v>27.4</v>
      </c>
      <c r="DV77">
        <v>9.5430399999999995</v>
      </c>
      <c r="DW77">
        <v>61.655500000000004</v>
      </c>
      <c r="DX77">
        <v>35.929499999999997</v>
      </c>
      <c r="DY77">
        <v>1</v>
      </c>
      <c r="DZ77">
        <v>-0.10667699999999999</v>
      </c>
      <c r="EA77">
        <v>0.50269600000000003</v>
      </c>
      <c r="EB77">
        <v>20.189800000000002</v>
      </c>
      <c r="EC77">
        <v>5.2409499999999998</v>
      </c>
      <c r="ED77">
        <v>12.039899999999999</v>
      </c>
      <c r="EE77">
        <v>5.0171000000000001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1.8689100000000001</v>
      </c>
      <c r="EL77">
        <v>1.8646199999999999</v>
      </c>
      <c r="EM77">
        <v>1.86914</v>
      </c>
      <c r="EN77">
        <v>1.8672200000000001</v>
      </c>
      <c r="EO77">
        <v>1.8633999999999999</v>
      </c>
      <c r="EP77">
        <v>1.8644700000000001</v>
      </c>
      <c r="EQ77">
        <v>1.87012</v>
      </c>
      <c r="ER77">
        <v>1.86938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-0.79900000000000004</v>
      </c>
      <c r="FG77">
        <v>0.16769999999999999</v>
      </c>
      <c r="FH77">
        <v>-0.44422204735670362</v>
      </c>
      <c r="FI77">
        <v>-6.1462078757559423E-4</v>
      </c>
      <c r="FJ77">
        <v>-1.8861989874597051E-7</v>
      </c>
      <c r="FK77">
        <v>1.1980462299894961E-10</v>
      </c>
      <c r="FL77">
        <v>0.16773393518503121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20.9</v>
      </c>
      <c r="FU77">
        <v>20.9</v>
      </c>
      <c r="FV77">
        <v>1.77979</v>
      </c>
      <c r="FW77">
        <v>2.5610400000000002</v>
      </c>
      <c r="FX77">
        <v>1.5490699999999999</v>
      </c>
      <c r="FY77">
        <v>2.33521</v>
      </c>
      <c r="FZ77">
        <v>1.50146</v>
      </c>
      <c r="GA77">
        <v>2.2766099999999998</v>
      </c>
      <c r="GB77">
        <v>32.244599999999998</v>
      </c>
      <c r="GC77">
        <v>23.982399999999998</v>
      </c>
      <c r="GD77">
        <v>19</v>
      </c>
      <c r="GE77">
        <v>282.79500000000002</v>
      </c>
      <c r="GF77">
        <v>594.77300000000002</v>
      </c>
      <c r="GG77">
        <v>22.859100000000002</v>
      </c>
      <c r="GH77">
        <v>26.048200000000001</v>
      </c>
      <c r="GI77">
        <v>29.9999</v>
      </c>
      <c r="GJ77">
        <v>26.172999999999998</v>
      </c>
      <c r="GK77">
        <v>26.140799999999999</v>
      </c>
      <c r="GL77">
        <v>35.594499999999996</v>
      </c>
      <c r="GM77">
        <v>-30</v>
      </c>
      <c r="GN77">
        <v>-30</v>
      </c>
      <c r="GO77">
        <v>22.8687</v>
      </c>
      <c r="GP77">
        <v>800</v>
      </c>
      <c r="GQ77">
        <v>12.5298</v>
      </c>
      <c r="GR77">
        <v>99.6066</v>
      </c>
      <c r="GS77">
        <v>99.277500000000003</v>
      </c>
    </row>
    <row r="78" spans="1:201" x14ac:dyDescent="0.25">
      <c r="A78">
        <v>62</v>
      </c>
      <c r="B78">
        <v>1690204385.5</v>
      </c>
      <c r="C78">
        <v>945.90000009536743</v>
      </c>
      <c r="D78" t="s">
        <v>457</v>
      </c>
      <c r="E78" t="s">
        <v>458</v>
      </c>
      <c r="F78" t="s">
        <v>330</v>
      </c>
      <c r="H78">
        <v>1690204385.5</v>
      </c>
      <c r="I78">
        <f t="shared" si="0"/>
        <v>1.4458021219414467E-3</v>
      </c>
      <c r="J78">
        <f t="shared" si="1"/>
        <v>1.4458021219414467</v>
      </c>
      <c r="K78">
        <f t="shared" si="2"/>
        <v>26.3859579889765</v>
      </c>
      <c r="L78">
        <f t="shared" si="3"/>
        <v>517.846</v>
      </c>
      <c r="M78">
        <f t="shared" si="4"/>
        <v>113.81917796694972</v>
      </c>
      <c r="N78">
        <f t="shared" si="5"/>
        <v>11.285636902041771</v>
      </c>
      <c r="O78">
        <f t="shared" si="6"/>
        <v>51.346548372293995</v>
      </c>
      <c r="P78">
        <f t="shared" si="7"/>
        <v>0.10880478264519607</v>
      </c>
      <c r="Q78">
        <f t="shared" si="8"/>
        <v>2.1926735696512893</v>
      </c>
      <c r="R78">
        <f t="shared" si="9"/>
        <v>0.10589187973283815</v>
      </c>
      <c r="S78">
        <f t="shared" si="10"/>
        <v>6.6437642137806605E-2</v>
      </c>
      <c r="T78">
        <f t="shared" si="11"/>
        <v>276.11630195399999</v>
      </c>
      <c r="U78">
        <f t="shared" si="12"/>
        <v>26.886201300816147</v>
      </c>
      <c r="V78">
        <f t="shared" si="13"/>
        <v>26.886201300816147</v>
      </c>
      <c r="W78">
        <f t="shared" si="14"/>
        <v>3.5553074072745012</v>
      </c>
      <c r="X78">
        <f t="shared" si="15"/>
        <v>69.446766392193396</v>
      </c>
      <c r="Y78">
        <f t="shared" si="16"/>
        <v>2.2410708041690999</v>
      </c>
      <c r="Z78">
        <f t="shared" si="17"/>
        <v>3.2270340587391577</v>
      </c>
      <c r="AA78">
        <f t="shared" si="18"/>
        <v>1.3142366031054014</v>
      </c>
      <c r="AB78">
        <f t="shared" si="19"/>
        <v>-63.759873577617796</v>
      </c>
      <c r="AC78">
        <f t="shared" si="20"/>
        <v>-193.63045561509256</v>
      </c>
      <c r="AD78">
        <f t="shared" si="21"/>
        <v>-18.880805019220581</v>
      </c>
      <c r="AE78">
        <f t="shared" si="22"/>
        <v>-0.15483225793093425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52634.110811045801</v>
      </c>
      <c r="AK78">
        <f t="shared" si="26"/>
        <v>1800</v>
      </c>
      <c r="AL78">
        <f t="shared" si="27"/>
        <v>1499.1136343999997</v>
      </c>
      <c r="AM78">
        <f t="shared" si="28"/>
        <v>0.83284090799999988</v>
      </c>
      <c r="AN78">
        <f t="shared" si="29"/>
        <v>0.15339794553</v>
      </c>
      <c r="AO78">
        <v>31.2</v>
      </c>
      <c r="AP78">
        <v>0.5</v>
      </c>
      <c r="AQ78" t="s">
        <v>331</v>
      </c>
      <c r="AR78">
        <v>2</v>
      </c>
      <c r="AS78">
        <v>1690204385.5</v>
      </c>
      <c r="AT78">
        <v>517.846</v>
      </c>
      <c r="AU78">
        <v>799.97500000000002</v>
      </c>
      <c r="AV78">
        <v>22.601900000000001</v>
      </c>
      <c r="AW78">
        <v>7.9091300000000002</v>
      </c>
      <c r="AX78">
        <v>518.64300000000003</v>
      </c>
      <c r="AY78">
        <v>22.434100000000001</v>
      </c>
      <c r="AZ78">
        <v>300.07600000000002</v>
      </c>
      <c r="BA78">
        <v>99.054100000000005</v>
      </c>
      <c r="BB78">
        <v>9.9988999999999995E-2</v>
      </c>
      <c r="BC78">
        <v>25.248200000000001</v>
      </c>
      <c r="BD78">
        <v>26.9453</v>
      </c>
      <c r="BE78">
        <v>26.643899999999999</v>
      </c>
      <c r="BF78">
        <v>0</v>
      </c>
      <c r="BG78">
        <v>0</v>
      </c>
      <c r="BH78">
        <v>9990</v>
      </c>
      <c r="BI78">
        <v>1058.8699999999999</v>
      </c>
      <c r="BJ78">
        <v>1.5137799999999999</v>
      </c>
      <c r="BK78">
        <v>-282.12900000000002</v>
      </c>
      <c r="BL78">
        <v>529.82100000000003</v>
      </c>
      <c r="BM78">
        <v>806.35299999999995</v>
      </c>
      <c r="BN78">
        <v>14.6928</v>
      </c>
      <c r="BO78">
        <v>799.97500000000002</v>
      </c>
      <c r="BP78">
        <v>7.9091300000000002</v>
      </c>
      <c r="BQ78">
        <v>2.23881</v>
      </c>
      <c r="BR78">
        <v>0.78343200000000002</v>
      </c>
      <c r="BS78">
        <v>19.242799999999999</v>
      </c>
      <c r="BT78">
        <v>3.41059</v>
      </c>
      <c r="BU78">
        <v>1800</v>
      </c>
      <c r="BV78">
        <v>0.91000199999999998</v>
      </c>
      <c r="BW78">
        <v>3.4004399999999997E-2</v>
      </c>
      <c r="BX78">
        <v>2.20079E-2</v>
      </c>
      <c r="BY78">
        <v>3.3985700000000001E-2</v>
      </c>
      <c r="BZ78">
        <v>25</v>
      </c>
      <c r="CA78">
        <v>33528.199999999997</v>
      </c>
      <c r="CB78">
        <v>1690203121.0999999</v>
      </c>
      <c r="CC78" t="s">
        <v>332</v>
      </c>
      <c r="CD78">
        <v>1690203121.0999999</v>
      </c>
      <c r="CE78">
        <v>1690203121.0999999</v>
      </c>
      <c r="CF78">
        <v>3</v>
      </c>
      <c r="CG78">
        <v>0.53600000000000003</v>
      </c>
      <c r="CH78">
        <v>-0.01</v>
      </c>
      <c r="CI78">
        <v>-0.996</v>
      </c>
      <c r="CJ78">
        <v>-6.6000000000000003E-2</v>
      </c>
      <c r="CK78">
        <v>800</v>
      </c>
      <c r="CL78">
        <v>9</v>
      </c>
      <c r="CM78">
        <v>0.82</v>
      </c>
      <c r="CN78">
        <v>0.01</v>
      </c>
      <c r="CO78">
        <v>-279.33917500000013</v>
      </c>
      <c r="CP78">
        <v>-15.592941838649709</v>
      </c>
      <c r="CQ78">
        <v>1.5011026261968261</v>
      </c>
      <c r="CR78">
        <v>-1</v>
      </c>
      <c r="CS78">
        <v>14.5815175</v>
      </c>
      <c r="CT78">
        <v>0.62153808630390517</v>
      </c>
      <c r="CU78">
        <v>5.9799740331794041E-2</v>
      </c>
      <c r="CV78">
        <v>-1</v>
      </c>
      <c r="CW78">
        <v>0</v>
      </c>
      <c r="CX78">
        <v>0</v>
      </c>
      <c r="CY78" t="s">
        <v>333</v>
      </c>
      <c r="CZ78">
        <v>2.36443</v>
      </c>
      <c r="DA78">
        <v>2.7137699999999998</v>
      </c>
      <c r="DB78">
        <v>0.108571</v>
      </c>
      <c r="DC78">
        <v>0.14615400000000001</v>
      </c>
      <c r="DD78">
        <v>0.10925</v>
      </c>
      <c r="DE78">
        <v>4.92755E-2</v>
      </c>
      <c r="DF78">
        <v>32511.599999999999</v>
      </c>
      <c r="DG78">
        <v>27448.1</v>
      </c>
      <c r="DH78">
        <v>31134.9</v>
      </c>
      <c r="DI78">
        <v>28010.5</v>
      </c>
      <c r="DJ78">
        <v>37642.5</v>
      </c>
      <c r="DK78">
        <v>37847.1</v>
      </c>
      <c r="DL78">
        <v>44299.199999999997</v>
      </c>
      <c r="DM78">
        <v>42428.7</v>
      </c>
      <c r="DN78">
        <v>1.47773</v>
      </c>
      <c r="DO78">
        <v>2.0533299999999999</v>
      </c>
      <c r="DP78">
        <v>0.16270599999999999</v>
      </c>
      <c r="DQ78">
        <v>0.150088</v>
      </c>
      <c r="DR78">
        <v>24.278300000000002</v>
      </c>
      <c r="DS78">
        <v>24.183</v>
      </c>
      <c r="DT78">
        <v>25.8</v>
      </c>
      <c r="DU78">
        <v>27.4</v>
      </c>
      <c r="DV78">
        <v>9.5426800000000007</v>
      </c>
      <c r="DW78">
        <v>61.975499999999997</v>
      </c>
      <c r="DX78">
        <v>36.506399999999999</v>
      </c>
      <c r="DY78">
        <v>1</v>
      </c>
      <c r="DZ78">
        <v>-0.107068</v>
      </c>
      <c r="EA78">
        <v>0.305531</v>
      </c>
      <c r="EB78">
        <v>20.1905</v>
      </c>
      <c r="EC78">
        <v>5.2406499999999996</v>
      </c>
      <c r="ED78">
        <v>12.039899999999999</v>
      </c>
      <c r="EE78">
        <v>5.0169499999999996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</v>
      </c>
      <c r="EL78">
        <v>1.8646199999999999</v>
      </c>
      <c r="EM78">
        <v>1.86914</v>
      </c>
      <c r="EN78">
        <v>1.8672200000000001</v>
      </c>
      <c r="EO78">
        <v>1.8633999999999999</v>
      </c>
      <c r="EP78">
        <v>1.86449</v>
      </c>
      <c r="EQ78">
        <v>1.8701399999999999</v>
      </c>
      <c r="ER78">
        <v>1.8693900000000001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-0.79700000000000004</v>
      </c>
      <c r="FG78">
        <v>0.1678</v>
      </c>
      <c r="FH78">
        <v>-0.44422204735670362</v>
      </c>
      <c r="FI78">
        <v>-6.1462078757559423E-4</v>
      </c>
      <c r="FJ78">
        <v>-1.8861989874597051E-7</v>
      </c>
      <c r="FK78">
        <v>1.1980462299894961E-10</v>
      </c>
      <c r="FL78">
        <v>0.16773393518503121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21.1</v>
      </c>
      <c r="FU78">
        <v>21.1</v>
      </c>
      <c r="FV78">
        <v>1.77979</v>
      </c>
      <c r="FW78">
        <v>2.5524900000000001</v>
      </c>
      <c r="FX78">
        <v>1.5490699999999999</v>
      </c>
      <c r="FY78">
        <v>2.33643</v>
      </c>
      <c r="FZ78">
        <v>1.50146</v>
      </c>
      <c r="GA78">
        <v>2.3913600000000002</v>
      </c>
      <c r="GB78">
        <v>32.244599999999998</v>
      </c>
      <c r="GC78">
        <v>23.982399999999998</v>
      </c>
      <c r="GD78">
        <v>19</v>
      </c>
      <c r="GE78">
        <v>282.72300000000001</v>
      </c>
      <c r="GF78">
        <v>594.96299999999997</v>
      </c>
      <c r="GG78">
        <v>22.922499999999999</v>
      </c>
      <c r="GH78">
        <v>26.040400000000002</v>
      </c>
      <c r="GI78">
        <v>29.999700000000001</v>
      </c>
      <c r="GJ78">
        <v>26.168600000000001</v>
      </c>
      <c r="GK78">
        <v>26.1374</v>
      </c>
      <c r="GL78">
        <v>35.5961</v>
      </c>
      <c r="GM78">
        <v>-30</v>
      </c>
      <c r="GN78">
        <v>-30</v>
      </c>
      <c r="GO78">
        <v>22.9937</v>
      </c>
      <c r="GP78">
        <v>800</v>
      </c>
      <c r="GQ78">
        <v>12.5298</v>
      </c>
      <c r="GR78">
        <v>99.606999999999999</v>
      </c>
      <c r="GS78">
        <v>99.279300000000006</v>
      </c>
    </row>
    <row r="79" spans="1:201" x14ac:dyDescent="0.25">
      <c r="A79">
        <v>63</v>
      </c>
      <c r="B79">
        <v>1690204395.5</v>
      </c>
      <c r="C79">
        <v>955.90000009536743</v>
      </c>
      <c r="D79" t="s">
        <v>459</v>
      </c>
      <c r="E79" t="s">
        <v>460</v>
      </c>
      <c r="F79" t="s">
        <v>330</v>
      </c>
      <c r="H79">
        <v>1690204395.5</v>
      </c>
      <c r="I79">
        <f t="shared" si="0"/>
        <v>1.4590142903872505E-3</v>
      </c>
      <c r="J79">
        <f t="shared" si="1"/>
        <v>1.4590142903872505</v>
      </c>
      <c r="K79">
        <f t="shared" si="2"/>
        <v>26.667475775326778</v>
      </c>
      <c r="L79">
        <f t="shared" si="3"/>
        <v>515.154</v>
      </c>
      <c r="M79">
        <f t="shared" si="4"/>
        <v>113.98979558021269</v>
      </c>
      <c r="N79">
        <f t="shared" si="5"/>
        <v>11.302705258541565</v>
      </c>
      <c r="O79">
        <f t="shared" si="6"/>
        <v>51.080307628602007</v>
      </c>
      <c r="P79">
        <f t="shared" si="7"/>
        <v>0.11077787283097787</v>
      </c>
      <c r="Q79">
        <f t="shared" si="8"/>
        <v>2.1996708224823278</v>
      </c>
      <c r="R79">
        <f t="shared" si="9"/>
        <v>0.10776926276602056</v>
      </c>
      <c r="S79">
        <f t="shared" si="10"/>
        <v>6.7619294968728205E-2</v>
      </c>
      <c r="T79">
        <f t="shared" si="11"/>
        <v>276.11658502200004</v>
      </c>
      <c r="U79">
        <f t="shared" si="12"/>
        <v>26.887155115893069</v>
      </c>
      <c r="V79">
        <f t="shared" si="13"/>
        <v>26.887155115893069</v>
      </c>
      <c r="W79">
        <f t="shared" si="14"/>
        <v>3.5555067494600276</v>
      </c>
      <c r="X79">
        <f t="shared" si="15"/>
        <v>69.75623820354123</v>
      </c>
      <c r="Y79">
        <f t="shared" si="16"/>
        <v>2.2524242772493004</v>
      </c>
      <c r="Z79">
        <f t="shared" si="17"/>
        <v>3.2289933277034915</v>
      </c>
      <c r="AA79">
        <f t="shared" si="18"/>
        <v>1.3030824722107273</v>
      </c>
      <c r="AB79">
        <f t="shared" si="19"/>
        <v>-64.342530206077754</v>
      </c>
      <c r="AC79">
        <f t="shared" si="20"/>
        <v>-193.15187588226027</v>
      </c>
      <c r="AD79">
        <f t="shared" si="21"/>
        <v>-18.77527542282219</v>
      </c>
      <c r="AE79">
        <f t="shared" si="22"/>
        <v>-0.15309648916016272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52920.363767236049</v>
      </c>
      <c r="AK79">
        <f t="shared" si="26"/>
        <v>1800</v>
      </c>
      <c r="AL79">
        <f t="shared" si="27"/>
        <v>1499.1131591999999</v>
      </c>
      <c r="AM79">
        <f t="shared" si="28"/>
        <v>0.83284064399999991</v>
      </c>
      <c r="AN79">
        <f t="shared" si="29"/>
        <v>0.15339810279000002</v>
      </c>
      <c r="AO79">
        <v>31.2</v>
      </c>
      <c r="AP79">
        <v>0.5</v>
      </c>
      <c r="AQ79" t="s">
        <v>331</v>
      </c>
      <c r="AR79">
        <v>2</v>
      </c>
      <c r="AS79">
        <v>1690204395.5</v>
      </c>
      <c r="AT79">
        <v>515.154</v>
      </c>
      <c r="AU79">
        <v>800.02200000000005</v>
      </c>
      <c r="AV79">
        <v>22.716100000000001</v>
      </c>
      <c r="AW79">
        <v>7.9021499999999998</v>
      </c>
      <c r="AX79">
        <v>515.94899999999996</v>
      </c>
      <c r="AY79">
        <v>22.548300000000001</v>
      </c>
      <c r="AZ79">
        <v>300.30599999999998</v>
      </c>
      <c r="BA79">
        <v>99.055400000000006</v>
      </c>
      <c r="BB79">
        <v>0.100013</v>
      </c>
      <c r="BC79">
        <v>25.258400000000002</v>
      </c>
      <c r="BD79">
        <v>26.933599999999998</v>
      </c>
      <c r="BE79">
        <v>26.6569</v>
      </c>
      <c r="BF79">
        <v>0</v>
      </c>
      <c r="BG79">
        <v>0</v>
      </c>
      <c r="BH79">
        <v>10046.9</v>
      </c>
      <c r="BI79">
        <v>1058.96</v>
      </c>
      <c r="BJ79">
        <v>1.2951299999999999</v>
      </c>
      <c r="BK79">
        <v>-284.86799999999999</v>
      </c>
      <c r="BL79">
        <v>527.12900000000002</v>
      </c>
      <c r="BM79">
        <v>806.39499999999998</v>
      </c>
      <c r="BN79">
        <v>14.8139</v>
      </c>
      <c r="BO79">
        <v>800.02200000000005</v>
      </c>
      <c r="BP79">
        <v>7.9021499999999998</v>
      </c>
      <c r="BQ79">
        <v>2.2501500000000001</v>
      </c>
      <c r="BR79">
        <v>0.78275099999999997</v>
      </c>
      <c r="BS79">
        <v>19.323899999999998</v>
      </c>
      <c r="BT79">
        <v>3.3982800000000002</v>
      </c>
      <c r="BU79">
        <v>1800</v>
      </c>
      <c r="BV79">
        <v>0.90999600000000003</v>
      </c>
      <c r="BW79">
        <v>3.4003199999999997E-2</v>
      </c>
      <c r="BX79">
        <v>2.20097E-2</v>
      </c>
      <c r="BY79">
        <v>3.3991100000000003E-2</v>
      </c>
      <c r="BZ79">
        <v>25</v>
      </c>
      <c r="CA79">
        <v>33528.199999999997</v>
      </c>
      <c r="CB79">
        <v>1690203121.0999999</v>
      </c>
      <c r="CC79" t="s">
        <v>332</v>
      </c>
      <c r="CD79">
        <v>1690203121.0999999</v>
      </c>
      <c r="CE79">
        <v>1690203121.0999999</v>
      </c>
      <c r="CF79">
        <v>3</v>
      </c>
      <c r="CG79">
        <v>0.53600000000000003</v>
      </c>
      <c r="CH79">
        <v>-0.01</v>
      </c>
      <c r="CI79">
        <v>-0.996</v>
      </c>
      <c r="CJ79">
        <v>-6.6000000000000003E-2</v>
      </c>
      <c r="CK79">
        <v>800</v>
      </c>
      <c r="CL79">
        <v>9</v>
      </c>
      <c r="CM79">
        <v>0.82</v>
      </c>
      <c r="CN79">
        <v>0.01</v>
      </c>
      <c r="CO79">
        <v>-282.02404878048782</v>
      </c>
      <c r="CP79">
        <v>-16.11146341463466</v>
      </c>
      <c r="CQ79">
        <v>1.589696258013588</v>
      </c>
      <c r="CR79">
        <v>-1</v>
      </c>
      <c r="CS79">
        <v>14.691321951219511</v>
      </c>
      <c r="CT79">
        <v>0.66389686411153737</v>
      </c>
      <c r="CU79">
        <v>6.5524530920032548E-2</v>
      </c>
      <c r="CV79">
        <v>-1</v>
      </c>
      <c r="CW79">
        <v>0</v>
      </c>
      <c r="CX79">
        <v>0</v>
      </c>
      <c r="CY79" t="s">
        <v>333</v>
      </c>
      <c r="CZ79">
        <v>2.36517</v>
      </c>
      <c r="DA79">
        <v>2.7138499999999999</v>
      </c>
      <c r="DB79">
        <v>0.108165</v>
      </c>
      <c r="DC79">
        <v>0.14616199999999999</v>
      </c>
      <c r="DD79">
        <v>0.10964400000000001</v>
      </c>
      <c r="DE79">
        <v>4.9241899999999998E-2</v>
      </c>
      <c r="DF79">
        <v>32527.3</v>
      </c>
      <c r="DG79">
        <v>27448.2</v>
      </c>
      <c r="DH79">
        <v>31135.8</v>
      </c>
      <c r="DI79">
        <v>28010.9</v>
      </c>
      <c r="DJ79">
        <v>37626.6</v>
      </c>
      <c r="DK79">
        <v>37849</v>
      </c>
      <c r="DL79">
        <v>44300.4</v>
      </c>
      <c r="DM79">
        <v>42429.3</v>
      </c>
      <c r="DN79">
        <v>1.47837</v>
      </c>
      <c r="DO79">
        <v>2.0533000000000001</v>
      </c>
      <c r="DP79">
        <v>0.162274</v>
      </c>
      <c r="DQ79">
        <v>0.15101200000000001</v>
      </c>
      <c r="DR79">
        <v>24.273700000000002</v>
      </c>
      <c r="DS79">
        <v>24.180800000000001</v>
      </c>
      <c r="DT79">
        <v>25.8</v>
      </c>
      <c r="DU79">
        <v>27.4</v>
      </c>
      <c r="DV79">
        <v>9.5440500000000004</v>
      </c>
      <c r="DW79">
        <v>61.695500000000003</v>
      </c>
      <c r="DX79">
        <v>35.941499999999998</v>
      </c>
      <c r="DY79">
        <v>1</v>
      </c>
      <c r="DZ79">
        <v>-0.10789899999999999</v>
      </c>
      <c r="EA79">
        <v>0.325629</v>
      </c>
      <c r="EB79">
        <v>20.1907</v>
      </c>
      <c r="EC79">
        <v>5.2409499999999998</v>
      </c>
      <c r="ED79">
        <v>12.039899999999999</v>
      </c>
      <c r="EE79">
        <v>5.01715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</v>
      </c>
      <c r="EL79">
        <v>1.8646199999999999</v>
      </c>
      <c r="EM79">
        <v>1.8691500000000001</v>
      </c>
      <c r="EN79">
        <v>1.8672200000000001</v>
      </c>
      <c r="EO79">
        <v>1.8633999999999999</v>
      </c>
      <c r="EP79">
        <v>1.8644799999999999</v>
      </c>
      <c r="EQ79">
        <v>1.8701399999999999</v>
      </c>
      <c r="ER79">
        <v>1.8694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-0.79500000000000004</v>
      </c>
      <c r="FG79">
        <v>0.1678</v>
      </c>
      <c r="FH79">
        <v>-0.44422204735670362</v>
      </c>
      <c r="FI79">
        <v>-6.1462078757559423E-4</v>
      </c>
      <c r="FJ79">
        <v>-1.8861989874597051E-7</v>
      </c>
      <c r="FK79">
        <v>1.1980462299894961E-10</v>
      </c>
      <c r="FL79">
        <v>0.16773393518503121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21.2</v>
      </c>
      <c r="FU79">
        <v>21.2</v>
      </c>
      <c r="FV79">
        <v>1.77979</v>
      </c>
      <c r="FW79">
        <v>2.5622600000000002</v>
      </c>
      <c r="FX79">
        <v>1.5490699999999999</v>
      </c>
      <c r="FY79">
        <v>2.33643</v>
      </c>
      <c r="FZ79">
        <v>1.50146</v>
      </c>
      <c r="GA79">
        <v>2.3022499999999999</v>
      </c>
      <c r="GB79">
        <v>32.244599999999998</v>
      </c>
      <c r="GC79">
        <v>23.973700000000001</v>
      </c>
      <c r="GD79">
        <v>19</v>
      </c>
      <c r="GE79">
        <v>282.98</v>
      </c>
      <c r="GF79">
        <v>594.90599999999995</v>
      </c>
      <c r="GG79">
        <v>23.037199999999999</v>
      </c>
      <c r="GH79">
        <v>26.032299999999999</v>
      </c>
      <c r="GI79">
        <v>29.9999</v>
      </c>
      <c r="GJ79">
        <v>26.164200000000001</v>
      </c>
      <c r="GK79">
        <v>26.1343</v>
      </c>
      <c r="GL79">
        <v>35.5961</v>
      </c>
      <c r="GM79">
        <v>-30</v>
      </c>
      <c r="GN79">
        <v>-30</v>
      </c>
      <c r="GO79">
        <v>23.0471</v>
      </c>
      <c r="GP79">
        <v>800</v>
      </c>
      <c r="GQ79">
        <v>12.5298</v>
      </c>
      <c r="GR79">
        <v>99.609700000000004</v>
      </c>
      <c r="GS79">
        <v>99.280500000000004</v>
      </c>
    </row>
    <row r="80" spans="1:201" x14ac:dyDescent="0.25">
      <c r="A80">
        <v>64</v>
      </c>
      <c r="B80">
        <v>1690204405.5</v>
      </c>
      <c r="C80">
        <v>965.90000009536743</v>
      </c>
      <c r="D80" t="s">
        <v>461</v>
      </c>
      <c r="E80" t="s">
        <v>462</v>
      </c>
      <c r="F80" t="s">
        <v>330</v>
      </c>
      <c r="H80">
        <v>1690204405.5</v>
      </c>
      <c r="I80">
        <f t="shared" si="0"/>
        <v>1.4695656414967515E-3</v>
      </c>
      <c r="J80">
        <f t="shared" si="1"/>
        <v>1.4695656414967515</v>
      </c>
      <c r="K80">
        <f t="shared" si="2"/>
        <v>26.902746231034975</v>
      </c>
      <c r="L80">
        <f t="shared" si="3"/>
        <v>512.48699999999997</v>
      </c>
      <c r="M80">
        <f t="shared" si="4"/>
        <v>112.76017372827238</v>
      </c>
      <c r="N80">
        <f t="shared" si="5"/>
        <v>11.180870338235321</v>
      </c>
      <c r="O80">
        <f t="shared" si="6"/>
        <v>50.816263469399992</v>
      </c>
      <c r="P80">
        <f t="shared" si="7"/>
        <v>0.11218363772672305</v>
      </c>
      <c r="Q80">
        <f t="shared" si="8"/>
        <v>2.1929308320652829</v>
      </c>
      <c r="R80">
        <f t="shared" si="9"/>
        <v>0.10909013151970885</v>
      </c>
      <c r="S80">
        <f t="shared" si="10"/>
        <v>6.84521661160956E-2</v>
      </c>
      <c r="T80">
        <f t="shared" si="11"/>
        <v>276.11520819809903</v>
      </c>
      <c r="U80">
        <f t="shared" si="12"/>
        <v>26.905594994591485</v>
      </c>
      <c r="V80">
        <f t="shared" si="13"/>
        <v>26.905594994591485</v>
      </c>
      <c r="W80">
        <f t="shared" si="14"/>
        <v>3.559362502430031</v>
      </c>
      <c r="X80">
        <f t="shared" si="15"/>
        <v>70.005681815569503</v>
      </c>
      <c r="Y80">
        <f t="shared" si="16"/>
        <v>2.2628337245800001</v>
      </c>
      <c r="Z80">
        <f t="shared" si="17"/>
        <v>3.2323572400043936</v>
      </c>
      <c r="AA80">
        <f t="shared" si="18"/>
        <v>1.296528777850031</v>
      </c>
      <c r="AB80">
        <f t="shared" si="19"/>
        <v>-64.80784479000674</v>
      </c>
      <c r="AC80">
        <f t="shared" si="20"/>
        <v>-192.671158487871</v>
      </c>
      <c r="AD80">
        <f t="shared" si="21"/>
        <v>-18.789496425896964</v>
      </c>
      <c r="AE80">
        <f t="shared" si="22"/>
        <v>-0.15329150567569627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52639.840318130839</v>
      </c>
      <c r="AK80">
        <f t="shared" si="26"/>
        <v>1799.99</v>
      </c>
      <c r="AL80">
        <f t="shared" si="27"/>
        <v>1499.1023666072497</v>
      </c>
      <c r="AM80">
        <f t="shared" si="28"/>
        <v>0.83283927499999988</v>
      </c>
      <c r="AN80">
        <f t="shared" si="29"/>
        <v>0.1533981901</v>
      </c>
      <c r="AO80">
        <v>31.2</v>
      </c>
      <c r="AP80">
        <v>0.5</v>
      </c>
      <c r="AQ80" t="s">
        <v>331</v>
      </c>
      <c r="AR80">
        <v>2</v>
      </c>
      <c r="AS80">
        <v>1690204405.5</v>
      </c>
      <c r="AT80">
        <v>512.48699999999997</v>
      </c>
      <c r="AU80">
        <v>799.95100000000002</v>
      </c>
      <c r="AV80">
        <v>22.820900000000002</v>
      </c>
      <c r="AW80">
        <v>7.8943599999999998</v>
      </c>
      <c r="AX80">
        <v>513.28</v>
      </c>
      <c r="AY80">
        <v>22.653199999999998</v>
      </c>
      <c r="AZ80">
        <v>300.16399999999999</v>
      </c>
      <c r="BA80">
        <v>99.056200000000004</v>
      </c>
      <c r="BB80">
        <v>0.1</v>
      </c>
      <c r="BC80">
        <v>25.2759</v>
      </c>
      <c r="BD80">
        <v>26.9161</v>
      </c>
      <c r="BE80">
        <v>26.636399999999998</v>
      </c>
      <c r="BF80">
        <v>0</v>
      </c>
      <c r="BG80">
        <v>0</v>
      </c>
      <c r="BH80">
        <v>9991.8799999999992</v>
      </c>
      <c r="BI80">
        <v>1059.02</v>
      </c>
      <c r="BJ80">
        <v>1.41987</v>
      </c>
      <c r="BK80">
        <v>-287.464</v>
      </c>
      <c r="BL80">
        <v>524.45600000000002</v>
      </c>
      <c r="BM80">
        <v>806.31700000000001</v>
      </c>
      <c r="BN80">
        <v>14.926600000000001</v>
      </c>
      <c r="BO80">
        <v>799.95100000000002</v>
      </c>
      <c r="BP80">
        <v>7.8943599999999998</v>
      </c>
      <c r="BQ80">
        <v>2.2605599999999999</v>
      </c>
      <c r="BR80">
        <v>0.78198599999999996</v>
      </c>
      <c r="BS80">
        <v>19.398</v>
      </c>
      <c r="BT80">
        <v>3.38443</v>
      </c>
      <c r="BU80">
        <v>1799.99</v>
      </c>
      <c r="BV80">
        <v>0.90997799999999995</v>
      </c>
      <c r="BW80">
        <v>3.4001299999999998E-2</v>
      </c>
      <c r="BX80">
        <v>2.20085E-2</v>
      </c>
      <c r="BY80">
        <v>3.4012599999999997E-2</v>
      </c>
      <c r="BZ80">
        <v>25</v>
      </c>
      <c r="CA80">
        <v>33528.1</v>
      </c>
      <c r="CB80">
        <v>1690203121.0999999</v>
      </c>
      <c r="CC80" t="s">
        <v>332</v>
      </c>
      <c r="CD80">
        <v>1690203121.0999999</v>
      </c>
      <c r="CE80">
        <v>1690203121.0999999</v>
      </c>
      <c r="CF80">
        <v>3</v>
      </c>
      <c r="CG80">
        <v>0.53600000000000003</v>
      </c>
      <c r="CH80">
        <v>-0.01</v>
      </c>
      <c r="CI80">
        <v>-0.996</v>
      </c>
      <c r="CJ80">
        <v>-6.6000000000000003E-2</v>
      </c>
      <c r="CK80">
        <v>800</v>
      </c>
      <c r="CL80">
        <v>9</v>
      </c>
      <c r="CM80">
        <v>0.82</v>
      </c>
      <c r="CN80">
        <v>0.01</v>
      </c>
      <c r="CO80">
        <v>-284.4270975609756</v>
      </c>
      <c r="CP80">
        <v>-16.14259233449485</v>
      </c>
      <c r="CQ80">
        <v>1.5927539090745</v>
      </c>
      <c r="CR80">
        <v>-1</v>
      </c>
      <c r="CS80">
        <v>14.79487804878049</v>
      </c>
      <c r="CT80">
        <v>0.72069825783971819</v>
      </c>
      <c r="CU80">
        <v>7.1078470934166055E-2</v>
      </c>
      <c r="CV80">
        <v>-1</v>
      </c>
      <c r="CW80">
        <v>0</v>
      </c>
      <c r="CX80">
        <v>0</v>
      </c>
      <c r="CY80" t="s">
        <v>333</v>
      </c>
      <c r="CZ80">
        <v>2.3647200000000002</v>
      </c>
      <c r="DA80">
        <v>2.7137799999999999</v>
      </c>
      <c r="DB80">
        <v>0.107762</v>
      </c>
      <c r="DC80">
        <v>0.14615600000000001</v>
      </c>
      <c r="DD80">
        <v>0.11000500000000001</v>
      </c>
      <c r="DE80">
        <v>4.9204600000000001E-2</v>
      </c>
      <c r="DF80">
        <v>32542.2</v>
      </c>
      <c r="DG80">
        <v>27448.799999999999</v>
      </c>
      <c r="DH80">
        <v>31136</v>
      </c>
      <c r="DI80">
        <v>28011.200000000001</v>
      </c>
      <c r="DJ80">
        <v>37611.4</v>
      </c>
      <c r="DK80">
        <v>37851.1</v>
      </c>
      <c r="DL80">
        <v>44300.800000000003</v>
      </c>
      <c r="DM80">
        <v>42429.9</v>
      </c>
      <c r="DN80">
        <v>1.4782</v>
      </c>
      <c r="DO80">
        <v>2.0531700000000002</v>
      </c>
      <c r="DP80">
        <v>0.16151399999999999</v>
      </c>
      <c r="DQ80">
        <v>0.14988699999999999</v>
      </c>
      <c r="DR80">
        <v>24.268599999999999</v>
      </c>
      <c r="DS80">
        <v>24.178799999999999</v>
      </c>
      <c r="DT80">
        <v>25.8</v>
      </c>
      <c r="DU80">
        <v>27.5</v>
      </c>
      <c r="DV80">
        <v>9.6011000000000006</v>
      </c>
      <c r="DW80">
        <v>61.5655</v>
      </c>
      <c r="DX80">
        <v>36.634599999999999</v>
      </c>
      <c r="DY80">
        <v>1</v>
      </c>
      <c r="DZ80">
        <v>-0.108338</v>
      </c>
      <c r="EA80">
        <v>0.32193100000000002</v>
      </c>
      <c r="EB80">
        <v>20.190999999999999</v>
      </c>
      <c r="EC80">
        <v>5.24125</v>
      </c>
      <c r="ED80">
        <v>12.039899999999999</v>
      </c>
      <c r="EE80">
        <v>5.0174000000000003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</v>
      </c>
      <c r="EL80">
        <v>1.8646199999999999</v>
      </c>
      <c r="EM80">
        <v>1.86914</v>
      </c>
      <c r="EN80">
        <v>1.8672200000000001</v>
      </c>
      <c r="EO80">
        <v>1.8633999999999999</v>
      </c>
      <c r="EP80">
        <v>1.8644700000000001</v>
      </c>
      <c r="EQ80">
        <v>1.87012</v>
      </c>
      <c r="ER80">
        <v>1.8694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-0.79300000000000004</v>
      </c>
      <c r="FG80">
        <v>0.16769999999999999</v>
      </c>
      <c r="FH80">
        <v>-0.44422204735670362</v>
      </c>
      <c r="FI80">
        <v>-6.1462078757559423E-4</v>
      </c>
      <c r="FJ80">
        <v>-1.8861989874597051E-7</v>
      </c>
      <c r="FK80">
        <v>1.1980462299894961E-10</v>
      </c>
      <c r="FL80">
        <v>0.16773393518503121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21.4</v>
      </c>
      <c r="FU80">
        <v>21.4</v>
      </c>
      <c r="FV80">
        <v>1.77979</v>
      </c>
      <c r="FW80">
        <v>2.5585900000000001</v>
      </c>
      <c r="FX80">
        <v>1.5490699999999999</v>
      </c>
      <c r="FY80">
        <v>2.33521</v>
      </c>
      <c r="FZ80">
        <v>1.50146</v>
      </c>
      <c r="GA80">
        <v>2.34619</v>
      </c>
      <c r="GB80">
        <v>32.266599999999997</v>
      </c>
      <c r="GC80">
        <v>23.982399999999998</v>
      </c>
      <c r="GD80">
        <v>19</v>
      </c>
      <c r="GE80">
        <v>282.88600000000002</v>
      </c>
      <c r="GF80">
        <v>594.76099999999997</v>
      </c>
      <c r="GG80">
        <v>23.098199999999999</v>
      </c>
      <c r="GH80">
        <v>26.025099999999998</v>
      </c>
      <c r="GI80">
        <v>29.9998</v>
      </c>
      <c r="GJ80">
        <v>26.1599</v>
      </c>
      <c r="GK80">
        <v>26.130800000000001</v>
      </c>
      <c r="GL80">
        <v>35.594900000000003</v>
      </c>
      <c r="GM80">
        <v>-30</v>
      </c>
      <c r="GN80">
        <v>-30</v>
      </c>
      <c r="GO80">
        <v>23.104600000000001</v>
      </c>
      <c r="GP80">
        <v>800</v>
      </c>
      <c r="GQ80">
        <v>12.5298</v>
      </c>
      <c r="GR80">
        <v>99.610399999999998</v>
      </c>
      <c r="GS80">
        <v>99.281999999999996</v>
      </c>
    </row>
    <row r="81" spans="1:201" x14ac:dyDescent="0.25">
      <c r="A81">
        <v>65</v>
      </c>
      <c r="B81">
        <v>1690204415.5</v>
      </c>
      <c r="C81">
        <v>975.90000009536743</v>
      </c>
      <c r="D81" t="s">
        <v>463</v>
      </c>
      <c r="E81" t="s">
        <v>464</v>
      </c>
      <c r="F81" t="s">
        <v>330</v>
      </c>
      <c r="H81">
        <v>1690204415.5</v>
      </c>
      <c r="I81">
        <f t="shared" ref="I81:I144" si="30">(J81)/1000</f>
        <v>1.4813151073286986E-3</v>
      </c>
      <c r="J81">
        <f t="shared" ref="J81:J144" si="31">1000*AZ81*AH81*(AV81-AW81)/(100*AO81*(1000-AH81*AV81))</f>
        <v>1.4813151073286985</v>
      </c>
      <c r="K81">
        <f t="shared" ref="K81:K144" si="32">AZ81*AH81*(AU81-AT81*(1000-AH81*AW81)/(1000-AH81*AV81))/(100*AO81)</f>
        <v>27.173091663066501</v>
      </c>
      <c r="L81">
        <f t="shared" ref="L81:L144" si="33">AT81 - IF(AH81&gt;1, K81*AO81*100/(AJ81*BH81), 0)</f>
        <v>509.79300000000001</v>
      </c>
      <c r="M81">
        <f t="shared" ref="M81:M144" si="34">((S81-I81/2)*L81-K81)/(S81+I81/2)</f>
        <v>111.68763386237777</v>
      </c>
      <c r="N81">
        <f t="shared" ref="N81:N144" si="35">M81*(BA81+BB81)/1000</f>
        <v>11.07458111366882</v>
      </c>
      <c r="O81">
        <f t="shared" ref="O81:O144" si="36">(AT81 - IF(AH81&gt;1, K81*AO81*100/(AJ81*BH81), 0))*(BA81+BB81)/1000</f>
        <v>50.549409405855002</v>
      </c>
      <c r="P81">
        <f t="shared" ref="P81:P144" si="37">2/((1/R81-1/Q81)+SIGN(R81)*SQRT((1/R81-1/Q81)*(1/R81-1/Q81) + 4*AP81/((AP81+1)*(AP81+1))*(2*1/R81*1/Q81-1/Q81*1/Q81)))</f>
        <v>0.1137943325710721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2.1940827030236623</v>
      </c>
      <c r="R81">
        <f t="shared" ref="R81:R144" si="39">I81*(1000-(1000*0.61365*EXP(17.502*V81/(240.97+V81))/(BA81+BB81)+AV81)/2)/(1000*0.61365*EXP(17.502*V81/(240.97+V81))/(BA81+BB81)-AV81)</f>
        <v>0.11061433408289877</v>
      </c>
      <c r="S81">
        <f t="shared" ref="S81:S144" si="40">1/((AP81+1)/(P81/1.6)+1/(Q81/1.37)) + AP81/((AP81+1)/(P81/1.6) + AP81/(Q81/1.37))</f>
        <v>6.941226705153257E-2</v>
      </c>
      <c r="T81">
        <f t="shared" ref="T81:T144" si="41">(AK81*AN81)</f>
        <v>276.11481536828143</v>
      </c>
      <c r="U81">
        <f t="shared" ref="U81:U144" si="42">(BC81+(T81+2*0.95*0.0000000567*(((BC81+$B$7)+273)^4-(BC81+273)^4)-44100*I81)/(1.84*29.3*Q81+8*0.95*0.0000000567*(BC81+273)^3))</f>
        <v>26.917892879382844</v>
      </c>
      <c r="V81">
        <f t="shared" ref="V81:V144" si="43">($C$7*BD81+$D$7*BE81+$E$7*U81)</f>
        <v>26.917892879382844</v>
      </c>
      <c r="W81">
        <f t="shared" ref="W81:W144" si="44">0.61365*EXP(17.502*V81/(240.97+V81))</f>
        <v>3.5619360015161288</v>
      </c>
      <c r="X81">
        <f t="shared" ref="X81:X144" si="45">(Y81/Z81*100)</f>
        <v>70.252667624784834</v>
      </c>
      <c r="Y81">
        <f t="shared" ref="Y81:Y144" si="46">AV81*(BA81+BB81)/1000</f>
        <v>2.2731284871810002</v>
      </c>
      <c r="Z81">
        <f t="shared" ref="Z81:Z144" si="47">0.61365*EXP(17.502*BC81/(240.97+BC81))</f>
        <v>3.2356472202901094</v>
      </c>
      <c r="AA81">
        <f t="shared" ref="AA81:AA144" si="48">(W81-AV81*(BA81+BB81)/1000)</f>
        <v>1.2888075143351285</v>
      </c>
      <c r="AB81">
        <f t="shared" ref="AB81:AB144" si="49">(-I81*44100)</f>
        <v>-65.32599623319561</v>
      </c>
      <c r="AC81">
        <f t="shared" ref="AC81:AC144" si="50">2*29.3*Q81*0.92*(BC81-V81)</f>
        <v>-192.20433234593057</v>
      </c>
      <c r="AD81">
        <f t="shared" ref="AD81:AD144" si="51">2*0.95*0.0000000567*(((BC81+$B$7)+273)^4-(V81+273)^4)</f>
        <v>-18.736892045105016</v>
      </c>
      <c r="AE81">
        <f t="shared" ref="AE81:AE144" si="52">T81+AD81+AB81+AC81</f>
        <v>-0.15240525594978749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52684.182445366554</v>
      </c>
      <c r="AK81">
        <f t="shared" ref="AK81:AK144" si="56">$B$11*BI81+$C$11*BJ81+$D$11*BU81</f>
        <v>1799.99</v>
      </c>
      <c r="AL81">
        <f t="shared" ref="AL81:AL144" si="57">AK81*AM81</f>
        <v>1499.1018194102901</v>
      </c>
      <c r="AM81">
        <f t="shared" ref="AM81:AM144" si="58">($B$11*$D$9+$C$11*$D$9+$D$11*(BV81*$E$9+BW81*$F$9+BX81*$G$9+BY81*$H$9))/($B$11+$C$11+$D$11)</f>
        <v>0.83283897100000004</v>
      </c>
      <c r="AN81">
        <f t="shared" ref="AN81:AN144" si="59">($B$11*$K$9+$C$11*$K$9+$D$11*(BV81*$L$9+BW81*$M$9+BX81*$N$9+BY81*$O$9))/($B$11+$C$11+$D$11)</f>
        <v>0.15339797186000001</v>
      </c>
      <c r="AO81">
        <v>31.2</v>
      </c>
      <c r="AP81">
        <v>0.5</v>
      </c>
      <c r="AQ81" t="s">
        <v>331</v>
      </c>
      <c r="AR81">
        <v>2</v>
      </c>
      <c r="AS81">
        <v>1690204415.5</v>
      </c>
      <c r="AT81">
        <v>509.79300000000001</v>
      </c>
      <c r="AU81">
        <v>799.94799999999998</v>
      </c>
      <c r="AV81">
        <v>22.924600000000002</v>
      </c>
      <c r="AW81">
        <v>7.8875799999999998</v>
      </c>
      <c r="AX81">
        <v>510.58499999999998</v>
      </c>
      <c r="AY81">
        <v>22.756799999999998</v>
      </c>
      <c r="AZ81">
        <v>300.30900000000003</v>
      </c>
      <c r="BA81">
        <v>99.056700000000006</v>
      </c>
      <c r="BB81">
        <v>0.100035</v>
      </c>
      <c r="BC81">
        <v>25.292999999999999</v>
      </c>
      <c r="BD81">
        <v>27.017399999999999</v>
      </c>
      <c r="BE81">
        <v>26.673200000000001</v>
      </c>
      <c r="BF81">
        <v>0</v>
      </c>
      <c r="BG81">
        <v>0</v>
      </c>
      <c r="BH81">
        <v>10001.200000000001</v>
      </c>
      <c r="BI81">
        <v>1058.96</v>
      </c>
      <c r="BJ81">
        <v>1.23766</v>
      </c>
      <c r="BK81">
        <v>-290.15499999999997</v>
      </c>
      <c r="BL81">
        <v>521.75400000000002</v>
      </c>
      <c r="BM81">
        <v>806.30799999999999</v>
      </c>
      <c r="BN81">
        <v>15.037000000000001</v>
      </c>
      <c r="BO81">
        <v>799.94799999999998</v>
      </c>
      <c r="BP81">
        <v>7.8875799999999998</v>
      </c>
      <c r="BQ81">
        <v>2.2708300000000001</v>
      </c>
      <c r="BR81">
        <v>0.78131799999999996</v>
      </c>
      <c r="BS81">
        <v>19.471</v>
      </c>
      <c r="BT81">
        <v>3.3723399999999999</v>
      </c>
      <c r="BU81">
        <v>1799.99</v>
      </c>
      <c r="BV81">
        <v>0.90998100000000004</v>
      </c>
      <c r="BW81">
        <v>3.3999399999999999E-2</v>
      </c>
      <c r="BX81">
        <v>2.20073E-2</v>
      </c>
      <c r="BY81">
        <v>3.4012000000000001E-2</v>
      </c>
      <c r="BZ81">
        <v>25</v>
      </c>
      <c r="CA81">
        <v>33528.1</v>
      </c>
      <c r="CB81">
        <v>1690203121.0999999</v>
      </c>
      <c r="CC81" t="s">
        <v>332</v>
      </c>
      <c r="CD81">
        <v>1690203121.0999999</v>
      </c>
      <c r="CE81">
        <v>1690203121.0999999</v>
      </c>
      <c r="CF81">
        <v>3</v>
      </c>
      <c r="CG81">
        <v>0.53600000000000003</v>
      </c>
      <c r="CH81">
        <v>-0.01</v>
      </c>
      <c r="CI81">
        <v>-0.996</v>
      </c>
      <c r="CJ81">
        <v>-6.6000000000000003E-2</v>
      </c>
      <c r="CK81">
        <v>800</v>
      </c>
      <c r="CL81">
        <v>9</v>
      </c>
      <c r="CM81">
        <v>0.82</v>
      </c>
      <c r="CN81">
        <v>0.01</v>
      </c>
      <c r="CO81">
        <v>-287.30595</v>
      </c>
      <c r="CP81">
        <v>-16.103347091931369</v>
      </c>
      <c r="CQ81">
        <v>1.54959004175298</v>
      </c>
      <c r="CR81">
        <v>-1</v>
      </c>
      <c r="CS81">
        <v>14.919102499999999</v>
      </c>
      <c r="CT81">
        <v>0.66396585365850036</v>
      </c>
      <c r="CU81">
        <v>6.3882710835952941E-2</v>
      </c>
      <c r="CV81">
        <v>-1</v>
      </c>
      <c r="CW81">
        <v>0</v>
      </c>
      <c r="CX81">
        <v>0</v>
      </c>
      <c r="CY81" t="s">
        <v>333</v>
      </c>
      <c r="CZ81">
        <v>2.3652000000000002</v>
      </c>
      <c r="DA81">
        <v>2.7138300000000002</v>
      </c>
      <c r="DB81">
        <v>0.107353</v>
      </c>
      <c r="DC81">
        <v>0.14615700000000001</v>
      </c>
      <c r="DD81">
        <v>0.110361</v>
      </c>
      <c r="DE81">
        <v>4.9171699999999999E-2</v>
      </c>
      <c r="DF81">
        <v>32557.7</v>
      </c>
      <c r="DG81">
        <v>27449.7</v>
      </c>
      <c r="DH81">
        <v>31136.400000000001</v>
      </c>
      <c r="DI81">
        <v>28012.2</v>
      </c>
      <c r="DJ81">
        <v>37596.9</v>
      </c>
      <c r="DK81">
        <v>37853.800000000003</v>
      </c>
      <c r="DL81">
        <v>44301.7</v>
      </c>
      <c r="DM81">
        <v>42431.6</v>
      </c>
      <c r="DN81">
        <v>1.4783299999999999</v>
      </c>
      <c r="DO81">
        <v>2.0533000000000001</v>
      </c>
      <c r="DP81">
        <v>0.167966</v>
      </c>
      <c r="DQ81">
        <v>0.152141</v>
      </c>
      <c r="DR81">
        <v>24.264399999999998</v>
      </c>
      <c r="DS81">
        <v>24.178599999999999</v>
      </c>
      <c r="DT81">
        <v>25.7</v>
      </c>
      <c r="DU81">
        <v>27.5</v>
      </c>
      <c r="DV81">
        <v>9.5615699999999997</v>
      </c>
      <c r="DW81">
        <v>61.435499999999998</v>
      </c>
      <c r="DX81">
        <v>35.8093</v>
      </c>
      <c r="DY81">
        <v>1</v>
      </c>
      <c r="DZ81">
        <v>-0.10938000000000001</v>
      </c>
      <c r="EA81">
        <v>0.69151399999999996</v>
      </c>
      <c r="EB81">
        <v>20.188600000000001</v>
      </c>
      <c r="EC81">
        <v>5.24125</v>
      </c>
      <c r="ED81">
        <v>12.039899999999999</v>
      </c>
      <c r="EE81">
        <v>5.0164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</v>
      </c>
      <c r="EL81">
        <v>1.8646199999999999</v>
      </c>
      <c r="EM81">
        <v>1.8691500000000001</v>
      </c>
      <c r="EN81">
        <v>1.8672200000000001</v>
      </c>
      <c r="EO81">
        <v>1.8633999999999999</v>
      </c>
      <c r="EP81">
        <v>1.8644700000000001</v>
      </c>
      <c r="EQ81">
        <v>1.8701300000000001</v>
      </c>
      <c r="ER81">
        <v>1.8693900000000001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-0.79200000000000004</v>
      </c>
      <c r="FG81">
        <v>0.1678</v>
      </c>
      <c r="FH81">
        <v>-0.44422204735670362</v>
      </c>
      <c r="FI81">
        <v>-6.1462078757559423E-4</v>
      </c>
      <c r="FJ81">
        <v>-1.8861989874597051E-7</v>
      </c>
      <c r="FK81">
        <v>1.1980462299894961E-10</v>
      </c>
      <c r="FL81">
        <v>0.16773393518503121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21.6</v>
      </c>
      <c r="FU81">
        <v>21.6</v>
      </c>
      <c r="FV81">
        <v>1.78101</v>
      </c>
      <c r="FW81">
        <v>2.5610400000000002</v>
      </c>
      <c r="FX81">
        <v>1.5490699999999999</v>
      </c>
      <c r="FY81">
        <v>2.33521</v>
      </c>
      <c r="FZ81">
        <v>1.50146</v>
      </c>
      <c r="GA81">
        <v>2.31812</v>
      </c>
      <c r="GB81">
        <v>32.266599999999997</v>
      </c>
      <c r="GC81">
        <v>23.973700000000001</v>
      </c>
      <c r="GD81">
        <v>19</v>
      </c>
      <c r="GE81">
        <v>282.92</v>
      </c>
      <c r="GF81">
        <v>594.83699999999999</v>
      </c>
      <c r="GG81">
        <v>23.151599999999998</v>
      </c>
      <c r="GH81">
        <v>26.0169</v>
      </c>
      <c r="GI81">
        <v>29.999500000000001</v>
      </c>
      <c r="GJ81">
        <v>26.1554</v>
      </c>
      <c r="GK81">
        <v>26.128299999999999</v>
      </c>
      <c r="GL81">
        <v>35.596800000000002</v>
      </c>
      <c r="GM81">
        <v>-30</v>
      </c>
      <c r="GN81">
        <v>-30</v>
      </c>
      <c r="GO81">
        <v>22.950700000000001</v>
      </c>
      <c r="GP81">
        <v>800</v>
      </c>
      <c r="GQ81">
        <v>12.5298</v>
      </c>
      <c r="GR81">
        <v>99.612300000000005</v>
      </c>
      <c r="GS81">
        <v>99.285600000000002</v>
      </c>
    </row>
    <row r="82" spans="1:201" x14ac:dyDescent="0.25">
      <c r="A82">
        <v>66</v>
      </c>
      <c r="B82">
        <v>1690204425.5</v>
      </c>
      <c r="C82">
        <v>985.90000009536743</v>
      </c>
      <c r="D82" t="s">
        <v>465</v>
      </c>
      <c r="E82" t="s">
        <v>466</v>
      </c>
      <c r="F82" t="s">
        <v>330</v>
      </c>
      <c r="H82">
        <v>1690204425.5</v>
      </c>
      <c r="I82">
        <f t="shared" si="30"/>
        <v>1.4884518507503951E-3</v>
      </c>
      <c r="J82">
        <f t="shared" si="31"/>
        <v>1.488451850750395</v>
      </c>
      <c r="K82">
        <f t="shared" si="32"/>
        <v>27.431629289816541</v>
      </c>
      <c r="L82">
        <f t="shared" si="33"/>
        <v>506.99400000000003</v>
      </c>
      <c r="M82">
        <f t="shared" si="34"/>
        <v>109.74776657501125</v>
      </c>
      <c r="N82">
        <f t="shared" si="35"/>
        <v>10.882026756710573</v>
      </c>
      <c r="O82">
        <f t="shared" si="36"/>
        <v>50.270929839112803</v>
      </c>
      <c r="P82">
        <f t="shared" si="37"/>
        <v>0.11513935592198761</v>
      </c>
      <c r="Q82">
        <f t="shared" si="38"/>
        <v>2.1903754464642522</v>
      </c>
      <c r="R82">
        <f t="shared" si="39"/>
        <v>0.11187955659296506</v>
      </c>
      <c r="S82">
        <f t="shared" si="40"/>
        <v>7.0209915551105895E-2</v>
      </c>
      <c r="T82">
        <f t="shared" si="41"/>
        <v>276.11630639999998</v>
      </c>
      <c r="U82">
        <f t="shared" si="42"/>
        <v>26.911990485011479</v>
      </c>
      <c r="V82">
        <f t="shared" si="43"/>
        <v>26.911990485011479</v>
      </c>
      <c r="W82">
        <f t="shared" si="44"/>
        <v>3.5607006428474368</v>
      </c>
      <c r="X82">
        <f t="shared" si="45"/>
        <v>70.502364699203582</v>
      </c>
      <c r="Y82">
        <f t="shared" si="46"/>
        <v>2.28039370430196</v>
      </c>
      <c r="Z82">
        <f t="shared" si="47"/>
        <v>3.234492508203374</v>
      </c>
      <c r="AA82">
        <f t="shared" si="48"/>
        <v>1.2803069385454768</v>
      </c>
      <c r="AB82">
        <f t="shared" si="49"/>
        <v>-65.640726618092415</v>
      </c>
      <c r="AC82">
        <f t="shared" si="50"/>
        <v>-191.89109813698644</v>
      </c>
      <c r="AD82">
        <f t="shared" si="51"/>
        <v>-18.736899123643457</v>
      </c>
      <c r="AE82">
        <f t="shared" si="52"/>
        <v>-0.15241747872232736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52532.901207379196</v>
      </c>
      <c r="AK82">
        <f t="shared" si="56"/>
        <v>1800</v>
      </c>
      <c r="AL82">
        <f t="shared" si="57"/>
        <v>1499.1119639999999</v>
      </c>
      <c r="AM82">
        <f t="shared" si="58"/>
        <v>0.83283997999999992</v>
      </c>
      <c r="AN82">
        <f t="shared" si="59"/>
        <v>0.15339794800000001</v>
      </c>
      <c r="AO82">
        <v>31.2</v>
      </c>
      <c r="AP82">
        <v>0.5</v>
      </c>
      <c r="AQ82" t="s">
        <v>331</v>
      </c>
      <c r="AR82">
        <v>2</v>
      </c>
      <c r="AS82">
        <v>1690204425.5</v>
      </c>
      <c r="AT82">
        <v>506.99400000000003</v>
      </c>
      <c r="AU82">
        <v>800.01199999999994</v>
      </c>
      <c r="AV82">
        <v>22.9983</v>
      </c>
      <c r="AW82">
        <v>7.88056</v>
      </c>
      <c r="AX82">
        <v>507.78300000000002</v>
      </c>
      <c r="AY82">
        <v>22.8306</v>
      </c>
      <c r="AZ82">
        <v>300.12200000000001</v>
      </c>
      <c r="BA82">
        <v>99.054900000000004</v>
      </c>
      <c r="BB82">
        <v>9.9981200000000006E-2</v>
      </c>
      <c r="BC82">
        <v>25.286999999999999</v>
      </c>
      <c r="BD82">
        <v>27.011600000000001</v>
      </c>
      <c r="BE82">
        <v>26.679099999999998</v>
      </c>
      <c r="BF82">
        <v>0</v>
      </c>
      <c r="BG82">
        <v>0</v>
      </c>
      <c r="BH82">
        <v>9971.25</v>
      </c>
      <c r="BI82">
        <v>1058.81</v>
      </c>
      <c r="BJ82">
        <v>1.23766</v>
      </c>
      <c r="BK82">
        <v>-293.01900000000001</v>
      </c>
      <c r="BL82">
        <v>518.928</v>
      </c>
      <c r="BM82">
        <v>806.36699999999996</v>
      </c>
      <c r="BN82">
        <v>15.117800000000001</v>
      </c>
      <c r="BO82">
        <v>800.01199999999994</v>
      </c>
      <c r="BP82">
        <v>7.88056</v>
      </c>
      <c r="BQ82">
        <v>2.2780999999999998</v>
      </c>
      <c r="BR82">
        <v>0.78060799999999997</v>
      </c>
      <c r="BS82">
        <v>19.522300000000001</v>
      </c>
      <c r="BT82">
        <v>3.35947</v>
      </c>
      <c r="BU82">
        <v>1800</v>
      </c>
      <c r="BV82">
        <v>0.90998699999999999</v>
      </c>
      <c r="BW82">
        <v>3.3997399999999997E-2</v>
      </c>
      <c r="BX82">
        <v>2.2006000000000001E-2</v>
      </c>
      <c r="BY82">
        <v>3.4009999999999999E-2</v>
      </c>
      <c r="BZ82">
        <v>25</v>
      </c>
      <c r="CA82">
        <v>33528.199999999997</v>
      </c>
      <c r="CB82">
        <v>1690203121.0999999</v>
      </c>
      <c r="CC82" t="s">
        <v>332</v>
      </c>
      <c r="CD82">
        <v>1690203121.0999999</v>
      </c>
      <c r="CE82">
        <v>1690203121.0999999</v>
      </c>
      <c r="CF82">
        <v>3</v>
      </c>
      <c r="CG82">
        <v>0.53600000000000003</v>
      </c>
      <c r="CH82">
        <v>-0.01</v>
      </c>
      <c r="CI82">
        <v>-0.996</v>
      </c>
      <c r="CJ82">
        <v>-6.6000000000000003E-2</v>
      </c>
      <c r="CK82">
        <v>800</v>
      </c>
      <c r="CL82">
        <v>9</v>
      </c>
      <c r="CM82">
        <v>0.82</v>
      </c>
      <c r="CN82">
        <v>0.01</v>
      </c>
      <c r="CO82">
        <v>-289.82187804878038</v>
      </c>
      <c r="CP82">
        <v>-16.718843205574849</v>
      </c>
      <c r="CQ82">
        <v>1.6490660800427039</v>
      </c>
      <c r="CR82">
        <v>-1</v>
      </c>
      <c r="CS82">
        <v>15.018265853658541</v>
      </c>
      <c r="CT82">
        <v>0.62291289198604938</v>
      </c>
      <c r="CU82">
        <v>6.1548626858555541E-2</v>
      </c>
      <c r="CV82">
        <v>-1</v>
      </c>
      <c r="CW82">
        <v>0</v>
      </c>
      <c r="CX82">
        <v>0</v>
      </c>
      <c r="CY82" t="s">
        <v>333</v>
      </c>
      <c r="CZ82">
        <v>2.3645800000000001</v>
      </c>
      <c r="DA82">
        <v>2.7137500000000001</v>
      </c>
      <c r="DB82">
        <v>0.10692400000000001</v>
      </c>
      <c r="DC82">
        <v>0.14616299999999999</v>
      </c>
      <c r="DD82">
        <v>0.110612</v>
      </c>
      <c r="DE82">
        <v>4.9136699999999998E-2</v>
      </c>
      <c r="DF82">
        <v>32574</v>
      </c>
      <c r="DG82">
        <v>27449.9</v>
      </c>
      <c r="DH82">
        <v>31137.1</v>
      </c>
      <c r="DI82">
        <v>28012.6</v>
      </c>
      <c r="DJ82">
        <v>37586.800000000003</v>
      </c>
      <c r="DK82">
        <v>37855.4</v>
      </c>
      <c r="DL82">
        <v>44302.5</v>
      </c>
      <c r="DM82">
        <v>42431.8</v>
      </c>
      <c r="DN82">
        <v>1.4780199999999999</v>
      </c>
      <c r="DO82">
        <v>2.0535199999999998</v>
      </c>
      <c r="DP82">
        <v>0.16778699999999999</v>
      </c>
      <c r="DQ82">
        <v>0.15243899999999999</v>
      </c>
      <c r="DR82">
        <v>24.261500000000002</v>
      </c>
      <c r="DS82">
        <v>24.179600000000001</v>
      </c>
      <c r="DT82">
        <v>25.7</v>
      </c>
      <c r="DU82">
        <v>27.5</v>
      </c>
      <c r="DV82">
        <v>9.5616199999999996</v>
      </c>
      <c r="DW82">
        <v>61.875500000000002</v>
      </c>
      <c r="DX82">
        <v>36.798900000000003</v>
      </c>
      <c r="DY82">
        <v>1</v>
      </c>
      <c r="DZ82">
        <v>-0.10879800000000001</v>
      </c>
      <c r="EA82">
        <v>0.87674300000000005</v>
      </c>
      <c r="EB82">
        <v>20.1877</v>
      </c>
      <c r="EC82">
        <v>5.24125</v>
      </c>
      <c r="ED82">
        <v>12.039899999999999</v>
      </c>
      <c r="EE82">
        <v>5.0171000000000001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</v>
      </c>
      <c r="EL82">
        <v>1.8646199999999999</v>
      </c>
      <c r="EM82">
        <v>1.86913</v>
      </c>
      <c r="EN82">
        <v>1.8672200000000001</v>
      </c>
      <c r="EO82">
        <v>1.8633900000000001</v>
      </c>
      <c r="EP82">
        <v>1.8644799999999999</v>
      </c>
      <c r="EQ82">
        <v>1.87012</v>
      </c>
      <c r="ER82">
        <v>1.8693500000000001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-0.78900000000000003</v>
      </c>
      <c r="FG82">
        <v>0.16769999999999999</v>
      </c>
      <c r="FH82">
        <v>-0.44422204735670362</v>
      </c>
      <c r="FI82">
        <v>-6.1462078757559423E-4</v>
      </c>
      <c r="FJ82">
        <v>-1.8861989874597051E-7</v>
      </c>
      <c r="FK82">
        <v>1.1980462299894961E-10</v>
      </c>
      <c r="FL82">
        <v>0.16773393518503121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21.7</v>
      </c>
      <c r="FU82">
        <v>21.7</v>
      </c>
      <c r="FV82">
        <v>1.77979</v>
      </c>
      <c r="FW82">
        <v>2.5537100000000001</v>
      </c>
      <c r="FX82">
        <v>1.5490699999999999</v>
      </c>
      <c r="FY82">
        <v>2.33643</v>
      </c>
      <c r="FZ82">
        <v>1.50146</v>
      </c>
      <c r="GA82">
        <v>2.3730500000000001</v>
      </c>
      <c r="GB82">
        <v>32.266599999999997</v>
      </c>
      <c r="GC82">
        <v>23.982399999999998</v>
      </c>
      <c r="GD82">
        <v>19</v>
      </c>
      <c r="GE82">
        <v>282.77100000000002</v>
      </c>
      <c r="GF82">
        <v>594.97900000000004</v>
      </c>
      <c r="GG82">
        <v>22.914899999999999</v>
      </c>
      <c r="GH82">
        <v>26.009699999999999</v>
      </c>
      <c r="GI82">
        <v>30.0001</v>
      </c>
      <c r="GJ82">
        <v>26.150500000000001</v>
      </c>
      <c r="GK82">
        <v>26.124300000000002</v>
      </c>
      <c r="GL82">
        <v>35.594700000000003</v>
      </c>
      <c r="GM82">
        <v>-30</v>
      </c>
      <c r="GN82">
        <v>-30</v>
      </c>
      <c r="GO82">
        <v>22.8932</v>
      </c>
      <c r="GP82">
        <v>800</v>
      </c>
      <c r="GQ82">
        <v>12.5298</v>
      </c>
      <c r="GR82">
        <v>99.614099999999993</v>
      </c>
      <c r="GS82">
        <v>99.286500000000004</v>
      </c>
    </row>
    <row r="83" spans="1:201" x14ac:dyDescent="0.25">
      <c r="A83">
        <v>67</v>
      </c>
      <c r="B83">
        <v>1690204435.5</v>
      </c>
      <c r="C83">
        <v>995.90000009536743</v>
      </c>
      <c r="D83" t="s">
        <v>467</v>
      </c>
      <c r="E83" t="s">
        <v>468</v>
      </c>
      <c r="F83" t="s">
        <v>330</v>
      </c>
      <c r="H83">
        <v>1690204435.5</v>
      </c>
      <c r="I83">
        <f t="shared" si="30"/>
        <v>1.4958840541287957E-3</v>
      </c>
      <c r="J83">
        <f t="shared" si="31"/>
        <v>1.4958840541287957</v>
      </c>
      <c r="K83">
        <f t="shared" si="32"/>
        <v>27.720091566255924</v>
      </c>
      <c r="L83">
        <f t="shared" si="33"/>
        <v>504.15699999999998</v>
      </c>
      <c r="M83">
        <f t="shared" si="34"/>
        <v>107.92728819872096</v>
      </c>
      <c r="N83">
        <f t="shared" si="35"/>
        <v>10.701597607972014</v>
      </c>
      <c r="O83">
        <f t="shared" si="36"/>
        <v>49.990001928967999</v>
      </c>
      <c r="P83">
        <f t="shared" si="37"/>
        <v>0.11665631209914913</v>
      </c>
      <c r="Q83">
        <f t="shared" si="38"/>
        <v>2.1939953288584362</v>
      </c>
      <c r="R83">
        <f t="shared" si="39"/>
        <v>0.11331674357915324</v>
      </c>
      <c r="S83">
        <f t="shared" si="40"/>
        <v>7.1115048393033162E-2</v>
      </c>
      <c r="T83">
        <f t="shared" si="41"/>
        <v>276.11594033400002</v>
      </c>
      <c r="U83">
        <f t="shared" si="42"/>
        <v>26.893136240386848</v>
      </c>
      <c r="V83">
        <f t="shared" si="43"/>
        <v>26.893136240386848</v>
      </c>
      <c r="W83">
        <f t="shared" si="44"/>
        <v>3.5567569945308635</v>
      </c>
      <c r="X83">
        <f t="shared" si="45"/>
        <v>70.745920225815823</v>
      </c>
      <c r="Y83">
        <f t="shared" si="46"/>
        <v>2.2863799560039997</v>
      </c>
      <c r="Z83">
        <f t="shared" si="47"/>
        <v>3.2318188083581947</v>
      </c>
      <c r="AA83">
        <f t="shared" si="48"/>
        <v>1.2703770385268638</v>
      </c>
      <c r="AB83">
        <f t="shared" si="49"/>
        <v>-65.968486787079897</v>
      </c>
      <c r="AC83">
        <f t="shared" si="50"/>
        <v>-191.62222200439589</v>
      </c>
      <c r="AD83">
        <f t="shared" si="51"/>
        <v>-18.676705293622764</v>
      </c>
      <c r="AE83">
        <f t="shared" si="52"/>
        <v>-0.15147375109853556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52684.080722026811</v>
      </c>
      <c r="AK83">
        <f t="shared" si="56"/>
        <v>1800</v>
      </c>
      <c r="AL83">
        <f t="shared" si="57"/>
        <v>1499.1124014000002</v>
      </c>
      <c r="AM83">
        <f t="shared" si="58"/>
        <v>0.83284022300000005</v>
      </c>
      <c r="AN83">
        <f t="shared" si="59"/>
        <v>0.15339774463</v>
      </c>
      <c r="AO83">
        <v>31.2</v>
      </c>
      <c r="AP83">
        <v>0.5</v>
      </c>
      <c r="AQ83" t="s">
        <v>331</v>
      </c>
      <c r="AR83">
        <v>2</v>
      </c>
      <c r="AS83">
        <v>1690204435.5</v>
      </c>
      <c r="AT83">
        <v>504.15699999999998</v>
      </c>
      <c r="AU83">
        <v>800.01900000000001</v>
      </c>
      <c r="AV83">
        <v>23.058499999999999</v>
      </c>
      <c r="AW83">
        <v>7.8738999999999999</v>
      </c>
      <c r="AX83">
        <v>504.94400000000002</v>
      </c>
      <c r="AY83">
        <v>22.890799999999999</v>
      </c>
      <c r="AZ83">
        <v>300.274</v>
      </c>
      <c r="BA83">
        <v>99.055599999999998</v>
      </c>
      <c r="BB83">
        <v>0.100024</v>
      </c>
      <c r="BC83">
        <v>25.273099999999999</v>
      </c>
      <c r="BD83">
        <v>26.875499999999999</v>
      </c>
      <c r="BE83">
        <v>26.659800000000001</v>
      </c>
      <c r="BF83">
        <v>0</v>
      </c>
      <c r="BG83">
        <v>0</v>
      </c>
      <c r="BH83">
        <v>10000.6</v>
      </c>
      <c r="BI83">
        <v>1058.67</v>
      </c>
      <c r="BJ83">
        <v>1.6034900000000001</v>
      </c>
      <c r="BK83">
        <v>-295.86200000000002</v>
      </c>
      <c r="BL83">
        <v>516.05700000000002</v>
      </c>
      <c r="BM83">
        <v>806.36800000000005</v>
      </c>
      <c r="BN83">
        <v>15.1846</v>
      </c>
      <c r="BO83">
        <v>800.01900000000001</v>
      </c>
      <c r="BP83">
        <v>7.8738999999999999</v>
      </c>
      <c r="BQ83">
        <v>2.2840799999999999</v>
      </c>
      <c r="BR83">
        <v>0.77995400000000004</v>
      </c>
      <c r="BS83">
        <v>19.564499999999999</v>
      </c>
      <c r="BT83">
        <v>3.34761</v>
      </c>
      <c r="BU83">
        <v>1800</v>
      </c>
      <c r="BV83">
        <v>0.90999300000000005</v>
      </c>
      <c r="BW83">
        <v>3.3994999999999997E-2</v>
      </c>
      <c r="BX83">
        <v>2.20044E-2</v>
      </c>
      <c r="BY83">
        <v>3.4007700000000002E-2</v>
      </c>
      <c r="BZ83">
        <v>25</v>
      </c>
      <c r="CA83">
        <v>33528.199999999997</v>
      </c>
      <c r="CB83">
        <v>1690203121.0999999</v>
      </c>
      <c r="CC83" t="s">
        <v>332</v>
      </c>
      <c r="CD83">
        <v>1690203121.0999999</v>
      </c>
      <c r="CE83">
        <v>1690203121.0999999</v>
      </c>
      <c r="CF83">
        <v>3</v>
      </c>
      <c r="CG83">
        <v>0.53600000000000003</v>
      </c>
      <c r="CH83">
        <v>-0.01</v>
      </c>
      <c r="CI83">
        <v>-0.996</v>
      </c>
      <c r="CJ83">
        <v>-6.6000000000000003E-2</v>
      </c>
      <c r="CK83">
        <v>800</v>
      </c>
      <c r="CL83">
        <v>9</v>
      </c>
      <c r="CM83">
        <v>0.82</v>
      </c>
      <c r="CN83">
        <v>0.01</v>
      </c>
      <c r="CO83">
        <v>-292.86939024390239</v>
      </c>
      <c r="CP83">
        <v>-16.788878048781189</v>
      </c>
      <c r="CQ83">
        <v>1.6561434614135579</v>
      </c>
      <c r="CR83">
        <v>-1</v>
      </c>
      <c r="CS83">
        <v>15.111460975609759</v>
      </c>
      <c r="CT83">
        <v>0.40060975609755339</v>
      </c>
      <c r="CU83">
        <v>3.9811953579655848E-2</v>
      </c>
      <c r="CV83">
        <v>-1</v>
      </c>
      <c r="CW83">
        <v>0</v>
      </c>
      <c r="CX83">
        <v>0</v>
      </c>
      <c r="CY83" t="s">
        <v>333</v>
      </c>
      <c r="CZ83">
        <v>2.3650899999999999</v>
      </c>
      <c r="DA83">
        <v>2.7138200000000001</v>
      </c>
      <c r="DB83">
        <v>0.106491</v>
      </c>
      <c r="DC83">
        <v>0.14616599999999999</v>
      </c>
      <c r="DD83">
        <v>0.110819</v>
      </c>
      <c r="DE83">
        <v>4.9104500000000002E-2</v>
      </c>
      <c r="DF83">
        <v>32589.9</v>
      </c>
      <c r="DG83">
        <v>27449.9</v>
      </c>
      <c r="DH83">
        <v>31137.200000000001</v>
      </c>
      <c r="DI83">
        <v>28012.6</v>
      </c>
      <c r="DJ83">
        <v>37578.199999999997</v>
      </c>
      <c r="DK83">
        <v>37857</v>
      </c>
      <c r="DL83">
        <v>44302.9</v>
      </c>
      <c r="DM83">
        <v>42432.1</v>
      </c>
      <c r="DN83">
        <v>1.4783999999999999</v>
      </c>
      <c r="DO83">
        <v>2.0539000000000001</v>
      </c>
      <c r="DP83">
        <v>0.159662</v>
      </c>
      <c r="DQ83">
        <v>0.15119099999999999</v>
      </c>
      <c r="DR83">
        <v>24.258299999999998</v>
      </c>
      <c r="DS83">
        <v>24.180800000000001</v>
      </c>
      <c r="DT83">
        <v>25.7</v>
      </c>
      <c r="DU83">
        <v>27.5</v>
      </c>
      <c r="DV83">
        <v>9.5628299999999999</v>
      </c>
      <c r="DW83">
        <v>61.805500000000002</v>
      </c>
      <c r="DX83">
        <v>35.729199999999999</v>
      </c>
      <c r="DY83">
        <v>1</v>
      </c>
      <c r="DZ83">
        <v>-0.110127</v>
      </c>
      <c r="EA83">
        <v>0.42182500000000001</v>
      </c>
      <c r="EB83">
        <v>20.190000000000001</v>
      </c>
      <c r="EC83">
        <v>5.2416999999999998</v>
      </c>
      <c r="ED83">
        <v>12.039899999999999</v>
      </c>
      <c r="EE83">
        <v>5.0173500000000004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</v>
      </c>
      <c r="EL83">
        <v>1.8646199999999999</v>
      </c>
      <c r="EM83">
        <v>1.86911</v>
      </c>
      <c r="EN83">
        <v>1.8672200000000001</v>
      </c>
      <c r="EO83">
        <v>1.86338</v>
      </c>
      <c r="EP83">
        <v>1.8644700000000001</v>
      </c>
      <c r="EQ83">
        <v>1.8701399999999999</v>
      </c>
      <c r="ER83">
        <v>1.86938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-0.78700000000000003</v>
      </c>
      <c r="FG83">
        <v>0.16769999999999999</v>
      </c>
      <c r="FH83">
        <v>-0.44422204735670362</v>
      </c>
      <c r="FI83">
        <v>-6.1462078757559423E-4</v>
      </c>
      <c r="FJ83">
        <v>-1.8861989874597051E-7</v>
      </c>
      <c r="FK83">
        <v>1.1980462299894961E-10</v>
      </c>
      <c r="FL83">
        <v>0.16773393518503121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21.9</v>
      </c>
      <c r="FU83">
        <v>21.9</v>
      </c>
      <c r="FV83">
        <v>1.77979</v>
      </c>
      <c r="FW83">
        <v>2.5647000000000002</v>
      </c>
      <c r="FX83">
        <v>1.5490699999999999</v>
      </c>
      <c r="FY83">
        <v>2.33521</v>
      </c>
      <c r="FZ83">
        <v>1.50146</v>
      </c>
      <c r="GA83">
        <v>2.3278799999999999</v>
      </c>
      <c r="GB83">
        <v>32.266599999999997</v>
      </c>
      <c r="GC83">
        <v>23.982399999999998</v>
      </c>
      <c r="GD83">
        <v>19</v>
      </c>
      <c r="GE83">
        <v>282.90699999999998</v>
      </c>
      <c r="GF83">
        <v>595.26400000000001</v>
      </c>
      <c r="GG83">
        <v>22.8935</v>
      </c>
      <c r="GH83">
        <v>26.0031</v>
      </c>
      <c r="GI83">
        <v>29.999300000000002</v>
      </c>
      <c r="GJ83">
        <v>26.145600000000002</v>
      </c>
      <c r="GK83">
        <v>26.121700000000001</v>
      </c>
      <c r="GL83">
        <v>35.594700000000003</v>
      </c>
      <c r="GM83">
        <v>-30</v>
      </c>
      <c r="GN83">
        <v>-30</v>
      </c>
      <c r="GO83">
        <v>22.992000000000001</v>
      </c>
      <c r="GP83">
        <v>800</v>
      </c>
      <c r="GQ83">
        <v>12.5298</v>
      </c>
      <c r="GR83">
        <v>99.614800000000002</v>
      </c>
      <c r="GS83">
        <v>99.287099999999995</v>
      </c>
    </row>
    <row r="84" spans="1:201" x14ac:dyDescent="0.25">
      <c r="A84">
        <v>68</v>
      </c>
      <c r="B84">
        <v>1690204445.5</v>
      </c>
      <c r="C84">
        <v>1005.900000095367</v>
      </c>
      <c r="D84" t="s">
        <v>469</v>
      </c>
      <c r="E84" t="s">
        <v>470</v>
      </c>
      <c r="F84" t="s">
        <v>330</v>
      </c>
      <c r="H84">
        <v>1690204445.5</v>
      </c>
      <c r="I84">
        <f t="shared" si="30"/>
        <v>1.5067939603792806E-3</v>
      </c>
      <c r="J84">
        <f t="shared" si="31"/>
        <v>1.5067939603792806</v>
      </c>
      <c r="K84">
        <f t="shared" si="32"/>
        <v>27.973663171018593</v>
      </c>
      <c r="L84">
        <f t="shared" si="33"/>
        <v>501.39600000000002</v>
      </c>
      <c r="M84">
        <f t="shared" si="34"/>
        <v>107.93505530765817</v>
      </c>
      <c r="N84">
        <f t="shared" si="35"/>
        <v>10.702843916001848</v>
      </c>
      <c r="O84">
        <f t="shared" si="36"/>
        <v>49.718445159558001</v>
      </c>
      <c r="P84">
        <f t="shared" si="37"/>
        <v>0.11858631946612019</v>
      </c>
      <c r="Q84">
        <f t="shared" si="38"/>
        <v>2.1951321106157287</v>
      </c>
      <c r="R84">
        <f t="shared" si="39"/>
        <v>0.11513882382862187</v>
      </c>
      <c r="S84">
        <f t="shared" si="40"/>
        <v>7.2263160376071126E-2</v>
      </c>
      <c r="T84">
        <f t="shared" si="41"/>
        <v>276.11435491283942</v>
      </c>
      <c r="U84">
        <f t="shared" si="42"/>
        <v>26.892246555002949</v>
      </c>
      <c r="V84">
        <f t="shared" si="43"/>
        <v>26.892246555002949</v>
      </c>
      <c r="W84">
        <f t="shared" si="44"/>
        <v>3.5565709977211073</v>
      </c>
      <c r="X84">
        <f t="shared" si="45"/>
        <v>71.065215153840839</v>
      </c>
      <c r="Y84">
        <f t="shared" si="46"/>
        <v>2.2971909624107503</v>
      </c>
      <c r="Z84">
        <f t="shared" si="47"/>
        <v>3.2325110920129183</v>
      </c>
      <c r="AA84">
        <f t="shared" si="48"/>
        <v>1.259380035310357</v>
      </c>
      <c r="AB84">
        <f t="shared" si="49"/>
        <v>-66.449613652726271</v>
      </c>
      <c r="AC84">
        <f t="shared" si="50"/>
        <v>-191.1901806759266</v>
      </c>
      <c r="AD84">
        <f t="shared" si="51"/>
        <v>-18.625198044863382</v>
      </c>
      <c r="AE84">
        <f t="shared" si="52"/>
        <v>-0.15063746067684747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52730.297704078133</v>
      </c>
      <c r="AK84">
        <f t="shared" si="56"/>
        <v>1799.99</v>
      </c>
      <c r="AL84">
        <f t="shared" si="57"/>
        <v>1499.1051835915998</v>
      </c>
      <c r="AM84">
        <f t="shared" si="58"/>
        <v>0.83284083999999992</v>
      </c>
      <c r="AN84">
        <f t="shared" si="59"/>
        <v>0.15339771604999997</v>
      </c>
      <c r="AO84">
        <v>31.2</v>
      </c>
      <c r="AP84">
        <v>0.5</v>
      </c>
      <c r="AQ84" t="s">
        <v>331</v>
      </c>
      <c r="AR84">
        <v>2</v>
      </c>
      <c r="AS84">
        <v>1690204445.5</v>
      </c>
      <c r="AT84">
        <v>501.39600000000002</v>
      </c>
      <c r="AU84">
        <v>800.02700000000004</v>
      </c>
      <c r="AV84">
        <v>23.166499999999999</v>
      </c>
      <c r="AW84">
        <v>7.8666799999999997</v>
      </c>
      <c r="AX84">
        <v>502.18099999999998</v>
      </c>
      <c r="AY84">
        <v>22.998799999999999</v>
      </c>
      <c r="AZ84">
        <v>300.15300000000002</v>
      </c>
      <c r="BA84">
        <v>99.060100000000006</v>
      </c>
      <c r="BB84">
        <v>9.9935499999999997E-2</v>
      </c>
      <c r="BC84">
        <v>25.276700000000002</v>
      </c>
      <c r="BD84">
        <v>27.000299999999999</v>
      </c>
      <c r="BE84">
        <v>26.646699999999999</v>
      </c>
      <c r="BF84">
        <v>0</v>
      </c>
      <c r="BG84">
        <v>0</v>
      </c>
      <c r="BH84">
        <v>10009.4</v>
      </c>
      <c r="BI84">
        <v>1058.79</v>
      </c>
      <c r="BJ84">
        <v>1.68198</v>
      </c>
      <c r="BK84">
        <v>-298.63099999999997</v>
      </c>
      <c r="BL84">
        <v>513.28700000000003</v>
      </c>
      <c r="BM84">
        <v>806.37</v>
      </c>
      <c r="BN84">
        <v>15.299799999999999</v>
      </c>
      <c r="BO84">
        <v>800.02700000000004</v>
      </c>
      <c r="BP84">
        <v>7.8666799999999997</v>
      </c>
      <c r="BQ84">
        <v>2.29488</v>
      </c>
      <c r="BR84">
        <v>0.77927500000000005</v>
      </c>
      <c r="BS84">
        <v>19.640499999999999</v>
      </c>
      <c r="BT84">
        <v>3.33528</v>
      </c>
      <c r="BU84">
        <v>1799.99</v>
      </c>
      <c r="BV84">
        <v>0.90999699999999994</v>
      </c>
      <c r="BW84">
        <v>3.3993700000000002E-2</v>
      </c>
      <c r="BX84">
        <v>2.2003499999999999E-2</v>
      </c>
      <c r="BY84">
        <v>3.4006300000000003E-2</v>
      </c>
      <c r="BZ84">
        <v>25</v>
      </c>
      <c r="CA84">
        <v>33528.199999999997</v>
      </c>
      <c r="CB84">
        <v>1690203121.0999999</v>
      </c>
      <c r="CC84" t="s">
        <v>332</v>
      </c>
      <c r="CD84">
        <v>1690203121.0999999</v>
      </c>
      <c r="CE84">
        <v>1690203121.0999999</v>
      </c>
      <c r="CF84">
        <v>3</v>
      </c>
      <c r="CG84">
        <v>0.53600000000000003</v>
      </c>
      <c r="CH84">
        <v>-0.01</v>
      </c>
      <c r="CI84">
        <v>-0.996</v>
      </c>
      <c r="CJ84">
        <v>-6.6000000000000003E-2</v>
      </c>
      <c r="CK84">
        <v>800</v>
      </c>
      <c r="CL84">
        <v>9</v>
      </c>
      <c r="CM84">
        <v>0.82</v>
      </c>
      <c r="CN84">
        <v>0.01</v>
      </c>
      <c r="CO84">
        <v>-295.60807499999999</v>
      </c>
      <c r="CP84">
        <v>-17.053452157597981</v>
      </c>
      <c r="CQ84">
        <v>1.640863147668012</v>
      </c>
      <c r="CR84">
        <v>-1</v>
      </c>
      <c r="CS84">
        <v>15.1862075</v>
      </c>
      <c r="CT84">
        <v>0.53138273921196977</v>
      </c>
      <c r="CU84">
        <v>5.1730287972811442E-2</v>
      </c>
      <c r="CV84">
        <v>-1</v>
      </c>
      <c r="CW84">
        <v>0</v>
      </c>
      <c r="CX84">
        <v>0</v>
      </c>
      <c r="CY84" t="s">
        <v>333</v>
      </c>
      <c r="CZ84">
        <v>2.36469</v>
      </c>
      <c r="DA84">
        <v>2.71373</v>
      </c>
      <c r="DB84">
        <v>0.106072</v>
      </c>
      <c r="DC84">
        <v>0.146174</v>
      </c>
      <c r="DD84">
        <v>0.111193</v>
      </c>
      <c r="DE84">
        <v>4.9071499999999997E-2</v>
      </c>
      <c r="DF84">
        <v>32606</v>
      </c>
      <c r="DG84">
        <v>27450.7</v>
      </c>
      <c r="DH84">
        <v>31137.9</v>
      </c>
      <c r="DI84">
        <v>28013.7</v>
      </c>
      <c r="DJ84">
        <v>37562.9</v>
      </c>
      <c r="DK84">
        <v>37859.699999999997</v>
      </c>
      <c r="DL84">
        <v>44303.6</v>
      </c>
      <c r="DM84">
        <v>42433.599999999999</v>
      </c>
      <c r="DN84">
        <v>1.4792000000000001</v>
      </c>
      <c r="DO84">
        <v>2.0539999999999998</v>
      </c>
      <c r="DP84">
        <v>0.167467</v>
      </c>
      <c r="DQ84">
        <v>0.15051700000000001</v>
      </c>
      <c r="DR84">
        <v>24.255299999999998</v>
      </c>
      <c r="DS84">
        <v>24.178799999999999</v>
      </c>
      <c r="DT84">
        <v>25.7</v>
      </c>
      <c r="DU84">
        <v>27.5</v>
      </c>
      <c r="DV84">
        <v>9.5616900000000005</v>
      </c>
      <c r="DW84">
        <v>61.585500000000003</v>
      </c>
      <c r="DX84">
        <v>37.095399999999998</v>
      </c>
      <c r="DY84">
        <v>1</v>
      </c>
      <c r="DZ84">
        <v>-0.111265</v>
      </c>
      <c r="EA84">
        <v>0.21900600000000001</v>
      </c>
      <c r="EB84">
        <v>20.191299999999998</v>
      </c>
      <c r="EC84">
        <v>5.2413999999999996</v>
      </c>
      <c r="ED84">
        <v>12.039899999999999</v>
      </c>
      <c r="EE84">
        <v>5.0170500000000002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1.8646199999999999</v>
      </c>
      <c r="EM84">
        <v>1.86914</v>
      </c>
      <c r="EN84">
        <v>1.8672299999999999</v>
      </c>
      <c r="EO84">
        <v>1.8633999999999999</v>
      </c>
      <c r="EP84">
        <v>1.8644799999999999</v>
      </c>
      <c r="EQ84">
        <v>1.8701399999999999</v>
      </c>
      <c r="ER84">
        <v>1.86941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-0.78500000000000003</v>
      </c>
      <c r="FG84">
        <v>0.16769999999999999</v>
      </c>
      <c r="FH84">
        <v>-0.44422204735670362</v>
      </c>
      <c r="FI84">
        <v>-6.1462078757559423E-4</v>
      </c>
      <c r="FJ84">
        <v>-1.8861989874597051E-7</v>
      </c>
      <c r="FK84">
        <v>1.1980462299894961E-10</v>
      </c>
      <c r="FL84">
        <v>0.16773393518503121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22.1</v>
      </c>
      <c r="FU84">
        <v>22.1</v>
      </c>
      <c r="FV84">
        <v>1.77979</v>
      </c>
      <c r="FW84">
        <v>2.5537100000000001</v>
      </c>
      <c r="FX84">
        <v>1.5490699999999999</v>
      </c>
      <c r="FY84">
        <v>2.33521</v>
      </c>
      <c r="FZ84">
        <v>1.50146</v>
      </c>
      <c r="GA84">
        <v>2.3584000000000001</v>
      </c>
      <c r="GB84">
        <v>32.266599999999997</v>
      </c>
      <c r="GC84">
        <v>23.982399999999998</v>
      </c>
      <c r="GD84">
        <v>19</v>
      </c>
      <c r="GE84">
        <v>283.23200000000003</v>
      </c>
      <c r="GF84">
        <v>595.30999999999995</v>
      </c>
      <c r="GG84">
        <v>23.061199999999999</v>
      </c>
      <c r="GH84">
        <v>25.995999999999999</v>
      </c>
      <c r="GI84">
        <v>29.999600000000001</v>
      </c>
      <c r="GJ84">
        <v>26.1418</v>
      </c>
      <c r="GK84">
        <v>26.118500000000001</v>
      </c>
      <c r="GL84">
        <v>35.591799999999999</v>
      </c>
      <c r="GM84">
        <v>-30</v>
      </c>
      <c r="GN84">
        <v>-30</v>
      </c>
      <c r="GO84">
        <v>23.075099999999999</v>
      </c>
      <c r="GP84">
        <v>800</v>
      </c>
      <c r="GQ84">
        <v>12.5298</v>
      </c>
      <c r="GR84">
        <v>99.616699999999994</v>
      </c>
      <c r="GS84">
        <v>99.290599999999998</v>
      </c>
    </row>
    <row r="85" spans="1:201" x14ac:dyDescent="0.25">
      <c r="A85">
        <v>69</v>
      </c>
      <c r="B85">
        <v>1690204455.5</v>
      </c>
      <c r="C85">
        <v>1015.900000095367</v>
      </c>
      <c r="D85" t="s">
        <v>471</v>
      </c>
      <c r="E85" t="s">
        <v>472</v>
      </c>
      <c r="F85" t="s">
        <v>330</v>
      </c>
      <c r="H85">
        <v>1690204455.5</v>
      </c>
      <c r="I85">
        <f t="shared" si="30"/>
        <v>1.5205827313527658E-3</v>
      </c>
      <c r="J85">
        <f t="shared" si="31"/>
        <v>1.5205827313527658</v>
      </c>
      <c r="K85">
        <f t="shared" si="32"/>
        <v>28.252429371107787</v>
      </c>
      <c r="L85">
        <f t="shared" si="33"/>
        <v>498.53399999999999</v>
      </c>
      <c r="M85">
        <f t="shared" si="34"/>
        <v>107.56222835547125</v>
      </c>
      <c r="N85">
        <f t="shared" si="35"/>
        <v>10.665652535091652</v>
      </c>
      <c r="O85">
        <f t="shared" si="36"/>
        <v>49.433620911582004</v>
      </c>
      <c r="P85">
        <f t="shared" si="37"/>
        <v>0.12057165813205388</v>
      </c>
      <c r="Q85">
        <f t="shared" si="38"/>
        <v>2.1932593260751605</v>
      </c>
      <c r="R85">
        <f t="shared" si="39"/>
        <v>0.11700668399477225</v>
      </c>
      <c r="S85">
        <f t="shared" si="40"/>
        <v>7.3440696190213789E-2</v>
      </c>
      <c r="T85">
        <f t="shared" si="41"/>
        <v>276.11577098999999</v>
      </c>
      <c r="U85">
        <f t="shared" si="42"/>
        <v>26.909696255324025</v>
      </c>
      <c r="V85">
        <f t="shared" si="43"/>
        <v>26.909696255324025</v>
      </c>
      <c r="W85">
        <f t="shared" si="44"/>
        <v>3.560220566376278</v>
      </c>
      <c r="X85">
        <f t="shared" si="45"/>
        <v>71.364525779657171</v>
      </c>
      <c r="Y85">
        <f t="shared" si="46"/>
        <v>2.3097362440755003</v>
      </c>
      <c r="Z85">
        <f t="shared" si="47"/>
        <v>3.2365327434627225</v>
      </c>
      <c r="AA85">
        <f t="shared" si="48"/>
        <v>1.2504843223007778</v>
      </c>
      <c r="AB85">
        <f t="shared" si="49"/>
        <v>-67.057698452656979</v>
      </c>
      <c r="AC85">
        <f t="shared" si="50"/>
        <v>-190.61909233920048</v>
      </c>
      <c r="AD85">
        <f t="shared" si="51"/>
        <v>-18.588994744451316</v>
      </c>
      <c r="AE85">
        <f t="shared" si="52"/>
        <v>-0.15001454630879607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52649.548057770742</v>
      </c>
      <c r="AK85">
        <f t="shared" si="56"/>
        <v>1800</v>
      </c>
      <c r="AL85">
        <f t="shared" si="57"/>
        <v>1499.1136649999999</v>
      </c>
      <c r="AM85">
        <f t="shared" si="58"/>
        <v>0.83284092499999995</v>
      </c>
      <c r="AN85">
        <f t="shared" si="59"/>
        <v>0.15339765054999999</v>
      </c>
      <c r="AO85">
        <v>31.2</v>
      </c>
      <c r="AP85">
        <v>0.5</v>
      </c>
      <c r="AQ85" t="s">
        <v>331</v>
      </c>
      <c r="AR85">
        <v>2</v>
      </c>
      <c r="AS85">
        <v>1690204455.5</v>
      </c>
      <c r="AT85">
        <v>498.53399999999999</v>
      </c>
      <c r="AU85">
        <v>800.01700000000005</v>
      </c>
      <c r="AV85">
        <v>23.293500000000002</v>
      </c>
      <c r="AW85">
        <v>7.8593799999999998</v>
      </c>
      <c r="AX85">
        <v>499.31700000000001</v>
      </c>
      <c r="AY85">
        <v>23.125800000000002</v>
      </c>
      <c r="AZ85">
        <v>300.22500000000002</v>
      </c>
      <c r="BA85">
        <v>99.057900000000004</v>
      </c>
      <c r="BB85">
        <v>0.100073</v>
      </c>
      <c r="BC85">
        <v>25.297599999999999</v>
      </c>
      <c r="BD85">
        <v>26.907599999999999</v>
      </c>
      <c r="BE85">
        <v>26.656600000000001</v>
      </c>
      <c r="BF85">
        <v>0</v>
      </c>
      <c r="BG85">
        <v>0</v>
      </c>
      <c r="BH85">
        <v>9994.3799999999992</v>
      </c>
      <c r="BI85">
        <v>1058.8900000000001</v>
      </c>
      <c r="BJ85">
        <v>1.68198</v>
      </c>
      <c r="BK85">
        <v>-301.48399999999998</v>
      </c>
      <c r="BL85">
        <v>510.423</v>
      </c>
      <c r="BM85">
        <v>806.35500000000002</v>
      </c>
      <c r="BN85">
        <v>15.434100000000001</v>
      </c>
      <c r="BO85">
        <v>800.01700000000005</v>
      </c>
      <c r="BP85">
        <v>7.8593799999999998</v>
      </c>
      <c r="BQ85">
        <v>2.3073999999999999</v>
      </c>
      <c r="BR85">
        <v>0.77853399999999995</v>
      </c>
      <c r="BS85">
        <v>19.728200000000001</v>
      </c>
      <c r="BT85">
        <v>3.3218200000000002</v>
      </c>
      <c r="BU85">
        <v>1800</v>
      </c>
      <c r="BV85">
        <v>0.909999</v>
      </c>
      <c r="BW85">
        <v>3.39929E-2</v>
      </c>
      <c r="BX85">
        <v>2.2003000000000002E-2</v>
      </c>
      <c r="BY85">
        <v>3.4005500000000001E-2</v>
      </c>
      <c r="BZ85">
        <v>25</v>
      </c>
      <c r="CA85">
        <v>33528.300000000003</v>
      </c>
      <c r="CB85">
        <v>1690203121.0999999</v>
      </c>
      <c r="CC85" t="s">
        <v>332</v>
      </c>
      <c r="CD85">
        <v>1690203121.0999999</v>
      </c>
      <c r="CE85">
        <v>1690203121.0999999</v>
      </c>
      <c r="CF85">
        <v>3</v>
      </c>
      <c r="CG85">
        <v>0.53600000000000003</v>
      </c>
      <c r="CH85">
        <v>-0.01</v>
      </c>
      <c r="CI85">
        <v>-0.996</v>
      </c>
      <c r="CJ85">
        <v>-6.6000000000000003E-2</v>
      </c>
      <c r="CK85">
        <v>800</v>
      </c>
      <c r="CL85">
        <v>9</v>
      </c>
      <c r="CM85">
        <v>0.82</v>
      </c>
      <c r="CN85">
        <v>0.01</v>
      </c>
      <c r="CO85">
        <v>-298.2319024390244</v>
      </c>
      <c r="CP85">
        <v>-16.895665505226269</v>
      </c>
      <c r="CQ85">
        <v>1.666102459369174</v>
      </c>
      <c r="CR85">
        <v>-1</v>
      </c>
      <c r="CS85">
        <v>15.28604634146342</v>
      </c>
      <c r="CT85">
        <v>0.75975052264805876</v>
      </c>
      <c r="CU85">
        <v>7.5057035540821118E-2</v>
      </c>
      <c r="CV85">
        <v>-1</v>
      </c>
      <c r="CW85">
        <v>0</v>
      </c>
      <c r="CX85">
        <v>0</v>
      </c>
      <c r="CY85" t="s">
        <v>333</v>
      </c>
      <c r="CZ85">
        <v>2.36497</v>
      </c>
      <c r="DA85">
        <v>2.7138599999999999</v>
      </c>
      <c r="DB85">
        <v>0.10563</v>
      </c>
      <c r="DC85">
        <v>0.146171</v>
      </c>
      <c r="DD85">
        <v>0.111622</v>
      </c>
      <c r="DE85">
        <v>4.9034700000000001E-2</v>
      </c>
      <c r="DF85">
        <v>32622.400000000001</v>
      </c>
      <c r="DG85">
        <v>27450.9</v>
      </c>
      <c r="DH85">
        <v>31138.1</v>
      </c>
      <c r="DI85">
        <v>28013.8</v>
      </c>
      <c r="DJ85">
        <v>37545</v>
      </c>
      <c r="DK85">
        <v>37861.300000000003</v>
      </c>
      <c r="DL85">
        <v>44304.3</v>
      </c>
      <c r="DM85">
        <v>42433.8</v>
      </c>
      <c r="DN85">
        <v>1.47895</v>
      </c>
      <c r="DO85">
        <v>2.0534300000000001</v>
      </c>
      <c r="DP85">
        <v>0.16195699999999999</v>
      </c>
      <c r="DQ85">
        <v>0.15124299999999999</v>
      </c>
      <c r="DR85">
        <v>24.252800000000001</v>
      </c>
      <c r="DS85">
        <v>24.1768</v>
      </c>
      <c r="DT85">
        <v>25.6</v>
      </c>
      <c r="DU85">
        <v>27.5</v>
      </c>
      <c r="DV85">
        <v>9.5256900000000009</v>
      </c>
      <c r="DW85">
        <v>61.545499999999997</v>
      </c>
      <c r="DX85">
        <v>35.773200000000003</v>
      </c>
      <c r="DY85">
        <v>1</v>
      </c>
      <c r="DZ85">
        <v>-0.111037</v>
      </c>
      <c r="EA85">
        <v>0.26269599999999999</v>
      </c>
      <c r="EB85">
        <v>20.190799999999999</v>
      </c>
      <c r="EC85">
        <v>5.24125</v>
      </c>
      <c r="ED85">
        <v>12.039899999999999</v>
      </c>
      <c r="EE85">
        <v>5.0171999999999999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1.8689100000000001</v>
      </c>
      <c r="EL85">
        <v>1.8646199999999999</v>
      </c>
      <c r="EM85">
        <v>1.86917</v>
      </c>
      <c r="EN85">
        <v>1.8672200000000001</v>
      </c>
      <c r="EO85">
        <v>1.8633999999999999</v>
      </c>
      <c r="EP85">
        <v>1.8644700000000001</v>
      </c>
      <c r="EQ85">
        <v>1.87015</v>
      </c>
      <c r="ER85">
        <v>1.86937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-0.78300000000000003</v>
      </c>
      <c r="FG85">
        <v>0.16769999999999999</v>
      </c>
      <c r="FH85">
        <v>-0.44422204735670362</v>
      </c>
      <c r="FI85">
        <v>-6.1462078757559423E-4</v>
      </c>
      <c r="FJ85">
        <v>-1.8861989874597051E-7</v>
      </c>
      <c r="FK85">
        <v>1.1980462299894961E-10</v>
      </c>
      <c r="FL85">
        <v>0.16773393518503121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22.2</v>
      </c>
      <c r="FU85">
        <v>22.2</v>
      </c>
      <c r="FV85">
        <v>1.77979</v>
      </c>
      <c r="FW85">
        <v>2.5622600000000002</v>
      </c>
      <c r="FX85">
        <v>1.5490699999999999</v>
      </c>
      <c r="FY85">
        <v>2.33521</v>
      </c>
      <c r="FZ85">
        <v>1.50146</v>
      </c>
      <c r="GA85">
        <v>2.36206</v>
      </c>
      <c r="GB85">
        <v>32.266599999999997</v>
      </c>
      <c r="GC85">
        <v>23.982399999999998</v>
      </c>
      <c r="GD85">
        <v>19</v>
      </c>
      <c r="GE85">
        <v>283.11200000000002</v>
      </c>
      <c r="GF85">
        <v>594.79399999999998</v>
      </c>
      <c r="GG85">
        <v>23.107800000000001</v>
      </c>
      <c r="GH85">
        <v>25.99</v>
      </c>
      <c r="GI85">
        <v>29.9999</v>
      </c>
      <c r="GJ85">
        <v>26.1389</v>
      </c>
      <c r="GK85">
        <v>26.115600000000001</v>
      </c>
      <c r="GL85">
        <v>35.592100000000002</v>
      </c>
      <c r="GM85">
        <v>-30</v>
      </c>
      <c r="GN85">
        <v>-30</v>
      </c>
      <c r="GO85">
        <v>23.168600000000001</v>
      </c>
      <c r="GP85">
        <v>800</v>
      </c>
      <c r="GQ85">
        <v>12.5298</v>
      </c>
      <c r="GR85">
        <v>99.617800000000003</v>
      </c>
      <c r="GS85">
        <v>99.290999999999997</v>
      </c>
    </row>
    <row r="86" spans="1:201" x14ac:dyDescent="0.25">
      <c r="A86">
        <v>70</v>
      </c>
      <c r="B86">
        <v>1690204465.5</v>
      </c>
      <c r="C86">
        <v>1025.900000095367</v>
      </c>
      <c r="D86" t="s">
        <v>473</v>
      </c>
      <c r="E86" t="s">
        <v>474</v>
      </c>
      <c r="F86" t="s">
        <v>330</v>
      </c>
      <c r="H86">
        <v>1690204465.5</v>
      </c>
      <c r="I86">
        <f t="shared" si="30"/>
        <v>1.5321151040189255E-3</v>
      </c>
      <c r="J86">
        <f t="shared" si="31"/>
        <v>1.5321151040189256</v>
      </c>
      <c r="K86">
        <f t="shared" si="32"/>
        <v>28.514552162108973</v>
      </c>
      <c r="L86">
        <f t="shared" si="33"/>
        <v>495.71600000000001</v>
      </c>
      <c r="M86">
        <f t="shared" si="34"/>
        <v>106.79270702558472</v>
      </c>
      <c r="N86">
        <f t="shared" si="35"/>
        <v>10.589329147831846</v>
      </c>
      <c r="O86">
        <f t="shared" si="36"/>
        <v>49.154104564359599</v>
      </c>
      <c r="P86">
        <f t="shared" si="37"/>
        <v>0.1223612389542655</v>
      </c>
      <c r="Q86">
        <f t="shared" si="38"/>
        <v>2.1940963496639587</v>
      </c>
      <c r="R86">
        <f t="shared" si="39"/>
        <v>0.11869274209505254</v>
      </c>
      <c r="S86">
        <f t="shared" si="40"/>
        <v>7.4503402163633145E-2</v>
      </c>
      <c r="T86">
        <f t="shared" si="41"/>
        <v>276.11547786</v>
      </c>
      <c r="U86">
        <f t="shared" si="42"/>
        <v>26.922288447191686</v>
      </c>
      <c r="V86">
        <f t="shared" si="43"/>
        <v>26.922288447191686</v>
      </c>
      <c r="W86">
        <f t="shared" si="44"/>
        <v>3.5628562276205988</v>
      </c>
      <c r="X86">
        <f t="shared" si="45"/>
        <v>71.635855654535902</v>
      </c>
      <c r="Y86">
        <f t="shared" si="46"/>
        <v>2.32087738951929</v>
      </c>
      <c r="Z86">
        <f t="shared" si="47"/>
        <v>3.2398264365148748</v>
      </c>
      <c r="AA86">
        <f t="shared" si="48"/>
        <v>1.2419788381013088</v>
      </c>
      <c r="AB86">
        <f t="shared" si="49"/>
        <v>-67.566276087234613</v>
      </c>
      <c r="AC86">
        <f t="shared" si="50"/>
        <v>-190.15861901519304</v>
      </c>
      <c r="AD86">
        <f t="shared" si="51"/>
        <v>-18.539775094773589</v>
      </c>
      <c r="AE86">
        <f t="shared" si="52"/>
        <v>-0.14919233720121383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52680.935096140158</v>
      </c>
      <c r="AK86">
        <f t="shared" si="56"/>
        <v>1800</v>
      </c>
      <c r="AL86">
        <f t="shared" si="57"/>
        <v>1499.1137099999999</v>
      </c>
      <c r="AM86">
        <f t="shared" si="58"/>
        <v>0.83284094999999991</v>
      </c>
      <c r="AN86">
        <f t="shared" si="59"/>
        <v>0.1533974877</v>
      </c>
      <c r="AO86">
        <v>31.2</v>
      </c>
      <c r="AP86">
        <v>0.5</v>
      </c>
      <c r="AQ86" t="s">
        <v>331</v>
      </c>
      <c r="AR86">
        <v>2</v>
      </c>
      <c r="AS86">
        <v>1690204465.5</v>
      </c>
      <c r="AT86">
        <v>495.71600000000001</v>
      </c>
      <c r="AU86">
        <v>800.01900000000001</v>
      </c>
      <c r="AV86">
        <v>23.405899999999999</v>
      </c>
      <c r="AW86">
        <v>7.8523699999999996</v>
      </c>
      <c r="AX86">
        <v>496.49799999999999</v>
      </c>
      <c r="AY86">
        <v>23.238199999999999</v>
      </c>
      <c r="AZ86">
        <v>300.14499999999998</v>
      </c>
      <c r="BA86">
        <v>99.0578</v>
      </c>
      <c r="BB86">
        <v>9.9993100000000001E-2</v>
      </c>
      <c r="BC86">
        <v>25.314699999999998</v>
      </c>
      <c r="BD86">
        <v>26.956800000000001</v>
      </c>
      <c r="BE86">
        <v>26.672599999999999</v>
      </c>
      <c r="BF86">
        <v>0</v>
      </c>
      <c r="BG86">
        <v>0</v>
      </c>
      <c r="BH86">
        <v>10001.200000000001</v>
      </c>
      <c r="BI86">
        <v>1059.07</v>
      </c>
      <c r="BJ86">
        <v>1.68198</v>
      </c>
      <c r="BK86">
        <v>-304.303</v>
      </c>
      <c r="BL86">
        <v>507.59699999999998</v>
      </c>
      <c r="BM86">
        <v>806.351</v>
      </c>
      <c r="BN86">
        <v>15.553599999999999</v>
      </c>
      <c r="BO86">
        <v>800.01900000000001</v>
      </c>
      <c r="BP86">
        <v>7.8523699999999996</v>
      </c>
      <c r="BQ86">
        <v>2.31854</v>
      </c>
      <c r="BR86">
        <v>0.77783800000000003</v>
      </c>
      <c r="BS86">
        <v>19.805800000000001</v>
      </c>
      <c r="BT86">
        <v>3.3091699999999999</v>
      </c>
      <c r="BU86">
        <v>1800</v>
      </c>
      <c r="BV86">
        <v>0.91000300000000001</v>
      </c>
      <c r="BW86">
        <v>3.3991199999999999E-2</v>
      </c>
      <c r="BX86">
        <v>2.2002000000000001E-2</v>
      </c>
      <c r="BY86">
        <v>3.4003800000000001E-2</v>
      </c>
      <c r="BZ86">
        <v>25</v>
      </c>
      <c r="CA86">
        <v>33528.300000000003</v>
      </c>
      <c r="CB86">
        <v>1690203121.0999999</v>
      </c>
      <c r="CC86" t="s">
        <v>332</v>
      </c>
      <c r="CD86">
        <v>1690203121.0999999</v>
      </c>
      <c r="CE86">
        <v>1690203121.0999999</v>
      </c>
      <c r="CF86">
        <v>3</v>
      </c>
      <c r="CG86">
        <v>0.53600000000000003</v>
      </c>
      <c r="CH86">
        <v>-0.01</v>
      </c>
      <c r="CI86">
        <v>-0.996</v>
      </c>
      <c r="CJ86">
        <v>-6.6000000000000003E-2</v>
      </c>
      <c r="CK86">
        <v>800</v>
      </c>
      <c r="CL86">
        <v>9</v>
      </c>
      <c r="CM86">
        <v>0.82</v>
      </c>
      <c r="CN86">
        <v>0.01</v>
      </c>
      <c r="CO86">
        <v>-301.0283658536585</v>
      </c>
      <c r="CP86">
        <v>-16.678599303135929</v>
      </c>
      <c r="CQ86">
        <v>1.645126605789943</v>
      </c>
      <c r="CR86">
        <v>-1</v>
      </c>
      <c r="CS86">
        <v>15.411282926829269</v>
      </c>
      <c r="CT86">
        <v>0.74768780487807385</v>
      </c>
      <c r="CU86">
        <v>7.3836288594327906E-2</v>
      </c>
      <c r="CV86">
        <v>-1</v>
      </c>
      <c r="CW86">
        <v>0</v>
      </c>
      <c r="CX86">
        <v>0</v>
      </c>
      <c r="CY86" t="s">
        <v>333</v>
      </c>
      <c r="CZ86">
        <v>2.3647100000000001</v>
      </c>
      <c r="DA86">
        <v>2.7137799999999999</v>
      </c>
      <c r="DB86">
        <v>0.105196</v>
      </c>
      <c r="DC86">
        <v>0.146172</v>
      </c>
      <c r="DD86">
        <v>0.11200499999999999</v>
      </c>
      <c r="DE86">
        <v>4.9000599999999998E-2</v>
      </c>
      <c r="DF86">
        <v>32638.7</v>
      </c>
      <c r="DG86">
        <v>27451</v>
      </c>
      <c r="DH86">
        <v>31138.6</v>
      </c>
      <c r="DI86">
        <v>28013.9</v>
      </c>
      <c r="DJ86">
        <v>37529.300000000003</v>
      </c>
      <c r="DK86">
        <v>37863</v>
      </c>
      <c r="DL86">
        <v>44305.1</v>
      </c>
      <c r="DM86">
        <v>42434.1</v>
      </c>
      <c r="DN86">
        <v>1.4791700000000001</v>
      </c>
      <c r="DO86">
        <v>2.0535000000000001</v>
      </c>
      <c r="DP86">
        <v>0.165131</v>
      </c>
      <c r="DQ86">
        <v>0.152167</v>
      </c>
      <c r="DR86">
        <v>24.2501</v>
      </c>
      <c r="DS86">
        <v>24.177600000000002</v>
      </c>
      <c r="DT86">
        <v>25.6</v>
      </c>
      <c r="DU86">
        <v>27.5</v>
      </c>
      <c r="DV86">
        <v>9.5257100000000001</v>
      </c>
      <c r="DW86">
        <v>61.805500000000002</v>
      </c>
      <c r="DX86">
        <v>36.682699999999997</v>
      </c>
      <c r="DY86">
        <v>1</v>
      </c>
      <c r="DZ86">
        <v>-0.112302</v>
      </c>
      <c r="EA86">
        <v>0.11583599999999999</v>
      </c>
      <c r="EB86">
        <v>20.191400000000002</v>
      </c>
      <c r="EC86">
        <v>5.2418500000000003</v>
      </c>
      <c r="ED86">
        <v>12.039899999999999</v>
      </c>
      <c r="EE86">
        <v>5.0168999999999997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</v>
      </c>
      <c r="EL86">
        <v>1.8646199999999999</v>
      </c>
      <c r="EM86">
        <v>1.86917</v>
      </c>
      <c r="EN86">
        <v>1.8672200000000001</v>
      </c>
      <c r="EO86">
        <v>1.8633999999999999</v>
      </c>
      <c r="EP86">
        <v>1.8644799999999999</v>
      </c>
      <c r="EQ86">
        <v>1.87015</v>
      </c>
      <c r="ER86">
        <v>1.86937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-0.78200000000000003</v>
      </c>
      <c r="FG86">
        <v>0.16769999999999999</v>
      </c>
      <c r="FH86">
        <v>-0.44422204735670362</v>
      </c>
      <c r="FI86">
        <v>-6.1462078757559423E-4</v>
      </c>
      <c r="FJ86">
        <v>-1.8861989874597051E-7</v>
      </c>
      <c r="FK86">
        <v>1.1980462299894961E-10</v>
      </c>
      <c r="FL86">
        <v>0.16773393518503121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22.4</v>
      </c>
      <c r="FU86">
        <v>22.4</v>
      </c>
      <c r="FV86">
        <v>1.77979</v>
      </c>
      <c r="FW86">
        <v>2.5573700000000001</v>
      </c>
      <c r="FX86">
        <v>1.5490699999999999</v>
      </c>
      <c r="FY86">
        <v>2.33521</v>
      </c>
      <c r="FZ86">
        <v>1.50024</v>
      </c>
      <c r="GA86">
        <v>2.32544</v>
      </c>
      <c r="GB86">
        <v>32.266599999999997</v>
      </c>
      <c r="GC86">
        <v>23.982399999999998</v>
      </c>
      <c r="GD86">
        <v>19</v>
      </c>
      <c r="GE86">
        <v>283.18900000000002</v>
      </c>
      <c r="GF86">
        <v>594.81500000000005</v>
      </c>
      <c r="GG86">
        <v>23.240300000000001</v>
      </c>
      <c r="GH86">
        <v>25.9834</v>
      </c>
      <c r="GI86">
        <v>29.999700000000001</v>
      </c>
      <c r="GJ86">
        <v>26.134599999999999</v>
      </c>
      <c r="GK86">
        <v>26.111899999999999</v>
      </c>
      <c r="GL86">
        <v>35.593899999999998</v>
      </c>
      <c r="GM86">
        <v>-30</v>
      </c>
      <c r="GN86">
        <v>-30</v>
      </c>
      <c r="GO86">
        <v>23.271999999999998</v>
      </c>
      <c r="GP86">
        <v>800</v>
      </c>
      <c r="GQ86">
        <v>12.5298</v>
      </c>
      <c r="GR86">
        <v>99.619600000000005</v>
      </c>
      <c r="GS86">
        <v>99.291700000000006</v>
      </c>
    </row>
    <row r="87" spans="1:201" x14ac:dyDescent="0.25">
      <c r="A87">
        <v>71</v>
      </c>
      <c r="B87">
        <v>1690204475.5</v>
      </c>
      <c r="C87">
        <v>1035.900000095367</v>
      </c>
      <c r="D87" t="s">
        <v>475</v>
      </c>
      <c r="E87" t="s">
        <v>476</v>
      </c>
      <c r="F87" t="s">
        <v>330</v>
      </c>
      <c r="H87">
        <v>1690204475.5</v>
      </c>
      <c r="I87">
        <f t="shared" si="30"/>
        <v>1.5446411453922746E-3</v>
      </c>
      <c r="J87">
        <f t="shared" si="31"/>
        <v>1.5446411453922746</v>
      </c>
      <c r="K87">
        <f t="shared" si="32"/>
        <v>28.768556865486364</v>
      </c>
      <c r="L87">
        <f t="shared" si="33"/>
        <v>493.12299999999999</v>
      </c>
      <c r="M87">
        <f t="shared" si="34"/>
        <v>106.48626585160096</v>
      </c>
      <c r="N87">
        <f t="shared" si="35"/>
        <v>10.559055769125287</v>
      </c>
      <c r="O87">
        <f t="shared" si="36"/>
        <v>48.897510081672998</v>
      </c>
      <c r="P87">
        <f t="shared" si="37"/>
        <v>0.12421733001593538</v>
      </c>
      <c r="Q87">
        <f t="shared" si="38"/>
        <v>2.1951159813840735</v>
      </c>
      <c r="R87">
        <f t="shared" si="39"/>
        <v>0.12044024238724398</v>
      </c>
      <c r="S87">
        <f t="shared" si="40"/>
        <v>7.5604940905235035E-2</v>
      </c>
      <c r="T87">
        <f t="shared" si="41"/>
        <v>276.11384054769712</v>
      </c>
      <c r="U87">
        <f t="shared" si="42"/>
        <v>26.938109051243767</v>
      </c>
      <c r="V87">
        <f t="shared" si="43"/>
        <v>26.938109051243767</v>
      </c>
      <c r="W87">
        <f t="shared" si="44"/>
        <v>3.566170039384231</v>
      </c>
      <c r="X87">
        <f t="shared" si="45"/>
        <v>71.898981618327269</v>
      </c>
      <c r="Y87">
        <f t="shared" si="46"/>
        <v>2.3322855867157002</v>
      </c>
      <c r="Z87">
        <f t="shared" si="47"/>
        <v>3.2438367473638783</v>
      </c>
      <c r="AA87">
        <f t="shared" si="48"/>
        <v>1.2338844526685309</v>
      </c>
      <c r="AB87">
        <f t="shared" si="49"/>
        <v>-68.118674511799313</v>
      </c>
      <c r="AC87">
        <f t="shared" si="50"/>
        <v>-189.65771165483591</v>
      </c>
      <c r="AD87">
        <f t="shared" si="51"/>
        <v>-18.485742914642703</v>
      </c>
      <c r="AE87">
        <f t="shared" si="52"/>
        <v>-0.14828853358079641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52719.213041432864</v>
      </c>
      <c r="AK87">
        <f t="shared" si="56"/>
        <v>1799.99</v>
      </c>
      <c r="AL87">
        <f t="shared" si="57"/>
        <v>1499.1036518001099</v>
      </c>
      <c r="AM87">
        <f t="shared" si="58"/>
        <v>0.832839989</v>
      </c>
      <c r="AN87">
        <f t="shared" si="59"/>
        <v>0.15339743029</v>
      </c>
      <c r="AO87">
        <v>31.2</v>
      </c>
      <c r="AP87">
        <v>0.5</v>
      </c>
      <c r="AQ87" t="s">
        <v>331</v>
      </c>
      <c r="AR87">
        <v>2</v>
      </c>
      <c r="AS87">
        <v>1690204475.5</v>
      </c>
      <c r="AT87">
        <v>493.12299999999999</v>
      </c>
      <c r="AU87">
        <v>800.03099999999995</v>
      </c>
      <c r="AV87">
        <v>23.520700000000001</v>
      </c>
      <c r="AW87">
        <v>7.84483</v>
      </c>
      <c r="AX87">
        <v>493.90199999999999</v>
      </c>
      <c r="AY87">
        <v>23.353000000000002</v>
      </c>
      <c r="AZ87">
        <v>300.202</v>
      </c>
      <c r="BA87">
        <v>99.058800000000005</v>
      </c>
      <c r="BB87">
        <v>0.100051</v>
      </c>
      <c r="BC87">
        <v>25.3355</v>
      </c>
      <c r="BD87">
        <v>26.945</v>
      </c>
      <c r="BE87">
        <v>26.6965</v>
      </c>
      <c r="BF87">
        <v>0</v>
      </c>
      <c r="BG87">
        <v>0</v>
      </c>
      <c r="BH87">
        <v>10009.4</v>
      </c>
      <c r="BI87">
        <v>1059.27</v>
      </c>
      <c r="BJ87">
        <v>1.68198</v>
      </c>
      <c r="BK87">
        <v>-306.90800000000002</v>
      </c>
      <c r="BL87">
        <v>505.00099999999998</v>
      </c>
      <c r="BM87">
        <v>806.35699999999997</v>
      </c>
      <c r="BN87">
        <v>15.6759</v>
      </c>
      <c r="BO87">
        <v>800.03099999999995</v>
      </c>
      <c r="BP87">
        <v>7.84483</v>
      </c>
      <c r="BQ87">
        <v>2.3299400000000001</v>
      </c>
      <c r="BR87">
        <v>0.77710000000000001</v>
      </c>
      <c r="BS87">
        <v>19.884899999999998</v>
      </c>
      <c r="BT87">
        <v>3.2957299999999998</v>
      </c>
      <c r="BU87">
        <v>1799.99</v>
      </c>
      <c r="BV87">
        <v>0.909999</v>
      </c>
      <c r="BW87">
        <v>3.3996800000000001E-2</v>
      </c>
      <c r="BX87">
        <v>2.2001199999999999E-2</v>
      </c>
      <c r="BY87">
        <v>3.4002699999999997E-2</v>
      </c>
      <c r="BZ87">
        <v>25</v>
      </c>
      <c r="CA87">
        <v>33528.199999999997</v>
      </c>
      <c r="CB87">
        <v>1690203121.0999999</v>
      </c>
      <c r="CC87" t="s">
        <v>332</v>
      </c>
      <c r="CD87">
        <v>1690203121.0999999</v>
      </c>
      <c r="CE87">
        <v>1690203121.0999999</v>
      </c>
      <c r="CF87">
        <v>3</v>
      </c>
      <c r="CG87">
        <v>0.53600000000000003</v>
      </c>
      <c r="CH87">
        <v>-0.01</v>
      </c>
      <c r="CI87">
        <v>-0.996</v>
      </c>
      <c r="CJ87">
        <v>-6.6000000000000003E-2</v>
      </c>
      <c r="CK87">
        <v>800</v>
      </c>
      <c r="CL87">
        <v>9</v>
      </c>
      <c r="CM87">
        <v>0.82</v>
      </c>
      <c r="CN87">
        <v>0.01</v>
      </c>
      <c r="CO87">
        <v>-304.0428</v>
      </c>
      <c r="CP87">
        <v>-16.791106941839249</v>
      </c>
      <c r="CQ87">
        <v>1.616252891722082</v>
      </c>
      <c r="CR87">
        <v>-1</v>
      </c>
      <c r="CS87">
        <v>15.545030000000001</v>
      </c>
      <c r="CT87">
        <v>0.74855459662283597</v>
      </c>
      <c r="CU87">
        <v>7.2049580845415115E-2</v>
      </c>
      <c r="CV87">
        <v>-1</v>
      </c>
      <c r="CW87">
        <v>0</v>
      </c>
      <c r="CX87">
        <v>0</v>
      </c>
      <c r="CY87" t="s">
        <v>333</v>
      </c>
      <c r="CZ87">
        <v>2.3649100000000001</v>
      </c>
      <c r="DA87">
        <v>2.7138499999999999</v>
      </c>
      <c r="DB87">
        <v>0.104796</v>
      </c>
      <c r="DC87">
        <v>0.146176</v>
      </c>
      <c r="DD87">
        <v>0.11239499999999999</v>
      </c>
      <c r="DE87">
        <v>4.8964199999999999E-2</v>
      </c>
      <c r="DF87">
        <v>32653.7</v>
      </c>
      <c r="DG87">
        <v>27451.200000000001</v>
      </c>
      <c r="DH87">
        <v>31139</v>
      </c>
      <c r="DI87">
        <v>28014.2</v>
      </c>
      <c r="DJ87">
        <v>37512.9</v>
      </c>
      <c r="DK87">
        <v>37864.800000000003</v>
      </c>
      <c r="DL87">
        <v>44305.5</v>
      </c>
      <c r="DM87">
        <v>42434.5</v>
      </c>
      <c r="DN87">
        <v>1.4793000000000001</v>
      </c>
      <c r="DO87">
        <v>2.0533999999999999</v>
      </c>
      <c r="DP87">
        <v>0.16443099999999999</v>
      </c>
      <c r="DQ87">
        <v>0.153556</v>
      </c>
      <c r="DR87">
        <v>24.249700000000001</v>
      </c>
      <c r="DS87">
        <v>24.178799999999999</v>
      </c>
      <c r="DT87">
        <v>25.6</v>
      </c>
      <c r="DU87">
        <v>27.5</v>
      </c>
      <c r="DV87">
        <v>9.5250199999999996</v>
      </c>
      <c r="DW87">
        <v>61.585500000000003</v>
      </c>
      <c r="DX87">
        <v>36.133800000000001</v>
      </c>
      <c r="DY87">
        <v>1</v>
      </c>
      <c r="DZ87">
        <v>-0.112312</v>
      </c>
      <c r="EA87">
        <v>0.60741299999999998</v>
      </c>
      <c r="EB87">
        <v>20.1891</v>
      </c>
      <c r="EC87">
        <v>5.2415500000000002</v>
      </c>
      <c r="ED87">
        <v>12.039899999999999</v>
      </c>
      <c r="EE87">
        <v>5.0173500000000004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</v>
      </c>
      <c r="EL87">
        <v>1.8646199999999999</v>
      </c>
      <c r="EM87">
        <v>1.8691500000000001</v>
      </c>
      <c r="EN87">
        <v>1.8672200000000001</v>
      </c>
      <c r="EO87">
        <v>1.8633999999999999</v>
      </c>
      <c r="EP87">
        <v>1.8644700000000001</v>
      </c>
      <c r="EQ87">
        <v>1.8701300000000001</v>
      </c>
      <c r="ER87">
        <v>1.86938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-0.77900000000000003</v>
      </c>
      <c r="FG87">
        <v>0.16769999999999999</v>
      </c>
      <c r="FH87">
        <v>-0.44422204735670362</v>
      </c>
      <c r="FI87">
        <v>-6.1462078757559423E-4</v>
      </c>
      <c r="FJ87">
        <v>-1.8861989874597051E-7</v>
      </c>
      <c r="FK87">
        <v>1.1980462299894961E-10</v>
      </c>
      <c r="FL87">
        <v>0.16773393518503121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22.6</v>
      </c>
      <c r="FU87">
        <v>22.6</v>
      </c>
      <c r="FV87">
        <v>1.77979</v>
      </c>
      <c r="FW87">
        <v>2.5573700000000001</v>
      </c>
      <c r="FX87">
        <v>1.5490699999999999</v>
      </c>
      <c r="FY87">
        <v>2.33521</v>
      </c>
      <c r="FZ87">
        <v>1.50146</v>
      </c>
      <c r="GA87">
        <v>2.3901400000000002</v>
      </c>
      <c r="GB87">
        <v>32.288699999999999</v>
      </c>
      <c r="GC87">
        <v>23.991199999999999</v>
      </c>
      <c r="GD87">
        <v>19</v>
      </c>
      <c r="GE87">
        <v>283.22199999999998</v>
      </c>
      <c r="GF87">
        <v>594.697</v>
      </c>
      <c r="GG87">
        <v>23.304500000000001</v>
      </c>
      <c r="GH87">
        <v>25.977399999999999</v>
      </c>
      <c r="GI87">
        <v>30.0002</v>
      </c>
      <c r="GJ87">
        <v>26.130199999999999</v>
      </c>
      <c r="GK87">
        <v>26.109000000000002</v>
      </c>
      <c r="GL87">
        <v>35.590200000000003</v>
      </c>
      <c r="GM87">
        <v>-30</v>
      </c>
      <c r="GN87">
        <v>-30</v>
      </c>
      <c r="GO87">
        <v>23.110700000000001</v>
      </c>
      <c r="GP87">
        <v>800</v>
      </c>
      <c r="GQ87">
        <v>12.5298</v>
      </c>
      <c r="GR87">
        <v>99.620599999999996</v>
      </c>
      <c r="GS87">
        <v>99.292500000000004</v>
      </c>
    </row>
    <row r="88" spans="1:201" x14ac:dyDescent="0.25">
      <c r="A88">
        <v>72</v>
      </c>
      <c r="B88">
        <v>1690204485.5</v>
      </c>
      <c r="C88">
        <v>1045.900000095367</v>
      </c>
      <c r="D88" t="s">
        <v>477</v>
      </c>
      <c r="E88" t="s">
        <v>478</v>
      </c>
      <c r="F88" t="s">
        <v>330</v>
      </c>
      <c r="H88">
        <v>1690204485.5</v>
      </c>
      <c r="I88">
        <f t="shared" si="30"/>
        <v>1.5518148783973036E-3</v>
      </c>
      <c r="J88">
        <f t="shared" si="31"/>
        <v>1.5518148783973036</v>
      </c>
      <c r="K88">
        <f t="shared" si="32"/>
        <v>29.029296602742242</v>
      </c>
      <c r="L88">
        <f t="shared" si="33"/>
        <v>490.31</v>
      </c>
      <c r="M88">
        <f t="shared" si="34"/>
        <v>104.43046699243803</v>
      </c>
      <c r="N88">
        <f t="shared" si="35"/>
        <v>10.355540191959973</v>
      </c>
      <c r="O88">
        <f t="shared" si="36"/>
        <v>48.620149442476006</v>
      </c>
      <c r="P88">
        <f t="shared" si="37"/>
        <v>0.12560817230612156</v>
      </c>
      <c r="Q88">
        <f t="shared" si="38"/>
        <v>2.1903871172926523</v>
      </c>
      <c r="R88">
        <f t="shared" si="39"/>
        <v>0.12173938453031703</v>
      </c>
      <c r="S88">
        <f t="shared" si="40"/>
        <v>7.6424784506247012E-2</v>
      </c>
      <c r="T88">
        <f t="shared" si="41"/>
        <v>276.11559752400007</v>
      </c>
      <c r="U88">
        <f t="shared" si="42"/>
        <v>26.934640488453464</v>
      </c>
      <c r="V88">
        <f t="shared" si="43"/>
        <v>26.934640488453464</v>
      </c>
      <c r="W88">
        <f t="shared" si="44"/>
        <v>3.5654432778839604</v>
      </c>
      <c r="X88">
        <f t="shared" si="45"/>
        <v>72.125664251679595</v>
      </c>
      <c r="Y88">
        <f t="shared" si="46"/>
        <v>2.3390544942567204</v>
      </c>
      <c r="Z88">
        <f t="shared" si="47"/>
        <v>3.2430266237752545</v>
      </c>
      <c r="AA88">
        <f t="shared" si="48"/>
        <v>1.22638878362724</v>
      </c>
      <c r="AB88">
        <f t="shared" si="49"/>
        <v>-68.435036137321092</v>
      </c>
      <c r="AC88">
        <f t="shared" si="50"/>
        <v>-189.33551253043001</v>
      </c>
      <c r="AD88">
        <f t="shared" si="51"/>
        <v>-18.493468850508943</v>
      </c>
      <c r="AE88">
        <f t="shared" si="52"/>
        <v>-0.14841999425996732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52525.73280532159</v>
      </c>
      <c r="AK88">
        <f t="shared" si="56"/>
        <v>1800</v>
      </c>
      <c r="AL88">
        <f t="shared" si="57"/>
        <v>1499.1109884</v>
      </c>
      <c r="AM88">
        <f t="shared" si="58"/>
        <v>0.83283943800000004</v>
      </c>
      <c r="AN88">
        <f t="shared" si="59"/>
        <v>0.15339755418000003</v>
      </c>
      <c r="AO88">
        <v>31.2</v>
      </c>
      <c r="AP88">
        <v>0.5</v>
      </c>
      <c r="AQ88" t="s">
        <v>331</v>
      </c>
      <c r="AR88">
        <v>2</v>
      </c>
      <c r="AS88">
        <v>1690204485.5</v>
      </c>
      <c r="AT88">
        <v>490.31</v>
      </c>
      <c r="AU88">
        <v>799.976</v>
      </c>
      <c r="AV88">
        <v>23.588200000000001</v>
      </c>
      <c r="AW88">
        <v>7.8377299999999996</v>
      </c>
      <c r="AX88">
        <v>491.08699999999999</v>
      </c>
      <c r="AY88">
        <v>23.420500000000001</v>
      </c>
      <c r="AZ88">
        <v>300.14699999999999</v>
      </c>
      <c r="BA88">
        <v>99.062100000000001</v>
      </c>
      <c r="BB88">
        <v>9.9959599999999996E-2</v>
      </c>
      <c r="BC88">
        <v>25.331299999999999</v>
      </c>
      <c r="BD88">
        <v>26.9831</v>
      </c>
      <c r="BE88">
        <v>26.6861</v>
      </c>
      <c r="BF88">
        <v>0</v>
      </c>
      <c r="BG88">
        <v>0</v>
      </c>
      <c r="BH88">
        <v>9970.6200000000008</v>
      </c>
      <c r="BI88">
        <v>1059.43</v>
      </c>
      <c r="BJ88">
        <v>1.68198</v>
      </c>
      <c r="BK88">
        <v>-309.666</v>
      </c>
      <c r="BL88">
        <v>502.15499999999997</v>
      </c>
      <c r="BM88">
        <v>806.29600000000005</v>
      </c>
      <c r="BN88">
        <v>15.750500000000001</v>
      </c>
      <c r="BO88">
        <v>799.976</v>
      </c>
      <c r="BP88">
        <v>7.8377299999999996</v>
      </c>
      <c r="BQ88">
        <v>2.3367</v>
      </c>
      <c r="BR88">
        <v>0.77642100000000003</v>
      </c>
      <c r="BS88">
        <v>19.9316</v>
      </c>
      <c r="BT88">
        <v>3.2833800000000002</v>
      </c>
      <c r="BU88">
        <v>1800</v>
      </c>
      <c r="BV88">
        <v>0.90999300000000005</v>
      </c>
      <c r="BW88">
        <v>3.4005599999999997E-2</v>
      </c>
      <c r="BX88">
        <v>2.20004E-2</v>
      </c>
      <c r="BY88">
        <v>3.4001400000000001E-2</v>
      </c>
      <c r="BZ88">
        <v>25</v>
      </c>
      <c r="CA88">
        <v>33528.199999999997</v>
      </c>
      <c r="CB88">
        <v>1690203121.0999999</v>
      </c>
      <c r="CC88" t="s">
        <v>332</v>
      </c>
      <c r="CD88">
        <v>1690203121.0999999</v>
      </c>
      <c r="CE88">
        <v>1690203121.0999999</v>
      </c>
      <c r="CF88">
        <v>3</v>
      </c>
      <c r="CG88">
        <v>0.53600000000000003</v>
      </c>
      <c r="CH88">
        <v>-0.01</v>
      </c>
      <c r="CI88">
        <v>-0.996</v>
      </c>
      <c r="CJ88">
        <v>-6.6000000000000003E-2</v>
      </c>
      <c r="CK88">
        <v>800</v>
      </c>
      <c r="CL88">
        <v>9</v>
      </c>
      <c r="CM88">
        <v>0.82</v>
      </c>
      <c r="CN88">
        <v>0.01</v>
      </c>
      <c r="CO88">
        <v>-306.57629268292681</v>
      </c>
      <c r="CP88">
        <v>-15.9640139372822</v>
      </c>
      <c r="CQ88">
        <v>1.5744772766936019</v>
      </c>
      <c r="CR88">
        <v>-1</v>
      </c>
      <c r="CS88">
        <v>15.653156097560981</v>
      </c>
      <c r="CT88">
        <v>0.65434912891983266</v>
      </c>
      <c r="CU88">
        <v>6.4911771448450298E-2</v>
      </c>
      <c r="CV88">
        <v>-1</v>
      </c>
      <c r="CW88">
        <v>0</v>
      </c>
      <c r="CX88">
        <v>0</v>
      </c>
      <c r="CY88" t="s">
        <v>333</v>
      </c>
      <c r="CZ88">
        <v>2.3647399999999998</v>
      </c>
      <c r="DA88">
        <v>2.7137199999999999</v>
      </c>
      <c r="DB88">
        <v>0.104363</v>
      </c>
      <c r="DC88">
        <v>0.146175</v>
      </c>
      <c r="DD88">
        <v>0.11262800000000001</v>
      </c>
      <c r="DE88">
        <v>4.8931200000000001E-2</v>
      </c>
      <c r="DF88">
        <v>32669.599999999999</v>
      </c>
      <c r="DG88">
        <v>27451.4</v>
      </c>
      <c r="DH88">
        <v>31139</v>
      </c>
      <c r="DI88">
        <v>28014.3</v>
      </c>
      <c r="DJ88">
        <v>37503</v>
      </c>
      <c r="DK88">
        <v>37866.300000000003</v>
      </c>
      <c r="DL88">
        <v>44305.7</v>
      </c>
      <c r="DM88">
        <v>42434.8</v>
      </c>
      <c r="DN88">
        <v>1.47882</v>
      </c>
      <c r="DO88">
        <v>2.0539999999999998</v>
      </c>
      <c r="DP88">
        <v>0.16686300000000001</v>
      </c>
      <c r="DQ88">
        <v>0.152919</v>
      </c>
      <c r="DR88">
        <v>24.248000000000001</v>
      </c>
      <c r="DS88">
        <v>24.178799999999999</v>
      </c>
      <c r="DT88">
        <v>25.5</v>
      </c>
      <c r="DU88">
        <v>27.5</v>
      </c>
      <c r="DV88">
        <v>9.4871599999999994</v>
      </c>
      <c r="DW88">
        <v>61.725499999999997</v>
      </c>
      <c r="DX88">
        <v>36.185899999999997</v>
      </c>
      <c r="DY88">
        <v>1</v>
      </c>
      <c r="DZ88">
        <v>-0.112165</v>
      </c>
      <c r="EA88">
        <v>0.48076000000000002</v>
      </c>
      <c r="EB88">
        <v>20.190000000000001</v>
      </c>
      <c r="EC88">
        <v>5.2418500000000003</v>
      </c>
      <c r="ED88">
        <v>12.039899999999999</v>
      </c>
      <c r="EE88">
        <v>5.0170000000000003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</v>
      </c>
      <c r="EL88">
        <v>1.8646199999999999</v>
      </c>
      <c r="EM88">
        <v>1.86913</v>
      </c>
      <c r="EN88">
        <v>1.8672200000000001</v>
      </c>
      <c r="EO88">
        <v>1.8633999999999999</v>
      </c>
      <c r="EP88">
        <v>1.8644799999999999</v>
      </c>
      <c r="EQ88">
        <v>1.8701399999999999</v>
      </c>
      <c r="ER88">
        <v>1.8694200000000001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-0.77700000000000002</v>
      </c>
      <c r="FG88">
        <v>0.16769999999999999</v>
      </c>
      <c r="FH88">
        <v>-0.44422204735670362</v>
      </c>
      <c r="FI88">
        <v>-6.1462078757559423E-4</v>
      </c>
      <c r="FJ88">
        <v>-1.8861989874597051E-7</v>
      </c>
      <c r="FK88">
        <v>1.1980462299894961E-10</v>
      </c>
      <c r="FL88">
        <v>0.16773393518503121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22.7</v>
      </c>
      <c r="FU88">
        <v>22.7</v>
      </c>
      <c r="FV88">
        <v>1.77979</v>
      </c>
      <c r="FW88">
        <v>2.5647000000000002</v>
      </c>
      <c r="FX88">
        <v>1.5490699999999999</v>
      </c>
      <c r="FY88">
        <v>2.33521</v>
      </c>
      <c r="FZ88">
        <v>1.50146</v>
      </c>
      <c r="GA88">
        <v>2.2619600000000002</v>
      </c>
      <c r="GB88">
        <v>32.288699999999999</v>
      </c>
      <c r="GC88">
        <v>23.973700000000001</v>
      </c>
      <c r="GD88">
        <v>19</v>
      </c>
      <c r="GE88">
        <v>283.00099999999998</v>
      </c>
      <c r="GF88">
        <v>595.15200000000004</v>
      </c>
      <c r="GG88">
        <v>23.134599999999999</v>
      </c>
      <c r="GH88">
        <v>25.971399999999999</v>
      </c>
      <c r="GI88">
        <v>30</v>
      </c>
      <c r="GJ88">
        <v>26.125800000000002</v>
      </c>
      <c r="GK88">
        <v>26.104800000000001</v>
      </c>
      <c r="GL88">
        <v>35.594000000000001</v>
      </c>
      <c r="GM88">
        <v>-30</v>
      </c>
      <c r="GN88">
        <v>-30</v>
      </c>
      <c r="GO88">
        <v>23.1693</v>
      </c>
      <c r="GP88">
        <v>800</v>
      </c>
      <c r="GQ88">
        <v>12.5298</v>
      </c>
      <c r="GR88">
        <v>99.620900000000006</v>
      </c>
      <c r="GS88">
        <v>99.293199999999999</v>
      </c>
    </row>
    <row r="89" spans="1:201" x14ac:dyDescent="0.25">
      <c r="A89">
        <v>73</v>
      </c>
      <c r="B89">
        <v>1690204495.5</v>
      </c>
      <c r="C89">
        <v>1055.900000095367</v>
      </c>
      <c r="D89" t="s">
        <v>479</v>
      </c>
      <c r="E89" t="s">
        <v>480</v>
      </c>
      <c r="F89" t="s">
        <v>330</v>
      </c>
      <c r="H89">
        <v>1690204495.5</v>
      </c>
      <c r="I89">
        <f t="shared" si="30"/>
        <v>1.5604222458164162E-3</v>
      </c>
      <c r="J89">
        <f t="shared" si="31"/>
        <v>1.5604222458164161</v>
      </c>
      <c r="K89">
        <f t="shared" si="32"/>
        <v>29.297647256100642</v>
      </c>
      <c r="L89">
        <f t="shared" si="33"/>
        <v>487.56200000000001</v>
      </c>
      <c r="M89">
        <f t="shared" si="34"/>
        <v>103.55390690070229</v>
      </c>
      <c r="N89">
        <f t="shared" si="35"/>
        <v>10.268223546902339</v>
      </c>
      <c r="O89">
        <f t="shared" si="36"/>
        <v>48.345791663615607</v>
      </c>
      <c r="P89">
        <f t="shared" si="37"/>
        <v>0.12741219626756786</v>
      </c>
      <c r="Q89">
        <f t="shared" si="38"/>
        <v>2.1928794046205606</v>
      </c>
      <c r="R89">
        <f t="shared" si="39"/>
        <v>0.12343774581767397</v>
      </c>
      <c r="S89">
        <f t="shared" si="40"/>
        <v>7.7495352302112644E-2</v>
      </c>
      <c r="T89">
        <f t="shared" si="41"/>
        <v>276.11552143799997</v>
      </c>
      <c r="U89">
        <f t="shared" si="42"/>
        <v>26.923859796913877</v>
      </c>
      <c r="V89">
        <f t="shared" si="43"/>
        <v>26.923859796913877</v>
      </c>
      <c r="W89">
        <f t="shared" si="44"/>
        <v>3.563185245037257</v>
      </c>
      <c r="X89">
        <f t="shared" si="45"/>
        <v>72.398772390652681</v>
      </c>
      <c r="Y89">
        <f t="shared" si="46"/>
        <v>2.3470458832728598</v>
      </c>
      <c r="Z89">
        <f t="shared" si="47"/>
        <v>3.241831050129635</v>
      </c>
      <c r="AA89">
        <f t="shared" si="48"/>
        <v>1.2161393617643972</v>
      </c>
      <c r="AB89">
        <f t="shared" si="49"/>
        <v>-68.814621040503951</v>
      </c>
      <c r="AC89">
        <f t="shared" si="50"/>
        <v>-189.00940321176117</v>
      </c>
      <c r="AD89">
        <f t="shared" si="51"/>
        <v>-18.439062697291881</v>
      </c>
      <c r="AE89">
        <f t="shared" si="52"/>
        <v>-0.14756551155701914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52629.091132064837</v>
      </c>
      <c r="AK89">
        <f t="shared" si="56"/>
        <v>1800</v>
      </c>
      <c r="AL89">
        <f t="shared" si="57"/>
        <v>1499.1103457999998</v>
      </c>
      <c r="AM89">
        <f t="shared" si="58"/>
        <v>0.83283908099999993</v>
      </c>
      <c r="AN89">
        <f t="shared" si="59"/>
        <v>0.15339751190999998</v>
      </c>
      <c r="AO89">
        <v>31.2</v>
      </c>
      <c r="AP89">
        <v>0.5</v>
      </c>
      <c r="AQ89" t="s">
        <v>331</v>
      </c>
      <c r="AR89">
        <v>2</v>
      </c>
      <c r="AS89">
        <v>1690204495.5</v>
      </c>
      <c r="AT89">
        <v>487.56200000000001</v>
      </c>
      <c r="AU89">
        <v>800.07299999999998</v>
      </c>
      <c r="AV89">
        <v>23.669699999999999</v>
      </c>
      <c r="AW89">
        <v>7.8303399999999996</v>
      </c>
      <c r="AX89">
        <v>488.33699999999999</v>
      </c>
      <c r="AY89">
        <v>23.501899999999999</v>
      </c>
      <c r="AZ89">
        <v>300.09300000000002</v>
      </c>
      <c r="BA89">
        <v>99.058300000000003</v>
      </c>
      <c r="BB89">
        <v>9.9943799999999999E-2</v>
      </c>
      <c r="BC89">
        <v>25.325099999999999</v>
      </c>
      <c r="BD89">
        <v>26.940200000000001</v>
      </c>
      <c r="BE89">
        <v>26.688500000000001</v>
      </c>
      <c r="BF89">
        <v>0</v>
      </c>
      <c r="BG89">
        <v>0</v>
      </c>
      <c r="BH89">
        <v>9991.25</v>
      </c>
      <c r="BI89">
        <v>1059.6099999999999</v>
      </c>
      <c r="BJ89">
        <v>1.68198</v>
      </c>
      <c r="BK89">
        <v>-312.51100000000002</v>
      </c>
      <c r="BL89">
        <v>499.38200000000001</v>
      </c>
      <c r="BM89">
        <v>806.38699999999994</v>
      </c>
      <c r="BN89">
        <v>15.8393</v>
      </c>
      <c r="BO89">
        <v>800.07299999999998</v>
      </c>
      <c r="BP89">
        <v>7.8303399999999996</v>
      </c>
      <c r="BQ89">
        <v>2.3446799999999999</v>
      </c>
      <c r="BR89">
        <v>0.77566000000000002</v>
      </c>
      <c r="BS89">
        <v>19.986699999999999</v>
      </c>
      <c r="BT89">
        <v>3.2694999999999999</v>
      </c>
      <c r="BU89">
        <v>1800</v>
      </c>
      <c r="BV89">
        <v>0.90999200000000002</v>
      </c>
      <c r="BW89">
        <v>3.4007999999999997E-2</v>
      </c>
      <c r="BX89">
        <v>2.19998E-2</v>
      </c>
      <c r="BY89">
        <v>3.4000500000000003E-2</v>
      </c>
      <c r="BZ89">
        <v>25</v>
      </c>
      <c r="CA89">
        <v>33528.300000000003</v>
      </c>
      <c r="CB89">
        <v>1690203121.0999999</v>
      </c>
      <c r="CC89" t="s">
        <v>332</v>
      </c>
      <c r="CD89">
        <v>1690203121.0999999</v>
      </c>
      <c r="CE89">
        <v>1690203121.0999999</v>
      </c>
      <c r="CF89">
        <v>3</v>
      </c>
      <c r="CG89">
        <v>0.53600000000000003</v>
      </c>
      <c r="CH89">
        <v>-0.01</v>
      </c>
      <c r="CI89">
        <v>-0.996</v>
      </c>
      <c r="CJ89">
        <v>-6.6000000000000003E-2</v>
      </c>
      <c r="CK89">
        <v>800</v>
      </c>
      <c r="CL89">
        <v>9</v>
      </c>
      <c r="CM89">
        <v>0.82</v>
      </c>
      <c r="CN89">
        <v>0.01</v>
      </c>
      <c r="CO89">
        <v>-309.53936585365852</v>
      </c>
      <c r="CP89">
        <v>-16.500125435540198</v>
      </c>
      <c r="CQ89">
        <v>1.6271612832663109</v>
      </c>
      <c r="CR89">
        <v>-1</v>
      </c>
      <c r="CS89">
        <v>15.751485365853661</v>
      </c>
      <c r="CT89">
        <v>0.44226689895471721</v>
      </c>
      <c r="CU89">
        <v>4.3882079018803193E-2</v>
      </c>
      <c r="CV89">
        <v>-1</v>
      </c>
      <c r="CW89">
        <v>0</v>
      </c>
      <c r="CX89">
        <v>0</v>
      </c>
      <c r="CY89" t="s">
        <v>333</v>
      </c>
      <c r="CZ89">
        <v>2.3645399999999999</v>
      </c>
      <c r="DA89">
        <v>2.71373</v>
      </c>
      <c r="DB89">
        <v>0.103932</v>
      </c>
      <c r="DC89">
        <v>0.14618200000000001</v>
      </c>
      <c r="DD89">
        <v>0.1129</v>
      </c>
      <c r="DE89">
        <v>4.8893300000000001E-2</v>
      </c>
      <c r="DF89">
        <v>32685.200000000001</v>
      </c>
      <c r="DG89">
        <v>27451.8</v>
      </c>
      <c r="DH89">
        <v>31138.9</v>
      </c>
      <c r="DI89">
        <v>28015</v>
      </c>
      <c r="DJ89">
        <v>37491.300000000003</v>
      </c>
      <c r="DK89">
        <v>37868.699999999997</v>
      </c>
      <c r="DL89">
        <v>44305.599999999999</v>
      </c>
      <c r="DM89">
        <v>42435.7</v>
      </c>
      <c r="DN89">
        <v>1.4791000000000001</v>
      </c>
      <c r="DO89">
        <v>2.0539700000000001</v>
      </c>
      <c r="DP89">
        <v>0.16423699999999999</v>
      </c>
      <c r="DQ89">
        <v>0.15294199999999999</v>
      </c>
      <c r="DR89">
        <v>24.248000000000001</v>
      </c>
      <c r="DS89">
        <v>24.180800000000001</v>
      </c>
      <c r="DT89">
        <v>25.5</v>
      </c>
      <c r="DU89">
        <v>27.5</v>
      </c>
      <c r="DV89">
        <v>9.4871400000000001</v>
      </c>
      <c r="DW89">
        <v>61.655500000000004</v>
      </c>
      <c r="DX89">
        <v>36.682699999999997</v>
      </c>
      <c r="DY89">
        <v>1</v>
      </c>
      <c r="DZ89">
        <v>-0.112805</v>
      </c>
      <c r="EA89">
        <v>0.287435</v>
      </c>
      <c r="EB89">
        <v>20.190999999999999</v>
      </c>
      <c r="EC89">
        <v>5.2413999999999996</v>
      </c>
      <c r="ED89">
        <v>12.039899999999999</v>
      </c>
      <c r="EE89">
        <v>5.01715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</v>
      </c>
      <c r="EL89">
        <v>1.8646199999999999</v>
      </c>
      <c r="EM89">
        <v>1.86914</v>
      </c>
      <c r="EN89">
        <v>1.8672200000000001</v>
      </c>
      <c r="EO89">
        <v>1.8633999999999999</v>
      </c>
      <c r="EP89">
        <v>1.8644700000000001</v>
      </c>
      <c r="EQ89">
        <v>1.8701399999999999</v>
      </c>
      <c r="ER89">
        <v>1.86941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-0.77500000000000002</v>
      </c>
      <c r="FG89">
        <v>0.1678</v>
      </c>
      <c r="FH89">
        <v>-0.44422204735670362</v>
      </c>
      <c r="FI89">
        <v>-6.1462078757559423E-4</v>
      </c>
      <c r="FJ89">
        <v>-1.8861989874597051E-7</v>
      </c>
      <c r="FK89">
        <v>1.1980462299894961E-10</v>
      </c>
      <c r="FL89">
        <v>0.16773393518503121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22.9</v>
      </c>
      <c r="FU89">
        <v>22.9</v>
      </c>
      <c r="FV89">
        <v>1.77979</v>
      </c>
      <c r="FW89">
        <v>2.5549300000000001</v>
      </c>
      <c r="FX89">
        <v>1.5490699999999999</v>
      </c>
      <c r="FY89">
        <v>2.33521</v>
      </c>
      <c r="FZ89">
        <v>1.50146</v>
      </c>
      <c r="GA89">
        <v>2.3925800000000002</v>
      </c>
      <c r="GB89">
        <v>32.288699999999999</v>
      </c>
      <c r="GC89">
        <v>23.991199999999999</v>
      </c>
      <c r="GD89">
        <v>19</v>
      </c>
      <c r="GE89">
        <v>283.09800000000001</v>
      </c>
      <c r="GF89">
        <v>595.09299999999996</v>
      </c>
      <c r="GG89">
        <v>23.1782</v>
      </c>
      <c r="GH89">
        <v>25.965399999999999</v>
      </c>
      <c r="GI89">
        <v>29.9999</v>
      </c>
      <c r="GJ89">
        <v>26.121400000000001</v>
      </c>
      <c r="GK89">
        <v>26.101600000000001</v>
      </c>
      <c r="GL89">
        <v>35.591200000000001</v>
      </c>
      <c r="GM89">
        <v>-30</v>
      </c>
      <c r="GN89">
        <v>-30</v>
      </c>
      <c r="GO89">
        <v>23.221399999999999</v>
      </c>
      <c r="GP89">
        <v>800</v>
      </c>
      <c r="GQ89">
        <v>12.5298</v>
      </c>
      <c r="GR89">
        <v>99.620599999999996</v>
      </c>
      <c r="GS89">
        <v>99.295400000000001</v>
      </c>
    </row>
    <row r="90" spans="1:201" x14ac:dyDescent="0.25">
      <c r="A90">
        <v>74</v>
      </c>
      <c r="B90">
        <v>1690204505.5</v>
      </c>
      <c r="C90">
        <v>1065.900000095367</v>
      </c>
      <c r="D90" t="s">
        <v>481</v>
      </c>
      <c r="E90" t="s">
        <v>482</v>
      </c>
      <c r="F90" t="s">
        <v>330</v>
      </c>
      <c r="H90">
        <v>1690204505.5</v>
      </c>
      <c r="I90">
        <f t="shared" si="30"/>
        <v>1.5734575860949125E-3</v>
      </c>
      <c r="J90">
        <f t="shared" si="31"/>
        <v>1.5734575860949125</v>
      </c>
      <c r="K90">
        <f t="shared" si="32"/>
        <v>29.584737652290087</v>
      </c>
      <c r="L90">
        <f t="shared" si="33"/>
        <v>484.71</v>
      </c>
      <c r="M90">
        <f t="shared" si="34"/>
        <v>103.11092576218218</v>
      </c>
      <c r="N90">
        <f t="shared" si="35"/>
        <v>10.224371544549637</v>
      </c>
      <c r="O90">
        <f t="shared" si="36"/>
        <v>48.063336593339997</v>
      </c>
      <c r="P90">
        <f t="shared" si="37"/>
        <v>0.12951640293729949</v>
      </c>
      <c r="Q90">
        <f t="shared" si="38"/>
        <v>2.1927331103504635</v>
      </c>
      <c r="R90">
        <f t="shared" si="39"/>
        <v>0.12541160423833747</v>
      </c>
      <c r="S90">
        <f t="shared" si="40"/>
        <v>7.8740215394278418E-2</v>
      </c>
      <c r="T90">
        <f t="shared" si="41"/>
        <v>276.11371418839911</v>
      </c>
      <c r="U90">
        <f t="shared" si="42"/>
        <v>26.93269070325389</v>
      </c>
      <c r="V90">
        <f t="shared" si="43"/>
        <v>26.93269070325389</v>
      </c>
      <c r="W90">
        <f t="shared" si="44"/>
        <v>3.5650347997930911</v>
      </c>
      <c r="X90">
        <f t="shared" si="45"/>
        <v>72.682954333424703</v>
      </c>
      <c r="Y90">
        <f t="shared" si="46"/>
        <v>2.3581090009693999</v>
      </c>
      <c r="Z90">
        <f t="shared" si="47"/>
        <v>3.2443769279821035</v>
      </c>
      <c r="AA90">
        <f t="shared" si="48"/>
        <v>1.2069257988236912</v>
      </c>
      <c r="AB90">
        <f t="shared" si="49"/>
        <v>-69.389479546785637</v>
      </c>
      <c r="AC90">
        <f t="shared" si="50"/>
        <v>-188.48030298727161</v>
      </c>
      <c r="AD90">
        <f t="shared" si="51"/>
        <v>-18.390703266174793</v>
      </c>
      <c r="AE90">
        <f t="shared" si="52"/>
        <v>-0.14677161183294629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52620.76477893415</v>
      </c>
      <c r="AK90">
        <f t="shared" si="56"/>
        <v>1799.99</v>
      </c>
      <c r="AL90">
        <f t="shared" si="57"/>
        <v>1499.10149181211</v>
      </c>
      <c r="AM90">
        <f t="shared" si="58"/>
        <v>0.83283878899999997</v>
      </c>
      <c r="AN90">
        <f t="shared" si="59"/>
        <v>0.15339736009000002</v>
      </c>
      <c r="AO90">
        <v>31.2</v>
      </c>
      <c r="AP90">
        <v>0.5</v>
      </c>
      <c r="AQ90" t="s">
        <v>331</v>
      </c>
      <c r="AR90">
        <v>2</v>
      </c>
      <c r="AS90">
        <v>1690204505.5</v>
      </c>
      <c r="AT90">
        <v>484.71</v>
      </c>
      <c r="AU90">
        <v>799.99199999999996</v>
      </c>
      <c r="AV90">
        <v>23.781099999999999</v>
      </c>
      <c r="AW90">
        <v>7.8230500000000003</v>
      </c>
      <c r="AX90">
        <v>485.48399999999998</v>
      </c>
      <c r="AY90">
        <v>23.613299999999999</v>
      </c>
      <c r="AZ90">
        <v>300.315</v>
      </c>
      <c r="BA90">
        <v>99.058899999999994</v>
      </c>
      <c r="BB90">
        <v>0.100054</v>
      </c>
      <c r="BC90">
        <v>25.3383</v>
      </c>
      <c r="BD90">
        <v>26.977399999999999</v>
      </c>
      <c r="BE90">
        <v>26.6873</v>
      </c>
      <c r="BF90">
        <v>0</v>
      </c>
      <c r="BG90">
        <v>0</v>
      </c>
      <c r="BH90">
        <v>9990</v>
      </c>
      <c r="BI90">
        <v>1059.76</v>
      </c>
      <c r="BJ90">
        <v>1.68198</v>
      </c>
      <c r="BK90">
        <v>-315.28199999999998</v>
      </c>
      <c r="BL90">
        <v>496.51799999999997</v>
      </c>
      <c r="BM90">
        <v>806.3</v>
      </c>
      <c r="BN90">
        <v>15.958</v>
      </c>
      <c r="BO90">
        <v>799.99199999999996</v>
      </c>
      <c r="BP90">
        <v>7.8230500000000003</v>
      </c>
      <c r="BQ90">
        <v>2.3557299999999999</v>
      </c>
      <c r="BR90">
        <v>0.77494200000000002</v>
      </c>
      <c r="BS90">
        <v>20.0626</v>
      </c>
      <c r="BT90">
        <v>3.2564099999999998</v>
      </c>
      <c r="BU90">
        <v>1799.99</v>
      </c>
      <c r="BV90">
        <v>0.90999399999999997</v>
      </c>
      <c r="BW90">
        <v>3.4007000000000003E-2</v>
      </c>
      <c r="BX90">
        <v>2.19992E-2</v>
      </c>
      <c r="BY90">
        <v>3.3999500000000002E-2</v>
      </c>
      <c r="BZ90">
        <v>25</v>
      </c>
      <c r="CA90">
        <v>33528.199999999997</v>
      </c>
      <c r="CB90">
        <v>1690203121.0999999</v>
      </c>
      <c r="CC90" t="s">
        <v>332</v>
      </c>
      <c r="CD90">
        <v>1690203121.0999999</v>
      </c>
      <c r="CE90">
        <v>1690203121.0999999</v>
      </c>
      <c r="CF90">
        <v>3</v>
      </c>
      <c r="CG90">
        <v>0.53600000000000003</v>
      </c>
      <c r="CH90">
        <v>-0.01</v>
      </c>
      <c r="CI90">
        <v>-0.996</v>
      </c>
      <c r="CJ90">
        <v>-6.6000000000000003E-2</v>
      </c>
      <c r="CK90">
        <v>800</v>
      </c>
      <c r="CL90">
        <v>9</v>
      </c>
      <c r="CM90">
        <v>0.82</v>
      </c>
      <c r="CN90">
        <v>0.01</v>
      </c>
      <c r="CO90">
        <v>-312.04309756097558</v>
      </c>
      <c r="CP90">
        <v>-16.920752613240481</v>
      </c>
      <c r="CQ90">
        <v>1.668820363345322</v>
      </c>
      <c r="CR90">
        <v>-1</v>
      </c>
      <c r="CS90">
        <v>15.828846341463411</v>
      </c>
      <c r="CT90">
        <v>0.59983693379792868</v>
      </c>
      <c r="CU90">
        <v>5.938464570199687E-2</v>
      </c>
      <c r="CV90">
        <v>-1</v>
      </c>
      <c r="CW90">
        <v>0</v>
      </c>
      <c r="CX90">
        <v>0</v>
      </c>
      <c r="CY90" t="s">
        <v>333</v>
      </c>
      <c r="CZ90">
        <v>2.3653</v>
      </c>
      <c r="DA90">
        <v>2.7138399999999998</v>
      </c>
      <c r="DB90">
        <v>0.103489</v>
      </c>
      <c r="DC90">
        <v>0.146174</v>
      </c>
      <c r="DD90">
        <v>0.113277</v>
      </c>
      <c r="DE90">
        <v>4.8857999999999999E-2</v>
      </c>
      <c r="DF90">
        <v>32701.9</v>
      </c>
      <c r="DG90">
        <v>27452.400000000001</v>
      </c>
      <c r="DH90">
        <v>31139.4</v>
      </c>
      <c r="DI90">
        <v>28015.3</v>
      </c>
      <c r="DJ90">
        <v>37475.800000000003</v>
      </c>
      <c r="DK90">
        <v>37870.5</v>
      </c>
      <c r="DL90">
        <v>44306.3</v>
      </c>
      <c r="DM90">
        <v>42436.2</v>
      </c>
      <c r="DN90">
        <v>1.4794</v>
      </c>
      <c r="DO90">
        <v>2.0537000000000001</v>
      </c>
      <c r="DP90">
        <v>0.16650899999999999</v>
      </c>
      <c r="DQ90">
        <v>0.15287100000000001</v>
      </c>
      <c r="DR90">
        <v>24.248000000000001</v>
      </c>
      <c r="DS90">
        <v>24.180800000000001</v>
      </c>
      <c r="DT90">
        <v>25.5</v>
      </c>
      <c r="DU90">
        <v>27.5</v>
      </c>
      <c r="DV90">
        <v>9.4875500000000006</v>
      </c>
      <c r="DW90">
        <v>61.645499999999998</v>
      </c>
      <c r="DX90">
        <v>35.837299999999999</v>
      </c>
      <c r="DY90">
        <v>1</v>
      </c>
      <c r="DZ90">
        <v>-0.113803</v>
      </c>
      <c r="EA90">
        <v>0.15532399999999999</v>
      </c>
      <c r="EB90">
        <v>20.191500000000001</v>
      </c>
      <c r="EC90">
        <v>5.2421499999999996</v>
      </c>
      <c r="ED90">
        <v>12.039899999999999</v>
      </c>
      <c r="EE90">
        <v>5.0177500000000004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1.8689100000000001</v>
      </c>
      <c r="EL90">
        <v>1.8646199999999999</v>
      </c>
      <c r="EM90">
        <v>1.86917</v>
      </c>
      <c r="EN90">
        <v>1.8672200000000001</v>
      </c>
      <c r="EO90">
        <v>1.8633900000000001</v>
      </c>
      <c r="EP90">
        <v>1.8644700000000001</v>
      </c>
      <c r="EQ90">
        <v>1.8701399999999999</v>
      </c>
      <c r="ER90">
        <v>1.8693900000000001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-0.77400000000000002</v>
      </c>
      <c r="FG90">
        <v>0.1678</v>
      </c>
      <c r="FH90">
        <v>-0.44422204735670362</v>
      </c>
      <c r="FI90">
        <v>-6.1462078757559423E-4</v>
      </c>
      <c r="FJ90">
        <v>-1.8861989874597051E-7</v>
      </c>
      <c r="FK90">
        <v>1.1980462299894961E-10</v>
      </c>
      <c r="FL90">
        <v>0.16773393518503121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23.1</v>
      </c>
      <c r="FU90">
        <v>23.1</v>
      </c>
      <c r="FV90">
        <v>1.77979</v>
      </c>
      <c r="FW90">
        <v>2.5622600000000002</v>
      </c>
      <c r="FX90">
        <v>1.5490699999999999</v>
      </c>
      <c r="FY90">
        <v>2.33521</v>
      </c>
      <c r="FZ90">
        <v>1.50146</v>
      </c>
      <c r="GA90">
        <v>2.2875999999999999</v>
      </c>
      <c r="GB90">
        <v>32.288699999999999</v>
      </c>
      <c r="GC90">
        <v>23.982399999999998</v>
      </c>
      <c r="GD90">
        <v>19</v>
      </c>
      <c r="GE90">
        <v>283.20699999999999</v>
      </c>
      <c r="GF90">
        <v>594.822</v>
      </c>
      <c r="GG90">
        <v>23.267099999999999</v>
      </c>
      <c r="GH90">
        <v>25.959900000000001</v>
      </c>
      <c r="GI90">
        <v>29.999500000000001</v>
      </c>
      <c r="GJ90">
        <v>26.117100000000001</v>
      </c>
      <c r="GK90">
        <v>26.098099999999999</v>
      </c>
      <c r="GL90">
        <v>35.592500000000001</v>
      </c>
      <c r="GM90">
        <v>-30</v>
      </c>
      <c r="GN90">
        <v>-30</v>
      </c>
      <c r="GO90">
        <v>23.306899999999999</v>
      </c>
      <c r="GP90">
        <v>800</v>
      </c>
      <c r="GQ90">
        <v>12.5298</v>
      </c>
      <c r="GR90">
        <v>99.622200000000007</v>
      </c>
      <c r="GS90">
        <v>99.296499999999995</v>
      </c>
    </row>
    <row r="91" spans="1:201" x14ac:dyDescent="0.25">
      <c r="A91">
        <v>75</v>
      </c>
      <c r="B91">
        <v>1690204515.5</v>
      </c>
      <c r="C91">
        <v>1075.900000095367</v>
      </c>
      <c r="D91" t="s">
        <v>483</v>
      </c>
      <c r="E91" t="s">
        <v>484</v>
      </c>
      <c r="F91" t="s">
        <v>330</v>
      </c>
      <c r="H91">
        <v>1690204515.5</v>
      </c>
      <c r="I91">
        <f t="shared" si="30"/>
        <v>1.5841449965956962E-3</v>
      </c>
      <c r="J91">
        <f t="shared" si="31"/>
        <v>1.5841449965956962</v>
      </c>
      <c r="K91">
        <f t="shared" si="32"/>
        <v>29.814189666628284</v>
      </c>
      <c r="L91">
        <f t="shared" si="33"/>
        <v>482.029</v>
      </c>
      <c r="M91">
        <f t="shared" si="34"/>
        <v>103.06925390802699</v>
      </c>
      <c r="N91">
        <f t="shared" si="35"/>
        <v>10.220118043033892</v>
      </c>
      <c r="O91">
        <f t="shared" si="36"/>
        <v>47.796923848518496</v>
      </c>
      <c r="P91">
        <f t="shared" si="37"/>
        <v>0.13147215503427856</v>
      </c>
      <c r="Q91">
        <f t="shared" si="38"/>
        <v>2.1930269223456285</v>
      </c>
      <c r="R91">
        <f t="shared" si="39"/>
        <v>0.12724517639859639</v>
      </c>
      <c r="S91">
        <f t="shared" si="40"/>
        <v>7.9896691441741108E-2</v>
      </c>
      <c r="T91">
        <f t="shared" si="41"/>
        <v>276.11362463889657</v>
      </c>
      <c r="U91">
        <f t="shared" si="42"/>
        <v>26.941043393623552</v>
      </c>
      <c r="V91">
        <f t="shared" si="43"/>
        <v>26.941043393623552</v>
      </c>
      <c r="W91">
        <f t="shared" si="44"/>
        <v>3.5667849676500043</v>
      </c>
      <c r="X91">
        <f t="shared" si="45"/>
        <v>72.973881689852817</v>
      </c>
      <c r="Y91">
        <f t="shared" si="46"/>
        <v>2.36926599591335</v>
      </c>
      <c r="Z91">
        <f t="shared" si="47"/>
        <v>3.2467314894704331</v>
      </c>
      <c r="AA91">
        <f t="shared" si="48"/>
        <v>1.1975189717366543</v>
      </c>
      <c r="AB91">
        <f t="shared" si="49"/>
        <v>-69.860794349870204</v>
      </c>
      <c r="AC91">
        <f t="shared" si="50"/>
        <v>-188.05068890773617</v>
      </c>
      <c r="AD91">
        <f t="shared" si="51"/>
        <v>-18.348216190036908</v>
      </c>
      <c r="AE91">
        <f t="shared" si="52"/>
        <v>-0.14607480874673229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52630.660920827337</v>
      </c>
      <c r="AK91">
        <f t="shared" si="56"/>
        <v>1799.99</v>
      </c>
      <c r="AL91">
        <f t="shared" si="57"/>
        <v>1499.1017798105097</v>
      </c>
      <c r="AM91">
        <f t="shared" si="58"/>
        <v>0.83283894899999988</v>
      </c>
      <c r="AN91">
        <f t="shared" si="59"/>
        <v>0.15339731033999998</v>
      </c>
      <c r="AO91">
        <v>31.2</v>
      </c>
      <c r="AP91">
        <v>0.5</v>
      </c>
      <c r="AQ91" t="s">
        <v>331</v>
      </c>
      <c r="AR91">
        <v>2</v>
      </c>
      <c r="AS91">
        <v>1690204515.5</v>
      </c>
      <c r="AT91">
        <v>482.029</v>
      </c>
      <c r="AU91">
        <v>799.98400000000004</v>
      </c>
      <c r="AV91">
        <v>23.893899999999999</v>
      </c>
      <c r="AW91">
        <v>7.8151799999999998</v>
      </c>
      <c r="AX91">
        <v>482.80099999999999</v>
      </c>
      <c r="AY91">
        <v>23.726199999999999</v>
      </c>
      <c r="AZ91">
        <v>300.05099999999999</v>
      </c>
      <c r="BA91">
        <v>99.0578</v>
      </c>
      <c r="BB91">
        <v>9.9976499999999996E-2</v>
      </c>
      <c r="BC91">
        <v>25.3505</v>
      </c>
      <c r="BD91">
        <v>26.951599999999999</v>
      </c>
      <c r="BE91">
        <v>26.690899999999999</v>
      </c>
      <c r="BF91">
        <v>0</v>
      </c>
      <c r="BG91">
        <v>0</v>
      </c>
      <c r="BH91">
        <v>9992.5</v>
      </c>
      <c r="BI91">
        <v>1059.94</v>
      </c>
      <c r="BJ91">
        <v>1.68198</v>
      </c>
      <c r="BK91">
        <v>-317.95499999999998</v>
      </c>
      <c r="BL91">
        <v>493.82900000000001</v>
      </c>
      <c r="BM91">
        <v>806.28599999999994</v>
      </c>
      <c r="BN91">
        <v>16.078700000000001</v>
      </c>
      <c r="BO91">
        <v>799.98400000000004</v>
      </c>
      <c r="BP91">
        <v>7.8151799999999998</v>
      </c>
      <c r="BQ91">
        <v>2.3668800000000001</v>
      </c>
      <c r="BR91">
        <v>0.77415400000000001</v>
      </c>
      <c r="BS91">
        <v>20.1389</v>
      </c>
      <c r="BT91">
        <v>3.2420200000000001</v>
      </c>
      <c r="BU91">
        <v>1799.99</v>
      </c>
      <c r="BV91">
        <v>0.90999600000000003</v>
      </c>
      <c r="BW91">
        <v>3.40062E-2</v>
      </c>
      <c r="BX91">
        <v>2.19987E-2</v>
      </c>
      <c r="BY91">
        <v>3.3998800000000003E-2</v>
      </c>
      <c r="BZ91">
        <v>25</v>
      </c>
      <c r="CA91">
        <v>33528.199999999997</v>
      </c>
      <c r="CB91">
        <v>1690203121.0999999</v>
      </c>
      <c r="CC91" t="s">
        <v>332</v>
      </c>
      <c r="CD91">
        <v>1690203121.0999999</v>
      </c>
      <c r="CE91">
        <v>1690203121.0999999</v>
      </c>
      <c r="CF91">
        <v>3</v>
      </c>
      <c r="CG91">
        <v>0.53600000000000003</v>
      </c>
      <c r="CH91">
        <v>-0.01</v>
      </c>
      <c r="CI91">
        <v>-0.996</v>
      </c>
      <c r="CJ91">
        <v>-6.6000000000000003E-2</v>
      </c>
      <c r="CK91">
        <v>800</v>
      </c>
      <c r="CL91">
        <v>9</v>
      </c>
      <c r="CM91">
        <v>0.82</v>
      </c>
      <c r="CN91">
        <v>0.01</v>
      </c>
      <c r="CO91">
        <v>-315.01350000000002</v>
      </c>
      <c r="CP91">
        <v>-16.271234521574701</v>
      </c>
      <c r="CQ91">
        <v>1.566270442803539</v>
      </c>
      <c r="CR91">
        <v>-1</v>
      </c>
      <c r="CS91">
        <v>15.9485475</v>
      </c>
      <c r="CT91">
        <v>0.72277936210126603</v>
      </c>
      <c r="CU91">
        <v>6.9547523275455408E-2</v>
      </c>
      <c r="CV91">
        <v>-1</v>
      </c>
      <c r="CW91">
        <v>0</v>
      </c>
      <c r="CX91">
        <v>0</v>
      </c>
      <c r="CY91" t="s">
        <v>333</v>
      </c>
      <c r="CZ91">
        <v>2.36443</v>
      </c>
      <c r="DA91">
        <v>2.7137600000000002</v>
      </c>
      <c r="DB91">
        <v>0.10306800000000001</v>
      </c>
      <c r="DC91">
        <v>0.146172</v>
      </c>
      <c r="DD91">
        <v>0.11365500000000001</v>
      </c>
      <c r="DE91">
        <v>4.8818800000000002E-2</v>
      </c>
      <c r="DF91">
        <v>32717.8</v>
      </c>
      <c r="DG91">
        <v>27452.9</v>
      </c>
      <c r="DH91">
        <v>31139.9</v>
      </c>
      <c r="DI91">
        <v>28015.7</v>
      </c>
      <c r="DJ91">
        <v>37460.1</v>
      </c>
      <c r="DK91">
        <v>37872.800000000003</v>
      </c>
      <c r="DL91">
        <v>44307.1</v>
      </c>
      <c r="DM91">
        <v>42436.9</v>
      </c>
      <c r="DN91">
        <v>1.4796800000000001</v>
      </c>
      <c r="DO91">
        <v>2.0542199999999999</v>
      </c>
      <c r="DP91">
        <v>0.16506000000000001</v>
      </c>
      <c r="DQ91">
        <v>0.15321699999999999</v>
      </c>
      <c r="DR91">
        <v>24.245999999999999</v>
      </c>
      <c r="DS91">
        <v>24.178799999999999</v>
      </c>
      <c r="DT91">
        <v>25.4</v>
      </c>
      <c r="DU91">
        <v>27.5</v>
      </c>
      <c r="DV91">
        <v>9.4510799999999993</v>
      </c>
      <c r="DW91">
        <v>61.455500000000001</v>
      </c>
      <c r="DX91">
        <v>37.071300000000001</v>
      </c>
      <c r="DY91">
        <v>1</v>
      </c>
      <c r="DZ91">
        <v>-0.11405</v>
      </c>
      <c r="EA91">
        <v>0.19517999999999999</v>
      </c>
      <c r="EB91">
        <v>20.191400000000002</v>
      </c>
      <c r="EC91">
        <v>5.2418500000000003</v>
      </c>
      <c r="ED91">
        <v>12.039899999999999</v>
      </c>
      <c r="EE91">
        <v>5.0172499999999998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</v>
      </c>
      <c r="EL91">
        <v>1.8646199999999999</v>
      </c>
      <c r="EM91">
        <v>1.8691500000000001</v>
      </c>
      <c r="EN91">
        <v>1.8672200000000001</v>
      </c>
      <c r="EO91">
        <v>1.8633999999999999</v>
      </c>
      <c r="EP91">
        <v>1.8644700000000001</v>
      </c>
      <c r="EQ91">
        <v>1.8701300000000001</v>
      </c>
      <c r="ER91">
        <v>1.8693900000000001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-0.77200000000000002</v>
      </c>
      <c r="FG91">
        <v>0.16769999999999999</v>
      </c>
      <c r="FH91">
        <v>-0.44422204735670362</v>
      </c>
      <c r="FI91">
        <v>-6.1462078757559423E-4</v>
      </c>
      <c r="FJ91">
        <v>-1.8861989874597051E-7</v>
      </c>
      <c r="FK91">
        <v>1.1980462299894961E-10</v>
      </c>
      <c r="FL91">
        <v>0.16773393518503121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23.2</v>
      </c>
      <c r="FU91">
        <v>23.2</v>
      </c>
      <c r="FV91">
        <v>1.77979</v>
      </c>
      <c r="FW91">
        <v>2.5549300000000001</v>
      </c>
      <c r="FX91">
        <v>1.5490699999999999</v>
      </c>
      <c r="FY91">
        <v>2.33521</v>
      </c>
      <c r="FZ91">
        <v>1.50146</v>
      </c>
      <c r="GA91">
        <v>2.3864700000000001</v>
      </c>
      <c r="GB91">
        <v>32.288699999999999</v>
      </c>
      <c r="GC91">
        <v>23.991199999999999</v>
      </c>
      <c r="GD91">
        <v>19</v>
      </c>
      <c r="GE91">
        <v>283.31</v>
      </c>
      <c r="GF91">
        <v>595.221</v>
      </c>
      <c r="GG91">
        <v>23.338699999999999</v>
      </c>
      <c r="GH91">
        <v>25.9544</v>
      </c>
      <c r="GI91">
        <v>29.9999</v>
      </c>
      <c r="GJ91">
        <v>26.113800000000001</v>
      </c>
      <c r="GK91">
        <v>26.0945</v>
      </c>
      <c r="GL91">
        <v>35.592700000000001</v>
      </c>
      <c r="GM91">
        <v>-30</v>
      </c>
      <c r="GN91">
        <v>-30</v>
      </c>
      <c r="GO91">
        <v>23.355699999999999</v>
      </c>
      <c r="GP91">
        <v>800</v>
      </c>
      <c r="GQ91">
        <v>12.5298</v>
      </c>
      <c r="GR91">
        <v>99.623999999999995</v>
      </c>
      <c r="GS91">
        <v>99.298199999999994</v>
      </c>
    </row>
    <row r="92" spans="1:201" x14ac:dyDescent="0.25">
      <c r="A92">
        <v>76</v>
      </c>
      <c r="B92">
        <v>1690204525.5</v>
      </c>
      <c r="C92">
        <v>1085.900000095367</v>
      </c>
      <c r="D92" t="s">
        <v>485</v>
      </c>
      <c r="E92" t="s">
        <v>486</v>
      </c>
      <c r="F92" t="s">
        <v>330</v>
      </c>
      <c r="H92">
        <v>1690204525.5</v>
      </c>
      <c r="I92">
        <f t="shared" si="30"/>
        <v>1.5961183515089518E-3</v>
      </c>
      <c r="J92">
        <f t="shared" si="31"/>
        <v>1.5961183515089519</v>
      </c>
      <c r="K92">
        <f t="shared" si="32"/>
        <v>30.083632282866173</v>
      </c>
      <c r="L92">
        <f t="shared" si="33"/>
        <v>479.43799999999999</v>
      </c>
      <c r="M92">
        <f t="shared" si="34"/>
        <v>102.48076571979391</v>
      </c>
      <c r="N92">
        <f t="shared" si="35"/>
        <v>10.162044789003751</v>
      </c>
      <c r="O92">
        <f t="shared" si="36"/>
        <v>47.541315634504002</v>
      </c>
      <c r="P92">
        <f t="shared" si="37"/>
        <v>0.13340491482079805</v>
      </c>
      <c r="Q92">
        <f t="shared" si="38"/>
        <v>2.1931366534415844</v>
      </c>
      <c r="R92">
        <f t="shared" si="39"/>
        <v>0.12905516466714131</v>
      </c>
      <c r="S92">
        <f t="shared" si="40"/>
        <v>8.1038470986565803E-2</v>
      </c>
      <c r="T92">
        <f t="shared" si="41"/>
        <v>276.11506969200002</v>
      </c>
      <c r="U92">
        <f t="shared" si="42"/>
        <v>26.95128996502174</v>
      </c>
      <c r="V92">
        <f t="shared" si="43"/>
        <v>26.95128996502174</v>
      </c>
      <c r="W92">
        <f t="shared" si="44"/>
        <v>3.5689329912756014</v>
      </c>
      <c r="X92">
        <f t="shared" si="45"/>
        <v>73.221032192342776</v>
      </c>
      <c r="Y92">
        <f t="shared" si="46"/>
        <v>2.3793266413076002</v>
      </c>
      <c r="Z92">
        <f t="shared" si="47"/>
        <v>3.2495125649927985</v>
      </c>
      <c r="AA92">
        <f t="shared" si="48"/>
        <v>1.1896063499680012</v>
      </c>
      <c r="AB92">
        <f t="shared" si="49"/>
        <v>-70.388819301544771</v>
      </c>
      <c r="AC92">
        <f t="shared" si="50"/>
        <v>-187.56901190467227</v>
      </c>
      <c r="AD92">
        <f t="shared" si="51"/>
        <v>-18.302564047598043</v>
      </c>
      <c r="AE92">
        <f t="shared" si="52"/>
        <v>-0.14532556181504219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52632.687853550553</v>
      </c>
      <c r="AK92">
        <f t="shared" si="56"/>
        <v>1800</v>
      </c>
      <c r="AL92">
        <f t="shared" si="57"/>
        <v>1499.1103871999999</v>
      </c>
      <c r="AM92">
        <f t="shared" si="58"/>
        <v>0.83283910399999994</v>
      </c>
      <c r="AN92">
        <f t="shared" si="59"/>
        <v>0.15339726094</v>
      </c>
      <c r="AO92">
        <v>31.2</v>
      </c>
      <c r="AP92">
        <v>0.5</v>
      </c>
      <c r="AQ92" t="s">
        <v>331</v>
      </c>
      <c r="AR92">
        <v>2</v>
      </c>
      <c r="AS92">
        <v>1690204525.5</v>
      </c>
      <c r="AT92">
        <v>479.43799999999999</v>
      </c>
      <c r="AU92">
        <v>799.99699999999996</v>
      </c>
      <c r="AV92">
        <v>23.994700000000002</v>
      </c>
      <c r="AW92">
        <v>7.8069699999999997</v>
      </c>
      <c r="AX92">
        <v>480.20800000000003</v>
      </c>
      <c r="AY92">
        <v>23.827000000000002</v>
      </c>
      <c r="AZ92">
        <v>300.25200000000001</v>
      </c>
      <c r="BA92">
        <v>99.060500000000005</v>
      </c>
      <c r="BB92">
        <v>0.100008</v>
      </c>
      <c r="BC92">
        <v>25.364899999999999</v>
      </c>
      <c r="BD92">
        <v>26.924199999999999</v>
      </c>
      <c r="BE92">
        <v>26.725300000000001</v>
      </c>
      <c r="BF92">
        <v>0</v>
      </c>
      <c r="BG92">
        <v>0</v>
      </c>
      <c r="BH92">
        <v>9993.1200000000008</v>
      </c>
      <c r="BI92">
        <v>1060.06</v>
      </c>
      <c r="BJ92">
        <v>1.68198</v>
      </c>
      <c r="BK92">
        <v>-320.55900000000003</v>
      </c>
      <c r="BL92">
        <v>491.22500000000002</v>
      </c>
      <c r="BM92">
        <v>806.29200000000003</v>
      </c>
      <c r="BN92">
        <v>16.187799999999999</v>
      </c>
      <c r="BO92">
        <v>799.99699999999996</v>
      </c>
      <c r="BP92">
        <v>7.8069699999999997</v>
      </c>
      <c r="BQ92">
        <v>2.3769300000000002</v>
      </c>
      <c r="BR92">
        <v>0.77336199999999999</v>
      </c>
      <c r="BS92">
        <v>20.2075</v>
      </c>
      <c r="BT92">
        <v>3.2275399999999999</v>
      </c>
      <c r="BU92">
        <v>1800</v>
      </c>
      <c r="BV92">
        <v>0.90999799999999997</v>
      </c>
      <c r="BW92">
        <v>3.4005500000000001E-2</v>
      </c>
      <c r="BX92">
        <v>2.1998199999999999E-2</v>
      </c>
      <c r="BY92">
        <v>3.3998E-2</v>
      </c>
      <c r="BZ92">
        <v>25</v>
      </c>
      <c r="CA92">
        <v>33528.300000000003</v>
      </c>
      <c r="CB92">
        <v>1690203121.0999999</v>
      </c>
      <c r="CC92" t="s">
        <v>332</v>
      </c>
      <c r="CD92">
        <v>1690203121.0999999</v>
      </c>
      <c r="CE92">
        <v>1690203121.0999999</v>
      </c>
      <c r="CF92">
        <v>3</v>
      </c>
      <c r="CG92">
        <v>0.53600000000000003</v>
      </c>
      <c r="CH92">
        <v>-0.01</v>
      </c>
      <c r="CI92">
        <v>-0.996</v>
      </c>
      <c r="CJ92">
        <v>-6.6000000000000003E-2</v>
      </c>
      <c r="CK92">
        <v>800</v>
      </c>
      <c r="CL92">
        <v>9</v>
      </c>
      <c r="CM92">
        <v>0.82</v>
      </c>
      <c r="CN92">
        <v>0.01</v>
      </c>
      <c r="CO92">
        <v>-317.79934146341458</v>
      </c>
      <c r="CP92">
        <v>-16.297651567945429</v>
      </c>
      <c r="CQ92">
        <v>1.6084050819967539</v>
      </c>
      <c r="CR92">
        <v>-1</v>
      </c>
      <c r="CS92">
        <v>16.07057804878049</v>
      </c>
      <c r="CT92">
        <v>0.69400766550522375</v>
      </c>
      <c r="CU92">
        <v>6.845462628345414E-2</v>
      </c>
      <c r="CV92">
        <v>-1</v>
      </c>
      <c r="CW92">
        <v>0</v>
      </c>
      <c r="CX92">
        <v>0</v>
      </c>
      <c r="CY92" t="s">
        <v>333</v>
      </c>
      <c r="CZ92">
        <v>2.3650799999999998</v>
      </c>
      <c r="DA92">
        <v>2.7137899999999999</v>
      </c>
      <c r="DB92">
        <v>0.10266599999999999</v>
      </c>
      <c r="DC92">
        <v>0.146179</v>
      </c>
      <c r="DD92">
        <v>0.113998</v>
      </c>
      <c r="DE92">
        <v>4.87801E-2</v>
      </c>
      <c r="DF92">
        <v>32732.5</v>
      </c>
      <c r="DG92">
        <v>27453.1</v>
      </c>
      <c r="DH92">
        <v>31139.9</v>
      </c>
      <c r="DI92">
        <v>28016.1</v>
      </c>
      <c r="DJ92">
        <v>37445.300000000003</v>
      </c>
      <c r="DK92">
        <v>37874.9</v>
      </c>
      <c r="DL92">
        <v>44306.9</v>
      </c>
      <c r="DM92">
        <v>42437.599999999999</v>
      </c>
      <c r="DN92">
        <v>1.47973</v>
      </c>
      <c r="DO92">
        <v>2.0541</v>
      </c>
      <c r="DP92">
        <v>0.16350700000000001</v>
      </c>
      <c r="DQ92">
        <v>0.15543799999999999</v>
      </c>
      <c r="DR92">
        <v>24.244</v>
      </c>
      <c r="DS92">
        <v>24.1768</v>
      </c>
      <c r="DT92">
        <v>25.4</v>
      </c>
      <c r="DU92">
        <v>27.5</v>
      </c>
      <c r="DV92">
        <v>9.4497199999999992</v>
      </c>
      <c r="DW92">
        <v>61.595500000000001</v>
      </c>
      <c r="DX92">
        <v>35.689100000000003</v>
      </c>
      <c r="DY92">
        <v>1</v>
      </c>
      <c r="DZ92">
        <v>-0.114736</v>
      </c>
      <c r="EA92">
        <v>0.12648400000000001</v>
      </c>
      <c r="EB92">
        <v>20.191400000000002</v>
      </c>
      <c r="EC92">
        <v>5.2415500000000002</v>
      </c>
      <c r="ED92">
        <v>12.039899999999999</v>
      </c>
      <c r="EE92">
        <v>5.0173500000000004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</v>
      </c>
      <c r="EL92">
        <v>1.8646199999999999</v>
      </c>
      <c r="EM92">
        <v>1.8691500000000001</v>
      </c>
      <c r="EN92">
        <v>1.8672200000000001</v>
      </c>
      <c r="EO92">
        <v>1.8633999999999999</v>
      </c>
      <c r="EP92">
        <v>1.8644700000000001</v>
      </c>
      <c r="EQ92">
        <v>1.8701399999999999</v>
      </c>
      <c r="ER92">
        <v>1.86937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-0.77</v>
      </c>
      <c r="FG92">
        <v>0.16769999999999999</v>
      </c>
      <c r="FH92">
        <v>-0.44422204735670362</v>
      </c>
      <c r="FI92">
        <v>-6.1462078757559423E-4</v>
      </c>
      <c r="FJ92">
        <v>-1.8861989874597051E-7</v>
      </c>
      <c r="FK92">
        <v>1.1980462299894961E-10</v>
      </c>
      <c r="FL92">
        <v>0.16773393518503121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23.4</v>
      </c>
      <c r="FU92">
        <v>23.4</v>
      </c>
      <c r="FV92">
        <v>1.77979</v>
      </c>
      <c r="FW92">
        <v>2.5622600000000002</v>
      </c>
      <c r="FX92">
        <v>1.5490699999999999</v>
      </c>
      <c r="FY92">
        <v>2.33521</v>
      </c>
      <c r="FZ92">
        <v>1.50146</v>
      </c>
      <c r="GA92">
        <v>2.33643</v>
      </c>
      <c r="GB92">
        <v>32.310699999999997</v>
      </c>
      <c r="GC92">
        <v>23.982399999999998</v>
      </c>
      <c r="GD92">
        <v>19</v>
      </c>
      <c r="GE92">
        <v>283.31599999999997</v>
      </c>
      <c r="GF92">
        <v>595.07899999999995</v>
      </c>
      <c r="GG92">
        <v>23.399000000000001</v>
      </c>
      <c r="GH92">
        <v>25.948899999999998</v>
      </c>
      <c r="GI92">
        <v>29.9998</v>
      </c>
      <c r="GJ92">
        <v>26.110399999999998</v>
      </c>
      <c r="GK92">
        <v>26.091200000000001</v>
      </c>
      <c r="GL92">
        <v>35.592500000000001</v>
      </c>
      <c r="GM92">
        <v>-30</v>
      </c>
      <c r="GN92">
        <v>-30</v>
      </c>
      <c r="GO92">
        <v>23.428599999999999</v>
      </c>
      <c r="GP92">
        <v>800</v>
      </c>
      <c r="GQ92">
        <v>12.5298</v>
      </c>
      <c r="GR92">
        <v>99.623599999999996</v>
      </c>
      <c r="GS92">
        <v>99.299700000000001</v>
      </c>
    </row>
    <row r="93" spans="1:201" x14ac:dyDescent="0.25">
      <c r="A93">
        <v>77</v>
      </c>
      <c r="B93">
        <v>1690204535.5</v>
      </c>
      <c r="C93">
        <v>1095.900000095367</v>
      </c>
      <c r="D93" t="s">
        <v>487</v>
      </c>
      <c r="E93" t="s">
        <v>488</v>
      </c>
      <c r="F93" t="s">
        <v>330</v>
      </c>
      <c r="H93">
        <v>1690204535.5</v>
      </c>
      <c r="I93">
        <f t="shared" si="30"/>
        <v>1.6069517213796829E-3</v>
      </c>
      <c r="J93">
        <f t="shared" si="31"/>
        <v>1.6069517213796829</v>
      </c>
      <c r="K93">
        <f t="shared" si="32"/>
        <v>30.340590992773599</v>
      </c>
      <c r="L93">
        <f t="shared" si="33"/>
        <v>476.65</v>
      </c>
      <c r="M93">
        <f t="shared" si="34"/>
        <v>101.62191561477329</v>
      </c>
      <c r="N93">
        <f t="shared" si="35"/>
        <v>10.076938680461568</v>
      </c>
      <c r="O93">
        <f t="shared" si="36"/>
        <v>47.265127733370001</v>
      </c>
      <c r="P93">
        <f t="shared" si="37"/>
        <v>0.13527429713616013</v>
      </c>
      <c r="Q93">
        <f t="shared" si="38"/>
        <v>2.1924528742578078</v>
      </c>
      <c r="R93">
        <f t="shared" si="39"/>
        <v>0.13080264167563885</v>
      </c>
      <c r="S93">
        <f t="shared" si="40"/>
        <v>8.21410976950782E-2</v>
      </c>
      <c r="T93">
        <f t="shared" si="41"/>
        <v>276.11504659799999</v>
      </c>
      <c r="U93">
        <f t="shared" si="42"/>
        <v>26.962535419099623</v>
      </c>
      <c r="V93">
        <f t="shared" si="43"/>
        <v>26.962535419099623</v>
      </c>
      <c r="W93">
        <f t="shared" si="44"/>
        <v>3.5712917137339026</v>
      </c>
      <c r="X93">
        <f t="shared" si="45"/>
        <v>73.476362913162816</v>
      </c>
      <c r="Y93">
        <f t="shared" si="46"/>
        <v>2.3896828139021999</v>
      </c>
      <c r="Z93">
        <f t="shared" si="47"/>
        <v>3.2523150563759105</v>
      </c>
      <c r="AA93">
        <f t="shared" si="48"/>
        <v>1.1816088998317027</v>
      </c>
      <c r="AB93">
        <f t="shared" si="49"/>
        <v>-70.866570912844011</v>
      </c>
      <c r="AC93">
        <f t="shared" si="50"/>
        <v>-187.12584561459752</v>
      </c>
      <c r="AD93">
        <f t="shared" si="51"/>
        <v>-18.267372952059329</v>
      </c>
      <c r="AE93">
        <f t="shared" si="52"/>
        <v>-0.14474288150083225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52602.052766575158</v>
      </c>
      <c r="AK93">
        <f t="shared" si="56"/>
        <v>1800</v>
      </c>
      <c r="AL93">
        <f t="shared" si="57"/>
        <v>1499.1116328000001</v>
      </c>
      <c r="AM93">
        <f t="shared" si="58"/>
        <v>0.83283979600000002</v>
      </c>
      <c r="AN93">
        <f t="shared" si="59"/>
        <v>0.15339724811</v>
      </c>
      <c r="AO93">
        <v>31.2</v>
      </c>
      <c r="AP93">
        <v>0.5</v>
      </c>
      <c r="AQ93" t="s">
        <v>331</v>
      </c>
      <c r="AR93">
        <v>2</v>
      </c>
      <c r="AS93">
        <v>1690204535.5</v>
      </c>
      <c r="AT93">
        <v>476.65</v>
      </c>
      <c r="AU93">
        <v>799.97699999999998</v>
      </c>
      <c r="AV93">
        <v>24.099</v>
      </c>
      <c r="AW93">
        <v>7.7985800000000003</v>
      </c>
      <c r="AX93">
        <v>477.41800000000001</v>
      </c>
      <c r="AY93">
        <v>23.9313</v>
      </c>
      <c r="AZ93">
        <v>300.16800000000001</v>
      </c>
      <c r="BA93">
        <v>99.061099999999996</v>
      </c>
      <c r="BB93">
        <v>9.9977800000000006E-2</v>
      </c>
      <c r="BC93">
        <v>25.3794</v>
      </c>
      <c r="BD93">
        <v>26.922599999999999</v>
      </c>
      <c r="BE93">
        <v>26.7197</v>
      </c>
      <c r="BF93">
        <v>0</v>
      </c>
      <c r="BG93">
        <v>0</v>
      </c>
      <c r="BH93">
        <v>9987.5</v>
      </c>
      <c r="BI93">
        <v>1060.44</v>
      </c>
      <c r="BJ93">
        <v>1.68198</v>
      </c>
      <c r="BK93">
        <v>-323.32600000000002</v>
      </c>
      <c r="BL93">
        <v>488.42099999999999</v>
      </c>
      <c r="BM93">
        <v>806.26400000000001</v>
      </c>
      <c r="BN93">
        <v>16.3004</v>
      </c>
      <c r="BO93">
        <v>799.97699999999998</v>
      </c>
      <c r="BP93">
        <v>7.7985800000000003</v>
      </c>
      <c r="BQ93">
        <v>2.38727</v>
      </c>
      <c r="BR93">
        <v>0.77253499999999997</v>
      </c>
      <c r="BS93">
        <v>20.277699999999999</v>
      </c>
      <c r="BT93">
        <v>3.2124100000000002</v>
      </c>
      <c r="BU93">
        <v>1800</v>
      </c>
      <c r="BV93">
        <v>0.91000199999999998</v>
      </c>
      <c r="BW93">
        <v>3.4004199999999998E-2</v>
      </c>
      <c r="BX93">
        <v>2.1997300000000001E-2</v>
      </c>
      <c r="BY93">
        <v>3.3996699999999998E-2</v>
      </c>
      <c r="BZ93">
        <v>25</v>
      </c>
      <c r="CA93">
        <v>33528.400000000001</v>
      </c>
      <c r="CB93">
        <v>1690203121.0999999</v>
      </c>
      <c r="CC93" t="s">
        <v>332</v>
      </c>
      <c r="CD93">
        <v>1690203121.0999999</v>
      </c>
      <c r="CE93">
        <v>1690203121.0999999</v>
      </c>
      <c r="CF93">
        <v>3</v>
      </c>
      <c r="CG93">
        <v>0.53600000000000003</v>
      </c>
      <c r="CH93">
        <v>-0.01</v>
      </c>
      <c r="CI93">
        <v>-0.996</v>
      </c>
      <c r="CJ93">
        <v>-6.6000000000000003E-2</v>
      </c>
      <c r="CK93">
        <v>800</v>
      </c>
      <c r="CL93">
        <v>9</v>
      </c>
      <c r="CM93">
        <v>0.82</v>
      </c>
      <c r="CN93">
        <v>0.01</v>
      </c>
      <c r="CO93">
        <v>-320.43189999999998</v>
      </c>
      <c r="CP93">
        <v>-15.99494183864859</v>
      </c>
      <c r="CQ93">
        <v>1.5402971271803361</v>
      </c>
      <c r="CR93">
        <v>-1</v>
      </c>
      <c r="CS93">
        <v>16.179812500000001</v>
      </c>
      <c r="CT93">
        <v>0.64770619136957208</v>
      </c>
      <c r="CU93">
        <v>6.2320860020943059E-2</v>
      </c>
      <c r="CV93">
        <v>-1</v>
      </c>
      <c r="CW93">
        <v>0</v>
      </c>
      <c r="CX93">
        <v>0</v>
      </c>
      <c r="CY93" t="s">
        <v>333</v>
      </c>
      <c r="CZ93">
        <v>2.36483</v>
      </c>
      <c r="DA93">
        <v>2.7137600000000002</v>
      </c>
      <c r="DB93">
        <v>0.102228</v>
      </c>
      <c r="DC93">
        <v>0.146178</v>
      </c>
      <c r="DD93">
        <v>0.11434900000000001</v>
      </c>
      <c r="DE93">
        <v>4.8739299999999999E-2</v>
      </c>
      <c r="DF93">
        <v>32748.6</v>
      </c>
      <c r="DG93">
        <v>27453.200000000001</v>
      </c>
      <c r="DH93">
        <v>31140</v>
      </c>
      <c r="DI93">
        <v>28016.3</v>
      </c>
      <c r="DJ93">
        <v>37430.400000000001</v>
      </c>
      <c r="DK93">
        <v>37876.800000000003</v>
      </c>
      <c r="DL93">
        <v>44307.1</v>
      </c>
      <c r="DM93">
        <v>42437.9</v>
      </c>
      <c r="DN93">
        <v>1.48027</v>
      </c>
      <c r="DO93">
        <v>2.0543499999999999</v>
      </c>
      <c r="DP93">
        <v>0.16361800000000001</v>
      </c>
      <c r="DQ93">
        <v>0.155225</v>
      </c>
      <c r="DR93">
        <v>24.240500000000001</v>
      </c>
      <c r="DS93">
        <v>24.174700000000001</v>
      </c>
      <c r="DT93">
        <v>25.4</v>
      </c>
      <c r="DU93">
        <v>27.5</v>
      </c>
      <c r="DV93">
        <v>9.4494299999999996</v>
      </c>
      <c r="DW93">
        <v>61.705500000000001</v>
      </c>
      <c r="DX93">
        <v>36.7027</v>
      </c>
      <c r="DY93">
        <v>1</v>
      </c>
      <c r="DZ93">
        <v>-0.114883</v>
      </c>
      <c r="EA93">
        <v>-4.8061E-2</v>
      </c>
      <c r="EB93">
        <v>20.191299999999998</v>
      </c>
      <c r="EC93">
        <v>5.2416999999999998</v>
      </c>
      <c r="ED93">
        <v>12.039899999999999</v>
      </c>
      <c r="EE93">
        <v>5.0173500000000004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</v>
      </c>
      <c r="EL93">
        <v>1.8646199999999999</v>
      </c>
      <c r="EM93">
        <v>1.8691500000000001</v>
      </c>
      <c r="EN93">
        <v>1.8672200000000001</v>
      </c>
      <c r="EO93">
        <v>1.8633999999999999</v>
      </c>
      <c r="EP93">
        <v>1.8644700000000001</v>
      </c>
      <c r="EQ93">
        <v>1.87012</v>
      </c>
      <c r="ER93">
        <v>1.8693599999999999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-0.76800000000000002</v>
      </c>
      <c r="FG93">
        <v>0.16769999999999999</v>
      </c>
      <c r="FH93">
        <v>-0.44422204735670362</v>
      </c>
      <c r="FI93">
        <v>-6.1462078757559423E-4</v>
      </c>
      <c r="FJ93">
        <v>-1.8861989874597051E-7</v>
      </c>
      <c r="FK93">
        <v>1.1980462299894961E-10</v>
      </c>
      <c r="FL93">
        <v>0.16773393518503121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23.6</v>
      </c>
      <c r="FU93">
        <v>23.6</v>
      </c>
      <c r="FV93">
        <v>1.77979</v>
      </c>
      <c r="FW93">
        <v>2.5524900000000001</v>
      </c>
      <c r="FX93">
        <v>1.5490699999999999</v>
      </c>
      <c r="FY93">
        <v>2.33521</v>
      </c>
      <c r="FZ93">
        <v>1.50024</v>
      </c>
      <c r="GA93">
        <v>2.3290999999999999</v>
      </c>
      <c r="GB93">
        <v>32.310699999999997</v>
      </c>
      <c r="GC93">
        <v>23.982399999999998</v>
      </c>
      <c r="GD93">
        <v>19</v>
      </c>
      <c r="GE93">
        <v>283.53100000000001</v>
      </c>
      <c r="GF93">
        <v>595.24099999999999</v>
      </c>
      <c r="GG93">
        <v>23.494499999999999</v>
      </c>
      <c r="GH93">
        <v>25.9435</v>
      </c>
      <c r="GI93">
        <v>30.0002</v>
      </c>
      <c r="GJ93">
        <v>26.106100000000001</v>
      </c>
      <c r="GK93">
        <v>26.087199999999999</v>
      </c>
      <c r="GL93">
        <v>35.592599999999997</v>
      </c>
      <c r="GM93">
        <v>-30</v>
      </c>
      <c r="GN93">
        <v>-30</v>
      </c>
      <c r="GO93">
        <v>23.553000000000001</v>
      </c>
      <c r="GP93">
        <v>800</v>
      </c>
      <c r="GQ93">
        <v>12.5298</v>
      </c>
      <c r="GR93">
        <v>99.623999999999995</v>
      </c>
      <c r="GS93">
        <v>99.300200000000004</v>
      </c>
    </row>
    <row r="94" spans="1:201" x14ac:dyDescent="0.25">
      <c r="A94">
        <v>78</v>
      </c>
      <c r="B94">
        <v>1690204545.5</v>
      </c>
      <c r="C94">
        <v>1105.900000095367</v>
      </c>
      <c r="D94" t="s">
        <v>489</v>
      </c>
      <c r="E94" t="s">
        <v>490</v>
      </c>
      <c r="F94" t="s">
        <v>330</v>
      </c>
      <c r="H94">
        <v>1690204545.5</v>
      </c>
      <c r="I94">
        <f t="shared" si="30"/>
        <v>1.6187400092148327E-3</v>
      </c>
      <c r="J94">
        <f t="shared" si="31"/>
        <v>1.6187400092148327</v>
      </c>
      <c r="K94">
        <f t="shared" si="32"/>
        <v>30.597216968254944</v>
      </c>
      <c r="L94">
        <f t="shared" si="33"/>
        <v>473.97699999999998</v>
      </c>
      <c r="M94">
        <f t="shared" si="34"/>
        <v>101.54456899389709</v>
      </c>
      <c r="N94">
        <f t="shared" si="35"/>
        <v>10.069127271806465</v>
      </c>
      <c r="O94">
        <f t="shared" si="36"/>
        <v>46.999409069290998</v>
      </c>
      <c r="P94">
        <f t="shared" si="37"/>
        <v>0.13741222081418325</v>
      </c>
      <c r="Q94">
        <f t="shared" si="38"/>
        <v>2.196047761920441</v>
      </c>
      <c r="R94">
        <f t="shared" si="39"/>
        <v>0.13280797460466717</v>
      </c>
      <c r="S94">
        <f t="shared" si="40"/>
        <v>8.3405805394789007E-2</v>
      </c>
      <c r="T94">
        <f t="shared" si="41"/>
        <v>276.11489122199998</v>
      </c>
      <c r="U94">
        <f t="shared" si="42"/>
        <v>26.969947996301954</v>
      </c>
      <c r="V94">
        <f t="shared" si="43"/>
        <v>26.969947996301954</v>
      </c>
      <c r="W94">
        <f t="shared" si="44"/>
        <v>3.572847238229659</v>
      </c>
      <c r="X94">
        <f t="shared" si="45"/>
        <v>73.752618573202412</v>
      </c>
      <c r="Y94">
        <f t="shared" si="46"/>
        <v>2.4006360934934001</v>
      </c>
      <c r="Z94">
        <f t="shared" si="47"/>
        <v>3.2549842160664073</v>
      </c>
      <c r="AA94">
        <f t="shared" si="48"/>
        <v>1.1722111447362589</v>
      </c>
      <c r="AB94">
        <f t="shared" si="49"/>
        <v>-71.386434406374121</v>
      </c>
      <c r="AC94">
        <f t="shared" si="50"/>
        <v>-186.67644102919962</v>
      </c>
      <c r="AD94">
        <f t="shared" si="51"/>
        <v>-18.195604256113004</v>
      </c>
      <c r="AE94">
        <f t="shared" si="52"/>
        <v>-0.14358846968679018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52747.365318902113</v>
      </c>
      <c r="AK94">
        <f t="shared" si="56"/>
        <v>1800</v>
      </c>
      <c r="AL94">
        <f t="shared" si="57"/>
        <v>1499.1109542000002</v>
      </c>
      <c r="AM94">
        <f t="shared" si="58"/>
        <v>0.83283941900000003</v>
      </c>
      <c r="AN94">
        <f t="shared" si="59"/>
        <v>0.15339716178999999</v>
      </c>
      <c r="AO94">
        <v>31.2</v>
      </c>
      <c r="AP94">
        <v>0.5</v>
      </c>
      <c r="AQ94" t="s">
        <v>331</v>
      </c>
      <c r="AR94">
        <v>2</v>
      </c>
      <c r="AS94">
        <v>1690204545.5</v>
      </c>
      <c r="AT94">
        <v>473.97699999999998</v>
      </c>
      <c r="AU94">
        <v>800.01199999999994</v>
      </c>
      <c r="AV94">
        <v>24.209800000000001</v>
      </c>
      <c r="AW94">
        <v>7.7903000000000002</v>
      </c>
      <c r="AX94">
        <v>474.74299999999999</v>
      </c>
      <c r="AY94">
        <v>24.042100000000001</v>
      </c>
      <c r="AZ94">
        <v>300.14299999999997</v>
      </c>
      <c r="BA94">
        <v>99.059700000000007</v>
      </c>
      <c r="BB94">
        <v>9.9983000000000002E-2</v>
      </c>
      <c r="BC94">
        <v>25.3932</v>
      </c>
      <c r="BD94">
        <v>26.964500000000001</v>
      </c>
      <c r="BE94">
        <v>26.734500000000001</v>
      </c>
      <c r="BF94">
        <v>0</v>
      </c>
      <c r="BG94">
        <v>0</v>
      </c>
      <c r="BH94">
        <v>10016.9</v>
      </c>
      <c r="BI94">
        <v>1060.6500000000001</v>
      </c>
      <c r="BJ94">
        <v>1.68198</v>
      </c>
      <c r="BK94">
        <v>-326.03500000000003</v>
      </c>
      <c r="BL94">
        <v>485.73599999999999</v>
      </c>
      <c r="BM94">
        <v>806.29399999999998</v>
      </c>
      <c r="BN94">
        <v>16.419499999999999</v>
      </c>
      <c r="BO94">
        <v>800.01199999999994</v>
      </c>
      <c r="BP94">
        <v>7.7903000000000002</v>
      </c>
      <c r="BQ94">
        <v>2.3982100000000002</v>
      </c>
      <c r="BR94">
        <v>0.77170499999999997</v>
      </c>
      <c r="BS94">
        <v>20.351700000000001</v>
      </c>
      <c r="BT94">
        <v>3.1972100000000001</v>
      </c>
      <c r="BU94">
        <v>1800</v>
      </c>
      <c r="BV94">
        <v>0.91000199999999998</v>
      </c>
      <c r="BW94">
        <v>3.4004E-2</v>
      </c>
      <c r="BX94">
        <v>2.1997200000000001E-2</v>
      </c>
      <c r="BY94">
        <v>3.3996499999999999E-2</v>
      </c>
      <c r="BZ94">
        <v>25</v>
      </c>
      <c r="CA94">
        <v>33528.300000000003</v>
      </c>
      <c r="CB94">
        <v>1690203121.0999999</v>
      </c>
      <c r="CC94" t="s">
        <v>332</v>
      </c>
      <c r="CD94">
        <v>1690203121.0999999</v>
      </c>
      <c r="CE94">
        <v>1690203121.0999999</v>
      </c>
      <c r="CF94">
        <v>3</v>
      </c>
      <c r="CG94">
        <v>0.53600000000000003</v>
      </c>
      <c r="CH94">
        <v>-0.01</v>
      </c>
      <c r="CI94">
        <v>-0.996</v>
      </c>
      <c r="CJ94">
        <v>-6.6000000000000003E-2</v>
      </c>
      <c r="CK94">
        <v>800</v>
      </c>
      <c r="CL94">
        <v>9</v>
      </c>
      <c r="CM94">
        <v>0.82</v>
      </c>
      <c r="CN94">
        <v>0.01</v>
      </c>
      <c r="CO94">
        <v>-322.89329268292681</v>
      </c>
      <c r="CP94">
        <v>-16.258975609755989</v>
      </c>
      <c r="CQ94">
        <v>1.60417706649801</v>
      </c>
      <c r="CR94">
        <v>-1</v>
      </c>
      <c r="CS94">
        <v>16.283760975609759</v>
      </c>
      <c r="CT94">
        <v>0.69786062717770503</v>
      </c>
      <c r="CU94">
        <v>6.8839771112730028E-2</v>
      </c>
      <c r="CV94">
        <v>-1</v>
      </c>
      <c r="CW94">
        <v>0</v>
      </c>
      <c r="CX94">
        <v>0</v>
      </c>
      <c r="CY94" t="s">
        <v>333</v>
      </c>
      <c r="CZ94">
        <v>2.3647399999999998</v>
      </c>
      <c r="DA94">
        <v>2.7137899999999999</v>
      </c>
      <c r="DB94">
        <v>0.10180599999999999</v>
      </c>
      <c r="DC94">
        <v>0.14618200000000001</v>
      </c>
      <c r="DD94">
        <v>0.114719</v>
      </c>
      <c r="DE94">
        <v>4.8698199999999997E-2</v>
      </c>
      <c r="DF94">
        <v>32764.400000000001</v>
      </c>
      <c r="DG94">
        <v>27454</v>
      </c>
      <c r="DH94">
        <v>31140.3</v>
      </c>
      <c r="DI94">
        <v>28017.1</v>
      </c>
      <c r="DJ94">
        <v>37415</v>
      </c>
      <c r="DK94">
        <v>37879.4</v>
      </c>
      <c r="DL94">
        <v>44307.7</v>
      </c>
      <c r="DM94">
        <v>42439</v>
      </c>
      <c r="DN94">
        <v>1.4798500000000001</v>
      </c>
      <c r="DO94">
        <v>2.05375</v>
      </c>
      <c r="DP94">
        <v>0.16639799999999999</v>
      </c>
      <c r="DQ94">
        <v>0.15624199999999999</v>
      </c>
      <c r="DR94">
        <v>24.236999999999998</v>
      </c>
      <c r="DS94">
        <v>24.172799999999999</v>
      </c>
      <c r="DT94">
        <v>25.3</v>
      </c>
      <c r="DU94">
        <v>27.5</v>
      </c>
      <c r="DV94">
        <v>9.4132800000000003</v>
      </c>
      <c r="DW94">
        <v>61.155500000000004</v>
      </c>
      <c r="DX94">
        <v>36.398200000000003</v>
      </c>
      <c r="DY94">
        <v>1</v>
      </c>
      <c r="DZ94">
        <v>-0.115978</v>
      </c>
      <c r="EA94">
        <v>-5.7271199999999996E-3</v>
      </c>
      <c r="EB94">
        <v>20.191500000000001</v>
      </c>
      <c r="EC94">
        <v>5.2416999999999998</v>
      </c>
      <c r="ED94">
        <v>12.039899999999999</v>
      </c>
      <c r="EE94">
        <v>5.0174000000000003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</v>
      </c>
      <c r="EL94">
        <v>1.8646199999999999</v>
      </c>
      <c r="EM94">
        <v>1.8691199999999999</v>
      </c>
      <c r="EN94">
        <v>1.8672200000000001</v>
      </c>
      <c r="EO94">
        <v>1.8633900000000001</v>
      </c>
      <c r="EP94">
        <v>1.8644700000000001</v>
      </c>
      <c r="EQ94">
        <v>1.87012</v>
      </c>
      <c r="ER94">
        <v>1.8693599999999999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-0.76600000000000001</v>
      </c>
      <c r="FG94">
        <v>0.16769999999999999</v>
      </c>
      <c r="FH94">
        <v>-0.44422204735670362</v>
      </c>
      <c r="FI94">
        <v>-6.1462078757559423E-4</v>
      </c>
      <c r="FJ94">
        <v>-1.8861989874597051E-7</v>
      </c>
      <c r="FK94">
        <v>1.1980462299894961E-10</v>
      </c>
      <c r="FL94">
        <v>0.16773393518503121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23.7</v>
      </c>
      <c r="FU94">
        <v>23.7</v>
      </c>
      <c r="FV94">
        <v>1.77979</v>
      </c>
      <c r="FW94">
        <v>2.5561500000000001</v>
      </c>
      <c r="FX94">
        <v>1.5490699999999999</v>
      </c>
      <c r="FY94">
        <v>2.33521</v>
      </c>
      <c r="FZ94">
        <v>1.50146</v>
      </c>
      <c r="GA94">
        <v>2.3779300000000001</v>
      </c>
      <c r="GB94">
        <v>32.310699999999997</v>
      </c>
      <c r="GC94">
        <v>23.991199999999999</v>
      </c>
      <c r="GD94">
        <v>19</v>
      </c>
      <c r="GE94">
        <v>283.33</v>
      </c>
      <c r="GF94">
        <v>594.69600000000003</v>
      </c>
      <c r="GG94">
        <v>23.607500000000002</v>
      </c>
      <c r="GH94">
        <v>25.937999999999999</v>
      </c>
      <c r="GI94">
        <v>29.999600000000001</v>
      </c>
      <c r="GJ94">
        <v>26.101700000000001</v>
      </c>
      <c r="GK94">
        <v>26.083600000000001</v>
      </c>
      <c r="GL94">
        <v>35.591200000000001</v>
      </c>
      <c r="GM94">
        <v>-30</v>
      </c>
      <c r="GN94">
        <v>-30</v>
      </c>
      <c r="GO94">
        <v>23.6142</v>
      </c>
      <c r="GP94">
        <v>800</v>
      </c>
      <c r="GQ94">
        <v>12.5298</v>
      </c>
      <c r="GR94">
        <v>99.625200000000007</v>
      </c>
      <c r="GS94">
        <v>99.302999999999997</v>
      </c>
    </row>
    <row r="95" spans="1:201" x14ac:dyDescent="0.25">
      <c r="A95">
        <v>79</v>
      </c>
      <c r="B95">
        <v>1690204555.5</v>
      </c>
      <c r="C95">
        <v>1115.900000095367</v>
      </c>
      <c r="D95" t="s">
        <v>491</v>
      </c>
      <c r="E95" t="s">
        <v>492</v>
      </c>
      <c r="F95" t="s">
        <v>330</v>
      </c>
      <c r="H95">
        <v>1690204555.5</v>
      </c>
      <c r="I95">
        <f t="shared" si="30"/>
        <v>1.6308602937954069E-3</v>
      </c>
      <c r="J95">
        <f t="shared" si="31"/>
        <v>1.6308602937954069</v>
      </c>
      <c r="K95">
        <f t="shared" si="32"/>
        <v>30.846096665754278</v>
      </c>
      <c r="L95">
        <f t="shared" si="33"/>
        <v>471.41500000000002</v>
      </c>
      <c r="M95">
        <f t="shared" si="34"/>
        <v>101.06886587449468</v>
      </c>
      <c r="N95">
        <f t="shared" si="35"/>
        <v>10.021897980273337</v>
      </c>
      <c r="O95">
        <f t="shared" si="36"/>
        <v>46.745088069330009</v>
      </c>
      <c r="P95">
        <f t="shared" si="37"/>
        <v>0.13935302912742742</v>
      </c>
      <c r="Q95">
        <f t="shared" si="38"/>
        <v>2.1968867496431752</v>
      </c>
      <c r="R95">
        <f t="shared" si="39"/>
        <v>0.13462195551854539</v>
      </c>
      <c r="S95">
        <f t="shared" si="40"/>
        <v>8.455040942317317E-2</v>
      </c>
      <c r="T95">
        <f t="shared" si="41"/>
        <v>276.11482040999994</v>
      </c>
      <c r="U95">
        <f t="shared" si="42"/>
        <v>26.986453697473685</v>
      </c>
      <c r="V95">
        <f t="shared" si="43"/>
        <v>26.986453697473685</v>
      </c>
      <c r="W95">
        <f t="shared" si="44"/>
        <v>3.5763130737724906</v>
      </c>
      <c r="X95">
        <f t="shared" si="45"/>
        <v>73.987904592686519</v>
      </c>
      <c r="Y95">
        <f t="shared" si="46"/>
        <v>2.4113312106155997</v>
      </c>
      <c r="Z95">
        <f t="shared" si="47"/>
        <v>3.2590883927451468</v>
      </c>
      <c r="AA95">
        <f t="shared" si="48"/>
        <v>1.1649818631568909</v>
      </c>
      <c r="AB95">
        <f t="shared" si="49"/>
        <v>-71.920938956377441</v>
      </c>
      <c r="AC95">
        <f t="shared" si="50"/>
        <v>-186.19177372968664</v>
      </c>
      <c r="AD95">
        <f t="shared" si="51"/>
        <v>-18.144861233374211</v>
      </c>
      <c r="AE95">
        <f t="shared" si="52"/>
        <v>-0.14275350943836429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52778.126801386265</v>
      </c>
      <c r="AK95">
        <f t="shared" si="56"/>
        <v>1800</v>
      </c>
      <c r="AL95">
        <f t="shared" si="57"/>
        <v>1499.111658</v>
      </c>
      <c r="AM95">
        <f t="shared" si="58"/>
        <v>0.83283981000000007</v>
      </c>
      <c r="AN95">
        <f t="shared" si="59"/>
        <v>0.15339712244999998</v>
      </c>
      <c r="AO95">
        <v>31.2</v>
      </c>
      <c r="AP95">
        <v>0.5</v>
      </c>
      <c r="AQ95" t="s">
        <v>331</v>
      </c>
      <c r="AR95">
        <v>2</v>
      </c>
      <c r="AS95">
        <v>1690204555.5</v>
      </c>
      <c r="AT95">
        <v>471.41500000000002</v>
      </c>
      <c r="AU95">
        <v>799.93299999999999</v>
      </c>
      <c r="AV95">
        <v>24.317799999999998</v>
      </c>
      <c r="AW95">
        <v>7.7832499999999998</v>
      </c>
      <c r="AX95">
        <v>472.17899999999997</v>
      </c>
      <c r="AY95">
        <v>24.150099999999998</v>
      </c>
      <c r="AZ95">
        <v>300.25299999999999</v>
      </c>
      <c r="BA95">
        <v>99.059100000000001</v>
      </c>
      <c r="BB95">
        <v>0.10000199999999999</v>
      </c>
      <c r="BC95">
        <v>25.414400000000001</v>
      </c>
      <c r="BD95">
        <v>27.027000000000001</v>
      </c>
      <c r="BE95">
        <v>26.7468</v>
      </c>
      <c r="BF95">
        <v>0</v>
      </c>
      <c r="BG95">
        <v>0</v>
      </c>
      <c r="BH95">
        <v>10023.799999999999</v>
      </c>
      <c r="BI95">
        <v>1060.98</v>
      </c>
      <c r="BJ95">
        <v>1.68198</v>
      </c>
      <c r="BK95">
        <v>-328.517</v>
      </c>
      <c r="BL95">
        <v>483.16500000000002</v>
      </c>
      <c r="BM95">
        <v>806.20799999999997</v>
      </c>
      <c r="BN95">
        <v>16.534500000000001</v>
      </c>
      <c r="BO95">
        <v>799.93299999999999</v>
      </c>
      <c r="BP95">
        <v>7.7832499999999998</v>
      </c>
      <c r="BQ95">
        <v>2.4089</v>
      </c>
      <c r="BR95">
        <v>0.77100199999999997</v>
      </c>
      <c r="BS95">
        <v>20.4237</v>
      </c>
      <c r="BT95">
        <v>3.1843300000000001</v>
      </c>
      <c r="BU95">
        <v>1800</v>
      </c>
      <c r="BV95">
        <v>0.91000499999999995</v>
      </c>
      <c r="BW95">
        <v>3.4002900000000003E-2</v>
      </c>
      <c r="BX95">
        <v>2.1996499999999999E-2</v>
      </c>
      <c r="BY95">
        <v>3.3995499999999998E-2</v>
      </c>
      <c r="BZ95">
        <v>25</v>
      </c>
      <c r="CA95">
        <v>33528.400000000001</v>
      </c>
      <c r="CB95">
        <v>1690203121.0999999</v>
      </c>
      <c r="CC95" t="s">
        <v>332</v>
      </c>
      <c r="CD95">
        <v>1690203121.0999999</v>
      </c>
      <c r="CE95">
        <v>1690203121.0999999</v>
      </c>
      <c r="CF95">
        <v>3</v>
      </c>
      <c r="CG95">
        <v>0.53600000000000003</v>
      </c>
      <c r="CH95">
        <v>-0.01</v>
      </c>
      <c r="CI95">
        <v>-0.996</v>
      </c>
      <c r="CJ95">
        <v>-6.6000000000000003E-2</v>
      </c>
      <c r="CK95">
        <v>800</v>
      </c>
      <c r="CL95">
        <v>9</v>
      </c>
      <c r="CM95">
        <v>0.82</v>
      </c>
      <c r="CN95">
        <v>0.01</v>
      </c>
      <c r="CO95">
        <v>-325.62239024390237</v>
      </c>
      <c r="CP95">
        <v>-16.281909407665179</v>
      </c>
      <c r="CQ95">
        <v>1.60638199566678</v>
      </c>
      <c r="CR95">
        <v>-1</v>
      </c>
      <c r="CS95">
        <v>16.401958536585369</v>
      </c>
      <c r="CT95">
        <v>0.71730313588855088</v>
      </c>
      <c r="CU95">
        <v>7.072983630830669E-2</v>
      </c>
      <c r="CV95">
        <v>-1</v>
      </c>
      <c r="CW95">
        <v>0</v>
      </c>
      <c r="CX95">
        <v>0</v>
      </c>
      <c r="CY95" t="s">
        <v>333</v>
      </c>
      <c r="CZ95">
        <v>2.36511</v>
      </c>
      <c r="DA95">
        <v>2.7138200000000001</v>
      </c>
      <c r="DB95">
        <v>0.10140100000000001</v>
      </c>
      <c r="DC95">
        <v>0.146173</v>
      </c>
      <c r="DD95">
        <v>0.11508</v>
      </c>
      <c r="DE95">
        <v>4.8663499999999998E-2</v>
      </c>
      <c r="DF95">
        <v>32779.300000000003</v>
      </c>
      <c r="DG95">
        <v>27455.200000000001</v>
      </c>
      <c r="DH95">
        <v>31140.400000000001</v>
      </c>
      <c r="DI95">
        <v>28018.1</v>
      </c>
      <c r="DJ95">
        <v>37400</v>
      </c>
      <c r="DK95">
        <v>37882.300000000003</v>
      </c>
      <c r="DL95">
        <v>44308.2</v>
      </c>
      <c r="DM95">
        <v>42440.6</v>
      </c>
      <c r="DN95">
        <v>1.48003</v>
      </c>
      <c r="DO95">
        <v>2.0539999999999998</v>
      </c>
      <c r="DP95">
        <v>0.170622</v>
      </c>
      <c r="DQ95">
        <v>0.15712499999999999</v>
      </c>
      <c r="DR95">
        <v>24.230399999999999</v>
      </c>
      <c r="DS95">
        <v>24.1706</v>
      </c>
      <c r="DT95">
        <v>25.3</v>
      </c>
      <c r="DU95">
        <v>27.5</v>
      </c>
      <c r="DV95">
        <v>9.4129699999999996</v>
      </c>
      <c r="DW95">
        <v>61.535499999999999</v>
      </c>
      <c r="DX95">
        <v>36.041699999999999</v>
      </c>
      <c r="DY95">
        <v>1</v>
      </c>
      <c r="DZ95">
        <v>-0.115633</v>
      </c>
      <c r="EA95">
        <v>0.540713</v>
      </c>
      <c r="EB95">
        <v>20.189</v>
      </c>
      <c r="EC95">
        <v>5.2416999999999998</v>
      </c>
      <c r="ED95">
        <v>12.039899999999999</v>
      </c>
      <c r="EE95">
        <v>5.0172499999999998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</v>
      </c>
      <c r="EL95">
        <v>1.8646199999999999</v>
      </c>
      <c r="EM95">
        <v>1.8690899999999999</v>
      </c>
      <c r="EN95">
        <v>1.8672200000000001</v>
      </c>
      <c r="EO95">
        <v>1.8633999999999999</v>
      </c>
      <c r="EP95">
        <v>1.8644700000000001</v>
      </c>
      <c r="EQ95">
        <v>1.87012</v>
      </c>
      <c r="ER95">
        <v>1.86937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-0.76400000000000001</v>
      </c>
      <c r="FG95">
        <v>0.16769999999999999</v>
      </c>
      <c r="FH95">
        <v>-0.44422204735670362</v>
      </c>
      <c r="FI95">
        <v>-6.1462078757559423E-4</v>
      </c>
      <c r="FJ95">
        <v>-1.8861989874597051E-7</v>
      </c>
      <c r="FK95">
        <v>1.1980462299894961E-10</v>
      </c>
      <c r="FL95">
        <v>0.16773393518503121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23.9</v>
      </c>
      <c r="FU95">
        <v>23.9</v>
      </c>
      <c r="FV95">
        <v>1.77979</v>
      </c>
      <c r="FW95">
        <v>2.5647000000000002</v>
      </c>
      <c r="FX95">
        <v>1.5490699999999999</v>
      </c>
      <c r="FY95">
        <v>2.33521</v>
      </c>
      <c r="FZ95">
        <v>1.50146</v>
      </c>
      <c r="GA95">
        <v>2.2644000000000002</v>
      </c>
      <c r="GB95">
        <v>32.310699999999997</v>
      </c>
      <c r="GC95">
        <v>23.973700000000001</v>
      </c>
      <c r="GD95">
        <v>19</v>
      </c>
      <c r="GE95">
        <v>283.38499999999999</v>
      </c>
      <c r="GF95">
        <v>594.85500000000002</v>
      </c>
      <c r="GG95">
        <v>23.639900000000001</v>
      </c>
      <c r="GH95">
        <v>25.932600000000001</v>
      </c>
      <c r="GI95">
        <v>30.0002</v>
      </c>
      <c r="GJ95">
        <v>26.0974</v>
      </c>
      <c r="GK95">
        <v>26.0792</v>
      </c>
      <c r="GL95">
        <v>35.592599999999997</v>
      </c>
      <c r="GM95">
        <v>-30</v>
      </c>
      <c r="GN95">
        <v>-30</v>
      </c>
      <c r="GO95">
        <v>23.3979</v>
      </c>
      <c r="GP95">
        <v>800</v>
      </c>
      <c r="GQ95">
        <v>12.5298</v>
      </c>
      <c r="GR95">
        <v>99.626099999999994</v>
      </c>
      <c r="GS95">
        <v>99.306700000000006</v>
      </c>
    </row>
    <row r="96" spans="1:201" x14ac:dyDescent="0.25">
      <c r="A96">
        <v>80</v>
      </c>
      <c r="B96">
        <v>1690204565.5</v>
      </c>
      <c r="C96">
        <v>1125.900000095367</v>
      </c>
      <c r="D96" t="s">
        <v>493</v>
      </c>
      <c r="E96" t="s">
        <v>494</v>
      </c>
      <c r="F96" t="s">
        <v>330</v>
      </c>
      <c r="H96">
        <v>1690204565.5</v>
      </c>
      <c r="I96">
        <f t="shared" si="30"/>
        <v>1.6355476213399272E-3</v>
      </c>
      <c r="J96">
        <f t="shared" si="31"/>
        <v>1.6355476213399271</v>
      </c>
      <c r="K96">
        <f t="shared" si="32"/>
        <v>31.084876509987716</v>
      </c>
      <c r="L96">
        <f t="shared" si="33"/>
        <v>468.76499999999999</v>
      </c>
      <c r="M96">
        <f t="shared" si="34"/>
        <v>98.865897058585801</v>
      </c>
      <c r="N96">
        <f t="shared" si="35"/>
        <v>9.80313285967034</v>
      </c>
      <c r="O96">
        <f t="shared" si="36"/>
        <v>46.480795822246492</v>
      </c>
      <c r="P96">
        <f t="shared" si="37"/>
        <v>0.14060835930764345</v>
      </c>
      <c r="Q96">
        <f t="shared" si="38"/>
        <v>2.19807284386353</v>
      </c>
      <c r="R96">
        <f t="shared" si="39"/>
        <v>0.13579575138589203</v>
      </c>
      <c r="S96">
        <f t="shared" si="40"/>
        <v>8.5291015687394556E-2</v>
      </c>
      <c r="T96">
        <f t="shared" si="41"/>
        <v>276.11304214413269</v>
      </c>
      <c r="U96">
        <f t="shared" si="42"/>
        <v>26.97778458296829</v>
      </c>
      <c r="V96">
        <f t="shared" si="43"/>
        <v>26.97778458296829</v>
      </c>
      <c r="W96">
        <f t="shared" si="44"/>
        <v>3.5744923839592082</v>
      </c>
      <c r="X96">
        <f t="shared" si="45"/>
        <v>74.168719549713728</v>
      </c>
      <c r="Y96">
        <f t="shared" si="46"/>
        <v>2.4163191904530898</v>
      </c>
      <c r="Z96">
        <f t="shared" si="47"/>
        <v>3.2578682834526789</v>
      </c>
      <c r="AA96">
        <f t="shared" si="48"/>
        <v>1.1581731935061184</v>
      </c>
      <c r="AB96">
        <f t="shared" si="49"/>
        <v>-72.127650101090794</v>
      </c>
      <c r="AC96">
        <f t="shared" si="50"/>
        <v>-186.0115522508454</v>
      </c>
      <c r="AD96">
        <f t="shared" si="51"/>
        <v>-18.116156610055754</v>
      </c>
      <c r="AE96">
        <f t="shared" si="52"/>
        <v>-0.14231681785929595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52827.998769327845</v>
      </c>
      <c r="AK96">
        <f t="shared" si="56"/>
        <v>1799.99</v>
      </c>
      <c r="AL96">
        <f t="shared" si="57"/>
        <v>1499.1029300041198</v>
      </c>
      <c r="AM96">
        <f t="shared" si="58"/>
        <v>0.83283958799999991</v>
      </c>
      <c r="AN96">
        <f t="shared" si="59"/>
        <v>0.15339698672999999</v>
      </c>
      <c r="AO96">
        <v>31.2</v>
      </c>
      <c r="AP96">
        <v>0.5</v>
      </c>
      <c r="AQ96" t="s">
        <v>331</v>
      </c>
      <c r="AR96">
        <v>2</v>
      </c>
      <c r="AS96">
        <v>1690204565.5</v>
      </c>
      <c r="AT96">
        <v>468.76499999999999</v>
      </c>
      <c r="AU96">
        <v>799.976</v>
      </c>
      <c r="AV96">
        <v>24.3689</v>
      </c>
      <c r="AW96">
        <v>7.7759799999999997</v>
      </c>
      <c r="AX96">
        <v>469.52699999999999</v>
      </c>
      <c r="AY96">
        <v>24.2011</v>
      </c>
      <c r="AZ96">
        <v>300.041</v>
      </c>
      <c r="BA96">
        <v>99.055899999999994</v>
      </c>
      <c r="BB96">
        <v>9.9958099999999994E-2</v>
      </c>
      <c r="BC96">
        <v>25.408100000000001</v>
      </c>
      <c r="BD96">
        <v>26.945499999999999</v>
      </c>
      <c r="BE96">
        <v>26.7499</v>
      </c>
      <c r="BF96">
        <v>0</v>
      </c>
      <c r="BG96">
        <v>0</v>
      </c>
      <c r="BH96">
        <v>10033.799999999999</v>
      </c>
      <c r="BI96">
        <v>1061.1400000000001</v>
      </c>
      <c r="BJ96">
        <v>1.68198</v>
      </c>
      <c r="BK96">
        <v>-331.21100000000001</v>
      </c>
      <c r="BL96">
        <v>480.47300000000001</v>
      </c>
      <c r="BM96">
        <v>806.245</v>
      </c>
      <c r="BN96">
        <v>16.5929</v>
      </c>
      <c r="BO96">
        <v>799.976</v>
      </c>
      <c r="BP96">
        <v>7.7759799999999997</v>
      </c>
      <c r="BQ96">
        <v>2.4138799999999998</v>
      </c>
      <c r="BR96">
        <v>0.77025699999999997</v>
      </c>
      <c r="BS96">
        <v>20.4572</v>
      </c>
      <c r="BT96">
        <v>3.1706699999999999</v>
      </c>
      <c r="BU96">
        <v>1799.99</v>
      </c>
      <c r="BV96">
        <v>0.91000700000000001</v>
      </c>
      <c r="BW96">
        <v>3.4001999999999998E-2</v>
      </c>
      <c r="BX96">
        <v>2.1995899999999999E-2</v>
      </c>
      <c r="BY96">
        <v>3.3994499999999997E-2</v>
      </c>
      <c r="BZ96">
        <v>25</v>
      </c>
      <c r="CA96">
        <v>33528.300000000003</v>
      </c>
      <c r="CB96">
        <v>1690203121.0999999</v>
      </c>
      <c r="CC96" t="s">
        <v>332</v>
      </c>
      <c r="CD96">
        <v>1690203121.0999999</v>
      </c>
      <c r="CE96">
        <v>1690203121.0999999</v>
      </c>
      <c r="CF96">
        <v>3</v>
      </c>
      <c r="CG96">
        <v>0.53600000000000003</v>
      </c>
      <c r="CH96">
        <v>-0.01</v>
      </c>
      <c r="CI96">
        <v>-0.996</v>
      </c>
      <c r="CJ96">
        <v>-6.6000000000000003E-2</v>
      </c>
      <c r="CK96">
        <v>800</v>
      </c>
      <c r="CL96">
        <v>9</v>
      </c>
      <c r="CM96">
        <v>0.82</v>
      </c>
      <c r="CN96">
        <v>0.01</v>
      </c>
      <c r="CO96">
        <v>-328.437725</v>
      </c>
      <c r="CP96">
        <v>-15.1343752345208</v>
      </c>
      <c r="CQ96">
        <v>1.4567909079119721</v>
      </c>
      <c r="CR96">
        <v>-1</v>
      </c>
      <c r="CS96">
        <v>16.518170000000001</v>
      </c>
      <c r="CT96">
        <v>0.56473170731702549</v>
      </c>
      <c r="CU96">
        <v>5.5010754403116521E-2</v>
      </c>
      <c r="CV96">
        <v>-1</v>
      </c>
      <c r="CW96">
        <v>0</v>
      </c>
      <c r="CX96">
        <v>0</v>
      </c>
      <c r="CY96" t="s">
        <v>333</v>
      </c>
      <c r="CZ96">
        <v>2.36442</v>
      </c>
      <c r="DA96">
        <v>2.7137799999999999</v>
      </c>
      <c r="DB96">
        <v>0.100978</v>
      </c>
      <c r="DC96">
        <v>0.146174</v>
      </c>
      <c r="DD96">
        <v>0.115248</v>
      </c>
      <c r="DE96">
        <v>4.8626500000000003E-2</v>
      </c>
      <c r="DF96">
        <v>32795.599999999999</v>
      </c>
      <c r="DG96">
        <v>27455.4</v>
      </c>
      <c r="DH96">
        <v>31141.200000000001</v>
      </c>
      <c r="DI96">
        <v>28018.3</v>
      </c>
      <c r="DJ96">
        <v>37393.4</v>
      </c>
      <c r="DK96">
        <v>37884.1</v>
      </c>
      <c r="DL96">
        <v>44308.9</v>
      </c>
      <c r="DM96">
        <v>42441.1</v>
      </c>
      <c r="DN96">
        <v>1.4796</v>
      </c>
      <c r="DO96">
        <v>2.0541700000000001</v>
      </c>
      <c r="DP96">
        <v>0.16594700000000001</v>
      </c>
      <c r="DQ96">
        <v>0.157442</v>
      </c>
      <c r="DR96">
        <v>24.225300000000001</v>
      </c>
      <c r="DS96">
        <v>24.168600000000001</v>
      </c>
      <c r="DT96">
        <v>25.3</v>
      </c>
      <c r="DU96">
        <v>27.5</v>
      </c>
      <c r="DV96">
        <v>9.4133499999999994</v>
      </c>
      <c r="DW96">
        <v>61.255499999999998</v>
      </c>
      <c r="DX96">
        <v>36.911099999999998</v>
      </c>
      <c r="DY96">
        <v>1</v>
      </c>
      <c r="DZ96">
        <v>-0.114662</v>
      </c>
      <c r="EA96">
        <v>0.30029099999999997</v>
      </c>
      <c r="EB96">
        <v>20.190899999999999</v>
      </c>
      <c r="EC96">
        <v>5.2424499999999998</v>
      </c>
      <c r="ED96">
        <v>12.039899999999999</v>
      </c>
      <c r="EE96">
        <v>5.0174500000000002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</v>
      </c>
      <c r="EL96">
        <v>1.8646199999999999</v>
      </c>
      <c r="EM96">
        <v>1.86914</v>
      </c>
      <c r="EN96">
        <v>1.8672200000000001</v>
      </c>
      <c r="EO96">
        <v>1.8633999999999999</v>
      </c>
      <c r="EP96">
        <v>1.8644700000000001</v>
      </c>
      <c r="EQ96">
        <v>1.8701399999999999</v>
      </c>
      <c r="ER96">
        <v>1.8693599999999999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-0.76200000000000001</v>
      </c>
      <c r="FG96">
        <v>0.1678</v>
      </c>
      <c r="FH96">
        <v>-0.44422204735670362</v>
      </c>
      <c r="FI96">
        <v>-6.1462078757559423E-4</v>
      </c>
      <c r="FJ96">
        <v>-1.8861989874597051E-7</v>
      </c>
      <c r="FK96">
        <v>1.1980462299894961E-10</v>
      </c>
      <c r="FL96">
        <v>0.16773393518503121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24.1</v>
      </c>
      <c r="FU96">
        <v>24.1</v>
      </c>
      <c r="FV96">
        <v>1.77979</v>
      </c>
      <c r="FW96">
        <v>2.5561500000000001</v>
      </c>
      <c r="FX96">
        <v>1.5490699999999999</v>
      </c>
      <c r="FY96">
        <v>2.33521</v>
      </c>
      <c r="FZ96">
        <v>1.50146</v>
      </c>
      <c r="GA96">
        <v>2.3840300000000001</v>
      </c>
      <c r="GB96">
        <v>32.310699999999997</v>
      </c>
      <c r="GC96">
        <v>23.991199999999999</v>
      </c>
      <c r="GD96">
        <v>19</v>
      </c>
      <c r="GE96">
        <v>283.18299999999999</v>
      </c>
      <c r="GF96">
        <v>594.95799999999997</v>
      </c>
      <c r="GG96">
        <v>23.4222</v>
      </c>
      <c r="GH96">
        <v>25.927099999999999</v>
      </c>
      <c r="GI96">
        <v>30</v>
      </c>
      <c r="GJ96">
        <v>26.092500000000001</v>
      </c>
      <c r="GK96">
        <v>26.075399999999998</v>
      </c>
      <c r="GL96">
        <v>35.594499999999996</v>
      </c>
      <c r="GM96">
        <v>-30</v>
      </c>
      <c r="GN96">
        <v>-30</v>
      </c>
      <c r="GO96">
        <v>23.491599999999998</v>
      </c>
      <c r="GP96">
        <v>800</v>
      </c>
      <c r="GQ96">
        <v>12.5298</v>
      </c>
      <c r="GR96">
        <v>99.628100000000003</v>
      </c>
      <c r="GS96">
        <v>99.307599999999994</v>
      </c>
    </row>
    <row r="97" spans="1:201" x14ac:dyDescent="0.25">
      <c r="A97">
        <v>81</v>
      </c>
      <c r="B97">
        <v>1690204575.5</v>
      </c>
      <c r="C97">
        <v>1135.900000095367</v>
      </c>
      <c r="D97" t="s">
        <v>495</v>
      </c>
      <c r="E97" t="s">
        <v>496</v>
      </c>
      <c r="F97" t="s">
        <v>330</v>
      </c>
      <c r="H97">
        <v>1690204575.5</v>
      </c>
      <c r="I97">
        <f t="shared" si="30"/>
        <v>1.6445465813707083E-3</v>
      </c>
      <c r="J97">
        <f t="shared" si="31"/>
        <v>1.6445465813707083</v>
      </c>
      <c r="K97">
        <f t="shared" si="32"/>
        <v>31.35202833684702</v>
      </c>
      <c r="L97">
        <f t="shared" si="33"/>
        <v>466.24200000000002</v>
      </c>
      <c r="M97">
        <f t="shared" si="34"/>
        <v>97.218282260718482</v>
      </c>
      <c r="N97">
        <f t="shared" si="35"/>
        <v>9.6402810448201457</v>
      </c>
      <c r="O97">
        <f t="shared" si="36"/>
        <v>46.23311387919</v>
      </c>
      <c r="P97">
        <f t="shared" si="37"/>
        <v>0.14218789084851119</v>
      </c>
      <c r="Q97">
        <f t="shared" si="38"/>
        <v>2.1931440960515145</v>
      </c>
      <c r="R97">
        <f t="shared" si="39"/>
        <v>0.13725794256077065</v>
      </c>
      <c r="S97">
        <f t="shared" si="40"/>
        <v>8.6214910174933129E-2</v>
      </c>
      <c r="T97">
        <f t="shared" si="41"/>
        <v>276.11461358999998</v>
      </c>
      <c r="U97">
        <f t="shared" si="42"/>
        <v>26.982146917659168</v>
      </c>
      <c r="V97">
        <f t="shared" si="43"/>
        <v>26.982146917659168</v>
      </c>
      <c r="W97">
        <f t="shared" si="44"/>
        <v>3.5754084615285291</v>
      </c>
      <c r="X97">
        <f t="shared" si="45"/>
        <v>74.3629469392815</v>
      </c>
      <c r="Y97">
        <f t="shared" si="46"/>
        <v>2.4232517028124998</v>
      </c>
      <c r="Z97">
        <f t="shared" si="47"/>
        <v>3.2586816452972509</v>
      </c>
      <c r="AA97">
        <f t="shared" si="48"/>
        <v>1.1521567587160293</v>
      </c>
      <c r="AB97">
        <f t="shared" si="49"/>
        <v>-72.52450423844823</v>
      </c>
      <c r="AC97">
        <f t="shared" si="50"/>
        <v>-185.61365171119252</v>
      </c>
      <c r="AD97">
        <f t="shared" si="51"/>
        <v>-18.118807947718341</v>
      </c>
      <c r="AE97">
        <f t="shared" si="52"/>
        <v>-0.14235030735909504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52624.646384386404</v>
      </c>
      <c r="AK97">
        <f t="shared" si="56"/>
        <v>1800</v>
      </c>
      <c r="AL97">
        <f t="shared" si="57"/>
        <v>1499.1120899999999</v>
      </c>
      <c r="AM97">
        <f t="shared" si="58"/>
        <v>0.83284004999999994</v>
      </c>
      <c r="AN97">
        <f t="shared" si="59"/>
        <v>0.15339700754999999</v>
      </c>
      <c r="AO97">
        <v>31.2</v>
      </c>
      <c r="AP97">
        <v>0.5</v>
      </c>
      <c r="AQ97" t="s">
        <v>331</v>
      </c>
      <c r="AR97">
        <v>2</v>
      </c>
      <c r="AS97">
        <v>1690204575.5</v>
      </c>
      <c r="AT97">
        <v>466.24200000000002</v>
      </c>
      <c r="AU97">
        <v>799.96699999999998</v>
      </c>
      <c r="AV97">
        <v>24.4375</v>
      </c>
      <c r="AW97">
        <v>7.7676800000000004</v>
      </c>
      <c r="AX97">
        <v>467.00299999999999</v>
      </c>
      <c r="AY97">
        <v>24.2698</v>
      </c>
      <c r="AZ97">
        <v>300.279</v>
      </c>
      <c r="BA97">
        <v>99.061099999999996</v>
      </c>
      <c r="BB97">
        <v>0.100095</v>
      </c>
      <c r="BC97">
        <v>25.412299999999998</v>
      </c>
      <c r="BD97">
        <v>26.984999999999999</v>
      </c>
      <c r="BE97">
        <v>26.742100000000001</v>
      </c>
      <c r="BF97">
        <v>0</v>
      </c>
      <c r="BG97">
        <v>0</v>
      </c>
      <c r="BH97">
        <v>9993.1200000000008</v>
      </c>
      <c r="BI97">
        <v>1061.33</v>
      </c>
      <c r="BJ97">
        <v>1.68198</v>
      </c>
      <c r="BK97">
        <v>-333.72399999999999</v>
      </c>
      <c r="BL97">
        <v>477.92200000000003</v>
      </c>
      <c r="BM97">
        <v>806.22900000000004</v>
      </c>
      <c r="BN97">
        <v>16.669799999999999</v>
      </c>
      <c r="BO97">
        <v>799.96699999999998</v>
      </c>
      <c r="BP97">
        <v>7.7676800000000004</v>
      </c>
      <c r="BQ97">
        <v>2.4208099999999999</v>
      </c>
      <c r="BR97">
        <v>0.76947500000000002</v>
      </c>
      <c r="BS97">
        <v>20.503699999999998</v>
      </c>
      <c r="BT97">
        <v>3.15632</v>
      </c>
      <c r="BU97">
        <v>1800</v>
      </c>
      <c r="BV97">
        <v>0.91000899999999996</v>
      </c>
      <c r="BW97">
        <v>3.4001400000000001E-2</v>
      </c>
      <c r="BX97">
        <v>2.1995500000000001E-2</v>
      </c>
      <c r="BY97">
        <v>3.3993900000000001E-2</v>
      </c>
      <c r="BZ97">
        <v>25</v>
      </c>
      <c r="CA97">
        <v>33528.400000000001</v>
      </c>
      <c r="CB97">
        <v>1690203121.0999999</v>
      </c>
      <c r="CC97" t="s">
        <v>332</v>
      </c>
      <c r="CD97">
        <v>1690203121.0999999</v>
      </c>
      <c r="CE97">
        <v>1690203121.0999999</v>
      </c>
      <c r="CF97">
        <v>3</v>
      </c>
      <c r="CG97">
        <v>0.53600000000000003</v>
      </c>
      <c r="CH97">
        <v>-0.01</v>
      </c>
      <c r="CI97">
        <v>-0.996</v>
      </c>
      <c r="CJ97">
        <v>-6.6000000000000003E-2</v>
      </c>
      <c r="CK97">
        <v>800</v>
      </c>
      <c r="CL97">
        <v>9</v>
      </c>
      <c r="CM97">
        <v>0.82</v>
      </c>
      <c r="CN97">
        <v>0.01</v>
      </c>
      <c r="CO97">
        <v>-331.08019512195119</v>
      </c>
      <c r="CP97">
        <v>-15.92408362369288</v>
      </c>
      <c r="CQ97">
        <v>1.570936185372531</v>
      </c>
      <c r="CR97">
        <v>-1</v>
      </c>
      <c r="CS97">
        <v>16.594656097560978</v>
      </c>
      <c r="CT97">
        <v>0.3513010452961835</v>
      </c>
      <c r="CU97">
        <v>3.5053861335479893E-2</v>
      </c>
      <c r="CV97">
        <v>-1</v>
      </c>
      <c r="CW97">
        <v>0</v>
      </c>
      <c r="CX97">
        <v>0</v>
      </c>
      <c r="CY97" t="s">
        <v>333</v>
      </c>
      <c r="CZ97">
        <v>2.3652099999999998</v>
      </c>
      <c r="DA97">
        <v>2.7138800000000001</v>
      </c>
      <c r="DB97">
        <v>0.10058300000000001</v>
      </c>
      <c r="DC97">
        <v>0.14618200000000001</v>
      </c>
      <c r="DD97">
        <v>0.115483</v>
      </c>
      <c r="DE97">
        <v>4.8588399999999997E-2</v>
      </c>
      <c r="DF97">
        <v>32810.699999999997</v>
      </c>
      <c r="DG97">
        <v>27455.599999999999</v>
      </c>
      <c r="DH97">
        <v>31141.9</v>
      </c>
      <c r="DI97">
        <v>28018.7</v>
      </c>
      <c r="DJ97">
        <v>37384.300000000003</v>
      </c>
      <c r="DK97">
        <v>37886.400000000001</v>
      </c>
      <c r="DL97">
        <v>44310.2</v>
      </c>
      <c r="DM97">
        <v>42441.9</v>
      </c>
      <c r="DN97">
        <v>1.4803500000000001</v>
      </c>
      <c r="DO97">
        <v>2.0541499999999999</v>
      </c>
      <c r="DP97">
        <v>0.16859199999999999</v>
      </c>
      <c r="DQ97">
        <v>0.15701399999999999</v>
      </c>
      <c r="DR97">
        <v>24.221499999999999</v>
      </c>
      <c r="DS97">
        <v>24.1677</v>
      </c>
      <c r="DT97">
        <v>25.3</v>
      </c>
      <c r="DU97">
        <v>27.5</v>
      </c>
      <c r="DV97">
        <v>9.4130599999999998</v>
      </c>
      <c r="DW97">
        <v>61.665500000000002</v>
      </c>
      <c r="DX97">
        <v>35.777200000000001</v>
      </c>
      <c r="DY97">
        <v>1</v>
      </c>
      <c r="DZ97">
        <v>-0.11776200000000001</v>
      </c>
      <c r="EA97">
        <v>0.103099</v>
      </c>
      <c r="EB97">
        <v>20.191600000000001</v>
      </c>
      <c r="EC97">
        <v>5.2423000000000002</v>
      </c>
      <c r="ED97">
        <v>12.039899999999999</v>
      </c>
      <c r="EE97">
        <v>5.0174000000000003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</v>
      </c>
      <c r="EL97">
        <v>1.8646199999999999</v>
      </c>
      <c r="EM97">
        <v>1.86914</v>
      </c>
      <c r="EN97">
        <v>1.86721</v>
      </c>
      <c r="EO97">
        <v>1.8633900000000001</v>
      </c>
      <c r="EP97">
        <v>1.8644700000000001</v>
      </c>
      <c r="EQ97">
        <v>1.87012</v>
      </c>
      <c r="ER97">
        <v>1.8693599999999999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-0.76100000000000001</v>
      </c>
      <c r="FG97">
        <v>0.16769999999999999</v>
      </c>
      <c r="FH97">
        <v>-0.44422204735670362</v>
      </c>
      <c r="FI97">
        <v>-6.1462078757559423E-4</v>
      </c>
      <c r="FJ97">
        <v>-1.8861989874597051E-7</v>
      </c>
      <c r="FK97">
        <v>1.1980462299894961E-10</v>
      </c>
      <c r="FL97">
        <v>0.16773393518503121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24.2</v>
      </c>
      <c r="FU97">
        <v>24.2</v>
      </c>
      <c r="FV97">
        <v>1.78101</v>
      </c>
      <c r="FW97">
        <v>2.5647000000000002</v>
      </c>
      <c r="FX97">
        <v>1.5490699999999999</v>
      </c>
      <c r="FY97">
        <v>2.33521</v>
      </c>
      <c r="FZ97">
        <v>1.50146</v>
      </c>
      <c r="GA97">
        <v>2.3168899999999999</v>
      </c>
      <c r="GB97">
        <v>32.310699999999997</v>
      </c>
      <c r="GC97">
        <v>23.982399999999998</v>
      </c>
      <c r="GD97">
        <v>19</v>
      </c>
      <c r="GE97">
        <v>283.48</v>
      </c>
      <c r="GF97">
        <v>594.88599999999997</v>
      </c>
      <c r="GG97">
        <v>23.510999999999999</v>
      </c>
      <c r="GH97">
        <v>25.921099999999999</v>
      </c>
      <c r="GI97">
        <v>29.998799999999999</v>
      </c>
      <c r="GJ97">
        <v>26.087499999999999</v>
      </c>
      <c r="GK97">
        <v>26.071100000000001</v>
      </c>
      <c r="GL97">
        <v>35.594299999999997</v>
      </c>
      <c r="GM97">
        <v>-30</v>
      </c>
      <c r="GN97">
        <v>-30</v>
      </c>
      <c r="GO97">
        <v>23.5242</v>
      </c>
      <c r="GP97">
        <v>800</v>
      </c>
      <c r="GQ97">
        <v>12.5298</v>
      </c>
      <c r="GR97">
        <v>99.630700000000004</v>
      </c>
      <c r="GS97">
        <v>99.309399999999997</v>
      </c>
    </row>
    <row r="98" spans="1:201" x14ac:dyDescent="0.25">
      <c r="A98">
        <v>82</v>
      </c>
      <c r="B98">
        <v>1690204585.5</v>
      </c>
      <c r="C98">
        <v>1145.900000095367</v>
      </c>
      <c r="D98" t="s">
        <v>497</v>
      </c>
      <c r="E98" t="s">
        <v>498</v>
      </c>
      <c r="F98" t="s">
        <v>330</v>
      </c>
      <c r="H98">
        <v>1690204585.5</v>
      </c>
      <c r="I98">
        <f t="shared" si="30"/>
        <v>1.6548541108337719E-3</v>
      </c>
      <c r="J98">
        <f t="shared" si="31"/>
        <v>1.654854110833772</v>
      </c>
      <c r="K98">
        <f t="shared" si="32"/>
        <v>31.587190045510578</v>
      </c>
      <c r="L98">
        <f t="shared" si="33"/>
        <v>463.62599999999998</v>
      </c>
      <c r="M98">
        <f t="shared" si="34"/>
        <v>97.467726118087214</v>
      </c>
      <c r="N98">
        <f t="shared" si="35"/>
        <v>9.6652895050530461</v>
      </c>
      <c r="O98">
        <f t="shared" si="36"/>
        <v>45.975008246736593</v>
      </c>
      <c r="P98">
        <f t="shared" si="37"/>
        <v>0.14443183859605149</v>
      </c>
      <c r="Q98">
        <f t="shared" si="38"/>
        <v>2.1931800681134712</v>
      </c>
      <c r="R98">
        <f t="shared" si="39"/>
        <v>0.13934813116308262</v>
      </c>
      <c r="S98">
        <f t="shared" si="40"/>
        <v>8.7534425578655789E-2</v>
      </c>
      <c r="T98">
        <f t="shared" si="41"/>
        <v>276.11461247400007</v>
      </c>
      <c r="U98">
        <f t="shared" si="42"/>
        <v>26.98311218332929</v>
      </c>
      <c r="V98">
        <f t="shared" si="43"/>
        <v>26.98311218332929</v>
      </c>
      <c r="W98">
        <f t="shared" si="44"/>
        <v>3.5756111921944962</v>
      </c>
      <c r="X98">
        <f t="shared" si="45"/>
        <v>74.66216661507498</v>
      </c>
      <c r="Y98">
        <f t="shared" si="46"/>
        <v>2.43365311671247</v>
      </c>
      <c r="Z98">
        <f t="shared" si="47"/>
        <v>3.2595533012848481</v>
      </c>
      <c r="AA98">
        <f t="shared" si="48"/>
        <v>1.1419580754820262</v>
      </c>
      <c r="AB98">
        <f t="shared" si="49"/>
        <v>-72.979066287769342</v>
      </c>
      <c r="AC98">
        <f t="shared" si="50"/>
        <v>-185.19875367957809</v>
      </c>
      <c r="AD98">
        <f t="shared" si="51"/>
        <v>-18.078505640038866</v>
      </c>
      <c r="AE98">
        <f t="shared" si="52"/>
        <v>-0.14171313338624714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52625.393382835231</v>
      </c>
      <c r="AK98">
        <f t="shared" si="56"/>
        <v>1800</v>
      </c>
      <c r="AL98">
        <f t="shared" si="57"/>
        <v>1499.1130764</v>
      </c>
      <c r="AM98">
        <f t="shared" si="58"/>
        <v>0.83284059799999999</v>
      </c>
      <c r="AN98">
        <f t="shared" si="59"/>
        <v>0.15339700693000002</v>
      </c>
      <c r="AO98">
        <v>31.2</v>
      </c>
      <c r="AP98">
        <v>0.5</v>
      </c>
      <c r="AQ98" t="s">
        <v>331</v>
      </c>
      <c r="AR98">
        <v>2</v>
      </c>
      <c r="AS98">
        <v>1690204585.5</v>
      </c>
      <c r="AT98">
        <v>463.62599999999998</v>
      </c>
      <c r="AU98">
        <v>800.00099999999998</v>
      </c>
      <c r="AV98">
        <v>24.541699999999999</v>
      </c>
      <c r="AW98">
        <v>7.7591299999999999</v>
      </c>
      <c r="AX98">
        <v>464.38400000000001</v>
      </c>
      <c r="AY98">
        <v>24.373999999999999</v>
      </c>
      <c r="AZ98">
        <v>300.09899999999999</v>
      </c>
      <c r="BA98">
        <v>99.063999999999993</v>
      </c>
      <c r="BB98">
        <v>9.9999099999999994E-2</v>
      </c>
      <c r="BC98">
        <v>25.416799999999999</v>
      </c>
      <c r="BD98">
        <v>27.04</v>
      </c>
      <c r="BE98">
        <v>26.738099999999999</v>
      </c>
      <c r="BF98">
        <v>0</v>
      </c>
      <c r="BG98">
        <v>0</v>
      </c>
      <c r="BH98">
        <v>9993.1200000000008</v>
      </c>
      <c r="BI98">
        <v>1061.48</v>
      </c>
      <c r="BJ98">
        <v>1.68198</v>
      </c>
      <c r="BK98">
        <v>-336.375</v>
      </c>
      <c r="BL98">
        <v>475.29</v>
      </c>
      <c r="BM98">
        <v>806.25699999999995</v>
      </c>
      <c r="BN98">
        <v>16.782599999999999</v>
      </c>
      <c r="BO98">
        <v>800.00099999999998</v>
      </c>
      <c r="BP98">
        <v>7.7591299999999999</v>
      </c>
      <c r="BQ98">
        <v>2.4312</v>
      </c>
      <c r="BR98">
        <v>0.76865099999999997</v>
      </c>
      <c r="BS98">
        <v>20.5731</v>
      </c>
      <c r="BT98">
        <v>3.1411699999999998</v>
      </c>
      <c r="BU98">
        <v>1800</v>
      </c>
      <c r="BV98">
        <v>0.91001200000000004</v>
      </c>
      <c r="BW98">
        <v>3.40004E-2</v>
      </c>
      <c r="BX98">
        <v>2.1994900000000001E-2</v>
      </c>
      <c r="BY98">
        <v>3.39929E-2</v>
      </c>
      <c r="BZ98">
        <v>25</v>
      </c>
      <c r="CA98">
        <v>33528.5</v>
      </c>
      <c r="CB98">
        <v>1690203121.0999999</v>
      </c>
      <c r="CC98" t="s">
        <v>332</v>
      </c>
      <c r="CD98">
        <v>1690203121.0999999</v>
      </c>
      <c r="CE98">
        <v>1690203121.0999999</v>
      </c>
      <c r="CF98">
        <v>3</v>
      </c>
      <c r="CG98">
        <v>0.53600000000000003</v>
      </c>
      <c r="CH98">
        <v>-0.01</v>
      </c>
      <c r="CI98">
        <v>-0.996</v>
      </c>
      <c r="CJ98">
        <v>-6.6000000000000003E-2</v>
      </c>
      <c r="CK98">
        <v>800</v>
      </c>
      <c r="CL98">
        <v>9</v>
      </c>
      <c r="CM98">
        <v>0.82</v>
      </c>
      <c r="CN98">
        <v>0.01</v>
      </c>
      <c r="CO98">
        <v>-333.74997560975612</v>
      </c>
      <c r="CP98">
        <v>-15.950466898955391</v>
      </c>
      <c r="CQ98">
        <v>1.574697779564731</v>
      </c>
      <c r="CR98">
        <v>-1</v>
      </c>
      <c r="CS98">
        <v>16.672370731707321</v>
      </c>
      <c r="CT98">
        <v>0.59446620209061396</v>
      </c>
      <c r="CU98">
        <v>5.9019377735156232E-2</v>
      </c>
      <c r="CV98">
        <v>-1</v>
      </c>
      <c r="CW98">
        <v>0</v>
      </c>
      <c r="CX98">
        <v>0</v>
      </c>
      <c r="CY98" t="s">
        <v>333</v>
      </c>
      <c r="CZ98">
        <v>2.3646099999999999</v>
      </c>
      <c r="DA98">
        <v>2.7137799999999999</v>
      </c>
      <c r="DB98">
        <v>0.10016899999999999</v>
      </c>
      <c r="DC98">
        <v>0.14619099999999999</v>
      </c>
      <c r="DD98">
        <v>0.11583400000000001</v>
      </c>
      <c r="DE98">
        <v>4.8547899999999998E-2</v>
      </c>
      <c r="DF98">
        <v>32826.699999999997</v>
      </c>
      <c r="DG98">
        <v>27456.1</v>
      </c>
      <c r="DH98">
        <v>31142.7</v>
      </c>
      <c r="DI98">
        <v>28019.5</v>
      </c>
      <c r="DJ98">
        <v>37370.199999999997</v>
      </c>
      <c r="DK98">
        <v>37888.9</v>
      </c>
      <c r="DL98">
        <v>44311.3</v>
      </c>
      <c r="DM98">
        <v>42442.9</v>
      </c>
      <c r="DN98">
        <v>1.4798500000000001</v>
      </c>
      <c r="DO98">
        <v>2.0539999999999998</v>
      </c>
      <c r="DP98">
        <v>0.17207500000000001</v>
      </c>
      <c r="DQ98">
        <v>0.15695400000000001</v>
      </c>
      <c r="DR98">
        <v>24.2195</v>
      </c>
      <c r="DS98">
        <v>24.1647</v>
      </c>
      <c r="DT98">
        <v>25.3</v>
      </c>
      <c r="DU98">
        <v>27.6</v>
      </c>
      <c r="DV98">
        <v>9.4681200000000008</v>
      </c>
      <c r="DW98">
        <v>61.625500000000002</v>
      </c>
      <c r="DX98">
        <v>36.931100000000001</v>
      </c>
      <c r="DY98">
        <v>1</v>
      </c>
      <c r="DZ98">
        <v>-0.11813</v>
      </c>
      <c r="EA98">
        <v>0.24685499999999999</v>
      </c>
      <c r="EB98">
        <v>20.191299999999998</v>
      </c>
      <c r="EC98">
        <v>5.242</v>
      </c>
      <c r="ED98">
        <v>12.039899999999999</v>
      </c>
      <c r="EE98">
        <v>5.0174000000000003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1.8689100000000001</v>
      </c>
      <c r="EL98">
        <v>1.8646199999999999</v>
      </c>
      <c r="EM98">
        <v>1.86914</v>
      </c>
      <c r="EN98">
        <v>1.8672200000000001</v>
      </c>
      <c r="EO98">
        <v>1.8633900000000001</v>
      </c>
      <c r="EP98">
        <v>1.8644700000000001</v>
      </c>
      <c r="EQ98">
        <v>1.8701300000000001</v>
      </c>
      <c r="ER98">
        <v>1.86937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-0.75800000000000001</v>
      </c>
      <c r="FG98">
        <v>0.16769999999999999</v>
      </c>
      <c r="FH98">
        <v>-0.44422204735670362</v>
      </c>
      <c r="FI98">
        <v>-6.1462078757559423E-4</v>
      </c>
      <c r="FJ98">
        <v>-1.8861989874597051E-7</v>
      </c>
      <c r="FK98">
        <v>1.1980462299894961E-10</v>
      </c>
      <c r="FL98">
        <v>0.16773393518503121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24.4</v>
      </c>
      <c r="FU98">
        <v>24.4</v>
      </c>
      <c r="FV98">
        <v>1.77979</v>
      </c>
      <c r="FW98">
        <v>2.5537100000000001</v>
      </c>
      <c r="FX98">
        <v>1.5490699999999999</v>
      </c>
      <c r="FY98">
        <v>2.33521</v>
      </c>
      <c r="FZ98">
        <v>1.50146</v>
      </c>
      <c r="GA98">
        <v>2.3290999999999999</v>
      </c>
      <c r="GB98">
        <v>32.332799999999999</v>
      </c>
      <c r="GC98">
        <v>23.982399999999998</v>
      </c>
      <c r="GD98">
        <v>19</v>
      </c>
      <c r="GE98">
        <v>283.25200000000001</v>
      </c>
      <c r="GF98">
        <v>594.71600000000001</v>
      </c>
      <c r="GG98">
        <v>23.545200000000001</v>
      </c>
      <c r="GH98">
        <v>25.915600000000001</v>
      </c>
      <c r="GI98">
        <v>29.999199999999998</v>
      </c>
      <c r="GJ98">
        <v>26.084199999999999</v>
      </c>
      <c r="GK98">
        <v>26.067299999999999</v>
      </c>
      <c r="GL98">
        <v>35.591799999999999</v>
      </c>
      <c r="GM98">
        <v>-30</v>
      </c>
      <c r="GN98">
        <v>-30</v>
      </c>
      <c r="GO98">
        <v>23.495200000000001</v>
      </c>
      <c r="GP98">
        <v>800</v>
      </c>
      <c r="GQ98">
        <v>12.5298</v>
      </c>
      <c r="GR98">
        <v>99.633200000000002</v>
      </c>
      <c r="GS98">
        <v>99.311800000000005</v>
      </c>
    </row>
    <row r="99" spans="1:201" x14ac:dyDescent="0.25">
      <c r="A99">
        <v>83</v>
      </c>
      <c r="B99">
        <v>1690204595.5</v>
      </c>
      <c r="C99">
        <v>1155.900000095367</v>
      </c>
      <c r="D99" t="s">
        <v>499</v>
      </c>
      <c r="E99" t="s">
        <v>500</v>
      </c>
      <c r="F99" t="s">
        <v>330</v>
      </c>
      <c r="H99">
        <v>1690204595.5</v>
      </c>
      <c r="I99">
        <f t="shared" si="30"/>
        <v>1.6641810888959538E-3</v>
      </c>
      <c r="J99">
        <f t="shared" si="31"/>
        <v>1.6641810888959538</v>
      </c>
      <c r="K99">
        <f t="shared" si="32"/>
        <v>31.829358813946936</v>
      </c>
      <c r="L99">
        <f t="shared" si="33"/>
        <v>461.10899999999998</v>
      </c>
      <c r="M99">
        <f t="shared" si="34"/>
        <v>96.760016392644971</v>
      </c>
      <c r="N99">
        <f t="shared" si="35"/>
        <v>9.5950748513942461</v>
      </c>
      <c r="O99">
        <f t="shared" si="36"/>
        <v>45.725244110105997</v>
      </c>
      <c r="P99">
        <f t="shared" si="37"/>
        <v>0.14630645529150788</v>
      </c>
      <c r="Q99">
        <f t="shared" si="38"/>
        <v>2.1914070155168046</v>
      </c>
      <c r="R99">
        <f t="shared" si="39"/>
        <v>0.1410884321460924</v>
      </c>
      <c r="S99">
        <f t="shared" si="40"/>
        <v>8.8633584284481731E-2</v>
      </c>
      <c r="T99">
        <f t="shared" si="41"/>
        <v>276.11453205000004</v>
      </c>
      <c r="U99">
        <f t="shared" si="42"/>
        <v>26.985287142771504</v>
      </c>
      <c r="V99">
        <f t="shared" si="43"/>
        <v>26.985287142771504</v>
      </c>
      <c r="W99">
        <f t="shared" si="44"/>
        <v>3.5760680265046676</v>
      </c>
      <c r="X99">
        <f t="shared" si="45"/>
        <v>74.896309155672895</v>
      </c>
      <c r="Y99">
        <f t="shared" si="46"/>
        <v>2.4418945708865998</v>
      </c>
      <c r="Z99">
        <f t="shared" si="47"/>
        <v>3.2603670306517936</v>
      </c>
      <c r="AA99">
        <f t="shared" si="48"/>
        <v>1.1341734556180678</v>
      </c>
      <c r="AB99">
        <f t="shared" si="49"/>
        <v>-73.390386020311567</v>
      </c>
      <c r="AC99">
        <f t="shared" si="50"/>
        <v>-184.80978711935177</v>
      </c>
      <c r="AD99">
        <f t="shared" si="51"/>
        <v>-18.055709179712199</v>
      </c>
      <c r="AE99">
        <f t="shared" si="52"/>
        <v>-0.14135026937549355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52551.832063256399</v>
      </c>
      <c r="AK99">
        <f t="shared" si="56"/>
        <v>1800</v>
      </c>
      <c r="AL99">
        <f t="shared" si="57"/>
        <v>1499.114061</v>
      </c>
      <c r="AM99">
        <f t="shared" si="58"/>
        <v>0.83284114499999995</v>
      </c>
      <c r="AN99">
        <f t="shared" si="59"/>
        <v>0.15339696225000002</v>
      </c>
      <c r="AO99">
        <v>31.2</v>
      </c>
      <c r="AP99">
        <v>0.5</v>
      </c>
      <c r="AQ99" t="s">
        <v>331</v>
      </c>
      <c r="AR99">
        <v>2</v>
      </c>
      <c r="AS99">
        <v>1690204595.5</v>
      </c>
      <c r="AT99">
        <v>461.10899999999998</v>
      </c>
      <c r="AU99">
        <v>799.96699999999998</v>
      </c>
      <c r="AV99">
        <v>24.6249</v>
      </c>
      <c r="AW99">
        <v>7.7509800000000002</v>
      </c>
      <c r="AX99">
        <v>461.86500000000001</v>
      </c>
      <c r="AY99">
        <v>24.457100000000001</v>
      </c>
      <c r="AZ99">
        <v>300.13099999999997</v>
      </c>
      <c r="BA99">
        <v>99.063599999999994</v>
      </c>
      <c r="BB99">
        <v>0.100034</v>
      </c>
      <c r="BC99">
        <v>25.420999999999999</v>
      </c>
      <c r="BD99">
        <v>26.997900000000001</v>
      </c>
      <c r="BE99">
        <v>26.747900000000001</v>
      </c>
      <c r="BF99">
        <v>0</v>
      </c>
      <c r="BG99">
        <v>0</v>
      </c>
      <c r="BH99">
        <v>9978.75</v>
      </c>
      <c r="BI99">
        <v>1061.6300000000001</v>
      </c>
      <c r="BJ99">
        <v>1.68198</v>
      </c>
      <c r="BK99">
        <v>-338.85899999999998</v>
      </c>
      <c r="BL99">
        <v>472.75</v>
      </c>
      <c r="BM99">
        <v>806.21600000000001</v>
      </c>
      <c r="BN99">
        <v>16.873899999999999</v>
      </c>
      <c r="BO99">
        <v>799.96699999999998</v>
      </c>
      <c r="BP99">
        <v>7.7509800000000002</v>
      </c>
      <c r="BQ99">
        <v>2.4394300000000002</v>
      </c>
      <c r="BR99">
        <v>0.76783999999999997</v>
      </c>
      <c r="BS99">
        <v>20.6279</v>
      </c>
      <c r="BT99">
        <v>3.1262599999999998</v>
      </c>
      <c r="BU99">
        <v>1800</v>
      </c>
      <c r="BV99">
        <v>0.91001600000000005</v>
      </c>
      <c r="BW99">
        <v>3.3999000000000001E-2</v>
      </c>
      <c r="BX99">
        <v>2.1994E-2</v>
      </c>
      <c r="BY99">
        <v>3.3991500000000001E-2</v>
      </c>
      <c r="BZ99">
        <v>25</v>
      </c>
      <c r="CA99">
        <v>33528.5</v>
      </c>
      <c r="CB99">
        <v>1690203121.0999999</v>
      </c>
      <c r="CC99" t="s">
        <v>332</v>
      </c>
      <c r="CD99">
        <v>1690203121.0999999</v>
      </c>
      <c r="CE99">
        <v>1690203121.0999999</v>
      </c>
      <c r="CF99">
        <v>3</v>
      </c>
      <c r="CG99">
        <v>0.53600000000000003</v>
      </c>
      <c r="CH99">
        <v>-0.01</v>
      </c>
      <c r="CI99">
        <v>-0.996</v>
      </c>
      <c r="CJ99">
        <v>-6.6000000000000003E-2</v>
      </c>
      <c r="CK99">
        <v>800</v>
      </c>
      <c r="CL99">
        <v>9</v>
      </c>
      <c r="CM99">
        <v>0.82</v>
      </c>
      <c r="CN99">
        <v>0.01</v>
      </c>
      <c r="CO99">
        <v>-336.30834146341459</v>
      </c>
      <c r="CP99">
        <v>-15.064411149825769</v>
      </c>
      <c r="CQ99">
        <v>1.4882163757208551</v>
      </c>
      <c r="CR99">
        <v>-1</v>
      </c>
      <c r="CS99">
        <v>16.77412682926829</v>
      </c>
      <c r="CT99">
        <v>0.62722996515680185</v>
      </c>
      <c r="CU99">
        <v>6.1953590121726271E-2</v>
      </c>
      <c r="CV99">
        <v>-1</v>
      </c>
      <c r="CW99">
        <v>0</v>
      </c>
      <c r="CX99">
        <v>0</v>
      </c>
      <c r="CY99" t="s">
        <v>333</v>
      </c>
      <c r="CZ99">
        <v>2.3647200000000002</v>
      </c>
      <c r="DA99">
        <v>2.7138100000000001</v>
      </c>
      <c r="DB99">
        <v>9.9767300000000003E-2</v>
      </c>
      <c r="DC99">
        <v>0.14618800000000001</v>
      </c>
      <c r="DD99">
        <v>0.11611100000000001</v>
      </c>
      <c r="DE99">
        <v>4.8507799999999997E-2</v>
      </c>
      <c r="DF99">
        <v>32841.4</v>
      </c>
      <c r="DG99">
        <v>27456.5</v>
      </c>
      <c r="DH99">
        <v>31142.7</v>
      </c>
      <c r="DI99">
        <v>28019.8</v>
      </c>
      <c r="DJ99">
        <v>37358.300000000003</v>
      </c>
      <c r="DK99">
        <v>37891.1</v>
      </c>
      <c r="DL99">
        <v>44311.4</v>
      </c>
      <c r="DM99">
        <v>42443.5</v>
      </c>
      <c r="DN99">
        <v>1.48055</v>
      </c>
      <c r="DO99">
        <v>2.0544799999999999</v>
      </c>
      <c r="DP99">
        <v>0.16955700000000001</v>
      </c>
      <c r="DQ99">
        <v>0.15761700000000001</v>
      </c>
      <c r="DR99">
        <v>24.218599999999999</v>
      </c>
      <c r="DS99">
        <v>24.163699999999999</v>
      </c>
      <c r="DT99">
        <v>25.2</v>
      </c>
      <c r="DU99">
        <v>27.6</v>
      </c>
      <c r="DV99">
        <v>9.4298800000000007</v>
      </c>
      <c r="DW99">
        <v>61.735500000000002</v>
      </c>
      <c r="DX99">
        <v>36.241999999999997</v>
      </c>
      <c r="DY99">
        <v>1</v>
      </c>
      <c r="DZ99">
        <v>-0.11702</v>
      </c>
      <c r="EA99">
        <v>0.47690900000000003</v>
      </c>
      <c r="EB99">
        <v>20.1905</v>
      </c>
      <c r="EC99">
        <v>5.2418500000000003</v>
      </c>
      <c r="ED99">
        <v>12.039899999999999</v>
      </c>
      <c r="EE99">
        <v>5.0174000000000003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</v>
      </c>
      <c r="EL99">
        <v>1.8646199999999999</v>
      </c>
      <c r="EM99">
        <v>1.8691599999999999</v>
      </c>
      <c r="EN99">
        <v>1.8672200000000001</v>
      </c>
      <c r="EO99">
        <v>1.8633999999999999</v>
      </c>
      <c r="EP99">
        <v>1.8644700000000001</v>
      </c>
      <c r="EQ99">
        <v>1.87012</v>
      </c>
      <c r="ER99">
        <v>1.86938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-0.75600000000000001</v>
      </c>
      <c r="FG99">
        <v>0.1678</v>
      </c>
      <c r="FH99">
        <v>-0.44422204735670362</v>
      </c>
      <c r="FI99">
        <v>-6.1462078757559423E-4</v>
      </c>
      <c r="FJ99">
        <v>-1.8861989874597051E-7</v>
      </c>
      <c r="FK99">
        <v>1.1980462299894961E-10</v>
      </c>
      <c r="FL99">
        <v>0.16773393518503121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24.6</v>
      </c>
      <c r="FU99">
        <v>24.6</v>
      </c>
      <c r="FV99">
        <v>1.77979</v>
      </c>
      <c r="FW99">
        <v>2.5561500000000001</v>
      </c>
      <c r="FX99">
        <v>1.5490699999999999</v>
      </c>
      <c r="FY99">
        <v>2.33521</v>
      </c>
      <c r="FZ99">
        <v>1.50146</v>
      </c>
      <c r="GA99">
        <v>2.36816</v>
      </c>
      <c r="GB99">
        <v>32.332799999999999</v>
      </c>
      <c r="GC99">
        <v>23.991199999999999</v>
      </c>
      <c r="GD99">
        <v>19</v>
      </c>
      <c r="GE99">
        <v>283.529</v>
      </c>
      <c r="GF99">
        <v>595.06399999999996</v>
      </c>
      <c r="GG99">
        <v>23.447399999999998</v>
      </c>
      <c r="GH99">
        <v>25.9102</v>
      </c>
      <c r="GI99">
        <v>30</v>
      </c>
      <c r="GJ99">
        <v>26.0793</v>
      </c>
      <c r="GK99">
        <v>26.062899999999999</v>
      </c>
      <c r="GL99">
        <v>35.590899999999998</v>
      </c>
      <c r="GM99">
        <v>-30</v>
      </c>
      <c r="GN99">
        <v>-30</v>
      </c>
      <c r="GO99">
        <v>23.423300000000001</v>
      </c>
      <c r="GP99">
        <v>800</v>
      </c>
      <c r="GQ99">
        <v>12.5298</v>
      </c>
      <c r="GR99">
        <v>99.633300000000006</v>
      </c>
      <c r="GS99">
        <v>99.313100000000006</v>
      </c>
    </row>
    <row r="100" spans="1:201" x14ac:dyDescent="0.25">
      <c r="A100">
        <v>84</v>
      </c>
      <c r="B100">
        <v>1690204605.5</v>
      </c>
      <c r="C100">
        <v>1165.900000095367</v>
      </c>
      <c r="D100" t="s">
        <v>501</v>
      </c>
      <c r="E100" t="s">
        <v>502</v>
      </c>
      <c r="F100" t="s">
        <v>330</v>
      </c>
      <c r="H100">
        <v>1690204605.5</v>
      </c>
      <c r="I100">
        <f t="shared" si="30"/>
        <v>1.6715763287483271E-3</v>
      </c>
      <c r="J100">
        <f t="shared" si="31"/>
        <v>1.6715763287483272</v>
      </c>
      <c r="K100">
        <f t="shared" si="32"/>
        <v>32.085210719485914</v>
      </c>
      <c r="L100">
        <f t="shared" si="33"/>
        <v>458.67099999999999</v>
      </c>
      <c r="M100">
        <f t="shared" si="34"/>
        <v>95.366586719639614</v>
      </c>
      <c r="N100">
        <f t="shared" si="35"/>
        <v>9.4567250692399885</v>
      </c>
      <c r="O100">
        <f t="shared" si="36"/>
        <v>45.482654810588002</v>
      </c>
      <c r="P100">
        <f t="shared" si="37"/>
        <v>0.14792594618575722</v>
      </c>
      <c r="Q100">
        <f t="shared" si="38"/>
        <v>2.1955337969269864</v>
      </c>
      <c r="R100">
        <f t="shared" si="39"/>
        <v>0.14260366405106134</v>
      </c>
      <c r="S100">
        <f t="shared" si="40"/>
        <v>8.9589522139846015E-2</v>
      </c>
      <c r="T100">
        <f t="shared" si="41"/>
        <v>276.11421805800001</v>
      </c>
      <c r="U100">
        <f t="shared" si="42"/>
        <v>26.977994519225263</v>
      </c>
      <c r="V100">
        <f t="shared" si="43"/>
        <v>26.977994519225263</v>
      </c>
      <c r="W100">
        <f t="shared" si="44"/>
        <v>3.5745364652678928</v>
      </c>
      <c r="X100">
        <f t="shared" si="45"/>
        <v>75.076763703079607</v>
      </c>
      <c r="Y100">
        <f t="shared" si="46"/>
        <v>2.4474725739648</v>
      </c>
      <c r="Z100">
        <f t="shared" si="47"/>
        <v>3.2599601437860142</v>
      </c>
      <c r="AA100">
        <f t="shared" si="48"/>
        <v>1.1270638913030928</v>
      </c>
      <c r="AB100">
        <f t="shared" si="49"/>
        <v>-73.716516097801218</v>
      </c>
      <c r="AC100">
        <f t="shared" si="50"/>
        <v>-184.54318638194394</v>
      </c>
      <c r="AD100">
        <f t="shared" si="51"/>
        <v>-17.994925385603143</v>
      </c>
      <c r="AE100">
        <f t="shared" si="52"/>
        <v>-0.14040980734830555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52721.727558038612</v>
      </c>
      <c r="AK100">
        <f t="shared" si="56"/>
        <v>1800</v>
      </c>
      <c r="AL100">
        <f t="shared" si="57"/>
        <v>1499.1133788</v>
      </c>
      <c r="AM100">
        <f t="shared" si="58"/>
        <v>0.83284076600000001</v>
      </c>
      <c r="AN100">
        <f t="shared" si="59"/>
        <v>0.15339678780999999</v>
      </c>
      <c r="AO100">
        <v>31.2</v>
      </c>
      <c r="AP100">
        <v>0.5</v>
      </c>
      <c r="AQ100" t="s">
        <v>331</v>
      </c>
      <c r="AR100">
        <v>2</v>
      </c>
      <c r="AS100">
        <v>1690204605.5</v>
      </c>
      <c r="AT100">
        <v>458.67099999999999</v>
      </c>
      <c r="AU100">
        <v>799.99300000000005</v>
      </c>
      <c r="AV100">
        <v>24.6816</v>
      </c>
      <c r="AW100">
        <v>7.7430500000000002</v>
      </c>
      <c r="AX100">
        <v>459.42599999999999</v>
      </c>
      <c r="AY100">
        <v>24.5138</v>
      </c>
      <c r="AZ100">
        <v>300.29700000000003</v>
      </c>
      <c r="BA100">
        <v>99.061800000000005</v>
      </c>
      <c r="BB100">
        <v>0.10002800000000001</v>
      </c>
      <c r="BC100">
        <v>25.418900000000001</v>
      </c>
      <c r="BD100">
        <v>26.9861</v>
      </c>
      <c r="BE100">
        <v>26.737100000000002</v>
      </c>
      <c r="BF100">
        <v>0</v>
      </c>
      <c r="BG100">
        <v>0</v>
      </c>
      <c r="BH100">
        <v>10012.5</v>
      </c>
      <c r="BI100">
        <v>1061.6600000000001</v>
      </c>
      <c r="BJ100">
        <v>1.68198</v>
      </c>
      <c r="BK100">
        <v>-341.322</v>
      </c>
      <c r="BL100">
        <v>470.27800000000002</v>
      </c>
      <c r="BM100">
        <v>806.23599999999999</v>
      </c>
      <c r="BN100">
        <v>16.938500000000001</v>
      </c>
      <c r="BO100">
        <v>799.99300000000005</v>
      </c>
      <c r="BP100">
        <v>7.7430500000000002</v>
      </c>
      <c r="BQ100">
        <v>2.4449999999999998</v>
      </c>
      <c r="BR100">
        <v>0.76704099999999997</v>
      </c>
      <c r="BS100">
        <v>20.664899999999999</v>
      </c>
      <c r="BT100">
        <v>3.1115499999999998</v>
      </c>
      <c r="BU100">
        <v>1800</v>
      </c>
      <c r="BV100">
        <v>0.91001799999999999</v>
      </c>
      <c r="BW100">
        <v>3.3998E-2</v>
      </c>
      <c r="BX100">
        <v>2.19933E-2</v>
      </c>
      <c r="BY100">
        <v>3.39905E-2</v>
      </c>
      <c r="BZ100">
        <v>25</v>
      </c>
      <c r="CA100">
        <v>33528.5</v>
      </c>
      <c r="CB100">
        <v>1690203121.0999999</v>
      </c>
      <c r="CC100" t="s">
        <v>332</v>
      </c>
      <c r="CD100">
        <v>1690203121.0999999</v>
      </c>
      <c r="CE100">
        <v>1690203121.0999999</v>
      </c>
      <c r="CF100">
        <v>3</v>
      </c>
      <c r="CG100">
        <v>0.53600000000000003</v>
      </c>
      <c r="CH100">
        <v>-0.01</v>
      </c>
      <c r="CI100">
        <v>-0.996</v>
      </c>
      <c r="CJ100">
        <v>-6.6000000000000003E-2</v>
      </c>
      <c r="CK100">
        <v>800</v>
      </c>
      <c r="CL100">
        <v>9</v>
      </c>
      <c r="CM100">
        <v>0.82</v>
      </c>
      <c r="CN100">
        <v>0.01</v>
      </c>
      <c r="CO100">
        <v>-338.51402439024389</v>
      </c>
      <c r="CP100">
        <v>-14.75525435540222</v>
      </c>
      <c r="CQ100">
        <v>1.45559387742271</v>
      </c>
      <c r="CR100">
        <v>-1</v>
      </c>
      <c r="CS100">
        <v>16.85663414634146</v>
      </c>
      <c r="CT100">
        <v>0.4789651567944232</v>
      </c>
      <c r="CU100">
        <v>4.7496231479551058E-2</v>
      </c>
      <c r="CV100">
        <v>-1</v>
      </c>
      <c r="CW100">
        <v>0</v>
      </c>
      <c r="CX100">
        <v>0</v>
      </c>
      <c r="CY100" t="s">
        <v>333</v>
      </c>
      <c r="CZ100">
        <v>2.3652700000000002</v>
      </c>
      <c r="DA100">
        <v>2.7138300000000002</v>
      </c>
      <c r="DB100">
        <v>9.9375699999999997E-2</v>
      </c>
      <c r="DC100">
        <v>0.14618999999999999</v>
      </c>
      <c r="DD100">
        <v>0.116298</v>
      </c>
      <c r="DE100">
        <v>4.84681E-2</v>
      </c>
      <c r="DF100">
        <v>32855.4</v>
      </c>
      <c r="DG100">
        <v>27456.5</v>
      </c>
      <c r="DH100">
        <v>31142.5</v>
      </c>
      <c r="DI100">
        <v>28019.8</v>
      </c>
      <c r="DJ100">
        <v>37350.1</v>
      </c>
      <c r="DK100">
        <v>37892.6</v>
      </c>
      <c r="DL100">
        <v>44311.199999999997</v>
      </c>
      <c r="DM100">
        <v>42443.4</v>
      </c>
      <c r="DN100">
        <v>1.4804999999999999</v>
      </c>
      <c r="DO100">
        <v>2.0542799999999999</v>
      </c>
      <c r="DP100">
        <v>0.168905</v>
      </c>
      <c r="DQ100">
        <v>0.157051</v>
      </c>
      <c r="DR100">
        <v>24.217400000000001</v>
      </c>
      <c r="DS100">
        <v>24.162099999999999</v>
      </c>
      <c r="DT100">
        <v>25.2</v>
      </c>
      <c r="DU100">
        <v>27.6</v>
      </c>
      <c r="DV100">
        <v>9.4304600000000001</v>
      </c>
      <c r="DW100">
        <v>61.695500000000003</v>
      </c>
      <c r="DX100">
        <v>36.089700000000001</v>
      </c>
      <c r="DY100">
        <v>1</v>
      </c>
      <c r="DZ100">
        <v>-0.11769300000000001</v>
      </c>
      <c r="EA100">
        <v>0.22323799999999999</v>
      </c>
      <c r="EB100">
        <v>20.191099999999999</v>
      </c>
      <c r="EC100">
        <v>5.2418500000000003</v>
      </c>
      <c r="ED100">
        <v>12.039899999999999</v>
      </c>
      <c r="EE100">
        <v>5.0174500000000002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1.8646199999999999</v>
      </c>
      <c r="EM100">
        <v>1.8691199999999999</v>
      </c>
      <c r="EN100">
        <v>1.8672200000000001</v>
      </c>
      <c r="EO100">
        <v>1.8633999999999999</v>
      </c>
      <c r="EP100">
        <v>1.8644700000000001</v>
      </c>
      <c r="EQ100">
        <v>1.8701399999999999</v>
      </c>
      <c r="ER100">
        <v>1.8693599999999999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-0.755</v>
      </c>
      <c r="FG100">
        <v>0.1678</v>
      </c>
      <c r="FH100">
        <v>-0.44422204735670362</v>
      </c>
      <c r="FI100">
        <v>-6.1462078757559423E-4</v>
      </c>
      <c r="FJ100">
        <v>-1.8861989874597051E-7</v>
      </c>
      <c r="FK100">
        <v>1.1980462299894961E-10</v>
      </c>
      <c r="FL100">
        <v>0.16773393518503121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24.7</v>
      </c>
      <c r="FU100">
        <v>24.7</v>
      </c>
      <c r="FV100">
        <v>1.77979</v>
      </c>
      <c r="FW100">
        <v>2.5585900000000001</v>
      </c>
      <c r="FX100">
        <v>1.5490699999999999</v>
      </c>
      <c r="FY100">
        <v>2.33521</v>
      </c>
      <c r="FZ100">
        <v>1.50146</v>
      </c>
      <c r="GA100">
        <v>2.2546400000000002</v>
      </c>
      <c r="GB100">
        <v>32.332799999999999</v>
      </c>
      <c r="GC100">
        <v>23.982399999999998</v>
      </c>
      <c r="GD100">
        <v>19</v>
      </c>
      <c r="GE100">
        <v>283.48399999999998</v>
      </c>
      <c r="GF100">
        <v>594.85</v>
      </c>
      <c r="GG100">
        <v>23.442699999999999</v>
      </c>
      <c r="GH100">
        <v>25.904699999999998</v>
      </c>
      <c r="GI100">
        <v>29.9999</v>
      </c>
      <c r="GJ100">
        <v>26.073799999999999</v>
      </c>
      <c r="GK100">
        <v>26.058900000000001</v>
      </c>
      <c r="GL100">
        <v>35.5916</v>
      </c>
      <c r="GM100">
        <v>-30</v>
      </c>
      <c r="GN100">
        <v>-30</v>
      </c>
      <c r="GO100">
        <v>23.460799999999999</v>
      </c>
      <c r="GP100">
        <v>800</v>
      </c>
      <c r="GQ100">
        <v>12.5298</v>
      </c>
      <c r="GR100">
        <v>99.6327</v>
      </c>
      <c r="GS100">
        <v>99.313100000000006</v>
      </c>
    </row>
    <row r="101" spans="1:201" x14ac:dyDescent="0.25">
      <c r="A101">
        <v>85</v>
      </c>
      <c r="B101">
        <v>1690204615.5</v>
      </c>
      <c r="C101">
        <v>1175.900000095367</v>
      </c>
      <c r="D101" t="s">
        <v>503</v>
      </c>
      <c r="E101" t="s">
        <v>504</v>
      </c>
      <c r="F101" t="s">
        <v>330</v>
      </c>
      <c r="H101">
        <v>1690204615.5</v>
      </c>
      <c r="I101">
        <f t="shared" si="30"/>
        <v>1.6797454845133375E-3</v>
      </c>
      <c r="J101">
        <f t="shared" si="31"/>
        <v>1.6797454845133375</v>
      </c>
      <c r="K101">
        <f t="shared" si="32"/>
        <v>32.316929983940014</v>
      </c>
      <c r="L101">
        <f t="shared" si="33"/>
        <v>456.13200000000001</v>
      </c>
      <c r="M101">
        <f t="shared" si="34"/>
        <v>95.13678550271419</v>
      </c>
      <c r="N101">
        <f t="shared" si="35"/>
        <v>9.4339418511620643</v>
      </c>
      <c r="O101">
        <f t="shared" si="36"/>
        <v>45.230903500849202</v>
      </c>
      <c r="P101">
        <f t="shared" si="37"/>
        <v>0.14999391157391223</v>
      </c>
      <c r="Q101">
        <f t="shared" si="38"/>
        <v>2.1967620610827847</v>
      </c>
      <c r="R101">
        <f t="shared" si="39"/>
        <v>0.1445276786634363</v>
      </c>
      <c r="S101">
        <f t="shared" si="40"/>
        <v>9.0804321758639658E-2</v>
      </c>
      <c r="T101">
        <f t="shared" si="41"/>
        <v>276.11410015800004</v>
      </c>
      <c r="U101">
        <f t="shared" si="42"/>
        <v>26.971529031109242</v>
      </c>
      <c r="V101">
        <f t="shared" si="43"/>
        <v>26.971529031109242</v>
      </c>
      <c r="W101">
        <f t="shared" si="44"/>
        <v>3.5731790938707837</v>
      </c>
      <c r="X101">
        <f t="shared" si="45"/>
        <v>75.342861161197746</v>
      </c>
      <c r="Y101">
        <f t="shared" si="46"/>
        <v>2.4557239549468801</v>
      </c>
      <c r="Z101">
        <f t="shared" si="47"/>
        <v>3.2593983253341063</v>
      </c>
      <c r="AA101">
        <f t="shared" si="48"/>
        <v>1.1174551389239036</v>
      </c>
      <c r="AB101">
        <f t="shared" si="49"/>
        <v>-74.07677586703818</v>
      </c>
      <c r="AC101">
        <f t="shared" si="50"/>
        <v>-184.2241594743769</v>
      </c>
      <c r="AD101">
        <f t="shared" si="51"/>
        <v>-17.952929328736957</v>
      </c>
      <c r="AE101">
        <f t="shared" si="52"/>
        <v>-0.13976451215199859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52772.774184686241</v>
      </c>
      <c r="AK101">
        <f t="shared" si="56"/>
        <v>1800</v>
      </c>
      <c r="AL101">
        <f t="shared" si="57"/>
        <v>1499.1135317999999</v>
      </c>
      <c r="AM101">
        <f t="shared" si="58"/>
        <v>0.83284085099999994</v>
      </c>
      <c r="AN101">
        <f t="shared" si="59"/>
        <v>0.15339672231000001</v>
      </c>
      <c r="AO101">
        <v>31.2</v>
      </c>
      <c r="AP101">
        <v>0.5</v>
      </c>
      <c r="AQ101" t="s">
        <v>331</v>
      </c>
      <c r="AR101">
        <v>2</v>
      </c>
      <c r="AS101">
        <v>1690204615.5</v>
      </c>
      <c r="AT101">
        <v>456.13200000000001</v>
      </c>
      <c r="AU101">
        <v>800.06799999999998</v>
      </c>
      <c r="AV101">
        <v>24.764800000000001</v>
      </c>
      <c r="AW101">
        <v>7.7344299999999997</v>
      </c>
      <c r="AX101">
        <v>456.88499999999999</v>
      </c>
      <c r="AY101">
        <v>24.597100000000001</v>
      </c>
      <c r="AZ101">
        <v>300.11200000000002</v>
      </c>
      <c r="BA101">
        <v>99.061899999999994</v>
      </c>
      <c r="BB101">
        <v>9.9973099999999995E-2</v>
      </c>
      <c r="BC101">
        <v>25.416</v>
      </c>
      <c r="BD101">
        <v>26.984100000000002</v>
      </c>
      <c r="BE101">
        <v>26.738199999999999</v>
      </c>
      <c r="BF101">
        <v>0</v>
      </c>
      <c r="BG101">
        <v>0</v>
      </c>
      <c r="BH101">
        <v>10022.5</v>
      </c>
      <c r="BI101">
        <v>1061.79</v>
      </c>
      <c r="BJ101">
        <v>1.68198</v>
      </c>
      <c r="BK101">
        <v>-343.93599999999998</v>
      </c>
      <c r="BL101">
        <v>467.71499999999997</v>
      </c>
      <c r="BM101">
        <v>806.30399999999997</v>
      </c>
      <c r="BN101">
        <v>17.0304</v>
      </c>
      <c r="BO101">
        <v>800.06799999999998</v>
      </c>
      <c r="BP101">
        <v>7.7344299999999997</v>
      </c>
      <c r="BQ101">
        <v>2.4532500000000002</v>
      </c>
      <c r="BR101">
        <v>0.76618699999999995</v>
      </c>
      <c r="BS101">
        <v>20.7196</v>
      </c>
      <c r="BT101">
        <v>3.0958100000000002</v>
      </c>
      <c r="BU101">
        <v>1800</v>
      </c>
      <c r="BV101">
        <v>0.91002000000000005</v>
      </c>
      <c r="BW101">
        <v>3.3997199999999998E-2</v>
      </c>
      <c r="BX101">
        <v>2.19928E-2</v>
      </c>
      <c r="BY101">
        <v>3.3989699999999998E-2</v>
      </c>
      <c r="BZ101">
        <v>25</v>
      </c>
      <c r="CA101">
        <v>33528.5</v>
      </c>
      <c r="CB101">
        <v>1690203121.0999999</v>
      </c>
      <c r="CC101" t="s">
        <v>332</v>
      </c>
      <c r="CD101">
        <v>1690203121.0999999</v>
      </c>
      <c r="CE101">
        <v>1690203121.0999999</v>
      </c>
      <c r="CF101">
        <v>3</v>
      </c>
      <c r="CG101">
        <v>0.53600000000000003</v>
      </c>
      <c r="CH101">
        <v>-0.01</v>
      </c>
      <c r="CI101">
        <v>-0.996</v>
      </c>
      <c r="CJ101">
        <v>-6.6000000000000003E-2</v>
      </c>
      <c r="CK101">
        <v>800</v>
      </c>
      <c r="CL101">
        <v>9</v>
      </c>
      <c r="CM101">
        <v>0.82</v>
      </c>
      <c r="CN101">
        <v>0.01</v>
      </c>
      <c r="CO101">
        <v>-341.14367499999997</v>
      </c>
      <c r="CP101">
        <v>-14.856191369605281</v>
      </c>
      <c r="CQ101">
        <v>1.4304034638433309</v>
      </c>
      <c r="CR101">
        <v>-1</v>
      </c>
      <c r="CS101">
        <v>16.938757500000001</v>
      </c>
      <c r="CT101">
        <v>0.4508724202626454</v>
      </c>
      <c r="CU101">
        <v>4.3603731993374271E-2</v>
      </c>
      <c r="CV101">
        <v>-1</v>
      </c>
      <c r="CW101">
        <v>0</v>
      </c>
      <c r="CX101">
        <v>0</v>
      </c>
      <c r="CY101" t="s">
        <v>333</v>
      </c>
      <c r="CZ101">
        <v>2.3646799999999999</v>
      </c>
      <c r="DA101">
        <v>2.7137799999999999</v>
      </c>
      <c r="DB101">
        <v>9.8968500000000001E-2</v>
      </c>
      <c r="DC101">
        <v>0.1462</v>
      </c>
      <c r="DD101">
        <v>0.116575</v>
      </c>
      <c r="DE101">
        <v>4.8425900000000001E-2</v>
      </c>
      <c r="DF101">
        <v>32870.9</v>
      </c>
      <c r="DG101">
        <v>27456.1</v>
      </c>
      <c r="DH101">
        <v>31143</v>
      </c>
      <c r="DI101">
        <v>28019.7</v>
      </c>
      <c r="DJ101">
        <v>37338.699999999997</v>
      </c>
      <c r="DK101">
        <v>37894.1</v>
      </c>
      <c r="DL101">
        <v>44311.8</v>
      </c>
      <c r="DM101">
        <v>42443.199999999997</v>
      </c>
      <c r="DN101">
        <v>1.48105</v>
      </c>
      <c r="DO101">
        <v>2.0542500000000001</v>
      </c>
      <c r="DP101">
        <v>0.16902400000000001</v>
      </c>
      <c r="DQ101">
        <v>0.15734500000000001</v>
      </c>
      <c r="DR101">
        <v>24.2135</v>
      </c>
      <c r="DS101">
        <v>24.1584</v>
      </c>
      <c r="DT101">
        <v>25.2</v>
      </c>
      <c r="DU101">
        <v>27.6</v>
      </c>
      <c r="DV101">
        <v>9.4313800000000008</v>
      </c>
      <c r="DW101">
        <v>61.265500000000003</v>
      </c>
      <c r="DX101">
        <v>36.971200000000003</v>
      </c>
      <c r="DY101">
        <v>1</v>
      </c>
      <c r="DZ101">
        <v>-0.118087</v>
      </c>
      <c r="EA101">
        <v>0.26643499999999998</v>
      </c>
      <c r="EB101">
        <v>20.191199999999998</v>
      </c>
      <c r="EC101">
        <v>5.2413999999999996</v>
      </c>
      <c r="ED101">
        <v>12.039899999999999</v>
      </c>
      <c r="EE101">
        <v>5.0175000000000001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</v>
      </c>
      <c r="EL101">
        <v>1.8646199999999999</v>
      </c>
      <c r="EM101">
        <v>1.86914</v>
      </c>
      <c r="EN101">
        <v>1.8672200000000001</v>
      </c>
      <c r="EO101">
        <v>1.8633999999999999</v>
      </c>
      <c r="EP101">
        <v>1.8644700000000001</v>
      </c>
      <c r="EQ101">
        <v>1.87012</v>
      </c>
      <c r="ER101">
        <v>1.86938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-0.753</v>
      </c>
      <c r="FG101">
        <v>0.16769999999999999</v>
      </c>
      <c r="FH101">
        <v>-0.44422204735670362</v>
      </c>
      <c r="FI101">
        <v>-6.1462078757559423E-4</v>
      </c>
      <c r="FJ101">
        <v>-1.8861989874597051E-7</v>
      </c>
      <c r="FK101">
        <v>1.1980462299894961E-10</v>
      </c>
      <c r="FL101">
        <v>0.16773393518503121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24.9</v>
      </c>
      <c r="FU101">
        <v>24.9</v>
      </c>
      <c r="FV101">
        <v>1.77979</v>
      </c>
      <c r="FW101">
        <v>2.5524900000000001</v>
      </c>
      <c r="FX101">
        <v>1.5490699999999999</v>
      </c>
      <c r="FY101">
        <v>2.33521</v>
      </c>
      <c r="FZ101">
        <v>1.50146</v>
      </c>
      <c r="GA101">
        <v>2.3742700000000001</v>
      </c>
      <c r="GB101">
        <v>32.332799999999999</v>
      </c>
      <c r="GC101">
        <v>23.991199999999999</v>
      </c>
      <c r="GD101">
        <v>19</v>
      </c>
      <c r="GE101">
        <v>283.69799999999998</v>
      </c>
      <c r="GF101">
        <v>594.779</v>
      </c>
      <c r="GG101">
        <v>23.457599999999999</v>
      </c>
      <c r="GH101">
        <v>25.8992</v>
      </c>
      <c r="GI101">
        <v>29.9999</v>
      </c>
      <c r="GJ101">
        <v>26.069500000000001</v>
      </c>
      <c r="GK101">
        <v>26.054600000000001</v>
      </c>
      <c r="GL101">
        <v>35.590699999999998</v>
      </c>
      <c r="GM101">
        <v>-30</v>
      </c>
      <c r="GN101">
        <v>-30</v>
      </c>
      <c r="GO101">
        <v>23.457100000000001</v>
      </c>
      <c r="GP101">
        <v>800</v>
      </c>
      <c r="GQ101">
        <v>12.5298</v>
      </c>
      <c r="GR101">
        <v>99.634200000000007</v>
      </c>
      <c r="GS101">
        <v>99.312700000000007</v>
      </c>
    </row>
    <row r="102" spans="1:201" x14ac:dyDescent="0.25">
      <c r="A102">
        <v>86</v>
      </c>
      <c r="B102">
        <v>1690204625.5</v>
      </c>
      <c r="C102">
        <v>1185.900000095367</v>
      </c>
      <c r="D102" t="s">
        <v>505</v>
      </c>
      <c r="E102" t="s">
        <v>506</v>
      </c>
      <c r="F102" t="s">
        <v>330</v>
      </c>
      <c r="H102">
        <v>1690204625.5</v>
      </c>
      <c r="I102">
        <f t="shared" si="30"/>
        <v>1.6895442275927459E-3</v>
      </c>
      <c r="J102">
        <f t="shared" si="31"/>
        <v>1.6895442275927459</v>
      </c>
      <c r="K102">
        <f t="shared" si="32"/>
        <v>32.554063681108708</v>
      </c>
      <c r="L102">
        <f t="shared" si="33"/>
        <v>453.77100000000002</v>
      </c>
      <c r="M102">
        <f t="shared" si="34"/>
        <v>94.769752746360609</v>
      </c>
      <c r="N102">
        <f t="shared" si="35"/>
        <v>9.3978417539808756</v>
      </c>
      <c r="O102">
        <f t="shared" si="36"/>
        <v>44.9981974940778</v>
      </c>
      <c r="P102">
        <f t="shared" si="37"/>
        <v>0.15198065930443</v>
      </c>
      <c r="Q102">
        <f t="shared" si="38"/>
        <v>2.1977936364408865</v>
      </c>
      <c r="R102">
        <f t="shared" si="39"/>
        <v>0.14637410211752419</v>
      </c>
      <c r="S102">
        <f t="shared" si="40"/>
        <v>9.1970308919240074E-2</v>
      </c>
      <c r="T102">
        <f t="shared" si="41"/>
        <v>276.11400099600002</v>
      </c>
      <c r="U102">
        <f t="shared" si="42"/>
        <v>26.973328927150867</v>
      </c>
      <c r="V102">
        <f t="shared" si="43"/>
        <v>26.973328927150867</v>
      </c>
      <c r="W102">
        <f t="shared" si="44"/>
        <v>3.5735569207432123</v>
      </c>
      <c r="X102">
        <f t="shared" si="45"/>
        <v>75.563790671351228</v>
      </c>
      <c r="Y102">
        <f t="shared" si="46"/>
        <v>2.4637740542693596</v>
      </c>
      <c r="Z102">
        <f t="shared" si="47"/>
        <v>3.2605220468425484</v>
      </c>
      <c r="AA102">
        <f t="shared" si="48"/>
        <v>1.1097828664738527</v>
      </c>
      <c r="AB102">
        <f t="shared" si="49"/>
        <v>-74.508900436840094</v>
      </c>
      <c r="AC102">
        <f t="shared" si="50"/>
        <v>-183.83670699824046</v>
      </c>
      <c r="AD102">
        <f t="shared" si="51"/>
        <v>-17.907444331625619</v>
      </c>
      <c r="AE102">
        <f t="shared" si="52"/>
        <v>-0.13905077070617722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52814.279274551365</v>
      </c>
      <c r="AK102">
        <f t="shared" si="56"/>
        <v>1800</v>
      </c>
      <c r="AL102">
        <f t="shared" si="57"/>
        <v>1499.1141006</v>
      </c>
      <c r="AM102">
        <f t="shared" si="58"/>
        <v>0.83284116699999999</v>
      </c>
      <c r="AN102">
        <f t="shared" si="59"/>
        <v>0.15339666722</v>
      </c>
      <c r="AO102">
        <v>31.2</v>
      </c>
      <c r="AP102">
        <v>0.5</v>
      </c>
      <c r="AQ102" t="s">
        <v>331</v>
      </c>
      <c r="AR102">
        <v>2</v>
      </c>
      <c r="AS102">
        <v>1690204625.5</v>
      </c>
      <c r="AT102">
        <v>453.77100000000002</v>
      </c>
      <c r="AU102">
        <v>799.98</v>
      </c>
      <c r="AV102">
        <v>24.845199999999998</v>
      </c>
      <c r="AW102">
        <v>7.7266500000000002</v>
      </c>
      <c r="AX102">
        <v>454.52300000000002</v>
      </c>
      <c r="AY102">
        <v>24.677399999999999</v>
      </c>
      <c r="AZ102">
        <v>300.28300000000002</v>
      </c>
      <c r="BA102">
        <v>99.064999999999998</v>
      </c>
      <c r="BB102">
        <v>9.9991800000000006E-2</v>
      </c>
      <c r="BC102">
        <v>25.421800000000001</v>
      </c>
      <c r="BD102">
        <v>26.911999999999999</v>
      </c>
      <c r="BE102">
        <v>26.735199999999999</v>
      </c>
      <c r="BF102">
        <v>0</v>
      </c>
      <c r="BG102">
        <v>0</v>
      </c>
      <c r="BH102">
        <v>10030.6</v>
      </c>
      <c r="BI102">
        <v>1061.8900000000001</v>
      </c>
      <c r="BJ102">
        <v>1.68198</v>
      </c>
      <c r="BK102">
        <v>-346.209</v>
      </c>
      <c r="BL102">
        <v>465.33300000000003</v>
      </c>
      <c r="BM102">
        <v>806.20899999999995</v>
      </c>
      <c r="BN102">
        <v>17.118500000000001</v>
      </c>
      <c r="BO102">
        <v>799.98</v>
      </c>
      <c r="BP102">
        <v>7.7266500000000002</v>
      </c>
      <c r="BQ102">
        <v>2.46129</v>
      </c>
      <c r="BR102">
        <v>0.76544100000000004</v>
      </c>
      <c r="BS102">
        <v>20.7727</v>
      </c>
      <c r="BT102">
        <v>3.0820599999999998</v>
      </c>
      <c r="BU102">
        <v>1800</v>
      </c>
      <c r="BV102">
        <v>0.91002300000000003</v>
      </c>
      <c r="BW102">
        <v>3.3996100000000001E-2</v>
      </c>
      <c r="BX102">
        <v>2.1992100000000001E-2</v>
      </c>
      <c r="BY102">
        <v>3.3988600000000001E-2</v>
      </c>
      <c r="BZ102">
        <v>25</v>
      </c>
      <c r="CA102">
        <v>33528.6</v>
      </c>
      <c r="CB102">
        <v>1690203121.0999999</v>
      </c>
      <c r="CC102" t="s">
        <v>332</v>
      </c>
      <c r="CD102">
        <v>1690203121.0999999</v>
      </c>
      <c r="CE102">
        <v>1690203121.0999999</v>
      </c>
      <c r="CF102">
        <v>3</v>
      </c>
      <c r="CG102">
        <v>0.53600000000000003</v>
      </c>
      <c r="CH102">
        <v>-0.01</v>
      </c>
      <c r="CI102">
        <v>-0.996</v>
      </c>
      <c r="CJ102">
        <v>-6.6000000000000003E-2</v>
      </c>
      <c r="CK102">
        <v>800</v>
      </c>
      <c r="CL102">
        <v>9</v>
      </c>
      <c r="CM102">
        <v>0.82</v>
      </c>
      <c r="CN102">
        <v>0.01</v>
      </c>
      <c r="CO102">
        <v>-343.61505</v>
      </c>
      <c r="CP102">
        <v>-14.884818011256501</v>
      </c>
      <c r="CQ102">
        <v>1.4340418743886101</v>
      </c>
      <c r="CR102">
        <v>-1</v>
      </c>
      <c r="CS102">
        <v>17.022367500000001</v>
      </c>
      <c r="CT102">
        <v>0.55320787992490639</v>
      </c>
      <c r="CU102">
        <v>5.3231261433015029E-2</v>
      </c>
      <c r="CV102">
        <v>-1</v>
      </c>
      <c r="CW102">
        <v>0</v>
      </c>
      <c r="CX102">
        <v>0</v>
      </c>
      <c r="CY102" t="s">
        <v>333</v>
      </c>
      <c r="CZ102">
        <v>2.3652500000000001</v>
      </c>
      <c r="DA102">
        <v>2.7138100000000001</v>
      </c>
      <c r="DB102">
        <v>9.8591999999999999E-2</v>
      </c>
      <c r="DC102">
        <v>0.14619499999999999</v>
      </c>
      <c r="DD102">
        <v>0.11684600000000001</v>
      </c>
      <c r="DE102">
        <v>4.8389300000000003E-2</v>
      </c>
      <c r="DF102">
        <v>32884.9</v>
      </c>
      <c r="DG102">
        <v>27456.9</v>
      </c>
      <c r="DH102">
        <v>31143.3</v>
      </c>
      <c r="DI102">
        <v>28020.400000000001</v>
      </c>
      <c r="DJ102">
        <v>37327.5</v>
      </c>
      <c r="DK102">
        <v>37896.5</v>
      </c>
      <c r="DL102">
        <v>44312.3</v>
      </c>
      <c r="DM102">
        <v>42444.2</v>
      </c>
      <c r="DN102">
        <v>1.4806699999999999</v>
      </c>
      <c r="DO102">
        <v>2.0543999999999998</v>
      </c>
      <c r="DP102">
        <v>0.16485900000000001</v>
      </c>
      <c r="DQ102">
        <v>0.157274</v>
      </c>
      <c r="DR102">
        <v>24.209499999999998</v>
      </c>
      <c r="DS102">
        <v>24.156500000000001</v>
      </c>
      <c r="DT102">
        <v>25.2</v>
      </c>
      <c r="DU102">
        <v>27.6</v>
      </c>
      <c r="DV102">
        <v>9.43079</v>
      </c>
      <c r="DW102">
        <v>61.585500000000003</v>
      </c>
      <c r="DX102">
        <v>35.717100000000002</v>
      </c>
      <c r="DY102">
        <v>1</v>
      </c>
      <c r="DZ102">
        <v>-0.11828</v>
      </c>
      <c r="EA102">
        <v>0.23927000000000001</v>
      </c>
      <c r="EB102">
        <v>20.191199999999998</v>
      </c>
      <c r="EC102">
        <v>5.2424499999999998</v>
      </c>
      <c r="ED102">
        <v>12.039899999999999</v>
      </c>
      <c r="EE102">
        <v>5.0175000000000001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1.8646199999999999</v>
      </c>
      <c r="EM102">
        <v>1.86917</v>
      </c>
      <c r="EN102">
        <v>1.8672200000000001</v>
      </c>
      <c r="EO102">
        <v>1.8633999999999999</v>
      </c>
      <c r="EP102">
        <v>1.8644799999999999</v>
      </c>
      <c r="EQ102">
        <v>1.8701399999999999</v>
      </c>
      <c r="ER102">
        <v>1.86937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-0.752</v>
      </c>
      <c r="FG102">
        <v>0.1678</v>
      </c>
      <c r="FH102">
        <v>-0.44422204735670362</v>
      </c>
      <c r="FI102">
        <v>-6.1462078757559423E-4</v>
      </c>
      <c r="FJ102">
        <v>-1.8861989874597051E-7</v>
      </c>
      <c r="FK102">
        <v>1.1980462299894961E-10</v>
      </c>
      <c r="FL102">
        <v>0.16773393518503121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25.1</v>
      </c>
      <c r="FU102">
        <v>25.1</v>
      </c>
      <c r="FV102">
        <v>1.77979</v>
      </c>
      <c r="FW102">
        <v>2.5549300000000001</v>
      </c>
      <c r="FX102">
        <v>1.5490699999999999</v>
      </c>
      <c r="FY102">
        <v>2.33521</v>
      </c>
      <c r="FZ102">
        <v>1.50146</v>
      </c>
      <c r="GA102">
        <v>2.34497</v>
      </c>
      <c r="GB102">
        <v>32.332799999999999</v>
      </c>
      <c r="GC102">
        <v>23.982399999999998</v>
      </c>
      <c r="GD102">
        <v>19</v>
      </c>
      <c r="GE102">
        <v>283.51900000000001</v>
      </c>
      <c r="GF102">
        <v>594.85400000000004</v>
      </c>
      <c r="GG102">
        <v>23.4682</v>
      </c>
      <c r="GH102">
        <v>25.894300000000001</v>
      </c>
      <c r="GI102">
        <v>30</v>
      </c>
      <c r="GJ102">
        <v>26.065100000000001</v>
      </c>
      <c r="GK102">
        <v>26.0502</v>
      </c>
      <c r="GL102">
        <v>35.592399999999998</v>
      </c>
      <c r="GM102">
        <v>-30</v>
      </c>
      <c r="GN102">
        <v>-30</v>
      </c>
      <c r="GO102">
        <v>23.4726</v>
      </c>
      <c r="GP102">
        <v>800</v>
      </c>
      <c r="GQ102">
        <v>12.5298</v>
      </c>
      <c r="GR102">
        <v>99.635199999999998</v>
      </c>
      <c r="GS102">
        <v>99.314999999999998</v>
      </c>
    </row>
    <row r="103" spans="1:201" x14ac:dyDescent="0.25">
      <c r="A103">
        <v>87</v>
      </c>
      <c r="B103">
        <v>1690204635.5</v>
      </c>
      <c r="C103">
        <v>1195.900000095367</v>
      </c>
      <c r="D103" t="s">
        <v>507</v>
      </c>
      <c r="E103" t="s">
        <v>508</v>
      </c>
      <c r="F103" t="s">
        <v>330</v>
      </c>
      <c r="H103">
        <v>1690204635.5</v>
      </c>
      <c r="I103">
        <f t="shared" si="30"/>
        <v>1.6983637937146876E-3</v>
      </c>
      <c r="J103">
        <f t="shared" si="31"/>
        <v>1.6983637937146876</v>
      </c>
      <c r="K103">
        <f t="shared" si="32"/>
        <v>32.775047700177076</v>
      </c>
      <c r="L103">
        <f t="shared" si="33"/>
        <v>451.29500000000002</v>
      </c>
      <c r="M103">
        <f t="shared" si="34"/>
        <v>94.310327407156265</v>
      </c>
      <c r="N103">
        <f t="shared" si="35"/>
        <v>9.3522404232006977</v>
      </c>
      <c r="O103">
        <f t="shared" si="36"/>
        <v>44.752461981890001</v>
      </c>
      <c r="P103">
        <f t="shared" si="37"/>
        <v>0.15393789886342421</v>
      </c>
      <c r="Q103">
        <f t="shared" si="38"/>
        <v>2.1918797922842392</v>
      </c>
      <c r="R103">
        <f t="shared" si="39"/>
        <v>0.14817405861569399</v>
      </c>
      <c r="S103">
        <f t="shared" si="40"/>
        <v>9.3108663813557993E-2</v>
      </c>
      <c r="T103">
        <f t="shared" si="41"/>
        <v>276.11403847199995</v>
      </c>
      <c r="U103">
        <f t="shared" si="42"/>
        <v>26.977739914175011</v>
      </c>
      <c r="V103">
        <f t="shared" si="43"/>
        <v>26.977739914175011</v>
      </c>
      <c r="W103">
        <f t="shared" si="44"/>
        <v>3.5744830047026652</v>
      </c>
      <c r="X103">
        <f t="shared" si="45"/>
        <v>75.815778630915318</v>
      </c>
      <c r="Y103">
        <f t="shared" si="46"/>
        <v>2.4725191079569999</v>
      </c>
      <c r="Z103">
        <f t="shared" si="47"/>
        <v>3.2612196993895721</v>
      </c>
      <c r="AA103">
        <f t="shared" si="48"/>
        <v>1.1019638967456653</v>
      </c>
      <c r="AB103">
        <f t="shared" si="49"/>
        <v>-74.897843302817719</v>
      </c>
      <c r="AC103">
        <f t="shared" si="50"/>
        <v>-183.4378706473687</v>
      </c>
      <c r="AD103">
        <f t="shared" si="51"/>
        <v>-17.917524299247422</v>
      </c>
      <c r="AE103">
        <f t="shared" si="52"/>
        <v>-0.13919977743387335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52570.485351394906</v>
      </c>
      <c r="AK103">
        <f t="shared" si="56"/>
        <v>1800</v>
      </c>
      <c r="AL103">
        <f t="shared" si="57"/>
        <v>1499.1149321999999</v>
      </c>
      <c r="AM103">
        <f t="shared" si="58"/>
        <v>0.83284162899999992</v>
      </c>
      <c r="AN103">
        <f t="shared" si="59"/>
        <v>0.15339668803999998</v>
      </c>
      <c r="AO103">
        <v>31.2</v>
      </c>
      <c r="AP103">
        <v>0.5</v>
      </c>
      <c r="AQ103" t="s">
        <v>331</v>
      </c>
      <c r="AR103">
        <v>2</v>
      </c>
      <c r="AS103">
        <v>1690204635.5</v>
      </c>
      <c r="AT103">
        <v>451.29500000000002</v>
      </c>
      <c r="AU103">
        <v>799.96400000000006</v>
      </c>
      <c r="AV103">
        <v>24.933499999999999</v>
      </c>
      <c r="AW103">
        <v>7.7189500000000004</v>
      </c>
      <c r="AX103">
        <v>452.04399999999998</v>
      </c>
      <c r="AY103">
        <v>24.765699999999999</v>
      </c>
      <c r="AZ103">
        <v>300.14</v>
      </c>
      <c r="BA103">
        <v>99.064499999999995</v>
      </c>
      <c r="BB103">
        <v>0.10004200000000001</v>
      </c>
      <c r="BC103">
        <v>25.4254</v>
      </c>
      <c r="BD103">
        <v>27.035799999999998</v>
      </c>
      <c r="BE103">
        <v>26.732399999999998</v>
      </c>
      <c r="BF103">
        <v>0</v>
      </c>
      <c r="BG103">
        <v>0</v>
      </c>
      <c r="BH103">
        <v>9982.5</v>
      </c>
      <c r="BI103">
        <v>1062.0899999999999</v>
      </c>
      <c r="BJ103">
        <v>1.68198</v>
      </c>
      <c r="BK103">
        <v>-348.66899999999998</v>
      </c>
      <c r="BL103">
        <v>462.83499999999998</v>
      </c>
      <c r="BM103">
        <v>806.18700000000001</v>
      </c>
      <c r="BN103">
        <v>17.214500000000001</v>
      </c>
      <c r="BO103">
        <v>799.96400000000006</v>
      </c>
      <c r="BP103">
        <v>7.7189500000000004</v>
      </c>
      <c r="BQ103">
        <v>2.4700199999999999</v>
      </c>
      <c r="BR103">
        <v>0.76467399999999996</v>
      </c>
      <c r="BS103">
        <v>20.830300000000001</v>
      </c>
      <c r="BT103">
        <v>3.0678899999999998</v>
      </c>
      <c r="BU103">
        <v>1800</v>
      </c>
      <c r="BV103">
        <v>0.91002499999999997</v>
      </c>
      <c r="BW103">
        <v>3.3995499999999998E-2</v>
      </c>
      <c r="BX103">
        <v>2.1991699999999999E-2</v>
      </c>
      <c r="BY103">
        <v>3.3987999999999997E-2</v>
      </c>
      <c r="BZ103">
        <v>25</v>
      </c>
      <c r="CA103">
        <v>33528.6</v>
      </c>
      <c r="CB103">
        <v>1690203121.0999999</v>
      </c>
      <c r="CC103" t="s">
        <v>332</v>
      </c>
      <c r="CD103">
        <v>1690203121.0999999</v>
      </c>
      <c r="CE103">
        <v>1690203121.0999999</v>
      </c>
      <c r="CF103">
        <v>3</v>
      </c>
      <c r="CG103">
        <v>0.53600000000000003</v>
      </c>
      <c r="CH103">
        <v>-0.01</v>
      </c>
      <c r="CI103">
        <v>-0.996</v>
      </c>
      <c r="CJ103">
        <v>-6.6000000000000003E-2</v>
      </c>
      <c r="CK103">
        <v>800</v>
      </c>
      <c r="CL103">
        <v>9</v>
      </c>
      <c r="CM103">
        <v>0.82</v>
      </c>
      <c r="CN103">
        <v>0.01</v>
      </c>
      <c r="CO103">
        <v>-345.88687804878037</v>
      </c>
      <c r="CP103">
        <v>-14.262439024389829</v>
      </c>
      <c r="CQ103">
        <v>1.40704111256387</v>
      </c>
      <c r="CR103">
        <v>-1</v>
      </c>
      <c r="CS103">
        <v>17.10715853658537</v>
      </c>
      <c r="CT103">
        <v>0.5438675958188075</v>
      </c>
      <c r="CU103">
        <v>5.363552688470468E-2</v>
      </c>
      <c r="CV103">
        <v>-1</v>
      </c>
      <c r="CW103">
        <v>0</v>
      </c>
      <c r="CX103">
        <v>0</v>
      </c>
      <c r="CY103" t="s">
        <v>333</v>
      </c>
      <c r="CZ103">
        <v>2.36477</v>
      </c>
      <c r="DA103">
        <v>2.7138200000000001</v>
      </c>
      <c r="DB103">
        <v>9.8192299999999996E-2</v>
      </c>
      <c r="DC103">
        <v>0.14619399999999999</v>
      </c>
      <c r="DD103">
        <v>0.11713800000000001</v>
      </c>
      <c r="DE103">
        <v>4.8351400000000003E-2</v>
      </c>
      <c r="DF103">
        <v>32899.599999999999</v>
      </c>
      <c r="DG103">
        <v>27457.8</v>
      </c>
      <c r="DH103">
        <v>31143.3</v>
      </c>
      <c r="DI103">
        <v>28021.3</v>
      </c>
      <c r="DJ103">
        <v>37315.199999999997</v>
      </c>
      <c r="DK103">
        <v>37899.300000000003</v>
      </c>
      <c r="DL103">
        <v>44312.5</v>
      </c>
      <c r="DM103">
        <v>42445.599999999999</v>
      </c>
      <c r="DN103">
        <v>1.4807999999999999</v>
      </c>
      <c r="DO103">
        <v>2.0544500000000001</v>
      </c>
      <c r="DP103">
        <v>0.172567</v>
      </c>
      <c r="DQ103">
        <v>0.15724099999999999</v>
      </c>
      <c r="DR103">
        <v>24.2073</v>
      </c>
      <c r="DS103">
        <v>24.154399999999999</v>
      </c>
      <c r="DT103">
        <v>25.1</v>
      </c>
      <c r="DU103">
        <v>27.6</v>
      </c>
      <c r="DV103">
        <v>9.3927499999999995</v>
      </c>
      <c r="DW103">
        <v>61.935499999999998</v>
      </c>
      <c r="DX103">
        <v>36.806899999999999</v>
      </c>
      <c r="DY103">
        <v>1</v>
      </c>
      <c r="DZ103">
        <v>-0.119662</v>
      </c>
      <c r="EA103">
        <v>2.4937399999999998E-2</v>
      </c>
      <c r="EB103">
        <v>20.191199999999998</v>
      </c>
      <c r="EC103">
        <v>5.2418500000000003</v>
      </c>
      <c r="ED103">
        <v>12.039899999999999</v>
      </c>
      <c r="EE103">
        <v>5.0175000000000001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</v>
      </c>
      <c r="EL103">
        <v>1.8646199999999999</v>
      </c>
      <c r="EM103">
        <v>1.8691599999999999</v>
      </c>
      <c r="EN103">
        <v>1.8672200000000001</v>
      </c>
      <c r="EO103">
        <v>1.8633999999999999</v>
      </c>
      <c r="EP103">
        <v>1.8644700000000001</v>
      </c>
      <c r="EQ103">
        <v>1.8701300000000001</v>
      </c>
      <c r="ER103">
        <v>1.8693500000000001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-0.749</v>
      </c>
      <c r="FG103">
        <v>0.1678</v>
      </c>
      <c r="FH103">
        <v>-0.44422204735670362</v>
      </c>
      <c r="FI103">
        <v>-6.1462078757559423E-4</v>
      </c>
      <c r="FJ103">
        <v>-1.8861989874597051E-7</v>
      </c>
      <c r="FK103">
        <v>1.1980462299894961E-10</v>
      </c>
      <c r="FL103">
        <v>0.16773393518503121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25.2</v>
      </c>
      <c r="FU103">
        <v>25.2</v>
      </c>
      <c r="FV103">
        <v>1.77979</v>
      </c>
      <c r="FW103">
        <v>2.5549300000000001</v>
      </c>
      <c r="FX103">
        <v>1.5490699999999999</v>
      </c>
      <c r="FY103">
        <v>2.33521</v>
      </c>
      <c r="FZ103">
        <v>1.50146</v>
      </c>
      <c r="GA103">
        <v>2.3278799999999999</v>
      </c>
      <c r="GB103">
        <v>32.332799999999999</v>
      </c>
      <c r="GC103">
        <v>23.982399999999998</v>
      </c>
      <c r="GD103">
        <v>19</v>
      </c>
      <c r="GE103">
        <v>283.553</v>
      </c>
      <c r="GF103">
        <v>594.84500000000003</v>
      </c>
      <c r="GG103">
        <v>23.5367</v>
      </c>
      <c r="GH103">
        <v>25.889399999999998</v>
      </c>
      <c r="GI103">
        <v>29.999199999999998</v>
      </c>
      <c r="GJ103">
        <v>26.060700000000001</v>
      </c>
      <c r="GK103">
        <v>26.0459</v>
      </c>
      <c r="GL103">
        <v>35.594200000000001</v>
      </c>
      <c r="GM103">
        <v>-30</v>
      </c>
      <c r="GN103">
        <v>-30</v>
      </c>
      <c r="GO103">
        <v>23.5642</v>
      </c>
      <c r="GP103">
        <v>800</v>
      </c>
      <c r="GQ103">
        <v>12.5298</v>
      </c>
      <c r="GR103">
        <v>99.6357</v>
      </c>
      <c r="GS103">
        <v>99.318299999999994</v>
      </c>
    </row>
    <row r="104" spans="1:201" x14ac:dyDescent="0.25">
      <c r="A104">
        <v>88</v>
      </c>
      <c r="B104">
        <v>1690204645.5</v>
      </c>
      <c r="C104">
        <v>1205.900000095367</v>
      </c>
      <c r="D104" t="s">
        <v>509</v>
      </c>
      <c r="E104" t="s">
        <v>510</v>
      </c>
      <c r="F104" t="s">
        <v>330</v>
      </c>
      <c r="H104">
        <v>1690204645.5</v>
      </c>
      <c r="I104">
        <f t="shared" si="30"/>
        <v>1.7090871359291024E-3</v>
      </c>
      <c r="J104">
        <f t="shared" si="31"/>
        <v>1.7090871359291024</v>
      </c>
      <c r="K104">
        <f t="shared" si="32"/>
        <v>32.997268593987826</v>
      </c>
      <c r="L104">
        <f t="shared" si="33"/>
        <v>448.988</v>
      </c>
      <c r="M104">
        <f t="shared" si="34"/>
        <v>94.295365491294206</v>
      </c>
      <c r="N104">
        <f t="shared" si="35"/>
        <v>9.3506666890222885</v>
      </c>
      <c r="O104">
        <f t="shared" si="36"/>
        <v>44.523260644854801</v>
      </c>
      <c r="P104">
        <f t="shared" si="37"/>
        <v>0.15603279483380023</v>
      </c>
      <c r="Q104">
        <f t="shared" si="38"/>
        <v>2.1954824743520187</v>
      </c>
      <c r="R104">
        <f t="shared" si="39"/>
        <v>0.15012357065058787</v>
      </c>
      <c r="S104">
        <f t="shared" si="40"/>
        <v>9.4339505938427493E-2</v>
      </c>
      <c r="T104">
        <f t="shared" si="41"/>
        <v>276.11252324301552</v>
      </c>
      <c r="U104">
        <f t="shared" si="42"/>
        <v>26.988739481426727</v>
      </c>
      <c r="V104">
        <f t="shared" si="43"/>
        <v>26.988739481426727</v>
      </c>
      <c r="W104">
        <f t="shared" si="44"/>
        <v>3.5767932695915077</v>
      </c>
      <c r="X104">
        <f t="shared" si="45"/>
        <v>76.040436350851877</v>
      </c>
      <c r="Y104">
        <f t="shared" si="46"/>
        <v>2.4823521595155902</v>
      </c>
      <c r="Z104">
        <f t="shared" si="47"/>
        <v>3.2645159321048278</v>
      </c>
      <c r="AA104">
        <f t="shared" si="48"/>
        <v>1.0944411100759175</v>
      </c>
      <c r="AB104">
        <f t="shared" si="49"/>
        <v>-75.370742694473421</v>
      </c>
      <c r="AC104">
        <f t="shared" si="50"/>
        <v>-183.02914987871571</v>
      </c>
      <c r="AD104">
        <f t="shared" si="51"/>
        <v>-17.850770258240878</v>
      </c>
      <c r="AE104">
        <f t="shared" si="52"/>
        <v>-0.13813958841447516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52715.504922688044</v>
      </c>
      <c r="AK104">
        <f t="shared" si="56"/>
        <v>1799.99</v>
      </c>
      <c r="AL104">
        <f t="shared" si="57"/>
        <v>1499.1070195814</v>
      </c>
      <c r="AM104">
        <f t="shared" si="58"/>
        <v>0.83284186000000004</v>
      </c>
      <c r="AN104">
        <f t="shared" si="59"/>
        <v>0.15339669845000001</v>
      </c>
      <c r="AO104">
        <v>31.2</v>
      </c>
      <c r="AP104">
        <v>0.5</v>
      </c>
      <c r="AQ104" t="s">
        <v>331</v>
      </c>
      <c r="AR104">
        <v>2</v>
      </c>
      <c r="AS104">
        <v>1690204645.5</v>
      </c>
      <c r="AT104">
        <v>448.988</v>
      </c>
      <c r="AU104">
        <v>799.97400000000005</v>
      </c>
      <c r="AV104">
        <v>25.032900000000001</v>
      </c>
      <c r="AW104">
        <v>7.7115400000000003</v>
      </c>
      <c r="AX104">
        <v>449.73599999999999</v>
      </c>
      <c r="AY104">
        <v>24.865100000000002</v>
      </c>
      <c r="AZ104">
        <v>300.142</v>
      </c>
      <c r="BA104">
        <v>99.063599999999994</v>
      </c>
      <c r="BB104">
        <v>9.9987099999999995E-2</v>
      </c>
      <c r="BC104">
        <v>25.442399999999999</v>
      </c>
      <c r="BD104">
        <v>26.967099999999999</v>
      </c>
      <c r="BE104">
        <v>26.741299999999999</v>
      </c>
      <c r="BF104">
        <v>0</v>
      </c>
      <c r="BG104">
        <v>0</v>
      </c>
      <c r="BH104">
        <v>10011.9</v>
      </c>
      <c r="BI104">
        <v>1062.33</v>
      </c>
      <c r="BJ104">
        <v>1.68198</v>
      </c>
      <c r="BK104">
        <v>-350.98500000000001</v>
      </c>
      <c r="BL104">
        <v>460.51600000000002</v>
      </c>
      <c r="BM104">
        <v>806.19100000000003</v>
      </c>
      <c r="BN104">
        <v>17.321300000000001</v>
      </c>
      <c r="BO104">
        <v>799.97400000000005</v>
      </c>
      <c r="BP104">
        <v>7.7115400000000003</v>
      </c>
      <c r="BQ104">
        <v>2.4798399999999998</v>
      </c>
      <c r="BR104">
        <v>0.76393200000000006</v>
      </c>
      <c r="BS104">
        <v>20.8948</v>
      </c>
      <c r="BT104">
        <v>3.0541999999999998</v>
      </c>
      <c r="BU104">
        <v>1799.99</v>
      </c>
      <c r="BV104">
        <v>0.910026</v>
      </c>
      <c r="BW104">
        <v>3.3995200000000003E-2</v>
      </c>
      <c r="BX104">
        <v>2.1991500000000001E-2</v>
      </c>
      <c r="BY104">
        <v>3.3987700000000003E-2</v>
      </c>
      <c r="BZ104">
        <v>25</v>
      </c>
      <c r="CA104">
        <v>33528.5</v>
      </c>
      <c r="CB104">
        <v>1690203121.0999999</v>
      </c>
      <c r="CC104" t="s">
        <v>332</v>
      </c>
      <c r="CD104">
        <v>1690203121.0999999</v>
      </c>
      <c r="CE104">
        <v>1690203121.0999999</v>
      </c>
      <c r="CF104">
        <v>3</v>
      </c>
      <c r="CG104">
        <v>0.53600000000000003</v>
      </c>
      <c r="CH104">
        <v>-0.01</v>
      </c>
      <c r="CI104">
        <v>-0.996</v>
      </c>
      <c r="CJ104">
        <v>-6.6000000000000003E-2</v>
      </c>
      <c r="CK104">
        <v>800</v>
      </c>
      <c r="CL104">
        <v>9</v>
      </c>
      <c r="CM104">
        <v>0.82</v>
      </c>
      <c r="CN104">
        <v>0.01</v>
      </c>
      <c r="CO104">
        <v>-348.4667</v>
      </c>
      <c r="CP104">
        <v>-14.37514446529033</v>
      </c>
      <c r="CQ104">
        <v>1.383056473901191</v>
      </c>
      <c r="CR104">
        <v>-1</v>
      </c>
      <c r="CS104">
        <v>17.209782499999999</v>
      </c>
      <c r="CT104">
        <v>0.60660900562850562</v>
      </c>
      <c r="CU104">
        <v>5.8381893115502757E-2</v>
      </c>
      <c r="CV104">
        <v>-1</v>
      </c>
      <c r="CW104">
        <v>0</v>
      </c>
      <c r="CX104">
        <v>0</v>
      </c>
      <c r="CY104" t="s">
        <v>333</v>
      </c>
      <c r="CZ104">
        <v>2.3647999999999998</v>
      </c>
      <c r="DA104">
        <v>2.7137899999999999</v>
      </c>
      <c r="DB104">
        <v>9.78189E-2</v>
      </c>
      <c r="DC104">
        <v>0.14619499999999999</v>
      </c>
      <c r="DD104">
        <v>0.117466</v>
      </c>
      <c r="DE104">
        <v>4.8314700000000002E-2</v>
      </c>
      <c r="DF104">
        <v>32913.800000000003</v>
      </c>
      <c r="DG104">
        <v>27458.2</v>
      </c>
      <c r="DH104">
        <v>31143.9</v>
      </c>
      <c r="DI104">
        <v>28021.599999999999</v>
      </c>
      <c r="DJ104">
        <v>37301.699999999997</v>
      </c>
      <c r="DK104">
        <v>37901.199999999997</v>
      </c>
      <c r="DL104">
        <v>44313.2</v>
      </c>
      <c r="DM104">
        <v>42446.2</v>
      </c>
      <c r="DN104">
        <v>1.4805999999999999</v>
      </c>
      <c r="DO104">
        <v>2.05463</v>
      </c>
      <c r="DP104">
        <v>0.168491</v>
      </c>
      <c r="DQ104">
        <v>0.15790799999999999</v>
      </c>
      <c r="DR104">
        <v>24.205200000000001</v>
      </c>
      <c r="DS104">
        <v>24.1523</v>
      </c>
      <c r="DT104">
        <v>25.1</v>
      </c>
      <c r="DU104">
        <v>27.6</v>
      </c>
      <c r="DV104">
        <v>9.3934099999999994</v>
      </c>
      <c r="DW104">
        <v>61.3855</v>
      </c>
      <c r="DX104">
        <v>36.234000000000002</v>
      </c>
      <c r="DY104">
        <v>1</v>
      </c>
      <c r="DZ104">
        <v>-0.119281</v>
      </c>
      <c r="EA104">
        <v>0.300068</v>
      </c>
      <c r="EB104">
        <v>20.190899999999999</v>
      </c>
      <c r="EC104">
        <v>5.2416999999999998</v>
      </c>
      <c r="ED104">
        <v>12.039899999999999</v>
      </c>
      <c r="EE104">
        <v>5.0170500000000002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</v>
      </c>
      <c r="EL104">
        <v>1.8646199999999999</v>
      </c>
      <c r="EM104">
        <v>1.86913</v>
      </c>
      <c r="EN104">
        <v>1.8672200000000001</v>
      </c>
      <c r="EO104">
        <v>1.8633999999999999</v>
      </c>
      <c r="EP104">
        <v>1.8644700000000001</v>
      </c>
      <c r="EQ104">
        <v>1.87012</v>
      </c>
      <c r="ER104">
        <v>1.8693599999999999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-0.748</v>
      </c>
      <c r="FG104">
        <v>0.1678</v>
      </c>
      <c r="FH104">
        <v>-0.44422204735670362</v>
      </c>
      <c r="FI104">
        <v>-6.1462078757559423E-4</v>
      </c>
      <c r="FJ104">
        <v>-1.8861989874597051E-7</v>
      </c>
      <c r="FK104">
        <v>1.1980462299894961E-10</v>
      </c>
      <c r="FL104">
        <v>0.16773393518503121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25.4</v>
      </c>
      <c r="FU104">
        <v>25.4</v>
      </c>
      <c r="FV104">
        <v>1.77979</v>
      </c>
      <c r="FW104">
        <v>2.5634800000000002</v>
      </c>
      <c r="FX104">
        <v>1.5490699999999999</v>
      </c>
      <c r="FY104">
        <v>2.33521</v>
      </c>
      <c r="FZ104">
        <v>1.50146</v>
      </c>
      <c r="GA104">
        <v>2.3107899999999999</v>
      </c>
      <c r="GB104">
        <v>32.354900000000001</v>
      </c>
      <c r="GC104">
        <v>23.982399999999998</v>
      </c>
      <c r="GD104">
        <v>19</v>
      </c>
      <c r="GE104">
        <v>283.45100000000002</v>
      </c>
      <c r="GF104">
        <v>594.94399999999996</v>
      </c>
      <c r="GG104">
        <v>23.529800000000002</v>
      </c>
      <c r="GH104">
        <v>25.884499999999999</v>
      </c>
      <c r="GI104">
        <v>30.000399999999999</v>
      </c>
      <c r="GJ104">
        <v>26.056899999999999</v>
      </c>
      <c r="GK104">
        <v>26.041699999999999</v>
      </c>
      <c r="GL104">
        <v>35.593499999999999</v>
      </c>
      <c r="GM104">
        <v>-30</v>
      </c>
      <c r="GN104">
        <v>-30</v>
      </c>
      <c r="GO104">
        <v>23.526700000000002</v>
      </c>
      <c r="GP104">
        <v>800</v>
      </c>
      <c r="GQ104">
        <v>12.5298</v>
      </c>
      <c r="GR104">
        <v>99.637299999999996</v>
      </c>
      <c r="GS104">
        <v>99.319500000000005</v>
      </c>
    </row>
    <row r="105" spans="1:201" x14ac:dyDescent="0.25">
      <c r="A105">
        <v>89</v>
      </c>
      <c r="B105">
        <v>1690204655.5</v>
      </c>
      <c r="C105">
        <v>1215.900000095367</v>
      </c>
      <c r="D105" t="s">
        <v>511</v>
      </c>
      <c r="E105" t="s">
        <v>512</v>
      </c>
      <c r="F105" t="s">
        <v>330</v>
      </c>
      <c r="H105">
        <v>1690204655.5</v>
      </c>
      <c r="I105">
        <f t="shared" si="30"/>
        <v>1.7176813322438143E-3</v>
      </c>
      <c r="J105">
        <f t="shared" si="31"/>
        <v>1.7176813322438143</v>
      </c>
      <c r="K105">
        <f t="shared" si="32"/>
        <v>33.23893454613696</v>
      </c>
      <c r="L105">
        <f t="shared" si="33"/>
        <v>446.613</v>
      </c>
      <c r="M105">
        <f t="shared" si="34"/>
        <v>93.216081465024402</v>
      </c>
      <c r="N105">
        <f t="shared" si="35"/>
        <v>9.2437182802875686</v>
      </c>
      <c r="O105">
        <f t="shared" si="36"/>
        <v>44.288117323008002</v>
      </c>
      <c r="P105">
        <f t="shared" si="37"/>
        <v>0.15780488821055585</v>
      </c>
      <c r="Q105">
        <f t="shared" si="38"/>
        <v>2.1897230600444568</v>
      </c>
      <c r="R105">
        <f t="shared" si="39"/>
        <v>0.15174823833266191</v>
      </c>
      <c r="S105">
        <f t="shared" si="40"/>
        <v>9.5367446478509199E-2</v>
      </c>
      <c r="T105">
        <f t="shared" si="41"/>
        <v>276.11230729821523</v>
      </c>
      <c r="U105">
        <f t="shared" si="42"/>
        <v>26.993912698640059</v>
      </c>
      <c r="V105">
        <f t="shared" si="43"/>
        <v>26.993912698640059</v>
      </c>
      <c r="W105">
        <f t="shared" si="44"/>
        <v>3.5778802631166742</v>
      </c>
      <c r="X105">
        <f t="shared" si="45"/>
        <v>76.247135421953672</v>
      </c>
      <c r="Y105">
        <f t="shared" si="46"/>
        <v>2.4897507418367999</v>
      </c>
      <c r="Z105">
        <f t="shared" si="47"/>
        <v>3.2653695487160967</v>
      </c>
      <c r="AA105">
        <f t="shared" si="48"/>
        <v>1.0881295212798743</v>
      </c>
      <c r="AB105">
        <f t="shared" si="49"/>
        <v>-75.749746751952202</v>
      </c>
      <c r="AC105">
        <f t="shared" si="50"/>
        <v>-182.64028919074889</v>
      </c>
      <c r="AD105">
        <f t="shared" si="51"/>
        <v>-17.860553435484267</v>
      </c>
      <c r="AE105">
        <f t="shared" si="52"/>
        <v>-0.13828207997016762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52478.214888720664</v>
      </c>
      <c r="AK105">
        <f t="shared" si="56"/>
        <v>1799.99</v>
      </c>
      <c r="AL105">
        <f t="shared" si="57"/>
        <v>1499.1067549828697</v>
      </c>
      <c r="AM105">
        <f t="shared" si="58"/>
        <v>0.83284171299999987</v>
      </c>
      <c r="AN105">
        <f t="shared" si="59"/>
        <v>0.15339657848000002</v>
      </c>
      <c r="AO105">
        <v>31.2</v>
      </c>
      <c r="AP105">
        <v>0.5</v>
      </c>
      <c r="AQ105" t="s">
        <v>331</v>
      </c>
      <c r="AR105">
        <v>2</v>
      </c>
      <c r="AS105">
        <v>1690204655.5</v>
      </c>
      <c r="AT105">
        <v>446.613</v>
      </c>
      <c r="AU105">
        <v>800.01700000000005</v>
      </c>
      <c r="AV105">
        <v>25.107299999999999</v>
      </c>
      <c r="AW105">
        <v>7.7046900000000003</v>
      </c>
      <c r="AX105">
        <v>447.35899999999998</v>
      </c>
      <c r="AY105">
        <v>24.939599999999999</v>
      </c>
      <c r="AZ105">
        <v>300.22000000000003</v>
      </c>
      <c r="BA105">
        <v>99.064400000000006</v>
      </c>
      <c r="BB105">
        <v>0.10001599999999999</v>
      </c>
      <c r="BC105">
        <v>25.4468</v>
      </c>
      <c r="BD105">
        <v>26.9848</v>
      </c>
      <c r="BE105">
        <v>26.763300000000001</v>
      </c>
      <c r="BF105">
        <v>0</v>
      </c>
      <c r="BG105">
        <v>0</v>
      </c>
      <c r="BH105">
        <v>9965</v>
      </c>
      <c r="BI105">
        <v>1062.4000000000001</v>
      </c>
      <c r="BJ105">
        <v>1.68198</v>
      </c>
      <c r="BK105">
        <v>-353.404</v>
      </c>
      <c r="BL105">
        <v>458.11500000000001</v>
      </c>
      <c r="BM105">
        <v>806.22900000000004</v>
      </c>
      <c r="BN105">
        <v>17.4026</v>
      </c>
      <c r="BO105">
        <v>800.01700000000005</v>
      </c>
      <c r="BP105">
        <v>7.7046900000000003</v>
      </c>
      <c r="BQ105">
        <v>2.4872399999999999</v>
      </c>
      <c r="BR105">
        <v>0.76326000000000005</v>
      </c>
      <c r="BS105">
        <v>20.943200000000001</v>
      </c>
      <c r="BT105">
        <v>3.0417800000000002</v>
      </c>
      <c r="BU105">
        <v>1799.99</v>
      </c>
      <c r="BV105">
        <v>0.91002799999999995</v>
      </c>
      <c r="BW105">
        <v>3.3994299999999998E-2</v>
      </c>
      <c r="BX105">
        <v>2.1990900000000001E-2</v>
      </c>
      <c r="BY105">
        <v>3.3986799999999998E-2</v>
      </c>
      <c r="BZ105">
        <v>25</v>
      </c>
      <c r="CA105">
        <v>33528.400000000001</v>
      </c>
      <c r="CB105">
        <v>1690203121.0999999</v>
      </c>
      <c r="CC105" t="s">
        <v>332</v>
      </c>
      <c r="CD105">
        <v>1690203121.0999999</v>
      </c>
      <c r="CE105">
        <v>1690203121.0999999</v>
      </c>
      <c r="CF105">
        <v>3</v>
      </c>
      <c r="CG105">
        <v>0.53600000000000003</v>
      </c>
      <c r="CH105">
        <v>-0.01</v>
      </c>
      <c r="CI105">
        <v>-0.996</v>
      </c>
      <c r="CJ105">
        <v>-6.6000000000000003E-2</v>
      </c>
      <c r="CK105">
        <v>800</v>
      </c>
      <c r="CL105">
        <v>9</v>
      </c>
      <c r="CM105">
        <v>0.82</v>
      </c>
      <c r="CN105">
        <v>0.01</v>
      </c>
      <c r="CO105">
        <v>-350.83262500000001</v>
      </c>
      <c r="CP105">
        <v>-14.06763602251373</v>
      </c>
      <c r="CQ105">
        <v>1.353462978575696</v>
      </c>
      <c r="CR105">
        <v>-1</v>
      </c>
      <c r="CS105">
        <v>17.3085475</v>
      </c>
      <c r="CT105">
        <v>0.57449943714817497</v>
      </c>
      <c r="CU105">
        <v>5.5425986628566119E-2</v>
      </c>
      <c r="CV105">
        <v>-1</v>
      </c>
      <c r="CW105">
        <v>0</v>
      </c>
      <c r="CX105">
        <v>0</v>
      </c>
      <c r="CY105" t="s">
        <v>333</v>
      </c>
      <c r="CZ105">
        <v>2.36504</v>
      </c>
      <c r="DA105">
        <v>2.7137799999999999</v>
      </c>
      <c r="DB105">
        <v>9.7434999999999994E-2</v>
      </c>
      <c r="DC105">
        <v>0.146203</v>
      </c>
      <c r="DD105">
        <v>0.117713</v>
      </c>
      <c r="DE105">
        <v>4.8281600000000001E-2</v>
      </c>
      <c r="DF105">
        <v>32927.300000000003</v>
      </c>
      <c r="DG105">
        <v>27458.2</v>
      </c>
      <c r="DH105">
        <v>31143.4</v>
      </c>
      <c r="DI105">
        <v>28021.8</v>
      </c>
      <c r="DJ105">
        <v>37290.6</v>
      </c>
      <c r="DK105">
        <v>37902.800000000003</v>
      </c>
      <c r="DL105">
        <v>44312.7</v>
      </c>
      <c r="DM105">
        <v>42446.5</v>
      </c>
      <c r="DN105">
        <v>1.4809699999999999</v>
      </c>
      <c r="DO105">
        <v>2.0545499999999999</v>
      </c>
      <c r="DP105">
        <v>0.169571</v>
      </c>
      <c r="DQ105">
        <v>0.159252</v>
      </c>
      <c r="DR105">
        <v>24.205200000000001</v>
      </c>
      <c r="DS105">
        <v>24.1523</v>
      </c>
      <c r="DT105">
        <v>25.1</v>
      </c>
      <c r="DU105">
        <v>27.6</v>
      </c>
      <c r="DV105">
        <v>9.3934800000000003</v>
      </c>
      <c r="DW105">
        <v>62.095500000000001</v>
      </c>
      <c r="DX105">
        <v>36.161900000000003</v>
      </c>
      <c r="DY105">
        <v>1</v>
      </c>
      <c r="DZ105">
        <v>-0.12010700000000001</v>
      </c>
      <c r="EA105">
        <v>0.150779</v>
      </c>
      <c r="EB105">
        <v>20.191199999999998</v>
      </c>
      <c r="EC105">
        <v>5.24125</v>
      </c>
      <c r="ED105">
        <v>12.039899999999999</v>
      </c>
      <c r="EE105">
        <v>5.0172499999999998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</v>
      </c>
      <c r="EL105">
        <v>1.8646199999999999</v>
      </c>
      <c r="EM105">
        <v>1.8691500000000001</v>
      </c>
      <c r="EN105">
        <v>1.86721</v>
      </c>
      <c r="EO105">
        <v>1.8633999999999999</v>
      </c>
      <c r="EP105">
        <v>1.8644799999999999</v>
      </c>
      <c r="EQ105">
        <v>1.87012</v>
      </c>
      <c r="ER105">
        <v>1.86937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-0.746</v>
      </c>
      <c r="FG105">
        <v>0.16769999999999999</v>
      </c>
      <c r="FH105">
        <v>-0.44422204735670362</v>
      </c>
      <c r="FI105">
        <v>-6.1462078757559423E-4</v>
      </c>
      <c r="FJ105">
        <v>-1.8861989874597051E-7</v>
      </c>
      <c r="FK105">
        <v>1.1980462299894961E-10</v>
      </c>
      <c r="FL105">
        <v>0.16773393518503121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25.6</v>
      </c>
      <c r="FU105">
        <v>25.6</v>
      </c>
      <c r="FV105">
        <v>1.77979</v>
      </c>
      <c r="FW105">
        <v>2.5671400000000002</v>
      </c>
      <c r="FX105">
        <v>1.5490699999999999</v>
      </c>
      <c r="FY105">
        <v>2.33521</v>
      </c>
      <c r="FZ105">
        <v>1.50146</v>
      </c>
      <c r="GA105">
        <v>2.2692899999999998</v>
      </c>
      <c r="GB105">
        <v>32.354900000000001</v>
      </c>
      <c r="GC105">
        <v>23.982399999999998</v>
      </c>
      <c r="GD105">
        <v>19</v>
      </c>
      <c r="GE105">
        <v>283.58800000000002</v>
      </c>
      <c r="GF105">
        <v>594.83100000000002</v>
      </c>
      <c r="GG105">
        <v>23.542000000000002</v>
      </c>
      <c r="GH105">
        <v>25.8796</v>
      </c>
      <c r="GI105">
        <v>29.9999</v>
      </c>
      <c r="GJ105">
        <v>26.052</v>
      </c>
      <c r="GK105">
        <v>26.037400000000002</v>
      </c>
      <c r="GL105">
        <v>35.590499999999999</v>
      </c>
      <c r="GM105">
        <v>-30</v>
      </c>
      <c r="GN105">
        <v>-30</v>
      </c>
      <c r="GO105">
        <v>23.565999999999999</v>
      </c>
      <c r="GP105">
        <v>800</v>
      </c>
      <c r="GQ105">
        <v>12.5298</v>
      </c>
      <c r="GR105">
        <v>99.635900000000007</v>
      </c>
      <c r="GS105">
        <v>99.320300000000003</v>
      </c>
    </row>
    <row r="106" spans="1:201" x14ac:dyDescent="0.25">
      <c r="A106">
        <v>90</v>
      </c>
      <c r="B106">
        <v>1690204665.5</v>
      </c>
      <c r="C106">
        <v>1225.900000095367</v>
      </c>
      <c r="D106" t="s">
        <v>513</v>
      </c>
      <c r="E106" t="s">
        <v>514</v>
      </c>
      <c r="F106" t="s">
        <v>330</v>
      </c>
      <c r="H106">
        <v>1690204665.5</v>
      </c>
      <c r="I106">
        <f t="shared" si="30"/>
        <v>1.7253753797145666E-3</v>
      </c>
      <c r="J106">
        <f t="shared" si="31"/>
        <v>1.7253753797145666</v>
      </c>
      <c r="K106">
        <f t="shared" si="32"/>
        <v>33.428294039362754</v>
      </c>
      <c r="L106">
        <f t="shared" si="33"/>
        <v>444.44499999999999</v>
      </c>
      <c r="M106">
        <f t="shared" si="34"/>
        <v>93.375801207832723</v>
      </c>
      <c r="N106">
        <f t="shared" si="35"/>
        <v>9.2595821374992759</v>
      </c>
      <c r="O106">
        <f t="shared" si="36"/>
        <v>44.073249491493002</v>
      </c>
      <c r="P106">
        <f t="shared" si="37"/>
        <v>0.15980112035448732</v>
      </c>
      <c r="Q106">
        <f t="shared" si="38"/>
        <v>2.1941819483060261</v>
      </c>
      <c r="R106">
        <f t="shared" si="39"/>
        <v>0.15360559833385057</v>
      </c>
      <c r="S106">
        <f t="shared" si="40"/>
        <v>9.6540128101577291E-2</v>
      </c>
      <c r="T106">
        <f t="shared" si="41"/>
        <v>276.1147287</v>
      </c>
      <c r="U106">
        <f t="shared" si="42"/>
        <v>26.991345880846261</v>
      </c>
      <c r="V106">
        <f t="shared" si="43"/>
        <v>26.991345880846261</v>
      </c>
      <c r="W106">
        <f t="shared" si="44"/>
        <v>3.5773408887509954</v>
      </c>
      <c r="X106">
        <f t="shared" si="45"/>
        <v>76.474077311752083</v>
      </c>
      <c r="Y106">
        <f t="shared" si="46"/>
        <v>2.4975915662626198</v>
      </c>
      <c r="Z106">
        <f t="shared" si="47"/>
        <v>3.2659322662776407</v>
      </c>
      <c r="AA106">
        <f t="shared" si="48"/>
        <v>1.0797493224883756</v>
      </c>
      <c r="AB106">
        <f t="shared" si="49"/>
        <v>-76.089054245412385</v>
      </c>
      <c r="AC106">
        <f t="shared" si="50"/>
        <v>-182.36551103389911</v>
      </c>
      <c r="AD106">
        <f t="shared" si="51"/>
        <v>-17.797470959311418</v>
      </c>
      <c r="AE106">
        <f t="shared" si="52"/>
        <v>-0.13730753862290612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52660.773431331385</v>
      </c>
      <c r="AK106">
        <f t="shared" si="56"/>
        <v>1800</v>
      </c>
      <c r="AL106">
        <f t="shared" si="57"/>
        <v>1499.1148619999999</v>
      </c>
      <c r="AM106">
        <f t="shared" si="58"/>
        <v>0.83284158999999991</v>
      </c>
      <c r="AN106">
        <f t="shared" si="59"/>
        <v>0.15339707150000001</v>
      </c>
      <c r="AO106">
        <v>31.2</v>
      </c>
      <c r="AP106">
        <v>0.5</v>
      </c>
      <c r="AQ106" t="s">
        <v>331</v>
      </c>
      <c r="AR106">
        <v>2</v>
      </c>
      <c r="AS106">
        <v>1690204665.5</v>
      </c>
      <c r="AT106">
        <v>444.44499999999999</v>
      </c>
      <c r="AU106">
        <v>800.02099999999996</v>
      </c>
      <c r="AV106">
        <v>25.186299999999999</v>
      </c>
      <c r="AW106">
        <v>7.6969599999999998</v>
      </c>
      <c r="AX106">
        <v>445.19</v>
      </c>
      <c r="AY106">
        <v>25.018599999999999</v>
      </c>
      <c r="AZ106">
        <v>300.04500000000002</v>
      </c>
      <c r="BA106">
        <v>99.064700000000002</v>
      </c>
      <c r="BB106">
        <v>9.9987400000000004E-2</v>
      </c>
      <c r="BC106">
        <v>25.4497</v>
      </c>
      <c r="BD106">
        <v>27.013000000000002</v>
      </c>
      <c r="BE106">
        <v>26.755299999999998</v>
      </c>
      <c r="BF106">
        <v>0</v>
      </c>
      <c r="BG106">
        <v>0</v>
      </c>
      <c r="BH106">
        <v>10001.200000000001</v>
      </c>
      <c r="BI106">
        <v>1062.51</v>
      </c>
      <c r="BJ106">
        <v>1.68198</v>
      </c>
      <c r="BK106">
        <v>-355.57600000000002</v>
      </c>
      <c r="BL106">
        <v>455.928</v>
      </c>
      <c r="BM106">
        <v>806.22699999999998</v>
      </c>
      <c r="BN106">
        <v>17.4893</v>
      </c>
      <c r="BO106">
        <v>800.02099999999996</v>
      </c>
      <c r="BP106">
        <v>7.6969599999999998</v>
      </c>
      <c r="BQ106">
        <v>2.4950700000000001</v>
      </c>
      <c r="BR106">
        <v>0.76249699999999998</v>
      </c>
      <c r="BS106">
        <v>20.994399999999999</v>
      </c>
      <c r="BT106">
        <v>3.02765</v>
      </c>
      <c r="BU106">
        <v>1800</v>
      </c>
      <c r="BV106">
        <v>0.91001900000000002</v>
      </c>
      <c r="BW106">
        <v>3.3993099999999998E-2</v>
      </c>
      <c r="BX106">
        <v>2.1998E-2</v>
      </c>
      <c r="BY106">
        <v>3.3989600000000002E-2</v>
      </c>
      <c r="BZ106">
        <v>25</v>
      </c>
      <c r="CA106">
        <v>33528.5</v>
      </c>
      <c r="CB106">
        <v>1690203121.0999999</v>
      </c>
      <c r="CC106" t="s">
        <v>332</v>
      </c>
      <c r="CD106">
        <v>1690203121.0999999</v>
      </c>
      <c r="CE106">
        <v>1690203121.0999999</v>
      </c>
      <c r="CF106">
        <v>3</v>
      </c>
      <c r="CG106">
        <v>0.53600000000000003</v>
      </c>
      <c r="CH106">
        <v>-0.01</v>
      </c>
      <c r="CI106">
        <v>-0.996</v>
      </c>
      <c r="CJ106">
        <v>-6.6000000000000003E-2</v>
      </c>
      <c r="CK106">
        <v>800</v>
      </c>
      <c r="CL106">
        <v>9</v>
      </c>
      <c r="CM106">
        <v>0.82</v>
      </c>
      <c r="CN106">
        <v>0.01</v>
      </c>
      <c r="CO106">
        <v>-352.97675609756101</v>
      </c>
      <c r="CP106">
        <v>-13.83871777003462</v>
      </c>
      <c r="CQ106">
        <v>1.3654179880077071</v>
      </c>
      <c r="CR106">
        <v>-1</v>
      </c>
      <c r="CS106">
        <v>17.391492682926831</v>
      </c>
      <c r="CT106">
        <v>0.4963233449477697</v>
      </c>
      <c r="CU106">
        <v>4.8965166265785932E-2</v>
      </c>
      <c r="CV106">
        <v>-1</v>
      </c>
      <c r="CW106">
        <v>0</v>
      </c>
      <c r="CX106">
        <v>0</v>
      </c>
      <c r="CY106" t="s">
        <v>333</v>
      </c>
      <c r="CZ106">
        <v>2.36449</v>
      </c>
      <c r="DA106">
        <v>2.7137799999999999</v>
      </c>
      <c r="DB106">
        <v>9.7083500000000003E-2</v>
      </c>
      <c r="DC106">
        <v>0.146205</v>
      </c>
      <c r="DD106">
        <v>0.117974</v>
      </c>
      <c r="DE106">
        <v>4.8243899999999999E-2</v>
      </c>
      <c r="DF106">
        <v>32940.699999999997</v>
      </c>
      <c r="DG106">
        <v>27458.2</v>
      </c>
      <c r="DH106">
        <v>31143.9</v>
      </c>
      <c r="DI106">
        <v>28021.9</v>
      </c>
      <c r="DJ106">
        <v>37280</v>
      </c>
      <c r="DK106">
        <v>37904.5</v>
      </c>
      <c r="DL106">
        <v>44313.4</v>
      </c>
      <c r="DM106">
        <v>42446.7</v>
      </c>
      <c r="DN106">
        <v>1.4807999999999999</v>
      </c>
      <c r="DO106">
        <v>2.0546700000000002</v>
      </c>
      <c r="DP106">
        <v>0.171296</v>
      </c>
      <c r="DQ106">
        <v>0.15874199999999999</v>
      </c>
      <c r="DR106">
        <v>24.205200000000001</v>
      </c>
      <c r="DS106">
        <v>24.152699999999999</v>
      </c>
      <c r="DT106">
        <v>25</v>
      </c>
      <c r="DU106">
        <v>27.6</v>
      </c>
      <c r="DV106">
        <v>9.3558900000000005</v>
      </c>
      <c r="DW106">
        <v>61.665500000000002</v>
      </c>
      <c r="DX106">
        <v>37.091299999999997</v>
      </c>
      <c r="DY106">
        <v>1</v>
      </c>
      <c r="DZ106">
        <v>-0.119967</v>
      </c>
      <c r="EA106">
        <v>0.25599100000000002</v>
      </c>
      <c r="EB106">
        <v>20.190999999999999</v>
      </c>
      <c r="EC106">
        <v>5.2415500000000002</v>
      </c>
      <c r="ED106">
        <v>12.039899999999999</v>
      </c>
      <c r="EE106">
        <v>5.0171000000000001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</v>
      </c>
      <c r="EL106">
        <v>1.8646100000000001</v>
      </c>
      <c r="EM106">
        <v>1.86913</v>
      </c>
      <c r="EN106">
        <v>1.8672200000000001</v>
      </c>
      <c r="EO106">
        <v>1.8633999999999999</v>
      </c>
      <c r="EP106">
        <v>1.8644700000000001</v>
      </c>
      <c r="EQ106">
        <v>1.8701300000000001</v>
      </c>
      <c r="ER106">
        <v>1.8693599999999999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-0.745</v>
      </c>
      <c r="FG106">
        <v>0.16769999999999999</v>
      </c>
      <c r="FH106">
        <v>-0.44422204735670362</v>
      </c>
      <c r="FI106">
        <v>-6.1462078757559423E-4</v>
      </c>
      <c r="FJ106">
        <v>-1.8861989874597051E-7</v>
      </c>
      <c r="FK106">
        <v>1.1980462299894961E-10</v>
      </c>
      <c r="FL106">
        <v>0.16773393518503121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25.7</v>
      </c>
      <c r="FU106">
        <v>25.7</v>
      </c>
      <c r="FV106">
        <v>1.77979</v>
      </c>
      <c r="FW106">
        <v>2.5561500000000001</v>
      </c>
      <c r="FX106">
        <v>1.5490699999999999</v>
      </c>
      <c r="FY106">
        <v>2.33521</v>
      </c>
      <c r="FZ106">
        <v>1.50146</v>
      </c>
      <c r="GA106">
        <v>2.36206</v>
      </c>
      <c r="GB106">
        <v>32.354900000000001</v>
      </c>
      <c r="GC106">
        <v>23.991199999999999</v>
      </c>
      <c r="GD106">
        <v>19</v>
      </c>
      <c r="GE106">
        <v>283.49400000000003</v>
      </c>
      <c r="GF106">
        <v>594.88499999999999</v>
      </c>
      <c r="GG106">
        <v>23.549600000000002</v>
      </c>
      <c r="GH106">
        <v>25.874700000000001</v>
      </c>
      <c r="GI106">
        <v>30.0001</v>
      </c>
      <c r="GJ106">
        <v>26.047599999999999</v>
      </c>
      <c r="GK106">
        <v>26.033000000000001</v>
      </c>
      <c r="GL106">
        <v>35.593000000000004</v>
      </c>
      <c r="GM106">
        <v>-30</v>
      </c>
      <c r="GN106">
        <v>-30</v>
      </c>
      <c r="GO106">
        <v>23.542100000000001</v>
      </c>
      <c r="GP106">
        <v>800</v>
      </c>
      <c r="GQ106">
        <v>12.5298</v>
      </c>
      <c r="GR106">
        <v>99.637500000000003</v>
      </c>
      <c r="GS106">
        <v>99.320599999999999</v>
      </c>
    </row>
    <row r="107" spans="1:201" x14ac:dyDescent="0.25">
      <c r="A107">
        <v>91</v>
      </c>
      <c r="B107">
        <v>1690204675.5</v>
      </c>
      <c r="C107">
        <v>1235.900000095367</v>
      </c>
      <c r="D107" t="s">
        <v>515</v>
      </c>
      <c r="E107" t="s">
        <v>516</v>
      </c>
      <c r="F107" t="s">
        <v>330</v>
      </c>
      <c r="H107">
        <v>1690204675.5</v>
      </c>
      <c r="I107">
        <f t="shared" si="30"/>
        <v>1.7345060170615421E-3</v>
      </c>
      <c r="J107">
        <f t="shared" si="31"/>
        <v>1.7345060170615421</v>
      </c>
      <c r="K107">
        <f t="shared" si="32"/>
        <v>33.681902016357881</v>
      </c>
      <c r="L107">
        <f t="shared" si="33"/>
        <v>442.10199999999998</v>
      </c>
      <c r="M107">
        <f t="shared" si="34"/>
        <v>92.943953078586347</v>
      </c>
      <c r="N107">
        <f t="shared" si="35"/>
        <v>9.2169795939648385</v>
      </c>
      <c r="O107">
        <f t="shared" si="36"/>
        <v>43.841960423241993</v>
      </c>
      <c r="P107">
        <f t="shared" si="37"/>
        <v>0.16195375526781086</v>
      </c>
      <c r="Q107">
        <f t="shared" si="38"/>
        <v>2.1930647959359781</v>
      </c>
      <c r="R107">
        <f t="shared" si="39"/>
        <v>0.15559066230449869</v>
      </c>
      <c r="S107">
        <f t="shared" si="40"/>
        <v>9.7795031590816678E-2</v>
      </c>
      <c r="T107">
        <f t="shared" si="41"/>
        <v>276.11519486400005</v>
      </c>
      <c r="U107">
        <f t="shared" si="42"/>
        <v>26.986064542232924</v>
      </c>
      <c r="V107">
        <f t="shared" si="43"/>
        <v>26.986064542232924</v>
      </c>
      <c r="W107">
        <f t="shared" si="44"/>
        <v>3.5762313259308049</v>
      </c>
      <c r="X107">
        <f t="shared" si="45"/>
        <v>76.70259087224558</v>
      </c>
      <c r="Y107">
        <f t="shared" si="46"/>
        <v>2.5046230454185996</v>
      </c>
      <c r="Z107">
        <f t="shared" si="47"/>
        <v>3.2653695487160967</v>
      </c>
      <c r="AA107">
        <f t="shared" si="48"/>
        <v>1.0716082805122054</v>
      </c>
      <c r="AB107">
        <f t="shared" si="49"/>
        <v>-76.491715352414005</v>
      </c>
      <c r="AC107">
        <f t="shared" si="50"/>
        <v>-181.99110927162104</v>
      </c>
      <c r="AD107">
        <f t="shared" si="51"/>
        <v>-17.769250532666849</v>
      </c>
      <c r="AE107">
        <f t="shared" si="52"/>
        <v>-0.13688029270184643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52615.43307774359</v>
      </c>
      <c r="AK107">
        <f t="shared" si="56"/>
        <v>1800</v>
      </c>
      <c r="AL107">
        <f t="shared" si="57"/>
        <v>1499.1141293999999</v>
      </c>
      <c r="AM107">
        <f t="shared" si="58"/>
        <v>0.83284118299999998</v>
      </c>
      <c r="AN107">
        <f t="shared" si="59"/>
        <v>0.15339733048000001</v>
      </c>
      <c r="AO107">
        <v>31.2</v>
      </c>
      <c r="AP107">
        <v>0.5</v>
      </c>
      <c r="AQ107" t="s">
        <v>331</v>
      </c>
      <c r="AR107">
        <v>2</v>
      </c>
      <c r="AS107">
        <v>1690204675.5</v>
      </c>
      <c r="AT107">
        <v>442.10199999999998</v>
      </c>
      <c r="AU107">
        <v>800.024</v>
      </c>
      <c r="AV107">
        <v>25.256599999999999</v>
      </c>
      <c r="AW107">
        <v>7.6902600000000003</v>
      </c>
      <c r="AX107">
        <v>442.84500000000003</v>
      </c>
      <c r="AY107">
        <v>25.088899999999999</v>
      </c>
      <c r="AZ107">
        <v>300.28899999999999</v>
      </c>
      <c r="BA107">
        <v>99.066999999999993</v>
      </c>
      <c r="BB107">
        <v>0.10007099999999999</v>
      </c>
      <c r="BC107">
        <v>25.4468</v>
      </c>
      <c r="BD107">
        <v>26.9345</v>
      </c>
      <c r="BE107">
        <v>26.765599999999999</v>
      </c>
      <c r="BF107">
        <v>0</v>
      </c>
      <c r="BG107">
        <v>0</v>
      </c>
      <c r="BH107">
        <v>9991.8799999999992</v>
      </c>
      <c r="BI107">
        <v>1062.57</v>
      </c>
      <c r="BJ107">
        <v>1.68198</v>
      </c>
      <c r="BK107">
        <v>-357.92200000000003</v>
      </c>
      <c r="BL107">
        <v>453.55700000000002</v>
      </c>
      <c r="BM107">
        <v>806.22400000000005</v>
      </c>
      <c r="BN107">
        <v>17.566299999999998</v>
      </c>
      <c r="BO107">
        <v>800.024</v>
      </c>
      <c r="BP107">
        <v>7.6902600000000003</v>
      </c>
      <c r="BQ107">
        <v>2.5020899999999999</v>
      </c>
      <c r="BR107">
        <v>0.76185099999999994</v>
      </c>
      <c r="BS107">
        <v>21.040099999999999</v>
      </c>
      <c r="BT107">
        <v>3.0156800000000001</v>
      </c>
      <c r="BU107">
        <v>1800</v>
      </c>
      <c r="BV107">
        <v>0.91000800000000004</v>
      </c>
      <c r="BW107">
        <v>3.3992000000000001E-2</v>
      </c>
      <c r="BX107">
        <v>2.1999899999999999E-2</v>
      </c>
      <c r="BY107">
        <v>3.4000200000000001E-2</v>
      </c>
      <c r="BZ107">
        <v>25</v>
      </c>
      <c r="CA107">
        <v>33528.5</v>
      </c>
      <c r="CB107">
        <v>1690203121.0999999</v>
      </c>
      <c r="CC107" t="s">
        <v>332</v>
      </c>
      <c r="CD107">
        <v>1690203121.0999999</v>
      </c>
      <c r="CE107">
        <v>1690203121.0999999</v>
      </c>
      <c r="CF107">
        <v>3</v>
      </c>
      <c r="CG107">
        <v>0.53600000000000003</v>
      </c>
      <c r="CH107">
        <v>-0.01</v>
      </c>
      <c r="CI107">
        <v>-0.996</v>
      </c>
      <c r="CJ107">
        <v>-6.6000000000000003E-2</v>
      </c>
      <c r="CK107">
        <v>800</v>
      </c>
      <c r="CL107">
        <v>9</v>
      </c>
      <c r="CM107">
        <v>0.82</v>
      </c>
      <c r="CN107">
        <v>0.01</v>
      </c>
      <c r="CO107">
        <v>-355.39387499999998</v>
      </c>
      <c r="CP107">
        <v>-13.15448780487748</v>
      </c>
      <c r="CQ107">
        <v>1.2661862459271169</v>
      </c>
      <c r="CR107">
        <v>-1</v>
      </c>
      <c r="CS107">
        <v>17.480865000000001</v>
      </c>
      <c r="CT107">
        <v>0.50310393996241409</v>
      </c>
      <c r="CU107">
        <v>4.8412279175845452E-2</v>
      </c>
      <c r="CV107">
        <v>-1</v>
      </c>
      <c r="CW107">
        <v>0</v>
      </c>
      <c r="CX107">
        <v>0</v>
      </c>
      <c r="CY107" t="s">
        <v>333</v>
      </c>
      <c r="CZ107">
        <v>2.3652899999999999</v>
      </c>
      <c r="DA107">
        <v>2.7138599999999999</v>
      </c>
      <c r="DB107">
        <v>9.6704200000000004E-2</v>
      </c>
      <c r="DC107">
        <v>0.14621000000000001</v>
      </c>
      <c r="DD107">
        <v>0.11820899999999999</v>
      </c>
      <c r="DE107">
        <v>4.8212100000000001E-2</v>
      </c>
      <c r="DF107">
        <v>32954.5</v>
      </c>
      <c r="DG107">
        <v>27458.1</v>
      </c>
      <c r="DH107">
        <v>31143.8</v>
      </c>
      <c r="DI107">
        <v>28022</v>
      </c>
      <c r="DJ107">
        <v>37269.800000000003</v>
      </c>
      <c r="DK107">
        <v>37906.1</v>
      </c>
      <c r="DL107">
        <v>44313.3</v>
      </c>
      <c r="DM107">
        <v>42447.1</v>
      </c>
      <c r="DN107">
        <v>1.48115</v>
      </c>
      <c r="DO107">
        <v>2.0544799999999999</v>
      </c>
      <c r="DP107">
        <v>0.16661699999999999</v>
      </c>
      <c r="DQ107">
        <v>0.15939400000000001</v>
      </c>
      <c r="DR107">
        <v>24.203199999999999</v>
      </c>
      <c r="DS107">
        <v>24.1523</v>
      </c>
      <c r="DT107">
        <v>25</v>
      </c>
      <c r="DU107">
        <v>27.6</v>
      </c>
      <c r="DV107">
        <v>9.3548500000000008</v>
      </c>
      <c r="DW107">
        <v>61.415500000000002</v>
      </c>
      <c r="DX107">
        <v>35.789299999999997</v>
      </c>
      <c r="DY107">
        <v>1</v>
      </c>
      <c r="DZ107">
        <v>-0.12067799999999999</v>
      </c>
      <c r="EA107">
        <v>0.241786</v>
      </c>
      <c r="EB107">
        <v>20.190999999999999</v>
      </c>
      <c r="EC107">
        <v>5.2416999999999998</v>
      </c>
      <c r="ED107">
        <v>12.039899999999999</v>
      </c>
      <c r="EE107">
        <v>5.0172999999999996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</v>
      </c>
      <c r="EL107">
        <v>1.8646199999999999</v>
      </c>
      <c r="EM107">
        <v>1.86913</v>
      </c>
      <c r="EN107">
        <v>1.8672200000000001</v>
      </c>
      <c r="EO107">
        <v>1.8633999999999999</v>
      </c>
      <c r="EP107">
        <v>1.8644700000000001</v>
      </c>
      <c r="EQ107">
        <v>1.87012</v>
      </c>
      <c r="ER107">
        <v>1.86937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-0.74299999999999999</v>
      </c>
      <c r="FG107">
        <v>0.16769999999999999</v>
      </c>
      <c r="FH107">
        <v>-0.44422204735670362</v>
      </c>
      <c r="FI107">
        <v>-6.1462078757559423E-4</v>
      </c>
      <c r="FJ107">
        <v>-1.8861989874597051E-7</v>
      </c>
      <c r="FK107">
        <v>1.1980462299894961E-10</v>
      </c>
      <c r="FL107">
        <v>0.16773393518503121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25.9</v>
      </c>
      <c r="FU107">
        <v>25.9</v>
      </c>
      <c r="FV107">
        <v>1.77979</v>
      </c>
      <c r="FW107">
        <v>2.5585900000000001</v>
      </c>
      <c r="FX107">
        <v>1.5490699999999999</v>
      </c>
      <c r="FY107">
        <v>2.33521</v>
      </c>
      <c r="FZ107">
        <v>1.50146</v>
      </c>
      <c r="GA107">
        <v>2.3327599999999999</v>
      </c>
      <c r="GB107">
        <v>32.354900000000001</v>
      </c>
      <c r="GC107">
        <v>23.982399999999998</v>
      </c>
      <c r="GD107">
        <v>19</v>
      </c>
      <c r="GE107">
        <v>283.62400000000002</v>
      </c>
      <c r="GF107">
        <v>594.673</v>
      </c>
      <c r="GG107">
        <v>23.538699999999999</v>
      </c>
      <c r="GH107">
        <v>25.869800000000001</v>
      </c>
      <c r="GI107">
        <v>29.9999</v>
      </c>
      <c r="GJ107">
        <v>26.043199999999999</v>
      </c>
      <c r="GK107">
        <v>26.029199999999999</v>
      </c>
      <c r="GL107">
        <v>35.593299999999999</v>
      </c>
      <c r="GM107">
        <v>-30</v>
      </c>
      <c r="GN107">
        <v>-30</v>
      </c>
      <c r="GO107">
        <v>23.5413</v>
      </c>
      <c r="GP107">
        <v>800</v>
      </c>
      <c r="GQ107">
        <v>12.5298</v>
      </c>
      <c r="GR107">
        <v>99.637299999999996</v>
      </c>
      <c r="GS107">
        <v>99.321299999999994</v>
      </c>
    </row>
    <row r="108" spans="1:201" x14ac:dyDescent="0.25">
      <c r="A108">
        <v>92</v>
      </c>
      <c r="B108">
        <v>1690204685.5</v>
      </c>
      <c r="C108">
        <v>1245.900000095367</v>
      </c>
      <c r="D108" t="s">
        <v>517</v>
      </c>
      <c r="E108" t="s">
        <v>518</v>
      </c>
      <c r="F108" t="s">
        <v>330</v>
      </c>
      <c r="H108">
        <v>1690204685.5</v>
      </c>
      <c r="I108">
        <f t="shared" si="30"/>
        <v>1.7416705854000805E-3</v>
      </c>
      <c r="J108">
        <f t="shared" si="31"/>
        <v>1.7416705854000805</v>
      </c>
      <c r="K108">
        <f t="shared" si="32"/>
        <v>33.875537872502044</v>
      </c>
      <c r="L108">
        <f t="shared" si="33"/>
        <v>439.93099999999998</v>
      </c>
      <c r="M108">
        <f t="shared" si="34"/>
        <v>92.609299664715323</v>
      </c>
      <c r="N108">
        <f t="shared" si="35"/>
        <v>9.1837096467414039</v>
      </c>
      <c r="O108">
        <f t="shared" si="36"/>
        <v>43.626272774201006</v>
      </c>
      <c r="P108">
        <f t="shared" si="37"/>
        <v>0.16377954830442526</v>
      </c>
      <c r="Q108">
        <f t="shared" si="38"/>
        <v>2.1988854252852073</v>
      </c>
      <c r="R108">
        <f t="shared" si="39"/>
        <v>0.15729175959090266</v>
      </c>
      <c r="S108">
        <f t="shared" si="40"/>
        <v>9.88688375275312E-2</v>
      </c>
      <c r="T108">
        <f t="shared" si="41"/>
        <v>276.11619058799999</v>
      </c>
      <c r="U108">
        <f t="shared" si="42"/>
        <v>26.984220416469515</v>
      </c>
      <c r="V108">
        <f t="shared" si="43"/>
        <v>26.984220416469515</v>
      </c>
      <c r="W108">
        <f t="shared" si="44"/>
        <v>3.5758439620872848</v>
      </c>
      <c r="X108">
        <f t="shared" si="45"/>
        <v>76.893310988291148</v>
      </c>
      <c r="Y108">
        <f t="shared" si="46"/>
        <v>2.5114923633631001</v>
      </c>
      <c r="Z108">
        <f t="shared" si="47"/>
        <v>3.2662039533523735</v>
      </c>
      <c r="AA108">
        <f t="shared" si="48"/>
        <v>1.0643515987241847</v>
      </c>
      <c r="AB108">
        <f t="shared" si="49"/>
        <v>-76.807672816143551</v>
      </c>
      <c r="AC108">
        <f t="shared" si="50"/>
        <v>-181.74576976479781</v>
      </c>
      <c r="AD108">
        <f t="shared" si="51"/>
        <v>-17.698539782483394</v>
      </c>
      <c r="AE108">
        <f t="shared" si="52"/>
        <v>-0.13579177542479215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52854.078003781833</v>
      </c>
      <c r="AK108">
        <f t="shared" si="56"/>
        <v>1800</v>
      </c>
      <c r="AL108">
        <f t="shared" si="57"/>
        <v>1499.1140357999998</v>
      </c>
      <c r="AM108">
        <f t="shared" si="58"/>
        <v>0.8328411309999999</v>
      </c>
      <c r="AN108">
        <f t="shared" si="59"/>
        <v>0.15339788366000001</v>
      </c>
      <c r="AO108">
        <v>31.2</v>
      </c>
      <c r="AP108">
        <v>0.5</v>
      </c>
      <c r="AQ108" t="s">
        <v>331</v>
      </c>
      <c r="AR108">
        <v>2</v>
      </c>
      <c r="AS108">
        <v>1690204685.5</v>
      </c>
      <c r="AT108">
        <v>439.93099999999998</v>
      </c>
      <c r="AU108">
        <v>799.976</v>
      </c>
      <c r="AV108">
        <v>25.3261</v>
      </c>
      <c r="AW108">
        <v>7.6826999999999996</v>
      </c>
      <c r="AX108">
        <v>440.67200000000003</v>
      </c>
      <c r="AY108">
        <v>25.158300000000001</v>
      </c>
      <c r="AZ108">
        <v>300.19099999999997</v>
      </c>
      <c r="BA108">
        <v>99.066100000000006</v>
      </c>
      <c r="BB108">
        <v>0.10007099999999999</v>
      </c>
      <c r="BC108">
        <v>25.4511</v>
      </c>
      <c r="BD108">
        <v>26.946999999999999</v>
      </c>
      <c r="BE108">
        <v>26.751899999999999</v>
      </c>
      <c r="BF108">
        <v>0</v>
      </c>
      <c r="BG108">
        <v>0</v>
      </c>
      <c r="BH108">
        <v>10039.4</v>
      </c>
      <c r="BI108">
        <v>1062.75</v>
      </c>
      <c r="BJ108">
        <v>1.68198</v>
      </c>
      <c r="BK108">
        <v>-360.04500000000002</v>
      </c>
      <c r="BL108">
        <v>451.36200000000002</v>
      </c>
      <c r="BM108">
        <v>806.16899999999998</v>
      </c>
      <c r="BN108">
        <v>17.6434</v>
      </c>
      <c r="BO108">
        <v>799.976</v>
      </c>
      <c r="BP108">
        <v>7.6826999999999996</v>
      </c>
      <c r="BQ108">
        <v>2.50895</v>
      </c>
      <c r="BR108">
        <v>0.76109499999999997</v>
      </c>
      <c r="BS108">
        <v>21.084700000000002</v>
      </c>
      <c r="BT108">
        <v>3.0016799999999999</v>
      </c>
      <c r="BU108">
        <v>1800</v>
      </c>
      <c r="BV108">
        <v>0.90999799999999997</v>
      </c>
      <c r="BW108">
        <v>3.3991300000000002E-2</v>
      </c>
      <c r="BX108">
        <v>2.20073E-2</v>
      </c>
      <c r="BY108">
        <v>3.4003400000000003E-2</v>
      </c>
      <c r="BZ108">
        <v>25</v>
      </c>
      <c r="CA108">
        <v>33528.199999999997</v>
      </c>
      <c r="CB108">
        <v>1690203121.0999999</v>
      </c>
      <c r="CC108" t="s">
        <v>332</v>
      </c>
      <c r="CD108">
        <v>1690203121.0999999</v>
      </c>
      <c r="CE108">
        <v>1690203121.0999999</v>
      </c>
      <c r="CF108">
        <v>3</v>
      </c>
      <c r="CG108">
        <v>0.53600000000000003</v>
      </c>
      <c r="CH108">
        <v>-0.01</v>
      </c>
      <c r="CI108">
        <v>-0.996</v>
      </c>
      <c r="CJ108">
        <v>-6.6000000000000003E-2</v>
      </c>
      <c r="CK108">
        <v>800</v>
      </c>
      <c r="CL108">
        <v>9</v>
      </c>
      <c r="CM108">
        <v>0.82</v>
      </c>
      <c r="CN108">
        <v>0.01</v>
      </c>
      <c r="CO108">
        <v>-357.64187500000003</v>
      </c>
      <c r="CP108">
        <v>-13.6361538461527</v>
      </c>
      <c r="CQ108">
        <v>1.313085663380344</v>
      </c>
      <c r="CR108">
        <v>-1</v>
      </c>
      <c r="CS108">
        <v>17.560690000000001</v>
      </c>
      <c r="CT108">
        <v>0.45830544090050052</v>
      </c>
      <c r="CU108">
        <v>4.4099295912746653E-2</v>
      </c>
      <c r="CV108">
        <v>-1</v>
      </c>
      <c r="CW108">
        <v>0</v>
      </c>
      <c r="CX108">
        <v>0</v>
      </c>
      <c r="CY108" t="s">
        <v>333</v>
      </c>
      <c r="CZ108">
        <v>2.36497</v>
      </c>
      <c r="DA108">
        <v>2.7139000000000002</v>
      </c>
      <c r="DB108">
        <v>9.6349199999999996E-2</v>
      </c>
      <c r="DC108">
        <v>0.146204</v>
      </c>
      <c r="DD108">
        <v>0.118437</v>
      </c>
      <c r="DE108">
        <v>4.8174599999999998E-2</v>
      </c>
      <c r="DF108">
        <v>32967.300000000003</v>
      </c>
      <c r="DG108">
        <v>27458.6</v>
      </c>
      <c r="DH108">
        <v>31143.7</v>
      </c>
      <c r="DI108">
        <v>28022.3</v>
      </c>
      <c r="DJ108">
        <v>37259.800000000003</v>
      </c>
      <c r="DK108">
        <v>37907.699999999997</v>
      </c>
      <c r="DL108">
        <v>44313.1</v>
      </c>
      <c r="DM108">
        <v>42447.199999999997</v>
      </c>
      <c r="DN108">
        <v>1.4817</v>
      </c>
      <c r="DO108">
        <v>2.0548700000000002</v>
      </c>
      <c r="DP108">
        <v>0.16738500000000001</v>
      </c>
      <c r="DQ108">
        <v>0.158552</v>
      </c>
      <c r="DR108">
        <v>24.203199999999999</v>
      </c>
      <c r="DS108">
        <v>24.1523</v>
      </c>
      <c r="DT108">
        <v>25</v>
      </c>
      <c r="DU108">
        <v>27.6</v>
      </c>
      <c r="DV108">
        <v>9.3558699999999995</v>
      </c>
      <c r="DW108">
        <v>61.465499999999999</v>
      </c>
      <c r="DX108">
        <v>36.7027</v>
      </c>
      <c r="DY108">
        <v>1</v>
      </c>
      <c r="DZ108">
        <v>-0.121334</v>
      </c>
      <c r="EA108">
        <v>5.2753300000000003E-2</v>
      </c>
      <c r="EB108">
        <v>20.191199999999998</v>
      </c>
      <c r="EC108">
        <v>5.242</v>
      </c>
      <c r="ED108">
        <v>12.039899999999999</v>
      </c>
      <c r="EE108">
        <v>5.0171000000000001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1.8689100000000001</v>
      </c>
      <c r="EL108">
        <v>1.8646199999999999</v>
      </c>
      <c r="EM108">
        <v>1.8691500000000001</v>
      </c>
      <c r="EN108">
        <v>1.8672200000000001</v>
      </c>
      <c r="EO108">
        <v>1.8633999999999999</v>
      </c>
      <c r="EP108">
        <v>1.8644799999999999</v>
      </c>
      <c r="EQ108">
        <v>1.8701399999999999</v>
      </c>
      <c r="ER108">
        <v>1.86938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-0.74099999999999999</v>
      </c>
      <c r="FG108">
        <v>0.1678</v>
      </c>
      <c r="FH108">
        <v>-0.44422204735670362</v>
      </c>
      <c r="FI108">
        <v>-6.1462078757559423E-4</v>
      </c>
      <c r="FJ108">
        <v>-1.8861989874597051E-7</v>
      </c>
      <c r="FK108">
        <v>1.1980462299894961E-10</v>
      </c>
      <c r="FL108">
        <v>0.16773393518503121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26.1</v>
      </c>
      <c r="FU108">
        <v>26.1</v>
      </c>
      <c r="FV108">
        <v>1.77979</v>
      </c>
      <c r="FW108">
        <v>2.5561500000000001</v>
      </c>
      <c r="FX108">
        <v>1.5490699999999999</v>
      </c>
      <c r="FY108">
        <v>2.33521</v>
      </c>
      <c r="FZ108">
        <v>1.50146</v>
      </c>
      <c r="GA108">
        <v>2.32666</v>
      </c>
      <c r="GB108">
        <v>32.354900000000001</v>
      </c>
      <c r="GC108">
        <v>23.982399999999998</v>
      </c>
      <c r="GD108">
        <v>19</v>
      </c>
      <c r="GE108">
        <v>283.839</v>
      </c>
      <c r="GF108">
        <v>594.95799999999997</v>
      </c>
      <c r="GG108">
        <v>23.5764</v>
      </c>
      <c r="GH108">
        <v>25.864899999999999</v>
      </c>
      <c r="GI108">
        <v>29.999700000000001</v>
      </c>
      <c r="GJ108">
        <v>26.038900000000002</v>
      </c>
      <c r="GK108">
        <v>26.024899999999999</v>
      </c>
      <c r="GL108">
        <v>35.594200000000001</v>
      </c>
      <c r="GM108">
        <v>-30</v>
      </c>
      <c r="GN108">
        <v>-30</v>
      </c>
      <c r="GO108">
        <v>23.617899999999999</v>
      </c>
      <c r="GP108">
        <v>800</v>
      </c>
      <c r="GQ108">
        <v>12.5298</v>
      </c>
      <c r="GR108">
        <v>99.636799999999994</v>
      </c>
      <c r="GS108">
        <v>99.321899999999999</v>
      </c>
    </row>
    <row r="109" spans="1:201" x14ac:dyDescent="0.25">
      <c r="A109">
        <v>93</v>
      </c>
      <c r="B109">
        <v>1690204695.5</v>
      </c>
      <c r="C109">
        <v>1255.900000095367</v>
      </c>
      <c r="D109" t="s">
        <v>519</v>
      </c>
      <c r="E109" t="s">
        <v>520</v>
      </c>
      <c r="F109" t="s">
        <v>330</v>
      </c>
      <c r="H109">
        <v>1690204695.5</v>
      </c>
      <c r="I109">
        <f t="shared" si="30"/>
        <v>1.7511040995819671E-3</v>
      </c>
      <c r="J109">
        <f t="shared" si="31"/>
        <v>1.7511040995819671</v>
      </c>
      <c r="K109">
        <f t="shared" si="32"/>
        <v>34.085742622650891</v>
      </c>
      <c r="L109">
        <f t="shared" si="33"/>
        <v>437.69200000000001</v>
      </c>
      <c r="M109">
        <f t="shared" si="34"/>
        <v>92.000750281505972</v>
      </c>
      <c r="N109">
        <f t="shared" si="35"/>
        <v>9.1234274918771199</v>
      </c>
      <c r="O109">
        <f t="shared" si="36"/>
        <v>43.404550653728805</v>
      </c>
      <c r="P109">
        <f t="shared" si="37"/>
        <v>0.16564117658538213</v>
      </c>
      <c r="Q109">
        <f t="shared" si="38"/>
        <v>2.1920633961012737</v>
      </c>
      <c r="R109">
        <f t="shared" si="39"/>
        <v>0.15898852130140007</v>
      </c>
      <c r="S109">
        <f t="shared" si="40"/>
        <v>9.9943276620550595E-2</v>
      </c>
      <c r="T109">
        <f t="shared" si="41"/>
        <v>276.11664762600003</v>
      </c>
      <c r="U109">
        <f t="shared" si="42"/>
        <v>27.000843313725955</v>
      </c>
      <c r="V109">
        <f t="shared" si="43"/>
        <v>27.000843313725955</v>
      </c>
      <c r="W109">
        <f t="shared" si="44"/>
        <v>3.5793369720400556</v>
      </c>
      <c r="X109">
        <f t="shared" si="45"/>
        <v>77.104273783542624</v>
      </c>
      <c r="Y109">
        <f t="shared" si="46"/>
        <v>2.5207031249303204</v>
      </c>
      <c r="Z109">
        <f t="shared" si="47"/>
        <v>3.269213237137508</v>
      </c>
      <c r="AA109">
        <f t="shared" si="48"/>
        <v>1.0586338471097352</v>
      </c>
      <c r="AB109">
        <f t="shared" si="49"/>
        <v>-77.223690791564749</v>
      </c>
      <c r="AC109">
        <f t="shared" si="50"/>
        <v>-181.31460691394827</v>
      </c>
      <c r="AD109">
        <f t="shared" si="51"/>
        <v>-17.714355125947211</v>
      </c>
      <c r="AE109">
        <f t="shared" si="52"/>
        <v>-0.13600520546023631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52570.817725035216</v>
      </c>
      <c r="AK109">
        <f t="shared" si="56"/>
        <v>1800</v>
      </c>
      <c r="AL109">
        <f t="shared" si="57"/>
        <v>1499.1126066000002</v>
      </c>
      <c r="AM109">
        <f t="shared" si="58"/>
        <v>0.83284033700000004</v>
      </c>
      <c r="AN109">
        <f t="shared" si="59"/>
        <v>0.15339813757000001</v>
      </c>
      <c r="AO109">
        <v>31.2</v>
      </c>
      <c r="AP109">
        <v>0.5</v>
      </c>
      <c r="AQ109" t="s">
        <v>331</v>
      </c>
      <c r="AR109">
        <v>2</v>
      </c>
      <c r="AS109">
        <v>1690204695.5</v>
      </c>
      <c r="AT109">
        <v>437.69200000000001</v>
      </c>
      <c r="AU109">
        <v>800.04</v>
      </c>
      <c r="AV109">
        <v>25.418800000000001</v>
      </c>
      <c r="AW109">
        <v>7.6758499999999996</v>
      </c>
      <c r="AX109">
        <v>438.43200000000002</v>
      </c>
      <c r="AY109">
        <v>25.251100000000001</v>
      </c>
      <c r="AZ109">
        <v>300.09500000000003</v>
      </c>
      <c r="BA109">
        <v>99.066900000000004</v>
      </c>
      <c r="BB109">
        <v>9.9981399999999998E-2</v>
      </c>
      <c r="BC109">
        <v>25.4666</v>
      </c>
      <c r="BD109">
        <v>27.0444</v>
      </c>
      <c r="BE109">
        <v>26.764700000000001</v>
      </c>
      <c r="BF109">
        <v>0</v>
      </c>
      <c r="BG109">
        <v>0</v>
      </c>
      <c r="BH109">
        <v>9983.75</v>
      </c>
      <c r="BI109">
        <v>1062.92</v>
      </c>
      <c r="BJ109">
        <v>1.68198</v>
      </c>
      <c r="BK109">
        <v>-362.34800000000001</v>
      </c>
      <c r="BL109">
        <v>449.108</v>
      </c>
      <c r="BM109">
        <v>806.22900000000004</v>
      </c>
      <c r="BN109">
        <v>17.742899999999999</v>
      </c>
      <c r="BO109">
        <v>800.04</v>
      </c>
      <c r="BP109">
        <v>7.6758499999999996</v>
      </c>
      <c r="BQ109">
        <v>2.51816</v>
      </c>
      <c r="BR109">
        <v>0.76042200000000004</v>
      </c>
      <c r="BS109">
        <v>21.144400000000001</v>
      </c>
      <c r="BT109">
        <v>2.9891899999999998</v>
      </c>
      <c r="BU109">
        <v>1800</v>
      </c>
      <c r="BV109">
        <v>0.90998500000000004</v>
      </c>
      <c r="BW109">
        <v>3.3990800000000002E-2</v>
      </c>
      <c r="BX109">
        <v>2.2009600000000001E-2</v>
      </c>
      <c r="BY109">
        <v>3.4014700000000002E-2</v>
      </c>
      <c r="BZ109">
        <v>25</v>
      </c>
      <c r="CA109">
        <v>33528.300000000003</v>
      </c>
      <c r="CB109">
        <v>1690203121.0999999</v>
      </c>
      <c r="CC109" t="s">
        <v>332</v>
      </c>
      <c r="CD109">
        <v>1690203121.0999999</v>
      </c>
      <c r="CE109">
        <v>1690203121.0999999</v>
      </c>
      <c r="CF109">
        <v>3</v>
      </c>
      <c r="CG109">
        <v>0.53600000000000003</v>
      </c>
      <c r="CH109">
        <v>-0.01</v>
      </c>
      <c r="CI109">
        <v>-0.996</v>
      </c>
      <c r="CJ109">
        <v>-6.6000000000000003E-2</v>
      </c>
      <c r="CK109">
        <v>800</v>
      </c>
      <c r="CL109">
        <v>9</v>
      </c>
      <c r="CM109">
        <v>0.82</v>
      </c>
      <c r="CN109">
        <v>0.01</v>
      </c>
      <c r="CO109">
        <v>-359.73704878048778</v>
      </c>
      <c r="CP109">
        <v>-13.19974912891945</v>
      </c>
      <c r="CQ109">
        <v>1.302286637198333</v>
      </c>
      <c r="CR109">
        <v>-1</v>
      </c>
      <c r="CS109">
        <v>17.636095121951222</v>
      </c>
      <c r="CT109">
        <v>0.51802787456450283</v>
      </c>
      <c r="CU109">
        <v>5.1226126866723433E-2</v>
      </c>
      <c r="CV109">
        <v>-1</v>
      </c>
      <c r="CW109">
        <v>0</v>
      </c>
      <c r="CX109">
        <v>0</v>
      </c>
      <c r="CY109" t="s">
        <v>333</v>
      </c>
      <c r="CZ109">
        <v>2.3646400000000001</v>
      </c>
      <c r="DA109">
        <v>2.7137600000000002</v>
      </c>
      <c r="DB109">
        <v>9.5983899999999997E-2</v>
      </c>
      <c r="DC109">
        <v>0.14621400000000001</v>
      </c>
      <c r="DD109">
        <v>0.118743</v>
      </c>
      <c r="DE109">
        <v>4.8141499999999997E-2</v>
      </c>
      <c r="DF109">
        <v>32981.1</v>
      </c>
      <c r="DG109">
        <v>27458.9</v>
      </c>
      <c r="DH109">
        <v>31144.1</v>
      </c>
      <c r="DI109">
        <v>28022.9</v>
      </c>
      <c r="DJ109">
        <v>37247.199999999997</v>
      </c>
      <c r="DK109">
        <v>37909.9</v>
      </c>
      <c r="DL109">
        <v>44313.599999999999</v>
      </c>
      <c r="DM109">
        <v>42448.1</v>
      </c>
      <c r="DN109">
        <v>1.48105</v>
      </c>
      <c r="DO109">
        <v>2.0547300000000002</v>
      </c>
      <c r="DP109">
        <v>0.17346400000000001</v>
      </c>
      <c r="DQ109">
        <v>0.159334</v>
      </c>
      <c r="DR109">
        <v>24.2012</v>
      </c>
      <c r="DS109">
        <v>24.1523</v>
      </c>
      <c r="DT109">
        <v>25</v>
      </c>
      <c r="DU109">
        <v>27.6</v>
      </c>
      <c r="DV109">
        <v>9.3552300000000006</v>
      </c>
      <c r="DW109">
        <v>61.8155</v>
      </c>
      <c r="DX109">
        <v>36.626600000000003</v>
      </c>
      <c r="DY109">
        <v>1</v>
      </c>
      <c r="DZ109">
        <v>-0.121992</v>
      </c>
      <c r="EA109">
        <v>0.17708099999999999</v>
      </c>
      <c r="EB109">
        <v>20.191099999999999</v>
      </c>
      <c r="EC109">
        <v>5.2418500000000003</v>
      </c>
      <c r="ED109">
        <v>12.039899999999999</v>
      </c>
      <c r="EE109">
        <v>5.0164999999999997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</v>
      </c>
      <c r="EL109">
        <v>1.8646199999999999</v>
      </c>
      <c r="EM109">
        <v>1.86917</v>
      </c>
      <c r="EN109">
        <v>1.8672200000000001</v>
      </c>
      <c r="EO109">
        <v>1.8633999999999999</v>
      </c>
      <c r="EP109">
        <v>1.86449</v>
      </c>
      <c r="EQ109">
        <v>1.87012</v>
      </c>
      <c r="ER109">
        <v>1.86937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-0.74</v>
      </c>
      <c r="FG109">
        <v>0.16769999999999999</v>
      </c>
      <c r="FH109">
        <v>-0.44422204735670362</v>
      </c>
      <c r="FI109">
        <v>-6.1462078757559423E-4</v>
      </c>
      <c r="FJ109">
        <v>-1.8861989874597051E-7</v>
      </c>
      <c r="FK109">
        <v>1.1980462299894961E-10</v>
      </c>
      <c r="FL109">
        <v>0.16773393518503121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26.2</v>
      </c>
      <c r="FU109">
        <v>26.2</v>
      </c>
      <c r="FV109">
        <v>1.77979</v>
      </c>
      <c r="FW109">
        <v>2.5573700000000001</v>
      </c>
      <c r="FX109">
        <v>1.5490699999999999</v>
      </c>
      <c r="FY109">
        <v>2.33521</v>
      </c>
      <c r="FZ109">
        <v>1.50146</v>
      </c>
      <c r="GA109">
        <v>2.3828100000000001</v>
      </c>
      <c r="GB109">
        <v>32.354900000000001</v>
      </c>
      <c r="GC109">
        <v>23.991199999999999</v>
      </c>
      <c r="GD109">
        <v>19</v>
      </c>
      <c r="GE109">
        <v>283.54500000000002</v>
      </c>
      <c r="GF109">
        <v>594.78200000000004</v>
      </c>
      <c r="GG109">
        <v>23.643599999999999</v>
      </c>
      <c r="GH109">
        <v>25.86</v>
      </c>
      <c r="GI109">
        <v>29.9998</v>
      </c>
      <c r="GJ109">
        <v>26.0351</v>
      </c>
      <c r="GK109">
        <v>26.020499999999998</v>
      </c>
      <c r="GL109">
        <v>35.590299999999999</v>
      </c>
      <c r="GM109">
        <v>-30</v>
      </c>
      <c r="GN109">
        <v>-30</v>
      </c>
      <c r="GO109">
        <v>23.5899</v>
      </c>
      <c r="GP109">
        <v>800</v>
      </c>
      <c r="GQ109">
        <v>12.5298</v>
      </c>
      <c r="GR109">
        <v>99.638099999999994</v>
      </c>
      <c r="GS109">
        <v>99.324200000000005</v>
      </c>
    </row>
    <row r="110" spans="1:201" x14ac:dyDescent="0.25">
      <c r="A110">
        <v>94</v>
      </c>
      <c r="B110">
        <v>1690204705.5</v>
      </c>
      <c r="C110">
        <v>1265.900000095367</v>
      </c>
      <c r="D110" t="s">
        <v>521</v>
      </c>
      <c r="E110" t="s">
        <v>522</v>
      </c>
      <c r="F110" t="s">
        <v>330</v>
      </c>
      <c r="H110">
        <v>1690204705.5</v>
      </c>
      <c r="I110">
        <f t="shared" si="30"/>
        <v>1.7606513209580507E-3</v>
      </c>
      <c r="J110">
        <f t="shared" si="31"/>
        <v>1.7606513209580508</v>
      </c>
      <c r="K110">
        <f t="shared" si="32"/>
        <v>34.321655305697909</v>
      </c>
      <c r="L110">
        <f t="shared" si="33"/>
        <v>435.48</v>
      </c>
      <c r="M110">
        <f t="shared" si="34"/>
        <v>91.235649073344462</v>
      </c>
      <c r="N110">
        <f t="shared" si="35"/>
        <v>9.0472977437906721</v>
      </c>
      <c r="O110">
        <f t="shared" si="36"/>
        <v>43.183966590720004</v>
      </c>
      <c r="P110">
        <f t="shared" si="37"/>
        <v>0.16754075296605681</v>
      </c>
      <c r="Q110">
        <f t="shared" si="38"/>
        <v>2.1914107360218713</v>
      </c>
      <c r="R110">
        <f t="shared" si="39"/>
        <v>0.16073606900317639</v>
      </c>
      <c r="S110">
        <f t="shared" si="40"/>
        <v>0.10104838761686571</v>
      </c>
      <c r="T110">
        <f t="shared" si="41"/>
        <v>276.11648546400005</v>
      </c>
      <c r="U110">
        <f t="shared" si="42"/>
        <v>27.008096170424363</v>
      </c>
      <c r="V110">
        <f t="shared" si="43"/>
        <v>27.008096170424363</v>
      </c>
      <c r="W110">
        <f t="shared" si="44"/>
        <v>3.580861965566644</v>
      </c>
      <c r="X110">
        <f t="shared" si="45"/>
        <v>77.284405429125954</v>
      </c>
      <c r="Y110">
        <f t="shared" si="46"/>
        <v>2.5281084804288003</v>
      </c>
      <c r="Z110">
        <f t="shared" si="47"/>
        <v>3.2711754284597747</v>
      </c>
      <c r="AA110">
        <f t="shared" si="48"/>
        <v>1.0527534851378437</v>
      </c>
      <c r="AB110">
        <f t="shared" si="49"/>
        <v>-77.644723254250039</v>
      </c>
      <c r="AC110">
        <f t="shared" si="50"/>
        <v>-180.92425169962979</v>
      </c>
      <c r="AD110">
        <f t="shared" si="51"/>
        <v>-17.683019699771428</v>
      </c>
      <c r="AE110">
        <f t="shared" si="52"/>
        <v>-0.13550918965120218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52542.184259538459</v>
      </c>
      <c r="AK110">
        <f t="shared" si="56"/>
        <v>1800</v>
      </c>
      <c r="AL110">
        <f t="shared" si="57"/>
        <v>1499.1119154000003</v>
      </c>
      <c r="AM110">
        <f t="shared" si="58"/>
        <v>0.83283995300000013</v>
      </c>
      <c r="AN110">
        <f t="shared" si="59"/>
        <v>0.15339804748000002</v>
      </c>
      <c r="AO110">
        <v>31.2</v>
      </c>
      <c r="AP110">
        <v>0.5</v>
      </c>
      <c r="AQ110" t="s">
        <v>331</v>
      </c>
      <c r="AR110">
        <v>2</v>
      </c>
      <c r="AS110">
        <v>1690204705.5</v>
      </c>
      <c r="AT110">
        <v>435.48</v>
      </c>
      <c r="AU110">
        <v>800.01400000000001</v>
      </c>
      <c r="AV110">
        <v>25.494199999999999</v>
      </c>
      <c r="AW110">
        <v>7.6690800000000001</v>
      </c>
      <c r="AX110">
        <v>436.21800000000002</v>
      </c>
      <c r="AY110">
        <v>25.3264</v>
      </c>
      <c r="AZ110">
        <v>300.31700000000001</v>
      </c>
      <c r="BA110">
        <v>99.063900000000004</v>
      </c>
      <c r="BB110">
        <v>0.100164</v>
      </c>
      <c r="BC110">
        <v>25.476700000000001</v>
      </c>
      <c r="BD110">
        <v>26.9636</v>
      </c>
      <c r="BE110">
        <v>26.772200000000002</v>
      </c>
      <c r="BF110">
        <v>0</v>
      </c>
      <c r="BG110">
        <v>0</v>
      </c>
      <c r="BH110">
        <v>9978.75</v>
      </c>
      <c r="BI110">
        <v>1063.0899999999999</v>
      </c>
      <c r="BJ110">
        <v>1.68198</v>
      </c>
      <c r="BK110">
        <v>-364.53500000000003</v>
      </c>
      <c r="BL110">
        <v>446.87200000000001</v>
      </c>
      <c r="BM110">
        <v>806.197</v>
      </c>
      <c r="BN110">
        <v>17.825099999999999</v>
      </c>
      <c r="BO110">
        <v>800.01400000000001</v>
      </c>
      <c r="BP110">
        <v>7.6690800000000001</v>
      </c>
      <c r="BQ110">
        <v>2.52555</v>
      </c>
      <c r="BR110">
        <v>0.75972899999999999</v>
      </c>
      <c r="BS110">
        <v>21.1921</v>
      </c>
      <c r="BT110">
        <v>2.9763199999999999</v>
      </c>
      <c r="BU110">
        <v>1800</v>
      </c>
      <c r="BV110">
        <v>0.90998500000000004</v>
      </c>
      <c r="BW110">
        <v>3.3992300000000003E-2</v>
      </c>
      <c r="BX110">
        <v>2.2008900000000001E-2</v>
      </c>
      <c r="BY110">
        <v>3.4013599999999998E-2</v>
      </c>
      <c r="BZ110">
        <v>25</v>
      </c>
      <c r="CA110">
        <v>33528.199999999997</v>
      </c>
      <c r="CB110">
        <v>1690203121.0999999</v>
      </c>
      <c r="CC110" t="s">
        <v>332</v>
      </c>
      <c r="CD110">
        <v>1690203121.0999999</v>
      </c>
      <c r="CE110">
        <v>1690203121.0999999</v>
      </c>
      <c r="CF110">
        <v>3</v>
      </c>
      <c r="CG110">
        <v>0.53600000000000003</v>
      </c>
      <c r="CH110">
        <v>-0.01</v>
      </c>
      <c r="CI110">
        <v>-0.996</v>
      </c>
      <c r="CJ110">
        <v>-6.6000000000000003E-2</v>
      </c>
      <c r="CK110">
        <v>800</v>
      </c>
      <c r="CL110">
        <v>9</v>
      </c>
      <c r="CM110">
        <v>0.82</v>
      </c>
      <c r="CN110">
        <v>0.01</v>
      </c>
      <c r="CO110">
        <v>-362.09224999999998</v>
      </c>
      <c r="CP110">
        <v>-12.92913320825531</v>
      </c>
      <c r="CQ110">
        <v>1.24489543235566</v>
      </c>
      <c r="CR110">
        <v>-1</v>
      </c>
      <c r="CS110">
        <v>17.732872499999999</v>
      </c>
      <c r="CT110">
        <v>0.55618874296431375</v>
      </c>
      <c r="CU110">
        <v>5.3601590403177517E-2</v>
      </c>
      <c r="CV110">
        <v>-1</v>
      </c>
      <c r="CW110">
        <v>0</v>
      </c>
      <c r="CX110">
        <v>0</v>
      </c>
      <c r="CY110" t="s">
        <v>333</v>
      </c>
      <c r="CZ110">
        <v>2.3654000000000002</v>
      </c>
      <c r="DA110">
        <v>2.71394</v>
      </c>
      <c r="DB110">
        <v>9.5618599999999998E-2</v>
      </c>
      <c r="DC110">
        <v>0.146208</v>
      </c>
      <c r="DD110">
        <v>0.118987</v>
      </c>
      <c r="DE110">
        <v>4.8106799999999998E-2</v>
      </c>
      <c r="DF110">
        <v>32994.5</v>
      </c>
      <c r="DG110">
        <v>27459.4</v>
      </c>
      <c r="DH110">
        <v>31144.1</v>
      </c>
      <c r="DI110">
        <v>28023.200000000001</v>
      </c>
      <c r="DJ110">
        <v>37236.800000000003</v>
      </c>
      <c r="DK110">
        <v>37911.599999999999</v>
      </c>
      <c r="DL110">
        <v>44313.8</v>
      </c>
      <c r="DM110">
        <v>42448.5</v>
      </c>
      <c r="DN110">
        <v>1.4814700000000001</v>
      </c>
      <c r="DO110">
        <v>2.0548299999999999</v>
      </c>
      <c r="DP110">
        <v>0.168405</v>
      </c>
      <c r="DQ110">
        <v>0.15971099999999999</v>
      </c>
      <c r="DR110">
        <v>24.203099999999999</v>
      </c>
      <c r="DS110">
        <v>24.153700000000001</v>
      </c>
      <c r="DT110">
        <v>24.9</v>
      </c>
      <c r="DU110">
        <v>27.6</v>
      </c>
      <c r="DV110">
        <v>9.3184900000000006</v>
      </c>
      <c r="DW110">
        <v>61.475499999999997</v>
      </c>
      <c r="DX110">
        <v>35.7652</v>
      </c>
      <c r="DY110">
        <v>1</v>
      </c>
      <c r="DZ110">
        <v>-0.121133</v>
      </c>
      <c r="EA110">
        <v>0.27077299999999999</v>
      </c>
      <c r="EB110">
        <v>20.191099999999999</v>
      </c>
      <c r="EC110">
        <v>5.242</v>
      </c>
      <c r="ED110">
        <v>12.039899999999999</v>
      </c>
      <c r="EE110">
        <v>5.01755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</v>
      </c>
      <c r="EL110">
        <v>1.8646199999999999</v>
      </c>
      <c r="EM110">
        <v>1.8691500000000001</v>
      </c>
      <c r="EN110">
        <v>1.8672200000000001</v>
      </c>
      <c r="EO110">
        <v>1.8633900000000001</v>
      </c>
      <c r="EP110">
        <v>1.8644700000000001</v>
      </c>
      <c r="EQ110">
        <v>1.87012</v>
      </c>
      <c r="ER110">
        <v>1.8693900000000001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-0.73799999999999999</v>
      </c>
      <c r="FG110">
        <v>0.1678</v>
      </c>
      <c r="FH110">
        <v>-0.44422204735670362</v>
      </c>
      <c r="FI110">
        <v>-6.1462078757559423E-4</v>
      </c>
      <c r="FJ110">
        <v>-1.8861989874597051E-7</v>
      </c>
      <c r="FK110">
        <v>1.1980462299894961E-10</v>
      </c>
      <c r="FL110">
        <v>0.16773393518503121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26.4</v>
      </c>
      <c r="FU110">
        <v>26.4</v>
      </c>
      <c r="FV110">
        <v>1.77979</v>
      </c>
      <c r="FW110">
        <v>2.5647000000000002</v>
      </c>
      <c r="FX110">
        <v>1.5490699999999999</v>
      </c>
      <c r="FY110">
        <v>2.33521</v>
      </c>
      <c r="FZ110">
        <v>1.50146</v>
      </c>
      <c r="GA110">
        <v>2.2961399999999998</v>
      </c>
      <c r="GB110">
        <v>32.354900000000001</v>
      </c>
      <c r="GC110">
        <v>23.982399999999998</v>
      </c>
      <c r="GD110">
        <v>19</v>
      </c>
      <c r="GE110">
        <v>283.70699999999999</v>
      </c>
      <c r="GF110">
        <v>594.82100000000003</v>
      </c>
      <c r="GG110">
        <v>23.574999999999999</v>
      </c>
      <c r="GH110">
        <v>25.855599999999999</v>
      </c>
      <c r="GI110">
        <v>30.0002</v>
      </c>
      <c r="GJ110">
        <v>26.0307</v>
      </c>
      <c r="GK110">
        <v>26.0167</v>
      </c>
      <c r="GL110">
        <v>35.594700000000003</v>
      </c>
      <c r="GM110">
        <v>-30</v>
      </c>
      <c r="GN110">
        <v>-30</v>
      </c>
      <c r="GO110">
        <v>23.585899999999999</v>
      </c>
      <c r="GP110">
        <v>800</v>
      </c>
      <c r="GQ110">
        <v>12.5298</v>
      </c>
      <c r="GR110">
        <v>99.638400000000004</v>
      </c>
      <c r="GS110">
        <v>99.325100000000006</v>
      </c>
    </row>
    <row r="111" spans="1:201" x14ac:dyDescent="0.25">
      <c r="A111">
        <v>95</v>
      </c>
      <c r="B111">
        <v>1690204715.5</v>
      </c>
      <c r="C111">
        <v>1275.900000095367</v>
      </c>
      <c r="D111" t="s">
        <v>523</v>
      </c>
      <c r="E111" t="s">
        <v>524</v>
      </c>
      <c r="F111" t="s">
        <v>330</v>
      </c>
      <c r="H111">
        <v>1690204715.5</v>
      </c>
      <c r="I111">
        <f t="shared" si="30"/>
        <v>1.7663943658989972E-3</v>
      </c>
      <c r="J111">
        <f t="shared" si="31"/>
        <v>1.7663943658989971</v>
      </c>
      <c r="K111">
        <f t="shared" si="32"/>
        <v>34.490254527849018</v>
      </c>
      <c r="L111">
        <f t="shared" si="33"/>
        <v>433.48899999999998</v>
      </c>
      <c r="M111">
        <f t="shared" si="34"/>
        <v>91.391857307954467</v>
      </c>
      <c r="N111">
        <f t="shared" si="35"/>
        <v>9.0631126110420226</v>
      </c>
      <c r="O111">
        <f t="shared" si="36"/>
        <v>42.988070692223999</v>
      </c>
      <c r="P111">
        <f t="shared" si="37"/>
        <v>0.16946652375692026</v>
      </c>
      <c r="Q111">
        <f t="shared" si="38"/>
        <v>2.1952251602696196</v>
      </c>
      <c r="R111">
        <f t="shared" si="39"/>
        <v>0.16251956133697457</v>
      </c>
      <c r="S111">
        <f t="shared" si="40"/>
        <v>0.1021751527865663</v>
      </c>
      <c r="T111">
        <f t="shared" si="41"/>
        <v>276.11670918599998</v>
      </c>
      <c r="U111">
        <f t="shared" si="42"/>
        <v>26.999326684100385</v>
      </c>
      <c r="V111">
        <f t="shared" si="43"/>
        <v>26.999326684100385</v>
      </c>
      <c r="W111">
        <f t="shared" si="44"/>
        <v>3.5790181555263656</v>
      </c>
      <c r="X111">
        <f t="shared" si="45"/>
        <v>77.497203697446722</v>
      </c>
      <c r="Y111">
        <f t="shared" si="46"/>
        <v>2.5344069285887998</v>
      </c>
      <c r="Z111">
        <f t="shared" si="47"/>
        <v>3.2703204859923227</v>
      </c>
      <c r="AA111">
        <f t="shared" si="48"/>
        <v>1.0446112269375658</v>
      </c>
      <c r="AB111">
        <f t="shared" si="49"/>
        <v>-77.897991536145781</v>
      </c>
      <c r="AC111">
        <f t="shared" si="50"/>
        <v>-180.72204872540769</v>
      </c>
      <c r="AD111">
        <f t="shared" si="51"/>
        <v>-17.631400649303984</v>
      </c>
      <c r="AE111">
        <f t="shared" si="52"/>
        <v>-0.13473172485748819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52699.731258282882</v>
      </c>
      <c r="AK111">
        <f t="shared" si="56"/>
        <v>1800</v>
      </c>
      <c r="AL111">
        <f t="shared" si="57"/>
        <v>1499.1119045999999</v>
      </c>
      <c r="AM111">
        <f t="shared" si="58"/>
        <v>0.83283994699999997</v>
      </c>
      <c r="AN111">
        <f t="shared" si="59"/>
        <v>0.15339817176999998</v>
      </c>
      <c r="AO111">
        <v>31.2</v>
      </c>
      <c r="AP111">
        <v>0.5</v>
      </c>
      <c r="AQ111" t="s">
        <v>331</v>
      </c>
      <c r="AR111">
        <v>2</v>
      </c>
      <c r="AS111">
        <v>1690204715.5</v>
      </c>
      <c r="AT111">
        <v>433.48899999999998</v>
      </c>
      <c r="AU111">
        <v>800.01300000000003</v>
      </c>
      <c r="AV111">
        <v>25.556799999999999</v>
      </c>
      <c r="AW111">
        <v>7.6625300000000003</v>
      </c>
      <c r="AX111">
        <v>434.226</v>
      </c>
      <c r="AY111">
        <v>25.389099999999999</v>
      </c>
      <c r="AZ111">
        <v>300.113</v>
      </c>
      <c r="BA111">
        <v>99.067599999999999</v>
      </c>
      <c r="BB111">
        <v>0.10001599999999999</v>
      </c>
      <c r="BC111">
        <v>25.472300000000001</v>
      </c>
      <c r="BD111">
        <v>26.928699999999999</v>
      </c>
      <c r="BE111">
        <v>26.768000000000001</v>
      </c>
      <c r="BF111">
        <v>0</v>
      </c>
      <c r="BG111">
        <v>0</v>
      </c>
      <c r="BH111">
        <v>10009.4</v>
      </c>
      <c r="BI111">
        <v>1063.21</v>
      </c>
      <c r="BJ111">
        <v>1.68198</v>
      </c>
      <c r="BK111">
        <v>-366.524</v>
      </c>
      <c r="BL111">
        <v>444.858</v>
      </c>
      <c r="BM111">
        <v>806.19</v>
      </c>
      <c r="BN111">
        <v>17.894300000000001</v>
      </c>
      <c r="BO111">
        <v>800.01300000000003</v>
      </c>
      <c r="BP111">
        <v>7.6625300000000003</v>
      </c>
      <c r="BQ111">
        <v>2.5318499999999999</v>
      </c>
      <c r="BR111">
        <v>0.759108</v>
      </c>
      <c r="BS111">
        <v>21.232700000000001</v>
      </c>
      <c r="BT111">
        <v>2.9647899999999998</v>
      </c>
      <c r="BU111">
        <v>1800</v>
      </c>
      <c r="BV111">
        <v>0.90998199999999996</v>
      </c>
      <c r="BW111">
        <v>3.3996800000000001E-2</v>
      </c>
      <c r="BX111">
        <v>2.20086E-2</v>
      </c>
      <c r="BY111">
        <v>3.4013099999999998E-2</v>
      </c>
      <c r="BZ111">
        <v>25</v>
      </c>
      <c r="CA111">
        <v>33528.199999999997</v>
      </c>
      <c r="CB111">
        <v>1690203121.0999999</v>
      </c>
      <c r="CC111" t="s">
        <v>332</v>
      </c>
      <c r="CD111">
        <v>1690203121.0999999</v>
      </c>
      <c r="CE111">
        <v>1690203121.0999999</v>
      </c>
      <c r="CF111">
        <v>3</v>
      </c>
      <c r="CG111">
        <v>0.53600000000000003</v>
      </c>
      <c r="CH111">
        <v>-0.01</v>
      </c>
      <c r="CI111">
        <v>-0.996</v>
      </c>
      <c r="CJ111">
        <v>-6.6000000000000003E-2</v>
      </c>
      <c r="CK111">
        <v>800</v>
      </c>
      <c r="CL111">
        <v>9</v>
      </c>
      <c r="CM111">
        <v>0.82</v>
      </c>
      <c r="CN111">
        <v>0.01</v>
      </c>
      <c r="CO111">
        <v>-364.14002439024392</v>
      </c>
      <c r="CP111">
        <v>-13.23740069686453</v>
      </c>
      <c r="CQ111">
        <v>1.3074838149034149</v>
      </c>
      <c r="CR111">
        <v>-1</v>
      </c>
      <c r="CS111">
        <v>17.811348780487801</v>
      </c>
      <c r="CT111">
        <v>0.45917979094076211</v>
      </c>
      <c r="CU111">
        <v>4.5343551035004037E-2</v>
      </c>
      <c r="CV111">
        <v>-1</v>
      </c>
      <c r="CW111">
        <v>0</v>
      </c>
      <c r="CX111">
        <v>0</v>
      </c>
      <c r="CY111" t="s">
        <v>333</v>
      </c>
      <c r="CZ111">
        <v>2.3647499999999999</v>
      </c>
      <c r="DA111">
        <v>2.7138100000000001</v>
      </c>
      <c r="DB111">
        <v>9.5295199999999997E-2</v>
      </c>
      <c r="DC111">
        <v>0.14621400000000001</v>
      </c>
      <c r="DD111">
        <v>0.119198</v>
      </c>
      <c r="DE111">
        <v>4.8076500000000001E-2</v>
      </c>
      <c r="DF111">
        <v>33006.6</v>
      </c>
      <c r="DG111">
        <v>27460</v>
      </c>
      <c r="DH111">
        <v>31144.400000000001</v>
      </c>
      <c r="DI111">
        <v>28024</v>
      </c>
      <c r="DJ111">
        <v>37228</v>
      </c>
      <c r="DK111">
        <v>37913.9</v>
      </c>
      <c r="DL111">
        <v>44314.1</v>
      </c>
      <c r="DM111">
        <v>42449.7</v>
      </c>
      <c r="DN111">
        <v>1.4813499999999999</v>
      </c>
      <c r="DO111">
        <v>2.0545499999999999</v>
      </c>
      <c r="DP111">
        <v>0.16626299999999999</v>
      </c>
      <c r="DQ111">
        <v>0.159413</v>
      </c>
      <c r="DR111">
        <v>24.203199999999999</v>
      </c>
      <c r="DS111">
        <v>24.154399999999999</v>
      </c>
      <c r="DT111">
        <v>24.9</v>
      </c>
      <c r="DU111">
        <v>27.6</v>
      </c>
      <c r="DV111">
        <v>9.3191699999999997</v>
      </c>
      <c r="DW111">
        <v>61.525500000000001</v>
      </c>
      <c r="DX111">
        <v>37.0473</v>
      </c>
      <c r="DY111">
        <v>1</v>
      </c>
      <c r="DZ111">
        <v>-0.122421</v>
      </c>
      <c r="EA111">
        <v>6.7331199999999994E-2</v>
      </c>
      <c r="EB111">
        <v>20.191500000000001</v>
      </c>
      <c r="EC111">
        <v>5.2415500000000002</v>
      </c>
      <c r="ED111">
        <v>12.039899999999999</v>
      </c>
      <c r="EE111">
        <v>5.0175000000000001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</v>
      </c>
      <c r="EL111">
        <v>1.8646199999999999</v>
      </c>
      <c r="EM111">
        <v>1.8691500000000001</v>
      </c>
      <c r="EN111">
        <v>1.8672200000000001</v>
      </c>
      <c r="EO111">
        <v>1.8633999999999999</v>
      </c>
      <c r="EP111">
        <v>1.8644700000000001</v>
      </c>
      <c r="EQ111">
        <v>1.8701399999999999</v>
      </c>
      <c r="ER111">
        <v>1.8693900000000001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-0.73699999999999999</v>
      </c>
      <c r="FG111">
        <v>0.16769999999999999</v>
      </c>
      <c r="FH111">
        <v>-0.44422204735670362</v>
      </c>
      <c r="FI111">
        <v>-6.1462078757559423E-4</v>
      </c>
      <c r="FJ111">
        <v>-1.8861989874597051E-7</v>
      </c>
      <c r="FK111">
        <v>1.1980462299894961E-10</v>
      </c>
      <c r="FL111">
        <v>0.16773393518503121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26.6</v>
      </c>
      <c r="FU111">
        <v>26.6</v>
      </c>
      <c r="FV111">
        <v>1.77979</v>
      </c>
      <c r="FW111">
        <v>2.5561500000000001</v>
      </c>
      <c r="FX111">
        <v>1.5490699999999999</v>
      </c>
      <c r="FY111">
        <v>2.33521</v>
      </c>
      <c r="FZ111">
        <v>1.50146</v>
      </c>
      <c r="GA111">
        <v>2.3925800000000002</v>
      </c>
      <c r="GB111">
        <v>32.354900000000001</v>
      </c>
      <c r="GC111">
        <v>23.991199999999999</v>
      </c>
      <c r="GD111">
        <v>19</v>
      </c>
      <c r="GE111">
        <v>283.63099999999997</v>
      </c>
      <c r="GF111">
        <v>594.54100000000005</v>
      </c>
      <c r="GG111">
        <v>23.6112</v>
      </c>
      <c r="GH111">
        <v>25.851199999999999</v>
      </c>
      <c r="GI111">
        <v>29.999600000000001</v>
      </c>
      <c r="GJ111">
        <v>26.0258</v>
      </c>
      <c r="GK111">
        <v>26.0124</v>
      </c>
      <c r="GL111">
        <v>35.591900000000003</v>
      </c>
      <c r="GM111">
        <v>-30</v>
      </c>
      <c r="GN111">
        <v>-30</v>
      </c>
      <c r="GO111">
        <v>23.645199999999999</v>
      </c>
      <c r="GP111">
        <v>800</v>
      </c>
      <c r="GQ111">
        <v>12.5298</v>
      </c>
      <c r="GR111">
        <v>99.639200000000002</v>
      </c>
      <c r="GS111">
        <v>99.3279</v>
      </c>
    </row>
    <row r="112" spans="1:201" x14ac:dyDescent="0.25">
      <c r="A112">
        <v>96</v>
      </c>
      <c r="B112">
        <v>1690204725.5</v>
      </c>
      <c r="C112">
        <v>1285.900000095367</v>
      </c>
      <c r="D112" t="s">
        <v>525</v>
      </c>
      <c r="E112" t="s">
        <v>526</v>
      </c>
      <c r="F112" t="s">
        <v>330</v>
      </c>
      <c r="H112">
        <v>1690204725.5</v>
      </c>
      <c r="I112">
        <f t="shared" si="30"/>
        <v>1.7751738255068789E-3</v>
      </c>
      <c r="J112">
        <f t="shared" si="31"/>
        <v>1.775173825506879</v>
      </c>
      <c r="K112">
        <f t="shared" si="32"/>
        <v>34.68881338760044</v>
      </c>
      <c r="L112">
        <f t="shared" si="33"/>
        <v>431.45</v>
      </c>
      <c r="M112">
        <f t="shared" si="34"/>
        <v>90.95154032439612</v>
      </c>
      <c r="N112">
        <f t="shared" si="35"/>
        <v>9.0192117700572485</v>
      </c>
      <c r="O112">
        <f t="shared" si="36"/>
        <v>42.784750036250003</v>
      </c>
      <c r="P112">
        <f t="shared" si="37"/>
        <v>0.17130348531819559</v>
      </c>
      <c r="Q112">
        <f t="shared" si="38"/>
        <v>2.1922699428470045</v>
      </c>
      <c r="R112">
        <f t="shared" si="39"/>
        <v>0.16419935327908222</v>
      </c>
      <c r="S112">
        <f t="shared" si="40"/>
        <v>0.10323832357856985</v>
      </c>
      <c r="T112">
        <f t="shared" si="41"/>
        <v>276.11527969370178</v>
      </c>
      <c r="U112">
        <f t="shared" si="42"/>
        <v>27.008891333093473</v>
      </c>
      <c r="V112">
        <f t="shared" si="43"/>
        <v>27.008891333093473</v>
      </c>
      <c r="W112">
        <f t="shared" si="44"/>
        <v>3.5810291918268176</v>
      </c>
      <c r="X112">
        <f t="shared" si="45"/>
        <v>77.681393422807901</v>
      </c>
      <c r="Y112">
        <f t="shared" si="46"/>
        <v>2.5420458333624998</v>
      </c>
      <c r="Z112">
        <f t="shared" si="47"/>
        <v>3.2723998905716516</v>
      </c>
      <c r="AA112">
        <f t="shared" si="48"/>
        <v>1.0389833584643178</v>
      </c>
      <c r="AB112">
        <f t="shared" si="49"/>
        <v>-78.285165704853355</v>
      </c>
      <c r="AC112">
        <f t="shared" si="50"/>
        <v>-180.34457351985253</v>
      </c>
      <c r="AD112">
        <f t="shared" si="51"/>
        <v>-17.620081209633152</v>
      </c>
      <c r="AE112">
        <f t="shared" si="52"/>
        <v>-0.13454074063724875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52576.368228406864</v>
      </c>
      <c r="AK112">
        <f t="shared" si="56"/>
        <v>1799.99</v>
      </c>
      <c r="AL112">
        <f t="shared" si="57"/>
        <v>1499.10109221433</v>
      </c>
      <c r="AM112">
        <f t="shared" si="58"/>
        <v>0.83283856700000003</v>
      </c>
      <c r="AN112">
        <f t="shared" si="59"/>
        <v>0.15339822981999998</v>
      </c>
      <c r="AO112">
        <v>31.2</v>
      </c>
      <c r="AP112">
        <v>0.5</v>
      </c>
      <c r="AQ112" t="s">
        <v>331</v>
      </c>
      <c r="AR112">
        <v>2</v>
      </c>
      <c r="AS112">
        <v>1690204725.5</v>
      </c>
      <c r="AT112">
        <v>431.45</v>
      </c>
      <c r="AU112">
        <v>799.98</v>
      </c>
      <c r="AV112">
        <v>25.634499999999999</v>
      </c>
      <c r="AW112">
        <v>7.6556600000000001</v>
      </c>
      <c r="AX112">
        <v>432.185</v>
      </c>
      <c r="AY112">
        <v>25.466799999999999</v>
      </c>
      <c r="AZ112">
        <v>300.16199999999998</v>
      </c>
      <c r="BA112">
        <v>99.064999999999998</v>
      </c>
      <c r="BB112">
        <v>0.100025</v>
      </c>
      <c r="BC112">
        <v>25.483000000000001</v>
      </c>
      <c r="BD112">
        <v>26.990400000000001</v>
      </c>
      <c r="BE112">
        <v>26.771599999999999</v>
      </c>
      <c r="BF112">
        <v>0</v>
      </c>
      <c r="BG112">
        <v>0</v>
      </c>
      <c r="BH112">
        <v>9985.6200000000008</v>
      </c>
      <c r="BI112">
        <v>1063.32</v>
      </c>
      <c r="BJ112">
        <v>1.68198</v>
      </c>
      <c r="BK112">
        <v>-368.53100000000001</v>
      </c>
      <c r="BL112">
        <v>442.80099999999999</v>
      </c>
      <c r="BM112">
        <v>806.15200000000004</v>
      </c>
      <c r="BN112">
        <v>17.9788</v>
      </c>
      <c r="BO112">
        <v>799.98</v>
      </c>
      <c r="BP112">
        <v>7.6556600000000001</v>
      </c>
      <c r="BQ112">
        <v>2.5394800000000002</v>
      </c>
      <c r="BR112">
        <v>0.75840799999999997</v>
      </c>
      <c r="BS112">
        <v>21.2818</v>
      </c>
      <c r="BT112">
        <v>2.9517799999999998</v>
      </c>
      <c r="BU112">
        <v>1799.99</v>
      </c>
      <c r="BV112">
        <v>0.90997300000000003</v>
      </c>
      <c r="BW112">
        <v>3.4007000000000003E-2</v>
      </c>
      <c r="BX112">
        <v>2.2008099999999999E-2</v>
      </c>
      <c r="BY112">
        <v>3.4012399999999998E-2</v>
      </c>
      <c r="BZ112">
        <v>25</v>
      </c>
      <c r="CA112">
        <v>33528.1</v>
      </c>
      <c r="CB112">
        <v>1690203121.0999999</v>
      </c>
      <c r="CC112" t="s">
        <v>332</v>
      </c>
      <c r="CD112">
        <v>1690203121.0999999</v>
      </c>
      <c r="CE112">
        <v>1690203121.0999999</v>
      </c>
      <c r="CF112">
        <v>3</v>
      </c>
      <c r="CG112">
        <v>0.53600000000000003</v>
      </c>
      <c r="CH112">
        <v>-0.01</v>
      </c>
      <c r="CI112">
        <v>-0.996</v>
      </c>
      <c r="CJ112">
        <v>-6.6000000000000003E-2</v>
      </c>
      <c r="CK112">
        <v>800</v>
      </c>
      <c r="CL112">
        <v>9</v>
      </c>
      <c r="CM112">
        <v>0.82</v>
      </c>
      <c r="CN112">
        <v>0.01</v>
      </c>
      <c r="CO112">
        <v>-366.24831707317082</v>
      </c>
      <c r="CP112">
        <v>-11.758097560975971</v>
      </c>
      <c r="CQ112">
        <v>1.160325699419299</v>
      </c>
      <c r="CR112">
        <v>-1</v>
      </c>
      <c r="CS112">
        <v>17.886039024390239</v>
      </c>
      <c r="CT112">
        <v>0.44163972125435491</v>
      </c>
      <c r="CU112">
        <v>4.3593224345123832E-2</v>
      </c>
      <c r="CV112">
        <v>-1</v>
      </c>
      <c r="CW112">
        <v>0</v>
      </c>
      <c r="CX112">
        <v>0</v>
      </c>
      <c r="CY112" t="s">
        <v>333</v>
      </c>
      <c r="CZ112">
        <v>2.3648899999999999</v>
      </c>
      <c r="DA112">
        <v>2.7138</v>
      </c>
      <c r="DB112">
        <v>9.4957100000000003E-2</v>
      </c>
      <c r="DC112">
        <v>0.146207</v>
      </c>
      <c r="DD112">
        <v>0.119449</v>
      </c>
      <c r="DE112">
        <v>4.8041599999999997E-2</v>
      </c>
      <c r="DF112">
        <v>33019.699999999997</v>
      </c>
      <c r="DG112">
        <v>27460.5</v>
      </c>
      <c r="DH112">
        <v>31145.1</v>
      </c>
      <c r="DI112">
        <v>28024.3</v>
      </c>
      <c r="DJ112">
        <v>37218.1</v>
      </c>
      <c r="DK112">
        <v>37915.9</v>
      </c>
      <c r="DL112">
        <v>44315.199999999997</v>
      </c>
      <c r="DM112">
        <v>42450.400000000001</v>
      </c>
      <c r="DN112">
        <v>1.4816</v>
      </c>
      <c r="DO112">
        <v>2.0548999999999999</v>
      </c>
      <c r="DP112">
        <v>0.17024600000000001</v>
      </c>
      <c r="DQ112">
        <v>0.159632</v>
      </c>
      <c r="DR112">
        <v>24.1998</v>
      </c>
      <c r="DS112">
        <v>24.154399999999999</v>
      </c>
      <c r="DT112">
        <v>24.9</v>
      </c>
      <c r="DU112">
        <v>27.6</v>
      </c>
      <c r="DV112">
        <v>9.3180899999999998</v>
      </c>
      <c r="DW112">
        <v>61.575499999999998</v>
      </c>
      <c r="DX112">
        <v>36.238</v>
      </c>
      <c r="DY112">
        <v>1</v>
      </c>
      <c r="DZ112">
        <v>-0.123186</v>
      </c>
      <c r="EA112">
        <v>0.119951</v>
      </c>
      <c r="EB112">
        <v>20.191299999999998</v>
      </c>
      <c r="EC112">
        <v>5.2418500000000003</v>
      </c>
      <c r="ED112">
        <v>12.039899999999999</v>
      </c>
      <c r="EE112">
        <v>5.0164499999999999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</v>
      </c>
      <c r="EL112">
        <v>1.8646199999999999</v>
      </c>
      <c r="EM112">
        <v>1.86913</v>
      </c>
      <c r="EN112">
        <v>1.8672200000000001</v>
      </c>
      <c r="EO112">
        <v>1.86338</v>
      </c>
      <c r="EP112">
        <v>1.8644700000000001</v>
      </c>
      <c r="EQ112">
        <v>1.8701300000000001</v>
      </c>
      <c r="ER112">
        <v>1.8693599999999999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-0.73499999999999999</v>
      </c>
      <c r="FG112">
        <v>0.16769999999999999</v>
      </c>
      <c r="FH112">
        <v>-0.44422204735670362</v>
      </c>
      <c r="FI112">
        <v>-6.1462078757559423E-4</v>
      </c>
      <c r="FJ112">
        <v>-1.8861989874597051E-7</v>
      </c>
      <c r="FK112">
        <v>1.1980462299894961E-10</v>
      </c>
      <c r="FL112">
        <v>0.16773393518503121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26.7</v>
      </c>
      <c r="FU112">
        <v>26.7</v>
      </c>
      <c r="FV112">
        <v>1.77979</v>
      </c>
      <c r="FW112">
        <v>2.5573700000000001</v>
      </c>
      <c r="FX112">
        <v>1.5490699999999999</v>
      </c>
      <c r="FY112">
        <v>2.33521</v>
      </c>
      <c r="FZ112">
        <v>1.50146</v>
      </c>
      <c r="GA112">
        <v>2.36694</v>
      </c>
      <c r="GB112">
        <v>32.354900000000001</v>
      </c>
      <c r="GC112">
        <v>23.991199999999999</v>
      </c>
      <c r="GD112">
        <v>19</v>
      </c>
      <c r="GE112">
        <v>283.721</v>
      </c>
      <c r="GF112">
        <v>594.79</v>
      </c>
      <c r="GG112">
        <v>23.692399999999999</v>
      </c>
      <c r="GH112">
        <v>25.846900000000002</v>
      </c>
      <c r="GI112">
        <v>29.9998</v>
      </c>
      <c r="GJ112">
        <v>26.021899999999999</v>
      </c>
      <c r="GK112">
        <v>26.008600000000001</v>
      </c>
      <c r="GL112">
        <v>35.5914</v>
      </c>
      <c r="GM112">
        <v>-30</v>
      </c>
      <c r="GN112">
        <v>-30</v>
      </c>
      <c r="GO112">
        <v>23.633500000000002</v>
      </c>
      <c r="GP112">
        <v>800</v>
      </c>
      <c r="GQ112">
        <v>12.5298</v>
      </c>
      <c r="GR112">
        <v>99.641499999999994</v>
      </c>
      <c r="GS112">
        <v>99.3292</v>
      </c>
    </row>
    <row r="113" spans="1:201" x14ac:dyDescent="0.25">
      <c r="A113">
        <v>97</v>
      </c>
      <c r="B113">
        <v>1690204735.5</v>
      </c>
      <c r="C113">
        <v>1295.900000095367</v>
      </c>
      <c r="D113" t="s">
        <v>527</v>
      </c>
      <c r="E113" t="s">
        <v>528</v>
      </c>
      <c r="F113" t="s">
        <v>330</v>
      </c>
      <c r="H113">
        <v>1690204735.5</v>
      </c>
      <c r="I113">
        <f t="shared" si="30"/>
        <v>1.7841486288139047E-3</v>
      </c>
      <c r="J113">
        <f t="shared" si="31"/>
        <v>1.7841486288139048</v>
      </c>
      <c r="K113">
        <f t="shared" si="32"/>
        <v>34.919058335598201</v>
      </c>
      <c r="L113">
        <f t="shared" si="33"/>
        <v>429.17700000000002</v>
      </c>
      <c r="M113">
        <f t="shared" si="34"/>
        <v>91.275746124929015</v>
      </c>
      <c r="N113">
        <f t="shared" si="35"/>
        <v>9.0515484878245545</v>
      </c>
      <c r="O113">
        <f t="shared" si="36"/>
        <v>42.560226459744001</v>
      </c>
      <c r="P113">
        <f t="shared" si="37"/>
        <v>0.17383147475920563</v>
      </c>
      <c r="Q113">
        <f t="shared" si="38"/>
        <v>2.1970583599476479</v>
      </c>
      <c r="R113">
        <f t="shared" si="39"/>
        <v>0.16653614357408333</v>
      </c>
      <c r="S113">
        <f t="shared" si="40"/>
        <v>0.10471503273959663</v>
      </c>
      <c r="T113">
        <f t="shared" si="41"/>
        <v>276.11648874000002</v>
      </c>
      <c r="U113">
        <f t="shared" si="42"/>
        <v>27.00042489271905</v>
      </c>
      <c r="V113">
        <f t="shared" si="43"/>
        <v>27.00042489271905</v>
      </c>
      <c r="W113">
        <f t="shared" si="44"/>
        <v>3.5792490116838103</v>
      </c>
      <c r="X113">
        <f t="shared" si="45"/>
        <v>77.92562910410598</v>
      </c>
      <c r="Y113">
        <f t="shared" si="46"/>
        <v>2.5496746714847998</v>
      </c>
      <c r="Z113">
        <f t="shared" si="47"/>
        <v>3.2719333816073801</v>
      </c>
      <c r="AA113">
        <f t="shared" si="48"/>
        <v>1.0295743401990105</v>
      </c>
      <c r="AB113">
        <f t="shared" si="49"/>
        <v>-78.680954530693199</v>
      </c>
      <c r="AC113">
        <f t="shared" si="50"/>
        <v>-180.01993058428005</v>
      </c>
      <c r="AD113">
        <f t="shared" si="51"/>
        <v>-17.549072763354499</v>
      </c>
      <c r="AE113">
        <f t="shared" si="52"/>
        <v>-0.13346913832774021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52773.657065011772</v>
      </c>
      <c r="AK113">
        <f t="shared" si="56"/>
        <v>1800</v>
      </c>
      <c r="AL113">
        <f t="shared" si="57"/>
        <v>1499.108013</v>
      </c>
      <c r="AM113">
        <f t="shared" si="58"/>
        <v>0.83283778500000005</v>
      </c>
      <c r="AN113">
        <f t="shared" si="59"/>
        <v>0.15339804930000001</v>
      </c>
      <c r="AO113">
        <v>31.2</v>
      </c>
      <c r="AP113">
        <v>0.5</v>
      </c>
      <c r="AQ113" t="s">
        <v>331</v>
      </c>
      <c r="AR113">
        <v>2</v>
      </c>
      <c r="AS113">
        <v>1690204735.5</v>
      </c>
      <c r="AT113">
        <v>429.17700000000002</v>
      </c>
      <c r="AU113">
        <v>799.96</v>
      </c>
      <c r="AV113">
        <v>25.710899999999999</v>
      </c>
      <c r="AW113">
        <v>7.6493200000000003</v>
      </c>
      <c r="AX113">
        <v>429.91</v>
      </c>
      <c r="AY113">
        <v>25.543099999999999</v>
      </c>
      <c r="AZ113">
        <v>300.274</v>
      </c>
      <c r="BA113">
        <v>99.066999999999993</v>
      </c>
      <c r="BB113">
        <v>0.10007199999999999</v>
      </c>
      <c r="BC113">
        <v>25.480599999999999</v>
      </c>
      <c r="BD113">
        <v>26.964400000000001</v>
      </c>
      <c r="BE113">
        <v>26.7776</v>
      </c>
      <c r="BF113">
        <v>0</v>
      </c>
      <c r="BG113">
        <v>0</v>
      </c>
      <c r="BH113">
        <v>10024.4</v>
      </c>
      <c r="BI113">
        <v>1063.47</v>
      </c>
      <c r="BJ113">
        <v>1.68198</v>
      </c>
      <c r="BK113">
        <v>-370.78399999999999</v>
      </c>
      <c r="BL113">
        <v>440.50200000000001</v>
      </c>
      <c r="BM113">
        <v>806.12699999999995</v>
      </c>
      <c r="BN113">
        <v>18.061599999999999</v>
      </c>
      <c r="BO113">
        <v>799.96</v>
      </c>
      <c r="BP113">
        <v>7.6493200000000003</v>
      </c>
      <c r="BQ113">
        <v>2.5470999999999999</v>
      </c>
      <c r="BR113">
        <v>0.75779600000000003</v>
      </c>
      <c r="BS113">
        <v>21.3306</v>
      </c>
      <c r="BT113">
        <v>2.9403800000000002</v>
      </c>
      <c r="BU113">
        <v>1800</v>
      </c>
      <c r="BV113">
        <v>0.90997300000000003</v>
      </c>
      <c r="BW113">
        <v>3.4007700000000002E-2</v>
      </c>
      <c r="BX113">
        <v>2.2007499999999999E-2</v>
      </c>
      <c r="BY113">
        <v>3.4011399999999997E-2</v>
      </c>
      <c r="BZ113">
        <v>25</v>
      </c>
      <c r="CA113">
        <v>33528.199999999997</v>
      </c>
      <c r="CB113">
        <v>1690203121.0999999</v>
      </c>
      <c r="CC113" t="s">
        <v>332</v>
      </c>
      <c r="CD113">
        <v>1690203121.0999999</v>
      </c>
      <c r="CE113">
        <v>1690203121.0999999</v>
      </c>
      <c r="CF113">
        <v>3</v>
      </c>
      <c r="CG113">
        <v>0.53600000000000003</v>
      </c>
      <c r="CH113">
        <v>-0.01</v>
      </c>
      <c r="CI113">
        <v>-0.996</v>
      </c>
      <c r="CJ113">
        <v>-6.6000000000000003E-2</v>
      </c>
      <c r="CK113">
        <v>800</v>
      </c>
      <c r="CL113">
        <v>9</v>
      </c>
      <c r="CM113">
        <v>0.82</v>
      </c>
      <c r="CN113">
        <v>0.01</v>
      </c>
      <c r="CO113">
        <v>-368.45407499999999</v>
      </c>
      <c r="CP113">
        <v>-12.94967729831008</v>
      </c>
      <c r="CQ113">
        <v>1.2475731719522529</v>
      </c>
      <c r="CR113">
        <v>-1</v>
      </c>
      <c r="CS113">
        <v>17.973210000000002</v>
      </c>
      <c r="CT113">
        <v>0.52946116322697656</v>
      </c>
      <c r="CU113">
        <v>5.097432098615929E-2</v>
      </c>
      <c r="CV113">
        <v>-1</v>
      </c>
      <c r="CW113">
        <v>0</v>
      </c>
      <c r="CX113">
        <v>0</v>
      </c>
      <c r="CY113" t="s">
        <v>333</v>
      </c>
      <c r="CZ113">
        <v>2.3652899999999999</v>
      </c>
      <c r="DA113">
        <v>2.7138900000000001</v>
      </c>
      <c r="DB113">
        <v>9.4583799999999996E-2</v>
      </c>
      <c r="DC113">
        <v>0.14620900000000001</v>
      </c>
      <c r="DD113">
        <v>0.119702</v>
      </c>
      <c r="DE113">
        <v>4.8011499999999999E-2</v>
      </c>
      <c r="DF113">
        <v>33033.5</v>
      </c>
      <c r="DG113">
        <v>27460.799999999999</v>
      </c>
      <c r="DH113">
        <v>31145.3</v>
      </c>
      <c r="DI113">
        <v>28024.6</v>
      </c>
      <c r="DJ113">
        <v>37207.5</v>
      </c>
      <c r="DK113">
        <v>37917.699999999997</v>
      </c>
      <c r="DL113">
        <v>44315.4</v>
      </c>
      <c r="DM113">
        <v>42451</v>
      </c>
      <c r="DN113">
        <v>1.48193</v>
      </c>
      <c r="DO113">
        <v>2.0548500000000001</v>
      </c>
      <c r="DP113">
        <v>0.16869600000000001</v>
      </c>
      <c r="DQ113">
        <v>0.159997</v>
      </c>
      <c r="DR113">
        <v>24.199100000000001</v>
      </c>
      <c r="DS113">
        <v>24.154399999999999</v>
      </c>
      <c r="DT113">
        <v>24.9</v>
      </c>
      <c r="DU113">
        <v>27.6</v>
      </c>
      <c r="DV113">
        <v>9.3181399999999996</v>
      </c>
      <c r="DW113">
        <v>61.595500000000001</v>
      </c>
      <c r="DX113">
        <v>36.025599999999997</v>
      </c>
      <c r="DY113">
        <v>1</v>
      </c>
      <c r="DZ113">
        <v>-0.12280000000000001</v>
      </c>
      <c r="EA113">
        <v>0.24590400000000001</v>
      </c>
      <c r="EB113">
        <v>20.190999999999999</v>
      </c>
      <c r="EC113">
        <v>5.2421499999999996</v>
      </c>
      <c r="ED113">
        <v>12.039899999999999</v>
      </c>
      <c r="EE113">
        <v>5.0174000000000003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</v>
      </c>
      <c r="EL113">
        <v>1.8646199999999999</v>
      </c>
      <c r="EM113">
        <v>1.8691500000000001</v>
      </c>
      <c r="EN113">
        <v>1.8672200000000001</v>
      </c>
      <c r="EO113">
        <v>1.8633900000000001</v>
      </c>
      <c r="EP113">
        <v>1.8644700000000001</v>
      </c>
      <c r="EQ113">
        <v>1.87012</v>
      </c>
      <c r="ER113">
        <v>1.8693599999999999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-0.73299999999999998</v>
      </c>
      <c r="FG113">
        <v>0.1678</v>
      </c>
      <c r="FH113">
        <v>-0.44422204735670362</v>
      </c>
      <c r="FI113">
        <v>-6.1462078757559423E-4</v>
      </c>
      <c r="FJ113">
        <v>-1.8861989874597051E-7</v>
      </c>
      <c r="FK113">
        <v>1.1980462299894961E-10</v>
      </c>
      <c r="FL113">
        <v>0.16773393518503121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26.9</v>
      </c>
      <c r="FU113">
        <v>26.9</v>
      </c>
      <c r="FV113">
        <v>1.77979</v>
      </c>
      <c r="FW113">
        <v>2.5573700000000001</v>
      </c>
      <c r="FX113">
        <v>1.5490699999999999</v>
      </c>
      <c r="FY113">
        <v>2.33521</v>
      </c>
      <c r="FZ113">
        <v>1.50146</v>
      </c>
      <c r="GA113">
        <v>2.3046899999999999</v>
      </c>
      <c r="GB113">
        <v>32.354900000000001</v>
      </c>
      <c r="GC113">
        <v>23.973700000000001</v>
      </c>
      <c r="GD113">
        <v>19</v>
      </c>
      <c r="GE113">
        <v>283.84199999999998</v>
      </c>
      <c r="GF113">
        <v>594.702</v>
      </c>
      <c r="GG113">
        <v>23.634799999999998</v>
      </c>
      <c r="GH113">
        <v>25.842500000000001</v>
      </c>
      <c r="GI113">
        <v>30</v>
      </c>
      <c r="GJ113">
        <v>26.0181</v>
      </c>
      <c r="GK113">
        <v>26.0046</v>
      </c>
      <c r="GL113">
        <v>35.5916</v>
      </c>
      <c r="GM113">
        <v>-30</v>
      </c>
      <c r="GN113">
        <v>-30</v>
      </c>
      <c r="GO113">
        <v>23.624700000000001</v>
      </c>
      <c r="GP113">
        <v>800</v>
      </c>
      <c r="GQ113">
        <v>12.5298</v>
      </c>
      <c r="GR113">
        <v>99.642099999999999</v>
      </c>
      <c r="GS113">
        <v>99.330600000000004</v>
      </c>
    </row>
    <row r="114" spans="1:201" x14ac:dyDescent="0.25">
      <c r="A114">
        <v>98</v>
      </c>
      <c r="B114">
        <v>1690204745.5</v>
      </c>
      <c r="C114">
        <v>1305.900000095367</v>
      </c>
      <c r="D114" t="s">
        <v>529</v>
      </c>
      <c r="E114" t="s">
        <v>530</v>
      </c>
      <c r="F114" t="s">
        <v>330</v>
      </c>
      <c r="H114">
        <v>1690204745.5</v>
      </c>
      <c r="I114">
        <f t="shared" si="30"/>
        <v>1.7890952139005048E-3</v>
      </c>
      <c r="J114">
        <f t="shared" si="31"/>
        <v>1.7890952139005047</v>
      </c>
      <c r="K114">
        <f t="shared" si="32"/>
        <v>35.070990441388162</v>
      </c>
      <c r="L114">
        <f t="shared" si="33"/>
        <v>427.38799999999998</v>
      </c>
      <c r="M114">
        <f t="shared" si="34"/>
        <v>90.480403192135313</v>
      </c>
      <c r="N114">
        <f t="shared" si="35"/>
        <v>8.9729694525282433</v>
      </c>
      <c r="O114">
        <f t="shared" si="36"/>
        <v>42.384199595503993</v>
      </c>
      <c r="P114">
        <f t="shared" si="37"/>
        <v>0.17514027618259481</v>
      </c>
      <c r="Q114">
        <f t="shared" si="38"/>
        <v>2.1953323289278837</v>
      </c>
      <c r="R114">
        <f t="shared" si="39"/>
        <v>0.16773163554250672</v>
      </c>
      <c r="S114">
        <f t="shared" si="40"/>
        <v>0.10547179321232014</v>
      </c>
      <c r="T114">
        <f t="shared" si="41"/>
        <v>276.11511863059656</v>
      </c>
      <c r="U114">
        <f t="shared" si="42"/>
        <v>27.00351835847367</v>
      </c>
      <c r="V114">
        <f t="shared" si="43"/>
        <v>27.00351835847367</v>
      </c>
      <c r="W114">
        <f t="shared" si="44"/>
        <v>3.5798993638529697</v>
      </c>
      <c r="X114">
        <f t="shared" si="45"/>
        <v>78.065892758784798</v>
      </c>
      <c r="Y114">
        <f t="shared" si="46"/>
        <v>2.554825474696</v>
      </c>
      <c r="Z114">
        <f t="shared" si="47"/>
        <v>3.2726526071893334</v>
      </c>
      <c r="AA114">
        <f t="shared" si="48"/>
        <v>1.0250738891569697</v>
      </c>
      <c r="AB114">
        <f t="shared" si="49"/>
        <v>-78.899098933012269</v>
      </c>
      <c r="AC114">
        <f t="shared" si="50"/>
        <v>-179.8067189135507</v>
      </c>
      <c r="AD114">
        <f t="shared" si="51"/>
        <v>-17.542666533700775</v>
      </c>
      <c r="AE114">
        <f t="shared" si="52"/>
        <v>-0.13336574966717762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52702.077908171261</v>
      </c>
      <c r="AK114">
        <f t="shared" si="56"/>
        <v>1799.99</v>
      </c>
      <c r="AL114">
        <f t="shared" si="57"/>
        <v>1499.1010688144599</v>
      </c>
      <c r="AM114">
        <f t="shared" si="58"/>
        <v>0.83283855399999995</v>
      </c>
      <c r="AN114">
        <f t="shared" si="59"/>
        <v>0.15339814033999999</v>
      </c>
      <c r="AO114">
        <v>31.2</v>
      </c>
      <c r="AP114">
        <v>0.5</v>
      </c>
      <c r="AQ114" t="s">
        <v>331</v>
      </c>
      <c r="AR114">
        <v>2</v>
      </c>
      <c r="AS114">
        <v>1690204745.5</v>
      </c>
      <c r="AT114">
        <v>427.38799999999998</v>
      </c>
      <c r="AU114">
        <v>799.93200000000002</v>
      </c>
      <c r="AV114">
        <v>25.762</v>
      </c>
      <c r="AW114">
        <v>7.6418799999999996</v>
      </c>
      <c r="AX114">
        <v>428.12099999999998</v>
      </c>
      <c r="AY114">
        <v>25.5943</v>
      </c>
      <c r="AZ114">
        <v>300.11799999999999</v>
      </c>
      <c r="BA114">
        <v>99.070300000000003</v>
      </c>
      <c r="BB114">
        <v>0.100008</v>
      </c>
      <c r="BC114">
        <v>25.484300000000001</v>
      </c>
      <c r="BD114">
        <v>26.9941</v>
      </c>
      <c r="BE114">
        <v>26.767700000000001</v>
      </c>
      <c r="BF114">
        <v>0</v>
      </c>
      <c r="BG114">
        <v>0</v>
      </c>
      <c r="BH114">
        <v>10010</v>
      </c>
      <c r="BI114">
        <v>1063.51</v>
      </c>
      <c r="BJ114">
        <v>1.68198</v>
      </c>
      <c r="BK114">
        <v>-372.54300000000001</v>
      </c>
      <c r="BL114">
        <v>438.69</v>
      </c>
      <c r="BM114">
        <v>806.09199999999998</v>
      </c>
      <c r="BN114">
        <v>18.120100000000001</v>
      </c>
      <c r="BO114">
        <v>799.93200000000002</v>
      </c>
      <c r="BP114">
        <v>7.6418799999999996</v>
      </c>
      <c r="BQ114">
        <v>2.5522499999999999</v>
      </c>
      <c r="BR114">
        <v>0.75708399999999998</v>
      </c>
      <c r="BS114">
        <v>21.363600000000002</v>
      </c>
      <c r="BT114">
        <v>2.9271199999999999</v>
      </c>
      <c r="BU114">
        <v>1799.99</v>
      </c>
      <c r="BV114">
        <v>0.90997499999999998</v>
      </c>
      <c r="BW114">
        <v>3.4007200000000001E-2</v>
      </c>
      <c r="BX114">
        <v>2.2007200000000001E-2</v>
      </c>
      <c r="BY114">
        <v>3.4011E-2</v>
      </c>
      <c r="BZ114">
        <v>25</v>
      </c>
      <c r="CA114">
        <v>33528.1</v>
      </c>
      <c r="CB114">
        <v>1690203121.0999999</v>
      </c>
      <c r="CC114" t="s">
        <v>332</v>
      </c>
      <c r="CD114">
        <v>1690203121.0999999</v>
      </c>
      <c r="CE114">
        <v>1690203121.0999999</v>
      </c>
      <c r="CF114">
        <v>3</v>
      </c>
      <c r="CG114">
        <v>0.53600000000000003</v>
      </c>
      <c r="CH114">
        <v>-0.01</v>
      </c>
      <c r="CI114">
        <v>-0.996</v>
      </c>
      <c r="CJ114">
        <v>-6.6000000000000003E-2</v>
      </c>
      <c r="CK114">
        <v>800</v>
      </c>
      <c r="CL114">
        <v>9</v>
      </c>
      <c r="CM114">
        <v>0.82</v>
      </c>
      <c r="CN114">
        <v>0.01</v>
      </c>
      <c r="CO114">
        <v>-370.60417073170731</v>
      </c>
      <c r="CP114">
        <v>-12.225156794424681</v>
      </c>
      <c r="CQ114">
        <v>1.2079731240435989</v>
      </c>
      <c r="CR114">
        <v>-1</v>
      </c>
      <c r="CS114">
        <v>18.053814634146342</v>
      </c>
      <c r="CT114">
        <v>0.41497839721256918</v>
      </c>
      <c r="CU114">
        <v>4.1150174471227798E-2</v>
      </c>
      <c r="CV114">
        <v>-1</v>
      </c>
      <c r="CW114">
        <v>0</v>
      </c>
      <c r="CX114">
        <v>0</v>
      </c>
      <c r="CY114" t="s">
        <v>333</v>
      </c>
      <c r="CZ114">
        <v>2.3647499999999999</v>
      </c>
      <c r="DA114">
        <v>2.7138100000000001</v>
      </c>
      <c r="DB114">
        <v>9.4291299999999995E-2</v>
      </c>
      <c r="DC114">
        <v>0.14621200000000001</v>
      </c>
      <c r="DD114">
        <v>0.11987399999999999</v>
      </c>
      <c r="DE114">
        <v>4.7976499999999998E-2</v>
      </c>
      <c r="DF114">
        <v>33043.699999999997</v>
      </c>
      <c r="DG114">
        <v>27461.200000000001</v>
      </c>
      <c r="DH114">
        <v>31144.9</v>
      </c>
      <c r="DI114">
        <v>28025.1</v>
      </c>
      <c r="DJ114">
        <v>37199.699999999997</v>
      </c>
      <c r="DK114">
        <v>37919.5</v>
      </c>
      <c r="DL114">
        <v>44314.9</v>
      </c>
      <c r="DM114">
        <v>42451.5</v>
      </c>
      <c r="DN114">
        <v>1.4815499999999999</v>
      </c>
      <c r="DO114">
        <v>2.05477</v>
      </c>
      <c r="DP114">
        <v>0.170514</v>
      </c>
      <c r="DQ114">
        <v>0.15939400000000001</v>
      </c>
      <c r="DR114">
        <v>24.199100000000001</v>
      </c>
      <c r="DS114">
        <v>24.154399999999999</v>
      </c>
      <c r="DT114">
        <v>24.9</v>
      </c>
      <c r="DU114">
        <v>27.6</v>
      </c>
      <c r="DV114">
        <v>9.3181200000000004</v>
      </c>
      <c r="DW114">
        <v>61.465499999999999</v>
      </c>
      <c r="DX114">
        <v>37.0593</v>
      </c>
      <c r="DY114">
        <v>1</v>
      </c>
      <c r="DZ114">
        <v>-0.123211</v>
      </c>
      <c r="EA114">
        <v>0.14754600000000001</v>
      </c>
      <c r="EB114">
        <v>20.191299999999998</v>
      </c>
      <c r="EC114">
        <v>5.2418500000000003</v>
      </c>
      <c r="ED114">
        <v>12.039899999999999</v>
      </c>
      <c r="EE114">
        <v>5.0172499999999998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</v>
      </c>
      <c r="EL114">
        <v>1.8646199999999999</v>
      </c>
      <c r="EM114">
        <v>1.86913</v>
      </c>
      <c r="EN114">
        <v>1.8672200000000001</v>
      </c>
      <c r="EO114">
        <v>1.8633999999999999</v>
      </c>
      <c r="EP114">
        <v>1.8644700000000001</v>
      </c>
      <c r="EQ114">
        <v>1.8701300000000001</v>
      </c>
      <c r="ER114">
        <v>1.8693599999999999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-0.73299999999999998</v>
      </c>
      <c r="FG114">
        <v>0.16769999999999999</v>
      </c>
      <c r="FH114">
        <v>-0.44422204735670362</v>
      </c>
      <c r="FI114">
        <v>-6.1462078757559423E-4</v>
      </c>
      <c r="FJ114">
        <v>-1.8861989874597051E-7</v>
      </c>
      <c r="FK114">
        <v>1.1980462299894961E-10</v>
      </c>
      <c r="FL114">
        <v>0.16773393518503121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27.1</v>
      </c>
      <c r="FU114">
        <v>27.1</v>
      </c>
      <c r="FV114">
        <v>1.77979</v>
      </c>
      <c r="FW114">
        <v>2.5561500000000001</v>
      </c>
      <c r="FX114">
        <v>1.5490699999999999</v>
      </c>
      <c r="FY114">
        <v>2.33521</v>
      </c>
      <c r="FZ114">
        <v>1.50146</v>
      </c>
      <c r="GA114">
        <v>2.3913600000000002</v>
      </c>
      <c r="GB114">
        <v>32.377000000000002</v>
      </c>
      <c r="GC114">
        <v>23.982399999999998</v>
      </c>
      <c r="GD114">
        <v>19</v>
      </c>
      <c r="GE114">
        <v>283.66000000000003</v>
      </c>
      <c r="GF114">
        <v>594.58799999999997</v>
      </c>
      <c r="GG114">
        <v>23.626300000000001</v>
      </c>
      <c r="GH114">
        <v>25.838200000000001</v>
      </c>
      <c r="GI114">
        <v>29.9998</v>
      </c>
      <c r="GJ114">
        <v>26.013200000000001</v>
      </c>
      <c r="GK114">
        <v>26.000299999999999</v>
      </c>
      <c r="GL114">
        <v>35.594999999999999</v>
      </c>
      <c r="GM114">
        <v>-30</v>
      </c>
      <c r="GN114">
        <v>-30</v>
      </c>
      <c r="GO114">
        <v>23.651900000000001</v>
      </c>
      <c r="GP114">
        <v>800</v>
      </c>
      <c r="GQ114">
        <v>12.5298</v>
      </c>
      <c r="GR114">
        <v>99.640900000000002</v>
      </c>
      <c r="GS114">
        <v>99.331999999999994</v>
      </c>
    </row>
    <row r="115" spans="1:201" x14ac:dyDescent="0.25">
      <c r="A115">
        <v>99</v>
      </c>
      <c r="B115">
        <v>1690204755.5</v>
      </c>
      <c r="C115">
        <v>1315.900000095367</v>
      </c>
      <c r="D115" t="s">
        <v>531</v>
      </c>
      <c r="E115" t="s">
        <v>532</v>
      </c>
      <c r="F115" t="s">
        <v>330</v>
      </c>
      <c r="H115">
        <v>1690204755.5</v>
      </c>
      <c r="I115">
        <f t="shared" si="30"/>
        <v>1.7969382723178932E-3</v>
      </c>
      <c r="J115">
        <f t="shared" si="31"/>
        <v>1.796938272317893</v>
      </c>
      <c r="K115">
        <f t="shared" si="32"/>
        <v>35.295216800532565</v>
      </c>
      <c r="L115">
        <f t="shared" si="33"/>
        <v>425.19499999999999</v>
      </c>
      <c r="M115">
        <f t="shared" si="34"/>
        <v>89.865812300559284</v>
      </c>
      <c r="N115">
        <f t="shared" si="35"/>
        <v>8.9116855343658319</v>
      </c>
      <c r="O115">
        <f t="shared" si="36"/>
        <v>42.165135258684998</v>
      </c>
      <c r="P115">
        <f t="shared" si="37"/>
        <v>0.1771368164888544</v>
      </c>
      <c r="Q115">
        <f t="shared" si="38"/>
        <v>2.1984261725223737</v>
      </c>
      <c r="R115">
        <f t="shared" si="39"/>
        <v>0.16957239830739768</v>
      </c>
      <c r="S115">
        <f t="shared" si="40"/>
        <v>0.10663546257023068</v>
      </c>
      <c r="T115">
        <f t="shared" si="41"/>
        <v>276.11631026999999</v>
      </c>
      <c r="U115">
        <f t="shared" si="42"/>
        <v>27.002811790007993</v>
      </c>
      <c r="V115">
        <f t="shared" si="43"/>
        <v>27.002811790007993</v>
      </c>
      <c r="W115">
        <f t="shared" si="44"/>
        <v>3.5797508099373458</v>
      </c>
      <c r="X115">
        <f t="shared" si="45"/>
        <v>78.249669299600185</v>
      </c>
      <c r="Y115">
        <f t="shared" si="46"/>
        <v>2.5614331722567996</v>
      </c>
      <c r="Z115">
        <f t="shared" si="47"/>
        <v>3.27341085934773</v>
      </c>
      <c r="AA115">
        <f t="shared" si="48"/>
        <v>1.0183176376805463</v>
      </c>
      <c r="AB115">
        <f t="shared" si="49"/>
        <v>-79.244977809219094</v>
      </c>
      <c r="AC115">
        <f t="shared" si="50"/>
        <v>-179.51413974605282</v>
      </c>
      <c r="AD115">
        <f t="shared" si="51"/>
        <v>-17.4897530037377</v>
      </c>
      <c r="AE115">
        <f t="shared" si="52"/>
        <v>-0.13256028900963202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52828.607457492428</v>
      </c>
      <c r="AK115">
        <f t="shared" si="56"/>
        <v>1800</v>
      </c>
      <c r="AL115">
        <f t="shared" si="57"/>
        <v>1499.1085800000001</v>
      </c>
      <c r="AM115">
        <f t="shared" si="58"/>
        <v>0.83283810000000003</v>
      </c>
      <c r="AN115">
        <f t="shared" si="59"/>
        <v>0.15339795014999999</v>
      </c>
      <c r="AO115">
        <v>31.2</v>
      </c>
      <c r="AP115">
        <v>0.5</v>
      </c>
      <c r="AQ115" t="s">
        <v>331</v>
      </c>
      <c r="AR115">
        <v>2</v>
      </c>
      <c r="AS115">
        <v>1690204755.5</v>
      </c>
      <c r="AT115">
        <v>425.19499999999999</v>
      </c>
      <c r="AU115">
        <v>799.97900000000004</v>
      </c>
      <c r="AV115">
        <v>25.829599999999999</v>
      </c>
      <c r="AW115">
        <v>7.6354300000000004</v>
      </c>
      <c r="AX115">
        <v>425.92599999999999</v>
      </c>
      <c r="AY115">
        <v>25.661899999999999</v>
      </c>
      <c r="AZ115">
        <v>300.18599999999998</v>
      </c>
      <c r="BA115">
        <v>99.066599999999994</v>
      </c>
      <c r="BB115">
        <v>9.9983000000000002E-2</v>
      </c>
      <c r="BC115">
        <v>25.488199999999999</v>
      </c>
      <c r="BD115">
        <v>26.933499999999999</v>
      </c>
      <c r="BE115">
        <v>26.775099999999998</v>
      </c>
      <c r="BF115">
        <v>0</v>
      </c>
      <c r="BG115">
        <v>0</v>
      </c>
      <c r="BH115">
        <v>10035.6</v>
      </c>
      <c r="BI115">
        <v>1063.5999999999999</v>
      </c>
      <c r="BJ115">
        <v>1.68198</v>
      </c>
      <c r="BK115">
        <v>-374.78399999999999</v>
      </c>
      <c r="BL115">
        <v>436.46899999999999</v>
      </c>
      <c r="BM115">
        <v>806.13400000000001</v>
      </c>
      <c r="BN115">
        <v>18.194199999999999</v>
      </c>
      <c r="BO115">
        <v>799.97900000000004</v>
      </c>
      <c r="BP115">
        <v>7.6354300000000004</v>
      </c>
      <c r="BQ115">
        <v>2.5588500000000001</v>
      </c>
      <c r="BR115">
        <v>0.75641599999999998</v>
      </c>
      <c r="BS115">
        <v>21.4057</v>
      </c>
      <c r="BT115">
        <v>2.9146800000000002</v>
      </c>
      <c r="BU115">
        <v>1800</v>
      </c>
      <c r="BV115">
        <v>0.90997700000000004</v>
      </c>
      <c r="BW115">
        <v>3.40062E-2</v>
      </c>
      <c r="BX115">
        <v>2.2006499999999998E-2</v>
      </c>
      <c r="BY115">
        <v>3.4009900000000003E-2</v>
      </c>
      <c r="BZ115">
        <v>25</v>
      </c>
      <c r="CA115">
        <v>33528.199999999997</v>
      </c>
      <c r="CB115">
        <v>1690203121.0999999</v>
      </c>
      <c r="CC115" t="s">
        <v>332</v>
      </c>
      <c r="CD115">
        <v>1690203121.0999999</v>
      </c>
      <c r="CE115">
        <v>1690203121.0999999</v>
      </c>
      <c r="CF115">
        <v>3</v>
      </c>
      <c r="CG115">
        <v>0.53600000000000003</v>
      </c>
      <c r="CH115">
        <v>-0.01</v>
      </c>
      <c r="CI115">
        <v>-0.996</v>
      </c>
      <c r="CJ115">
        <v>-6.6000000000000003E-2</v>
      </c>
      <c r="CK115">
        <v>800</v>
      </c>
      <c r="CL115">
        <v>9</v>
      </c>
      <c r="CM115">
        <v>0.82</v>
      </c>
      <c r="CN115">
        <v>0.01</v>
      </c>
      <c r="CO115">
        <v>-372.56249999999989</v>
      </c>
      <c r="CP115">
        <v>-11.93599249530852</v>
      </c>
      <c r="CQ115">
        <v>1.1503258234083069</v>
      </c>
      <c r="CR115">
        <v>-1</v>
      </c>
      <c r="CS115">
        <v>18.118077499999998</v>
      </c>
      <c r="CT115">
        <v>0.38419249530956678</v>
      </c>
      <c r="CU115">
        <v>3.7039846702571572E-2</v>
      </c>
      <c r="CV115">
        <v>-1</v>
      </c>
      <c r="CW115">
        <v>0</v>
      </c>
      <c r="CX115">
        <v>0</v>
      </c>
      <c r="CY115" t="s">
        <v>333</v>
      </c>
      <c r="CZ115">
        <v>2.3650099999999998</v>
      </c>
      <c r="DA115">
        <v>2.7138100000000001</v>
      </c>
      <c r="DB115">
        <v>9.3924199999999999E-2</v>
      </c>
      <c r="DC115">
        <v>0.14621300000000001</v>
      </c>
      <c r="DD115">
        <v>0.12009</v>
      </c>
      <c r="DE115">
        <v>4.7943100000000002E-2</v>
      </c>
      <c r="DF115">
        <v>33058</v>
      </c>
      <c r="DG115">
        <v>27461.200000000001</v>
      </c>
      <c r="DH115">
        <v>31145.599999999999</v>
      </c>
      <c r="DI115">
        <v>28025.200000000001</v>
      </c>
      <c r="DJ115">
        <v>37191.4</v>
      </c>
      <c r="DK115">
        <v>37921.300000000003</v>
      </c>
      <c r="DL115">
        <v>44316.2</v>
      </c>
      <c r="DM115">
        <v>42452</v>
      </c>
      <c r="DN115">
        <v>1.4817800000000001</v>
      </c>
      <c r="DO115">
        <v>2.0547300000000002</v>
      </c>
      <c r="DP115">
        <v>0.16680400000000001</v>
      </c>
      <c r="DQ115">
        <v>0.15979599999999999</v>
      </c>
      <c r="DR115">
        <v>24.199100000000001</v>
      </c>
      <c r="DS115">
        <v>24.155200000000001</v>
      </c>
      <c r="DT115">
        <v>24.8</v>
      </c>
      <c r="DU115">
        <v>27.6</v>
      </c>
      <c r="DV115">
        <v>9.2805300000000006</v>
      </c>
      <c r="DW115">
        <v>61.335500000000003</v>
      </c>
      <c r="DX115">
        <v>36.241999999999997</v>
      </c>
      <c r="DY115">
        <v>1</v>
      </c>
      <c r="DZ115">
        <v>-0.12361</v>
      </c>
      <c r="EA115">
        <v>0.19131799999999999</v>
      </c>
      <c r="EB115">
        <v>20.191500000000001</v>
      </c>
      <c r="EC115">
        <v>5.2423000000000002</v>
      </c>
      <c r="ED115">
        <v>12.039899999999999</v>
      </c>
      <c r="EE115">
        <v>5.0179999999999998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</v>
      </c>
      <c r="EL115">
        <v>1.8646199999999999</v>
      </c>
      <c r="EM115">
        <v>1.86913</v>
      </c>
      <c r="EN115">
        <v>1.8672200000000001</v>
      </c>
      <c r="EO115">
        <v>1.8633999999999999</v>
      </c>
      <c r="EP115">
        <v>1.8644799999999999</v>
      </c>
      <c r="EQ115">
        <v>1.8701300000000001</v>
      </c>
      <c r="ER115">
        <v>1.86938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-0.73099999999999998</v>
      </c>
      <c r="FG115">
        <v>0.16769999999999999</v>
      </c>
      <c r="FH115">
        <v>-0.44422204735670362</v>
      </c>
      <c r="FI115">
        <v>-6.1462078757559423E-4</v>
      </c>
      <c r="FJ115">
        <v>-1.8861989874597051E-7</v>
      </c>
      <c r="FK115">
        <v>1.1980462299894961E-10</v>
      </c>
      <c r="FL115">
        <v>0.16773393518503121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27.2</v>
      </c>
      <c r="FU115">
        <v>27.2</v>
      </c>
      <c r="FV115">
        <v>1.77979</v>
      </c>
      <c r="FW115">
        <v>2.5561500000000001</v>
      </c>
      <c r="FX115">
        <v>1.5490699999999999</v>
      </c>
      <c r="FY115">
        <v>2.33521</v>
      </c>
      <c r="FZ115">
        <v>1.50146</v>
      </c>
      <c r="GA115">
        <v>2.34497</v>
      </c>
      <c r="GB115">
        <v>32.377000000000002</v>
      </c>
      <c r="GC115">
        <v>23.982399999999998</v>
      </c>
      <c r="GD115">
        <v>19</v>
      </c>
      <c r="GE115">
        <v>283.73899999999998</v>
      </c>
      <c r="GF115">
        <v>594.495</v>
      </c>
      <c r="GG115">
        <v>23.639299999999999</v>
      </c>
      <c r="GH115">
        <v>25.8338</v>
      </c>
      <c r="GI115">
        <v>30</v>
      </c>
      <c r="GJ115">
        <v>26.009399999999999</v>
      </c>
      <c r="GK115">
        <v>25.995899999999999</v>
      </c>
      <c r="GL115">
        <v>35.590800000000002</v>
      </c>
      <c r="GM115">
        <v>-30</v>
      </c>
      <c r="GN115">
        <v>-30</v>
      </c>
      <c r="GO115">
        <v>23.6389</v>
      </c>
      <c r="GP115">
        <v>800</v>
      </c>
      <c r="GQ115">
        <v>12.5298</v>
      </c>
      <c r="GR115">
        <v>99.643500000000003</v>
      </c>
      <c r="GS115">
        <v>99.332800000000006</v>
      </c>
    </row>
    <row r="116" spans="1:201" x14ac:dyDescent="0.25">
      <c r="A116">
        <v>100</v>
      </c>
      <c r="B116">
        <v>1690204765.5</v>
      </c>
      <c r="C116">
        <v>1325.900000095367</v>
      </c>
      <c r="D116" t="s">
        <v>533</v>
      </c>
      <c r="E116" t="s">
        <v>534</v>
      </c>
      <c r="F116" t="s">
        <v>330</v>
      </c>
      <c r="H116">
        <v>1690204765.5</v>
      </c>
      <c r="I116">
        <f t="shared" si="30"/>
        <v>1.8047745113128728E-3</v>
      </c>
      <c r="J116">
        <f t="shared" si="31"/>
        <v>1.8047745113128728</v>
      </c>
      <c r="K116">
        <f t="shared" si="32"/>
        <v>35.494410773098252</v>
      </c>
      <c r="L116">
        <f t="shared" si="33"/>
        <v>423.17500000000001</v>
      </c>
      <c r="M116">
        <f t="shared" si="34"/>
        <v>89.472369693909442</v>
      </c>
      <c r="N116">
        <f t="shared" si="35"/>
        <v>8.8727324950537874</v>
      </c>
      <c r="O116">
        <f t="shared" si="36"/>
        <v>41.965118241972512</v>
      </c>
      <c r="P116">
        <f t="shared" si="37"/>
        <v>0.17907538243130192</v>
      </c>
      <c r="Q116">
        <f t="shared" si="38"/>
        <v>2.1943002132518745</v>
      </c>
      <c r="R116">
        <f t="shared" si="39"/>
        <v>0.17133451818293971</v>
      </c>
      <c r="S116">
        <f t="shared" si="40"/>
        <v>0.10775167457677531</v>
      </c>
      <c r="T116">
        <f t="shared" si="41"/>
        <v>276.11624970000003</v>
      </c>
      <c r="U116">
        <f t="shared" si="42"/>
        <v>27.006239802951107</v>
      </c>
      <c r="V116">
        <f t="shared" si="43"/>
        <v>27.006239802951107</v>
      </c>
      <c r="W116">
        <f t="shared" si="44"/>
        <v>3.5804715897304762</v>
      </c>
      <c r="X116">
        <f t="shared" si="45"/>
        <v>78.442043117287156</v>
      </c>
      <c r="Y116">
        <f t="shared" si="46"/>
        <v>2.5682642447358104</v>
      </c>
      <c r="Z116">
        <f t="shared" si="47"/>
        <v>3.2740914727268406</v>
      </c>
      <c r="AA116">
        <f t="shared" si="48"/>
        <v>1.0122073449946658</v>
      </c>
      <c r="AB116">
        <f t="shared" si="49"/>
        <v>-79.590555948897688</v>
      </c>
      <c r="AC116">
        <f t="shared" si="50"/>
        <v>-179.16871543897113</v>
      </c>
      <c r="AD116">
        <f t="shared" si="51"/>
        <v>-17.489529082602338</v>
      </c>
      <c r="AE116">
        <f t="shared" si="52"/>
        <v>-0.1325507704711697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52658.280197169704</v>
      </c>
      <c r="AK116">
        <f t="shared" si="56"/>
        <v>1800</v>
      </c>
      <c r="AL116">
        <f t="shared" si="57"/>
        <v>1499.1089939999997</v>
      </c>
      <c r="AM116">
        <f t="shared" si="58"/>
        <v>0.83283832999999985</v>
      </c>
      <c r="AN116">
        <f t="shared" si="59"/>
        <v>0.15339791650000001</v>
      </c>
      <c r="AO116">
        <v>31.2</v>
      </c>
      <c r="AP116">
        <v>0.5</v>
      </c>
      <c r="AQ116" t="s">
        <v>331</v>
      </c>
      <c r="AR116">
        <v>2</v>
      </c>
      <c r="AS116">
        <v>1690204765.5</v>
      </c>
      <c r="AT116">
        <v>423.17500000000001</v>
      </c>
      <c r="AU116">
        <v>799.947</v>
      </c>
      <c r="AV116">
        <v>25.898299999999999</v>
      </c>
      <c r="AW116">
        <v>7.6299099999999997</v>
      </c>
      <c r="AX116">
        <v>423.90499999999997</v>
      </c>
      <c r="AY116">
        <v>25.730599999999999</v>
      </c>
      <c r="AZ116">
        <v>300.24900000000002</v>
      </c>
      <c r="BA116">
        <v>99.067300000000003</v>
      </c>
      <c r="BB116">
        <v>9.9990700000000002E-2</v>
      </c>
      <c r="BC116">
        <v>25.491700000000002</v>
      </c>
      <c r="BD116">
        <v>26.898800000000001</v>
      </c>
      <c r="BE116">
        <v>26.758500000000002</v>
      </c>
      <c r="BF116">
        <v>0</v>
      </c>
      <c r="BG116">
        <v>0</v>
      </c>
      <c r="BH116">
        <v>10001.9</v>
      </c>
      <c r="BI116">
        <v>1063.6500000000001</v>
      </c>
      <c r="BJ116">
        <v>1.68198</v>
      </c>
      <c r="BK116">
        <v>-376.77100000000002</v>
      </c>
      <c r="BL116">
        <v>434.42599999999999</v>
      </c>
      <c r="BM116">
        <v>806.09699999999998</v>
      </c>
      <c r="BN116">
        <v>18.2684</v>
      </c>
      <c r="BO116">
        <v>799.947</v>
      </c>
      <c r="BP116">
        <v>7.6299099999999997</v>
      </c>
      <c r="BQ116">
        <v>2.56568</v>
      </c>
      <c r="BR116">
        <v>0.75587499999999996</v>
      </c>
      <c r="BS116">
        <v>21.449300000000001</v>
      </c>
      <c r="BT116">
        <v>2.9045700000000001</v>
      </c>
      <c r="BU116">
        <v>1800</v>
      </c>
      <c r="BV116">
        <v>0.90997899999999998</v>
      </c>
      <c r="BW116">
        <v>3.4005500000000001E-2</v>
      </c>
      <c r="BX116">
        <v>2.2006000000000001E-2</v>
      </c>
      <c r="BY116">
        <v>3.4009200000000003E-2</v>
      </c>
      <c r="BZ116">
        <v>25</v>
      </c>
      <c r="CA116">
        <v>33528.199999999997</v>
      </c>
      <c r="CB116">
        <v>1690203121.0999999</v>
      </c>
      <c r="CC116" t="s">
        <v>332</v>
      </c>
      <c r="CD116">
        <v>1690203121.0999999</v>
      </c>
      <c r="CE116">
        <v>1690203121.0999999</v>
      </c>
      <c r="CF116">
        <v>3</v>
      </c>
      <c r="CG116">
        <v>0.53600000000000003</v>
      </c>
      <c r="CH116">
        <v>-0.01</v>
      </c>
      <c r="CI116">
        <v>-0.996</v>
      </c>
      <c r="CJ116">
        <v>-6.6000000000000003E-2</v>
      </c>
      <c r="CK116">
        <v>800</v>
      </c>
      <c r="CL116">
        <v>9</v>
      </c>
      <c r="CM116">
        <v>0.82</v>
      </c>
      <c r="CN116">
        <v>0.01</v>
      </c>
      <c r="CO116">
        <v>-374.40641463414642</v>
      </c>
      <c r="CP116">
        <v>-12.12694076655047</v>
      </c>
      <c r="CQ116">
        <v>1.198259407877249</v>
      </c>
      <c r="CR116">
        <v>-1</v>
      </c>
      <c r="CS116">
        <v>18.182948780487809</v>
      </c>
      <c r="CT116">
        <v>0.45447386759578912</v>
      </c>
      <c r="CU116">
        <v>4.4857558418768768E-2</v>
      </c>
      <c r="CV116">
        <v>-1</v>
      </c>
      <c r="CW116">
        <v>0</v>
      </c>
      <c r="CX116">
        <v>0</v>
      </c>
      <c r="CY116" t="s">
        <v>333</v>
      </c>
      <c r="CZ116">
        <v>2.3652000000000002</v>
      </c>
      <c r="DA116">
        <v>2.7137799999999999</v>
      </c>
      <c r="DB116">
        <v>9.3589500000000006E-2</v>
      </c>
      <c r="DC116">
        <v>0.14621200000000001</v>
      </c>
      <c r="DD116">
        <v>0.12031600000000001</v>
      </c>
      <c r="DE116">
        <v>4.7916399999999998E-2</v>
      </c>
      <c r="DF116">
        <v>33070.300000000003</v>
      </c>
      <c r="DG116">
        <v>27461.8</v>
      </c>
      <c r="DH116">
        <v>31145.7</v>
      </c>
      <c r="DI116">
        <v>28025.599999999999</v>
      </c>
      <c r="DJ116">
        <v>37182</v>
      </c>
      <c r="DK116">
        <v>37922.9</v>
      </c>
      <c r="DL116">
        <v>44316.5</v>
      </c>
      <c r="DM116">
        <v>42452.6</v>
      </c>
      <c r="DN116">
        <v>1.4818800000000001</v>
      </c>
      <c r="DO116">
        <v>2.05505</v>
      </c>
      <c r="DP116">
        <v>0.16453899999999999</v>
      </c>
      <c r="DQ116">
        <v>0.15870899999999999</v>
      </c>
      <c r="DR116">
        <v>24.201499999999999</v>
      </c>
      <c r="DS116">
        <v>24.156400000000001</v>
      </c>
      <c r="DT116">
        <v>24.8</v>
      </c>
      <c r="DU116">
        <v>27.6</v>
      </c>
      <c r="DV116">
        <v>9.2808799999999998</v>
      </c>
      <c r="DW116">
        <v>61.7455</v>
      </c>
      <c r="DX116">
        <v>35.977600000000002</v>
      </c>
      <c r="DY116">
        <v>1</v>
      </c>
      <c r="DZ116">
        <v>-0.124157</v>
      </c>
      <c r="EA116">
        <v>0.156806</v>
      </c>
      <c r="EB116">
        <v>20.191500000000001</v>
      </c>
      <c r="EC116">
        <v>5.2421499999999996</v>
      </c>
      <c r="ED116">
        <v>12.039899999999999</v>
      </c>
      <c r="EE116">
        <v>5.01755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</v>
      </c>
      <c r="EL116">
        <v>1.8646199999999999</v>
      </c>
      <c r="EM116">
        <v>1.8691500000000001</v>
      </c>
      <c r="EN116">
        <v>1.8672200000000001</v>
      </c>
      <c r="EO116">
        <v>1.8633999999999999</v>
      </c>
      <c r="EP116">
        <v>1.8644700000000001</v>
      </c>
      <c r="EQ116">
        <v>1.87012</v>
      </c>
      <c r="ER116">
        <v>1.8693599999999999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-0.73</v>
      </c>
      <c r="FG116">
        <v>0.16769999999999999</v>
      </c>
      <c r="FH116">
        <v>-0.44422204735670362</v>
      </c>
      <c r="FI116">
        <v>-6.1462078757559423E-4</v>
      </c>
      <c r="FJ116">
        <v>-1.8861989874597051E-7</v>
      </c>
      <c r="FK116">
        <v>1.1980462299894961E-10</v>
      </c>
      <c r="FL116">
        <v>0.16773393518503121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27.4</v>
      </c>
      <c r="FU116">
        <v>27.4</v>
      </c>
      <c r="FV116">
        <v>1.77979</v>
      </c>
      <c r="FW116">
        <v>2.5659200000000002</v>
      </c>
      <c r="FX116">
        <v>1.5490699999999999</v>
      </c>
      <c r="FY116">
        <v>2.33521</v>
      </c>
      <c r="FZ116">
        <v>1.50146</v>
      </c>
      <c r="GA116">
        <v>2.2631800000000002</v>
      </c>
      <c r="GB116">
        <v>32.377000000000002</v>
      </c>
      <c r="GC116">
        <v>23.982399999999998</v>
      </c>
      <c r="GD116">
        <v>19</v>
      </c>
      <c r="GE116">
        <v>283.762</v>
      </c>
      <c r="GF116">
        <v>594.72</v>
      </c>
      <c r="GG116">
        <v>23.656300000000002</v>
      </c>
      <c r="GH116">
        <v>25.829499999999999</v>
      </c>
      <c r="GI116">
        <v>29.9998</v>
      </c>
      <c r="GJ116">
        <v>26.005099999999999</v>
      </c>
      <c r="GK116">
        <v>25.991700000000002</v>
      </c>
      <c r="GL116">
        <v>35.593800000000002</v>
      </c>
      <c r="GM116">
        <v>-30</v>
      </c>
      <c r="GN116">
        <v>-30</v>
      </c>
      <c r="GO116">
        <v>23.645199999999999</v>
      </c>
      <c r="GP116">
        <v>800</v>
      </c>
      <c r="GQ116">
        <v>12.5298</v>
      </c>
      <c r="GR116">
        <v>99.644099999999995</v>
      </c>
      <c r="GS116">
        <v>99.334199999999996</v>
      </c>
    </row>
    <row r="117" spans="1:201" x14ac:dyDescent="0.25">
      <c r="A117">
        <v>101</v>
      </c>
      <c r="B117">
        <v>1690204775.5</v>
      </c>
      <c r="C117">
        <v>1335.900000095367</v>
      </c>
      <c r="D117" t="s">
        <v>535</v>
      </c>
      <c r="E117" t="s">
        <v>536</v>
      </c>
      <c r="F117" t="s">
        <v>330</v>
      </c>
      <c r="H117">
        <v>1690204775.5</v>
      </c>
      <c r="I117">
        <f t="shared" si="30"/>
        <v>1.8107995755635988E-3</v>
      </c>
      <c r="J117">
        <f t="shared" si="31"/>
        <v>1.8107995755635988</v>
      </c>
      <c r="K117">
        <f t="shared" si="32"/>
        <v>35.665233548976282</v>
      </c>
      <c r="L117">
        <f t="shared" si="33"/>
        <v>421.26299999999998</v>
      </c>
      <c r="M117">
        <f t="shared" si="34"/>
        <v>89.010363994499656</v>
      </c>
      <c r="N117">
        <f t="shared" si="35"/>
        <v>8.8269381108551546</v>
      </c>
      <c r="O117">
        <f t="shared" si="36"/>
        <v>41.775611990789699</v>
      </c>
      <c r="P117">
        <f t="shared" si="37"/>
        <v>0.18075843566104452</v>
      </c>
      <c r="Q117">
        <f t="shared" si="38"/>
        <v>2.19851208663012</v>
      </c>
      <c r="R117">
        <f t="shared" si="39"/>
        <v>0.17288922104040469</v>
      </c>
      <c r="S117">
        <f t="shared" si="40"/>
        <v>0.10873423121268941</v>
      </c>
      <c r="T117">
        <f t="shared" si="41"/>
        <v>276.11485124208207</v>
      </c>
      <c r="U117">
        <f t="shared" si="42"/>
        <v>27.008230262277049</v>
      </c>
      <c r="V117">
        <f t="shared" si="43"/>
        <v>27.008230262277049</v>
      </c>
      <c r="W117">
        <f t="shared" si="44"/>
        <v>3.58089016520421</v>
      </c>
      <c r="X117">
        <f t="shared" si="45"/>
        <v>78.600251059373178</v>
      </c>
      <c r="Y117">
        <f t="shared" si="46"/>
        <v>2.57446846214952</v>
      </c>
      <c r="Z117">
        <f t="shared" si="47"/>
        <v>3.2753947060611979</v>
      </c>
      <c r="AA117">
        <f t="shared" si="48"/>
        <v>1.00642170305469</v>
      </c>
      <c r="AB117">
        <f t="shared" si="49"/>
        <v>-79.856261282354708</v>
      </c>
      <c r="AC117">
        <f t="shared" si="50"/>
        <v>-178.9544188932318</v>
      </c>
      <c r="AD117">
        <f t="shared" si="51"/>
        <v>-17.435903290752567</v>
      </c>
      <c r="AE117">
        <f t="shared" si="52"/>
        <v>-0.13173222425697872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52830.362070565105</v>
      </c>
      <c r="AK117">
        <f t="shared" si="56"/>
        <v>1799.99</v>
      </c>
      <c r="AL117">
        <f t="shared" si="57"/>
        <v>1499.1019148097603</v>
      </c>
      <c r="AM117">
        <f t="shared" si="58"/>
        <v>0.83283902400000009</v>
      </c>
      <c r="AN117">
        <f t="shared" si="59"/>
        <v>0.15339799178999999</v>
      </c>
      <c r="AO117">
        <v>31.2</v>
      </c>
      <c r="AP117">
        <v>0.5</v>
      </c>
      <c r="AQ117" t="s">
        <v>331</v>
      </c>
      <c r="AR117">
        <v>2</v>
      </c>
      <c r="AS117">
        <v>1690204775.5</v>
      </c>
      <c r="AT117">
        <v>421.26299999999998</v>
      </c>
      <c r="AU117">
        <v>800.01</v>
      </c>
      <c r="AV117">
        <v>25.960799999999999</v>
      </c>
      <c r="AW117">
        <v>7.6224600000000002</v>
      </c>
      <c r="AX117">
        <v>421.99099999999999</v>
      </c>
      <c r="AY117">
        <v>25.793099999999999</v>
      </c>
      <c r="AZ117">
        <v>300.08300000000003</v>
      </c>
      <c r="BA117">
        <v>99.067599999999999</v>
      </c>
      <c r="BB117">
        <v>9.9931900000000004E-2</v>
      </c>
      <c r="BC117">
        <v>25.4984</v>
      </c>
      <c r="BD117">
        <v>26.930800000000001</v>
      </c>
      <c r="BE117">
        <v>26.769600000000001</v>
      </c>
      <c r="BF117">
        <v>0</v>
      </c>
      <c r="BG117">
        <v>0</v>
      </c>
      <c r="BH117">
        <v>10036.200000000001</v>
      </c>
      <c r="BI117">
        <v>1063.76</v>
      </c>
      <c r="BJ117">
        <v>1.68198</v>
      </c>
      <c r="BK117">
        <v>-378.74700000000001</v>
      </c>
      <c r="BL117">
        <v>432.49099999999999</v>
      </c>
      <c r="BM117">
        <v>806.15499999999997</v>
      </c>
      <c r="BN117">
        <v>18.3384</v>
      </c>
      <c r="BO117">
        <v>800.01</v>
      </c>
      <c r="BP117">
        <v>7.6224600000000002</v>
      </c>
      <c r="BQ117">
        <v>2.5718800000000002</v>
      </c>
      <c r="BR117">
        <v>0.755139</v>
      </c>
      <c r="BS117">
        <v>21.488700000000001</v>
      </c>
      <c r="BT117">
        <v>2.8908399999999999</v>
      </c>
      <c r="BU117">
        <v>1799.99</v>
      </c>
      <c r="BV117">
        <v>0.90998100000000004</v>
      </c>
      <c r="BW117">
        <v>3.4005000000000001E-2</v>
      </c>
      <c r="BX117">
        <v>2.20057E-2</v>
      </c>
      <c r="BY117">
        <v>3.4008700000000003E-2</v>
      </c>
      <c r="BZ117">
        <v>25</v>
      </c>
      <c r="CA117">
        <v>33528.1</v>
      </c>
      <c r="CB117">
        <v>1690203121.0999999</v>
      </c>
      <c r="CC117" t="s">
        <v>332</v>
      </c>
      <c r="CD117">
        <v>1690203121.0999999</v>
      </c>
      <c r="CE117">
        <v>1690203121.0999999</v>
      </c>
      <c r="CF117">
        <v>3</v>
      </c>
      <c r="CG117">
        <v>0.53600000000000003</v>
      </c>
      <c r="CH117">
        <v>-0.01</v>
      </c>
      <c r="CI117">
        <v>-0.996</v>
      </c>
      <c r="CJ117">
        <v>-6.6000000000000003E-2</v>
      </c>
      <c r="CK117">
        <v>800</v>
      </c>
      <c r="CL117">
        <v>9</v>
      </c>
      <c r="CM117">
        <v>0.82</v>
      </c>
      <c r="CN117">
        <v>0.01</v>
      </c>
      <c r="CO117">
        <v>-376.60777500000012</v>
      </c>
      <c r="CP117">
        <v>-12.165557223264781</v>
      </c>
      <c r="CQ117">
        <v>1.172470841588394</v>
      </c>
      <c r="CR117">
        <v>-1</v>
      </c>
      <c r="CS117">
        <v>18.263639999999999</v>
      </c>
      <c r="CT117">
        <v>0.43698686679172732</v>
      </c>
      <c r="CU117">
        <v>4.2060615782463479E-2</v>
      </c>
      <c r="CV117">
        <v>-1</v>
      </c>
      <c r="CW117">
        <v>0</v>
      </c>
      <c r="CX117">
        <v>0</v>
      </c>
      <c r="CY117" t="s">
        <v>333</v>
      </c>
      <c r="CZ117">
        <v>2.3646400000000001</v>
      </c>
      <c r="DA117">
        <v>2.7137500000000001</v>
      </c>
      <c r="DB117">
        <v>9.3271400000000004E-2</v>
      </c>
      <c r="DC117">
        <v>0.14622099999999999</v>
      </c>
      <c r="DD117">
        <v>0.12052</v>
      </c>
      <c r="DE117">
        <v>4.7879999999999999E-2</v>
      </c>
      <c r="DF117">
        <v>33082.199999999997</v>
      </c>
      <c r="DG117">
        <v>27461.9</v>
      </c>
      <c r="DH117">
        <v>31146</v>
      </c>
      <c r="DI117">
        <v>28026.1</v>
      </c>
      <c r="DJ117">
        <v>37173.5</v>
      </c>
      <c r="DK117">
        <v>37924.699999999997</v>
      </c>
      <c r="DL117">
        <v>44316.9</v>
      </c>
      <c r="DM117">
        <v>42453</v>
      </c>
      <c r="DN117">
        <v>1.4818</v>
      </c>
      <c r="DO117">
        <v>2.0547499999999999</v>
      </c>
      <c r="DP117">
        <v>0.166245</v>
      </c>
      <c r="DQ117">
        <v>0.159141</v>
      </c>
      <c r="DR117">
        <v>24.2056</v>
      </c>
      <c r="DS117">
        <v>24.160399999999999</v>
      </c>
      <c r="DT117">
        <v>24.8</v>
      </c>
      <c r="DU117">
        <v>27.7</v>
      </c>
      <c r="DV117">
        <v>9.33474</v>
      </c>
      <c r="DW117">
        <v>61.435499999999998</v>
      </c>
      <c r="DX117">
        <v>37.111400000000003</v>
      </c>
      <c r="DY117">
        <v>1</v>
      </c>
      <c r="DZ117">
        <v>-0.12430099999999999</v>
      </c>
      <c r="EA117">
        <v>5.4997299999999999E-2</v>
      </c>
      <c r="EB117">
        <v>20.191199999999998</v>
      </c>
      <c r="EC117">
        <v>5.2418500000000003</v>
      </c>
      <c r="ED117">
        <v>12.039899999999999</v>
      </c>
      <c r="EE117">
        <v>5.01755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</v>
      </c>
      <c r="EL117">
        <v>1.8646199999999999</v>
      </c>
      <c r="EM117">
        <v>1.8691500000000001</v>
      </c>
      <c r="EN117">
        <v>1.8672200000000001</v>
      </c>
      <c r="EO117">
        <v>1.8633900000000001</v>
      </c>
      <c r="EP117">
        <v>1.8644799999999999</v>
      </c>
      <c r="EQ117">
        <v>1.87012</v>
      </c>
      <c r="ER117">
        <v>1.86938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-0.72799999999999998</v>
      </c>
      <c r="FG117">
        <v>0.16769999999999999</v>
      </c>
      <c r="FH117">
        <v>-0.44422204735670362</v>
      </c>
      <c r="FI117">
        <v>-6.1462078757559423E-4</v>
      </c>
      <c r="FJ117">
        <v>-1.8861989874597051E-7</v>
      </c>
      <c r="FK117">
        <v>1.1980462299894961E-10</v>
      </c>
      <c r="FL117">
        <v>0.16773393518503121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27.6</v>
      </c>
      <c r="FU117">
        <v>27.6</v>
      </c>
      <c r="FV117">
        <v>1.77979</v>
      </c>
      <c r="FW117">
        <v>2.5573700000000001</v>
      </c>
      <c r="FX117">
        <v>1.5490699999999999</v>
      </c>
      <c r="FY117">
        <v>2.33521</v>
      </c>
      <c r="FZ117">
        <v>1.50146</v>
      </c>
      <c r="GA117">
        <v>2.3877000000000002</v>
      </c>
      <c r="GB117">
        <v>32.377000000000002</v>
      </c>
      <c r="GC117">
        <v>23.991199999999999</v>
      </c>
      <c r="GD117">
        <v>19</v>
      </c>
      <c r="GE117">
        <v>283.71300000000002</v>
      </c>
      <c r="GF117">
        <v>594.41899999999998</v>
      </c>
      <c r="GG117">
        <v>23.651199999999999</v>
      </c>
      <c r="GH117">
        <v>25.825700000000001</v>
      </c>
      <c r="GI117">
        <v>30</v>
      </c>
      <c r="GJ117">
        <v>26.001200000000001</v>
      </c>
      <c r="GK117">
        <v>25.987400000000001</v>
      </c>
      <c r="GL117">
        <v>35.593600000000002</v>
      </c>
      <c r="GM117">
        <v>-30</v>
      </c>
      <c r="GN117">
        <v>-30</v>
      </c>
      <c r="GO117">
        <v>23.715800000000002</v>
      </c>
      <c r="GP117">
        <v>800</v>
      </c>
      <c r="GQ117">
        <v>12.5298</v>
      </c>
      <c r="GR117">
        <v>99.644900000000007</v>
      </c>
      <c r="GS117">
        <v>99.335400000000007</v>
      </c>
    </row>
    <row r="118" spans="1:201" x14ac:dyDescent="0.25">
      <c r="A118">
        <v>102</v>
      </c>
      <c r="B118">
        <v>1690204785.5</v>
      </c>
      <c r="C118">
        <v>1345.900000095367</v>
      </c>
      <c r="D118" t="s">
        <v>537</v>
      </c>
      <c r="E118" t="s">
        <v>538</v>
      </c>
      <c r="F118" t="s">
        <v>330</v>
      </c>
      <c r="H118">
        <v>1690204785.5</v>
      </c>
      <c r="I118">
        <f t="shared" si="30"/>
        <v>1.8186183849508882E-3</v>
      </c>
      <c r="J118">
        <f t="shared" si="31"/>
        <v>1.8186183849508881</v>
      </c>
      <c r="K118">
        <f t="shared" si="32"/>
        <v>35.842144916276034</v>
      </c>
      <c r="L118">
        <f t="shared" si="33"/>
        <v>419.39100000000002</v>
      </c>
      <c r="M118">
        <f t="shared" si="34"/>
        <v>88.435387994975912</v>
      </c>
      <c r="N118">
        <f t="shared" si="35"/>
        <v>8.7698590770780473</v>
      </c>
      <c r="O118">
        <f t="shared" si="36"/>
        <v>41.589685436827502</v>
      </c>
      <c r="P118">
        <f t="shared" si="37"/>
        <v>0.18244476752246958</v>
      </c>
      <c r="Q118">
        <f t="shared" si="38"/>
        <v>2.1899857773843654</v>
      </c>
      <c r="R118">
        <f t="shared" si="39"/>
        <v>0.17440181987463707</v>
      </c>
      <c r="S118">
        <f t="shared" si="40"/>
        <v>0.10969421518227754</v>
      </c>
      <c r="T118">
        <f t="shared" si="41"/>
        <v>276.11611194599999</v>
      </c>
      <c r="U118">
        <f t="shared" si="42"/>
        <v>27.0204232830942</v>
      </c>
      <c r="V118">
        <f t="shared" si="43"/>
        <v>27.0204232830942</v>
      </c>
      <c r="W118">
        <f t="shared" si="44"/>
        <v>3.5834551788559832</v>
      </c>
      <c r="X118">
        <f t="shared" si="45"/>
        <v>78.770821319491887</v>
      </c>
      <c r="Y118">
        <f t="shared" si="46"/>
        <v>2.5815115042800003</v>
      </c>
      <c r="Z118">
        <f t="shared" si="47"/>
        <v>3.2772433510747256</v>
      </c>
      <c r="AA118">
        <f t="shared" si="48"/>
        <v>1.0019436745759829</v>
      </c>
      <c r="AB118">
        <f t="shared" si="49"/>
        <v>-80.201070776334163</v>
      </c>
      <c r="AC118">
        <f t="shared" si="50"/>
        <v>-178.57835021464766</v>
      </c>
      <c r="AD118">
        <f t="shared" si="51"/>
        <v>-17.468902724250302</v>
      </c>
      <c r="AE118">
        <f t="shared" si="52"/>
        <v>-0.13221176923215694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52478.299764454125</v>
      </c>
      <c r="AK118">
        <f t="shared" si="56"/>
        <v>1800</v>
      </c>
      <c r="AL118">
        <f t="shared" si="57"/>
        <v>1499.1097175999998</v>
      </c>
      <c r="AM118">
        <f t="shared" si="58"/>
        <v>0.83283873199999991</v>
      </c>
      <c r="AN118">
        <f t="shared" si="59"/>
        <v>0.15339783997000001</v>
      </c>
      <c r="AO118">
        <v>31.2</v>
      </c>
      <c r="AP118">
        <v>0.5</v>
      </c>
      <c r="AQ118" t="s">
        <v>331</v>
      </c>
      <c r="AR118">
        <v>2</v>
      </c>
      <c r="AS118">
        <v>1690204785.5</v>
      </c>
      <c r="AT118">
        <v>419.39100000000002</v>
      </c>
      <c r="AU118">
        <v>799.96100000000001</v>
      </c>
      <c r="AV118">
        <v>26.032</v>
      </c>
      <c r="AW118">
        <v>7.6165599999999998</v>
      </c>
      <c r="AX118">
        <v>420.11799999999999</v>
      </c>
      <c r="AY118">
        <v>25.8643</v>
      </c>
      <c r="AZ118">
        <v>300.09500000000003</v>
      </c>
      <c r="BA118">
        <v>99.066900000000004</v>
      </c>
      <c r="BB118">
        <v>9.99525E-2</v>
      </c>
      <c r="BC118">
        <v>25.507899999999999</v>
      </c>
      <c r="BD118">
        <v>26.981000000000002</v>
      </c>
      <c r="BE118">
        <v>26.7758</v>
      </c>
      <c r="BF118">
        <v>0</v>
      </c>
      <c r="BG118">
        <v>0</v>
      </c>
      <c r="BH118">
        <v>9966.8799999999992</v>
      </c>
      <c r="BI118">
        <v>1063.8699999999999</v>
      </c>
      <c r="BJ118">
        <v>1.68198</v>
      </c>
      <c r="BK118">
        <v>-380.56900000000002</v>
      </c>
      <c r="BL118">
        <v>430.601</v>
      </c>
      <c r="BM118">
        <v>806.101</v>
      </c>
      <c r="BN118">
        <v>18.415500000000002</v>
      </c>
      <c r="BO118">
        <v>799.96100000000001</v>
      </c>
      <c r="BP118">
        <v>7.6165599999999998</v>
      </c>
      <c r="BQ118">
        <v>2.57891</v>
      </c>
      <c r="BR118">
        <v>0.75454900000000003</v>
      </c>
      <c r="BS118">
        <v>21.533300000000001</v>
      </c>
      <c r="BT118">
        <v>2.87982</v>
      </c>
      <c r="BU118">
        <v>1800</v>
      </c>
      <c r="BV118">
        <v>0.90998299999999999</v>
      </c>
      <c r="BW118">
        <v>3.4004E-2</v>
      </c>
      <c r="BX118">
        <v>2.20051E-2</v>
      </c>
      <c r="BY118">
        <v>3.4007700000000002E-2</v>
      </c>
      <c r="BZ118">
        <v>25</v>
      </c>
      <c r="CA118">
        <v>33528.300000000003</v>
      </c>
      <c r="CB118">
        <v>1690203121.0999999</v>
      </c>
      <c r="CC118" t="s">
        <v>332</v>
      </c>
      <c r="CD118">
        <v>1690203121.0999999</v>
      </c>
      <c r="CE118">
        <v>1690203121.0999999</v>
      </c>
      <c r="CF118">
        <v>3</v>
      </c>
      <c r="CG118">
        <v>0.53600000000000003</v>
      </c>
      <c r="CH118">
        <v>-0.01</v>
      </c>
      <c r="CI118">
        <v>-0.996</v>
      </c>
      <c r="CJ118">
        <v>-6.6000000000000003E-2</v>
      </c>
      <c r="CK118">
        <v>800</v>
      </c>
      <c r="CL118">
        <v>9</v>
      </c>
      <c r="CM118">
        <v>0.82</v>
      </c>
      <c r="CN118">
        <v>0.01</v>
      </c>
      <c r="CO118">
        <v>-378.62634146341458</v>
      </c>
      <c r="CP118">
        <v>-11.151804878049109</v>
      </c>
      <c r="CQ118">
        <v>1.1004387951809591</v>
      </c>
      <c r="CR118">
        <v>-1</v>
      </c>
      <c r="CS118">
        <v>18.335799999999999</v>
      </c>
      <c r="CT118">
        <v>0.41409616724739168</v>
      </c>
      <c r="CU118">
        <v>4.0882621986460137E-2</v>
      </c>
      <c r="CV118">
        <v>-1</v>
      </c>
      <c r="CW118">
        <v>0</v>
      </c>
      <c r="CX118">
        <v>0</v>
      </c>
      <c r="CY118" t="s">
        <v>333</v>
      </c>
      <c r="CZ118">
        <v>2.3647200000000002</v>
      </c>
      <c r="DA118">
        <v>2.7137099999999998</v>
      </c>
      <c r="DB118">
        <v>9.2958799999999994E-2</v>
      </c>
      <c r="DC118">
        <v>0.14621500000000001</v>
      </c>
      <c r="DD118">
        <v>0.120751</v>
      </c>
      <c r="DE118">
        <v>4.7850700000000003E-2</v>
      </c>
      <c r="DF118">
        <v>33094</v>
      </c>
      <c r="DG118">
        <v>27462.400000000001</v>
      </c>
      <c r="DH118">
        <v>31146.400000000001</v>
      </c>
      <c r="DI118">
        <v>28026.3</v>
      </c>
      <c r="DJ118">
        <v>37163.9</v>
      </c>
      <c r="DK118">
        <v>37926.400000000001</v>
      </c>
      <c r="DL118">
        <v>44317.3</v>
      </c>
      <c r="DM118">
        <v>42453.5</v>
      </c>
      <c r="DN118">
        <v>1.48193</v>
      </c>
      <c r="DO118">
        <v>2.0548999999999999</v>
      </c>
      <c r="DP118">
        <v>0.169132</v>
      </c>
      <c r="DQ118">
        <v>0.15931200000000001</v>
      </c>
      <c r="DR118">
        <v>24.2087</v>
      </c>
      <c r="DS118">
        <v>24.163900000000002</v>
      </c>
      <c r="DT118">
        <v>24.8</v>
      </c>
      <c r="DU118">
        <v>27.7</v>
      </c>
      <c r="DV118">
        <v>9.3337800000000009</v>
      </c>
      <c r="DW118">
        <v>61.785499999999999</v>
      </c>
      <c r="DX118">
        <v>36.386200000000002</v>
      </c>
      <c r="DY118">
        <v>1</v>
      </c>
      <c r="DZ118">
        <v>-0.124985</v>
      </c>
      <c r="EA118">
        <v>8.5452100000000003E-2</v>
      </c>
      <c r="EB118">
        <v>20.191199999999998</v>
      </c>
      <c r="EC118">
        <v>5.2421499999999996</v>
      </c>
      <c r="ED118">
        <v>12.039899999999999</v>
      </c>
      <c r="EE118">
        <v>5.0175999999999998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</v>
      </c>
      <c r="EL118">
        <v>1.8646199999999999</v>
      </c>
      <c r="EM118">
        <v>1.86914</v>
      </c>
      <c r="EN118">
        <v>1.8672200000000001</v>
      </c>
      <c r="EO118">
        <v>1.8633999999999999</v>
      </c>
      <c r="EP118">
        <v>1.8644700000000001</v>
      </c>
      <c r="EQ118">
        <v>1.87012</v>
      </c>
      <c r="ER118">
        <v>1.86937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-0.72699999999999998</v>
      </c>
      <c r="FG118">
        <v>0.16769999999999999</v>
      </c>
      <c r="FH118">
        <v>-0.44422204735670362</v>
      </c>
      <c r="FI118">
        <v>-6.1462078757559423E-4</v>
      </c>
      <c r="FJ118">
        <v>-1.8861989874597051E-7</v>
      </c>
      <c r="FK118">
        <v>1.1980462299894961E-10</v>
      </c>
      <c r="FL118">
        <v>0.16773393518503121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27.7</v>
      </c>
      <c r="FU118">
        <v>27.7</v>
      </c>
      <c r="FV118">
        <v>1.77979</v>
      </c>
      <c r="FW118">
        <v>2.5573700000000001</v>
      </c>
      <c r="FX118">
        <v>1.5490699999999999</v>
      </c>
      <c r="FY118">
        <v>2.33521</v>
      </c>
      <c r="FZ118">
        <v>1.50146</v>
      </c>
      <c r="GA118">
        <v>2.3742700000000001</v>
      </c>
      <c r="GB118">
        <v>32.377000000000002</v>
      </c>
      <c r="GC118">
        <v>23.991199999999999</v>
      </c>
      <c r="GD118">
        <v>19</v>
      </c>
      <c r="GE118">
        <v>283.74700000000001</v>
      </c>
      <c r="GF118">
        <v>594.5</v>
      </c>
      <c r="GG118">
        <v>23.752800000000001</v>
      </c>
      <c r="GH118">
        <v>25.821300000000001</v>
      </c>
      <c r="GI118">
        <v>29.9999</v>
      </c>
      <c r="GJ118">
        <v>25.9968</v>
      </c>
      <c r="GK118">
        <v>25.983599999999999</v>
      </c>
      <c r="GL118">
        <v>35.593200000000003</v>
      </c>
      <c r="GM118">
        <v>-30</v>
      </c>
      <c r="GN118">
        <v>-30</v>
      </c>
      <c r="GO118">
        <v>23.696100000000001</v>
      </c>
      <c r="GP118">
        <v>800</v>
      </c>
      <c r="GQ118">
        <v>12.5298</v>
      </c>
      <c r="GR118">
        <v>99.646000000000001</v>
      </c>
      <c r="GS118">
        <v>99.336500000000001</v>
      </c>
    </row>
    <row r="119" spans="1:201" x14ac:dyDescent="0.25">
      <c r="A119">
        <v>103</v>
      </c>
      <c r="B119">
        <v>1690204795.5</v>
      </c>
      <c r="C119">
        <v>1355.900000095367</v>
      </c>
      <c r="D119" t="s">
        <v>539</v>
      </c>
      <c r="E119" t="s">
        <v>540</v>
      </c>
      <c r="F119" t="s">
        <v>330</v>
      </c>
      <c r="H119">
        <v>1690204795.5</v>
      </c>
      <c r="I119">
        <f t="shared" si="30"/>
        <v>1.8274787639228707E-3</v>
      </c>
      <c r="J119">
        <f t="shared" si="31"/>
        <v>1.8274787639228707</v>
      </c>
      <c r="K119">
        <f t="shared" si="32"/>
        <v>36.027854589468653</v>
      </c>
      <c r="L119">
        <f t="shared" si="33"/>
        <v>417.59399999999999</v>
      </c>
      <c r="M119">
        <f t="shared" si="34"/>
        <v>88.936442702957706</v>
      </c>
      <c r="N119">
        <f t="shared" si="35"/>
        <v>8.8197704503811121</v>
      </c>
      <c r="O119">
        <f t="shared" si="36"/>
        <v>41.412531348456596</v>
      </c>
      <c r="P119">
        <f t="shared" si="37"/>
        <v>0.18473477306144853</v>
      </c>
      <c r="Q119">
        <f t="shared" si="38"/>
        <v>2.1957876646047803</v>
      </c>
      <c r="R119">
        <f t="shared" si="39"/>
        <v>0.17651428751035764</v>
      </c>
      <c r="S119">
        <f t="shared" si="40"/>
        <v>0.11102952174061295</v>
      </c>
      <c r="T119">
        <f t="shared" si="41"/>
        <v>276.11449866004097</v>
      </c>
      <c r="U119">
        <f t="shared" si="42"/>
        <v>27.021247745211525</v>
      </c>
      <c r="V119">
        <f t="shared" si="43"/>
        <v>27.021247745211525</v>
      </c>
      <c r="W119">
        <f t="shared" si="44"/>
        <v>3.5836286766539507</v>
      </c>
      <c r="X119">
        <f t="shared" si="45"/>
        <v>78.960048311894326</v>
      </c>
      <c r="Y119">
        <f t="shared" si="46"/>
        <v>2.5888658292914504</v>
      </c>
      <c r="Z119">
        <f t="shared" si="47"/>
        <v>3.2787034514788544</v>
      </c>
      <c r="AA119">
        <f t="shared" si="48"/>
        <v>0.99476284736250031</v>
      </c>
      <c r="AB119">
        <f t="shared" si="49"/>
        <v>-80.591813488998596</v>
      </c>
      <c r="AC119">
        <f t="shared" si="50"/>
        <v>-178.26120887272671</v>
      </c>
      <c r="AD119">
        <f t="shared" si="51"/>
        <v>-17.392528228721545</v>
      </c>
      <c r="AE119">
        <f t="shared" si="52"/>
        <v>-0.13105193040590279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52715.289568568871</v>
      </c>
      <c r="AK119">
        <f t="shared" si="56"/>
        <v>1799.99</v>
      </c>
      <c r="AL119">
        <f t="shared" si="57"/>
        <v>1499.10138741269</v>
      </c>
      <c r="AM119">
        <f t="shared" si="58"/>
        <v>0.83283873099999994</v>
      </c>
      <c r="AN119">
        <f t="shared" si="59"/>
        <v>0.15339779591000002</v>
      </c>
      <c r="AO119">
        <v>31.2</v>
      </c>
      <c r="AP119">
        <v>0.5</v>
      </c>
      <c r="AQ119" t="s">
        <v>331</v>
      </c>
      <c r="AR119">
        <v>2</v>
      </c>
      <c r="AS119">
        <v>1690204795.5</v>
      </c>
      <c r="AT119">
        <v>417.59399999999999</v>
      </c>
      <c r="AU119">
        <v>799.94</v>
      </c>
      <c r="AV119">
        <v>26.105499999999999</v>
      </c>
      <c r="AW119">
        <v>7.6094400000000002</v>
      </c>
      <c r="AX119">
        <v>418.31900000000002</v>
      </c>
      <c r="AY119">
        <v>25.9377</v>
      </c>
      <c r="AZ119">
        <v>300.22000000000003</v>
      </c>
      <c r="BA119">
        <v>99.069400000000002</v>
      </c>
      <c r="BB119">
        <v>9.9963899999999994E-2</v>
      </c>
      <c r="BC119">
        <v>25.5154</v>
      </c>
      <c r="BD119">
        <v>26.978100000000001</v>
      </c>
      <c r="BE119">
        <v>26.791899999999998</v>
      </c>
      <c r="BF119">
        <v>0</v>
      </c>
      <c r="BG119">
        <v>0</v>
      </c>
      <c r="BH119">
        <v>10013.799999999999</v>
      </c>
      <c r="BI119">
        <v>1063.92</v>
      </c>
      <c r="BJ119">
        <v>1.68198</v>
      </c>
      <c r="BK119">
        <v>-382.34699999999998</v>
      </c>
      <c r="BL119">
        <v>428.78800000000001</v>
      </c>
      <c r="BM119">
        <v>806.07399999999996</v>
      </c>
      <c r="BN119">
        <v>18.495999999999999</v>
      </c>
      <c r="BO119">
        <v>799.94</v>
      </c>
      <c r="BP119">
        <v>7.6094400000000002</v>
      </c>
      <c r="BQ119">
        <v>2.5862500000000002</v>
      </c>
      <c r="BR119">
        <v>0.75386299999999995</v>
      </c>
      <c r="BS119">
        <v>21.579699999999999</v>
      </c>
      <c r="BT119">
        <v>2.8669899999999999</v>
      </c>
      <c r="BU119">
        <v>1799.99</v>
      </c>
      <c r="BV119">
        <v>0.90998400000000002</v>
      </c>
      <c r="BW119">
        <v>3.4003600000000002E-2</v>
      </c>
      <c r="BX119">
        <v>2.2004800000000001E-2</v>
      </c>
      <c r="BY119">
        <v>3.4007299999999997E-2</v>
      </c>
      <c r="BZ119">
        <v>25</v>
      </c>
      <c r="CA119">
        <v>33528.199999999997</v>
      </c>
      <c r="CB119">
        <v>1690203121.0999999</v>
      </c>
      <c r="CC119" t="s">
        <v>332</v>
      </c>
      <c r="CD119">
        <v>1690203121.0999999</v>
      </c>
      <c r="CE119">
        <v>1690203121.0999999</v>
      </c>
      <c r="CF119">
        <v>3</v>
      </c>
      <c r="CG119">
        <v>0.53600000000000003</v>
      </c>
      <c r="CH119">
        <v>-0.01</v>
      </c>
      <c r="CI119">
        <v>-0.996</v>
      </c>
      <c r="CJ119">
        <v>-6.6000000000000003E-2</v>
      </c>
      <c r="CK119">
        <v>800</v>
      </c>
      <c r="CL119">
        <v>9</v>
      </c>
      <c r="CM119">
        <v>0.82</v>
      </c>
      <c r="CN119">
        <v>0.01</v>
      </c>
      <c r="CO119">
        <v>-380.41359999999997</v>
      </c>
      <c r="CP119">
        <v>-10.66446529080593</v>
      </c>
      <c r="CQ119">
        <v>1.026690747011973</v>
      </c>
      <c r="CR119">
        <v>-1</v>
      </c>
      <c r="CS119">
        <v>18.409847500000001</v>
      </c>
      <c r="CT119">
        <v>0.49678986866785191</v>
      </c>
      <c r="CU119">
        <v>4.7856451955300763E-2</v>
      </c>
      <c r="CV119">
        <v>-1</v>
      </c>
      <c r="CW119">
        <v>0</v>
      </c>
      <c r="CX119">
        <v>0</v>
      </c>
      <c r="CY119" t="s">
        <v>333</v>
      </c>
      <c r="CZ119">
        <v>2.36511</v>
      </c>
      <c r="DA119">
        <v>2.7137699999999998</v>
      </c>
      <c r="DB119">
        <v>9.2660699999999999E-2</v>
      </c>
      <c r="DC119">
        <v>0.14621700000000001</v>
      </c>
      <c r="DD119">
        <v>0.120993</v>
      </c>
      <c r="DE119">
        <v>4.78168E-2</v>
      </c>
      <c r="DF119">
        <v>33105</v>
      </c>
      <c r="DG119">
        <v>27462.5</v>
      </c>
      <c r="DH119">
        <v>31146.400000000001</v>
      </c>
      <c r="DI119">
        <v>28026.5</v>
      </c>
      <c r="DJ119">
        <v>37153.699999999997</v>
      </c>
      <c r="DK119">
        <v>37927.9</v>
      </c>
      <c r="DL119">
        <v>44317.5</v>
      </c>
      <c r="DM119">
        <v>42453.7</v>
      </c>
      <c r="DN119">
        <v>1.48193</v>
      </c>
      <c r="DO119">
        <v>2.0549499999999998</v>
      </c>
      <c r="DP119">
        <v>0.16889299999999999</v>
      </c>
      <c r="DQ119">
        <v>0.160079</v>
      </c>
      <c r="DR119">
        <v>24.209700000000002</v>
      </c>
      <c r="DS119">
        <v>24.167400000000001</v>
      </c>
      <c r="DT119">
        <v>24.7</v>
      </c>
      <c r="DU119">
        <v>27.7</v>
      </c>
      <c r="DV119">
        <v>9.29678</v>
      </c>
      <c r="DW119">
        <v>61.7455</v>
      </c>
      <c r="DX119">
        <v>36.0777</v>
      </c>
      <c r="DY119">
        <v>1</v>
      </c>
      <c r="DZ119">
        <v>-0.12493600000000001</v>
      </c>
      <c r="EA119">
        <v>0.149643</v>
      </c>
      <c r="EB119">
        <v>20.191199999999998</v>
      </c>
      <c r="EC119">
        <v>5.24125</v>
      </c>
      <c r="ED119">
        <v>12.039899999999999</v>
      </c>
      <c r="EE119">
        <v>5.0174000000000003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</v>
      </c>
      <c r="EL119">
        <v>1.8646199999999999</v>
      </c>
      <c r="EM119">
        <v>1.8691599999999999</v>
      </c>
      <c r="EN119">
        <v>1.8672200000000001</v>
      </c>
      <c r="EO119">
        <v>1.8633999999999999</v>
      </c>
      <c r="EP119">
        <v>1.86449</v>
      </c>
      <c r="EQ119">
        <v>1.8701300000000001</v>
      </c>
      <c r="ER119">
        <v>1.86941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-0.72499999999999998</v>
      </c>
      <c r="FG119">
        <v>0.1678</v>
      </c>
      <c r="FH119">
        <v>-0.44422204735670362</v>
      </c>
      <c r="FI119">
        <v>-6.1462078757559423E-4</v>
      </c>
      <c r="FJ119">
        <v>-1.8861989874597051E-7</v>
      </c>
      <c r="FK119">
        <v>1.1980462299894961E-10</v>
      </c>
      <c r="FL119">
        <v>0.16773393518503121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27.9</v>
      </c>
      <c r="FU119">
        <v>27.9</v>
      </c>
      <c r="FV119">
        <v>1.77979</v>
      </c>
      <c r="FW119">
        <v>2.5695800000000002</v>
      </c>
      <c r="FX119">
        <v>1.5490699999999999</v>
      </c>
      <c r="FY119">
        <v>2.33521</v>
      </c>
      <c r="FZ119">
        <v>1.50146</v>
      </c>
      <c r="GA119">
        <v>2.2827099999999998</v>
      </c>
      <c r="GB119">
        <v>32.377000000000002</v>
      </c>
      <c r="GC119">
        <v>23.973700000000001</v>
      </c>
      <c r="GD119">
        <v>19</v>
      </c>
      <c r="GE119">
        <v>283.73</v>
      </c>
      <c r="GF119">
        <v>594.49699999999996</v>
      </c>
      <c r="GG119">
        <v>23.713799999999999</v>
      </c>
      <c r="GH119">
        <v>25.817499999999999</v>
      </c>
      <c r="GI119">
        <v>29.9999</v>
      </c>
      <c r="GJ119">
        <v>25.993099999999998</v>
      </c>
      <c r="GK119">
        <v>25.979800000000001</v>
      </c>
      <c r="GL119">
        <v>35.5931</v>
      </c>
      <c r="GM119">
        <v>-30</v>
      </c>
      <c r="GN119">
        <v>-30</v>
      </c>
      <c r="GO119">
        <v>23.712299999999999</v>
      </c>
      <c r="GP119">
        <v>800</v>
      </c>
      <c r="GQ119">
        <v>12.5298</v>
      </c>
      <c r="GR119">
        <v>99.646299999999997</v>
      </c>
      <c r="GS119">
        <v>99.337000000000003</v>
      </c>
    </row>
    <row r="120" spans="1:201" x14ac:dyDescent="0.25">
      <c r="A120">
        <v>104</v>
      </c>
      <c r="B120">
        <v>1690204805.5</v>
      </c>
      <c r="C120">
        <v>1365.900000095367</v>
      </c>
      <c r="D120" t="s">
        <v>541</v>
      </c>
      <c r="E120" t="s">
        <v>542</v>
      </c>
      <c r="F120" t="s">
        <v>330</v>
      </c>
      <c r="H120">
        <v>1690204805.5</v>
      </c>
      <c r="I120">
        <f t="shared" si="30"/>
        <v>1.8335965435551289E-3</v>
      </c>
      <c r="J120">
        <f t="shared" si="31"/>
        <v>1.8335965435551289</v>
      </c>
      <c r="K120">
        <f t="shared" si="32"/>
        <v>36.193580841516741</v>
      </c>
      <c r="L120">
        <f t="shared" si="33"/>
        <v>415.767</v>
      </c>
      <c r="M120">
        <f t="shared" si="34"/>
        <v>88.52697142235813</v>
      </c>
      <c r="N120">
        <f t="shared" si="35"/>
        <v>8.7791252091497771</v>
      </c>
      <c r="O120">
        <f t="shared" si="36"/>
        <v>41.231169350843999</v>
      </c>
      <c r="P120">
        <f t="shared" si="37"/>
        <v>0.18646304013343618</v>
      </c>
      <c r="Q120">
        <f t="shared" si="38"/>
        <v>2.1893165355071549</v>
      </c>
      <c r="R120">
        <f t="shared" si="39"/>
        <v>0.1780682228917756</v>
      </c>
      <c r="S120">
        <f t="shared" si="40"/>
        <v>0.11201538162159011</v>
      </c>
      <c r="T120">
        <f t="shared" si="41"/>
        <v>276.115952214</v>
      </c>
      <c r="U120">
        <f t="shared" si="42"/>
        <v>27.024330979784928</v>
      </c>
      <c r="V120">
        <f t="shared" si="43"/>
        <v>27.024330979784928</v>
      </c>
      <c r="W120">
        <f t="shared" si="44"/>
        <v>3.5842775700075018</v>
      </c>
      <c r="X120">
        <f t="shared" si="45"/>
        <v>79.139944608829225</v>
      </c>
      <c r="Y120">
        <f t="shared" si="46"/>
        <v>2.5949336098576001</v>
      </c>
      <c r="Z120">
        <f t="shared" si="47"/>
        <v>3.2789176473192745</v>
      </c>
      <c r="AA120">
        <f t="shared" si="48"/>
        <v>0.98934396014990167</v>
      </c>
      <c r="AB120">
        <f t="shared" si="49"/>
        <v>-80.861607570781189</v>
      </c>
      <c r="AC120">
        <f t="shared" si="50"/>
        <v>-177.96994352870936</v>
      </c>
      <c r="AD120">
        <f t="shared" si="51"/>
        <v>-17.41580001700871</v>
      </c>
      <c r="AE120">
        <f t="shared" si="52"/>
        <v>-0.13139890249928499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52449.389697066821</v>
      </c>
      <c r="AK120">
        <f t="shared" si="56"/>
        <v>1800</v>
      </c>
      <c r="AL120">
        <f t="shared" si="57"/>
        <v>1499.1107004</v>
      </c>
      <c r="AM120">
        <f t="shared" si="58"/>
        <v>0.83283927800000002</v>
      </c>
      <c r="AN120">
        <f t="shared" si="59"/>
        <v>0.15339775122999999</v>
      </c>
      <c r="AO120">
        <v>31.2</v>
      </c>
      <c r="AP120">
        <v>0.5</v>
      </c>
      <c r="AQ120" t="s">
        <v>331</v>
      </c>
      <c r="AR120">
        <v>2</v>
      </c>
      <c r="AS120">
        <v>1690204805.5</v>
      </c>
      <c r="AT120">
        <v>415.767</v>
      </c>
      <c r="AU120">
        <v>799.98699999999997</v>
      </c>
      <c r="AV120">
        <v>26.166799999999999</v>
      </c>
      <c r="AW120">
        <v>7.6022600000000002</v>
      </c>
      <c r="AX120">
        <v>416.49200000000002</v>
      </c>
      <c r="AY120">
        <v>25.999099999999999</v>
      </c>
      <c r="AZ120">
        <v>300.09500000000003</v>
      </c>
      <c r="BA120">
        <v>99.068899999999999</v>
      </c>
      <c r="BB120">
        <v>0.100032</v>
      </c>
      <c r="BC120">
        <v>25.516500000000001</v>
      </c>
      <c r="BD120">
        <v>26.9937</v>
      </c>
      <c r="BE120">
        <v>26.8064</v>
      </c>
      <c r="BF120">
        <v>0</v>
      </c>
      <c r="BG120">
        <v>0</v>
      </c>
      <c r="BH120">
        <v>9961.25</v>
      </c>
      <c r="BI120">
        <v>1063.99</v>
      </c>
      <c r="BJ120">
        <v>1.68198</v>
      </c>
      <c r="BK120">
        <v>-384.21899999999999</v>
      </c>
      <c r="BL120">
        <v>426.93900000000002</v>
      </c>
      <c r="BM120">
        <v>806.11500000000001</v>
      </c>
      <c r="BN120">
        <v>18.564499999999999</v>
      </c>
      <c r="BO120">
        <v>799.98699999999997</v>
      </c>
      <c r="BP120">
        <v>7.6022600000000002</v>
      </c>
      <c r="BQ120">
        <v>2.59232</v>
      </c>
      <c r="BR120">
        <v>0.75314800000000004</v>
      </c>
      <c r="BS120">
        <v>21.617999999999999</v>
      </c>
      <c r="BT120">
        <v>2.8536299999999999</v>
      </c>
      <c r="BU120">
        <v>1800</v>
      </c>
      <c r="BV120">
        <v>0.90998800000000002</v>
      </c>
      <c r="BW120">
        <v>3.4002200000000003E-2</v>
      </c>
      <c r="BX120">
        <v>2.20039E-2</v>
      </c>
      <c r="BY120">
        <v>3.4005899999999999E-2</v>
      </c>
      <c r="BZ120">
        <v>25</v>
      </c>
      <c r="CA120">
        <v>33528.199999999997</v>
      </c>
      <c r="CB120">
        <v>1690203121.0999999</v>
      </c>
      <c r="CC120" t="s">
        <v>332</v>
      </c>
      <c r="CD120">
        <v>1690203121.0999999</v>
      </c>
      <c r="CE120">
        <v>1690203121.0999999</v>
      </c>
      <c r="CF120">
        <v>3</v>
      </c>
      <c r="CG120">
        <v>0.53600000000000003</v>
      </c>
      <c r="CH120">
        <v>-0.01</v>
      </c>
      <c r="CI120">
        <v>-0.996</v>
      </c>
      <c r="CJ120">
        <v>-6.6000000000000003E-2</v>
      </c>
      <c r="CK120">
        <v>800</v>
      </c>
      <c r="CL120">
        <v>9</v>
      </c>
      <c r="CM120">
        <v>0.82</v>
      </c>
      <c r="CN120">
        <v>0.01</v>
      </c>
      <c r="CO120">
        <v>-382.28937499999989</v>
      </c>
      <c r="CP120">
        <v>-11.45823264540261</v>
      </c>
      <c r="CQ120">
        <v>1.104635928428453</v>
      </c>
      <c r="CR120">
        <v>-1</v>
      </c>
      <c r="CS120">
        <v>18.489409999999999</v>
      </c>
      <c r="CT120">
        <v>0.45067992495311138</v>
      </c>
      <c r="CU120">
        <v>4.3401168187042857E-2</v>
      </c>
      <c r="CV120">
        <v>-1</v>
      </c>
      <c r="CW120">
        <v>0</v>
      </c>
      <c r="CX120">
        <v>0</v>
      </c>
      <c r="CY120" t="s">
        <v>333</v>
      </c>
      <c r="CZ120">
        <v>2.3647200000000002</v>
      </c>
      <c r="DA120">
        <v>2.7137899999999999</v>
      </c>
      <c r="DB120">
        <v>9.2354500000000006E-2</v>
      </c>
      <c r="DC120">
        <v>0.14622399999999999</v>
      </c>
      <c r="DD120">
        <v>0.12119199999999999</v>
      </c>
      <c r="DE120">
        <v>4.7781299999999999E-2</v>
      </c>
      <c r="DF120">
        <v>33116.400000000001</v>
      </c>
      <c r="DG120">
        <v>27462.5</v>
      </c>
      <c r="DH120">
        <v>31146.7</v>
      </c>
      <c r="DI120">
        <v>28026.799999999999</v>
      </c>
      <c r="DJ120">
        <v>37145.300000000003</v>
      </c>
      <c r="DK120">
        <v>37929.599999999999</v>
      </c>
      <c r="DL120">
        <v>44317.7</v>
      </c>
      <c r="DM120">
        <v>42454.1</v>
      </c>
      <c r="DN120">
        <v>1.4819500000000001</v>
      </c>
      <c r="DO120">
        <v>2.0548999999999999</v>
      </c>
      <c r="DP120">
        <v>0.16961999999999999</v>
      </c>
      <c r="DQ120">
        <v>0.16065299999999999</v>
      </c>
      <c r="DR120">
        <v>24.2134</v>
      </c>
      <c r="DS120">
        <v>24.172499999999999</v>
      </c>
      <c r="DT120">
        <v>24.7</v>
      </c>
      <c r="DU120">
        <v>27.7</v>
      </c>
      <c r="DV120">
        <v>9.2945499999999992</v>
      </c>
      <c r="DW120">
        <v>61.795499999999997</v>
      </c>
      <c r="DX120">
        <v>36.878999999999998</v>
      </c>
      <c r="DY120">
        <v>1</v>
      </c>
      <c r="DZ120">
        <v>-0.125523</v>
      </c>
      <c r="EA120">
        <v>7.4474399999999996E-2</v>
      </c>
      <c r="EB120">
        <v>20.191199999999998</v>
      </c>
      <c r="EC120">
        <v>5.24125</v>
      </c>
      <c r="ED120">
        <v>12.039899999999999</v>
      </c>
      <c r="EE120">
        <v>5.0176499999999997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</v>
      </c>
      <c r="EL120">
        <v>1.8646199999999999</v>
      </c>
      <c r="EM120">
        <v>1.86914</v>
      </c>
      <c r="EN120">
        <v>1.8672200000000001</v>
      </c>
      <c r="EO120">
        <v>1.8633900000000001</v>
      </c>
      <c r="EP120">
        <v>1.8644799999999999</v>
      </c>
      <c r="EQ120">
        <v>1.8701399999999999</v>
      </c>
      <c r="ER120">
        <v>1.8693900000000001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-0.72499999999999998</v>
      </c>
      <c r="FG120">
        <v>0.16769999999999999</v>
      </c>
      <c r="FH120">
        <v>-0.44422204735670362</v>
      </c>
      <c r="FI120">
        <v>-6.1462078757559423E-4</v>
      </c>
      <c r="FJ120">
        <v>-1.8861989874597051E-7</v>
      </c>
      <c r="FK120">
        <v>1.1980462299894961E-10</v>
      </c>
      <c r="FL120">
        <v>0.16773393518503121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28.1</v>
      </c>
      <c r="FU120">
        <v>28.1</v>
      </c>
      <c r="FV120">
        <v>1.77979</v>
      </c>
      <c r="FW120">
        <v>2.5549300000000001</v>
      </c>
      <c r="FX120">
        <v>1.5490699999999999</v>
      </c>
      <c r="FY120">
        <v>2.33521</v>
      </c>
      <c r="FZ120">
        <v>1.50146</v>
      </c>
      <c r="GA120">
        <v>2.3791500000000001</v>
      </c>
      <c r="GB120">
        <v>32.399099999999997</v>
      </c>
      <c r="GC120">
        <v>23.991199999999999</v>
      </c>
      <c r="GD120">
        <v>19</v>
      </c>
      <c r="GE120">
        <v>283.72300000000001</v>
      </c>
      <c r="GF120">
        <v>594.40599999999995</v>
      </c>
      <c r="GG120">
        <v>23.7135</v>
      </c>
      <c r="GH120">
        <v>25.813800000000001</v>
      </c>
      <c r="GI120">
        <v>29.9998</v>
      </c>
      <c r="GJ120">
        <v>25.9892</v>
      </c>
      <c r="GK120">
        <v>25.9755</v>
      </c>
      <c r="GL120">
        <v>35.592100000000002</v>
      </c>
      <c r="GM120">
        <v>-30</v>
      </c>
      <c r="GN120">
        <v>-30</v>
      </c>
      <c r="GO120">
        <v>23.750299999999999</v>
      </c>
      <c r="GP120">
        <v>800</v>
      </c>
      <c r="GQ120">
        <v>12.5298</v>
      </c>
      <c r="GR120">
        <v>99.646900000000002</v>
      </c>
      <c r="GS120">
        <v>99.337999999999994</v>
      </c>
    </row>
    <row r="121" spans="1:201" x14ac:dyDescent="0.25">
      <c r="A121">
        <v>105</v>
      </c>
      <c r="B121">
        <v>1690204815.5</v>
      </c>
      <c r="C121">
        <v>1375.900000095367</v>
      </c>
      <c r="D121" t="s">
        <v>543</v>
      </c>
      <c r="E121" t="s">
        <v>544</v>
      </c>
      <c r="F121" t="s">
        <v>330</v>
      </c>
      <c r="H121">
        <v>1690204815.5</v>
      </c>
      <c r="I121">
        <f t="shared" si="30"/>
        <v>1.8405886133305244E-3</v>
      </c>
      <c r="J121">
        <f t="shared" si="31"/>
        <v>1.8405886133305245</v>
      </c>
      <c r="K121">
        <f t="shared" si="32"/>
        <v>36.373632638327109</v>
      </c>
      <c r="L121">
        <f t="shared" si="33"/>
        <v>413.9</v>
      </c>
      <c r="M121">
        <f t="shared" si="34"/>
        <v>88.19117240481981</v>
      </c>
      <c r="N121">
        <f t="shared" si="35"/>
        <v>8.7459631921192162</v>
      </c>
      <c r="O121">
        <f t="shared" si="36"/>
        <v>41.046672433399998</v>
      </c>
      <c r="P121">
        <f t="shared" si="37"/>
        <v>0.18830836025486258</v>
      </c>
      <c r="Q121">
        <f t="shared" si="38"/>
        <v>2.1959485961591074</v>
      </c>
      <c r="R121">
        <f t="shared" si="39"/>
        <v>0.17977524795279404</v>
      </c>
      <c r="S121">
        <f t="shared" si="40"/>
        <v>0.11309396972040572</v>
      </c>
      <c r="T121">
        <f t="shared" si="41"/>
        <v>276.11442673244051</v>
      </c>
      <c r="U121">
        <f t="shared" si="42"/>
        <v>27.026680887631834</v>
      </c>
      <c r="V121">
        <f t="shared" si="43"/>
        <v>27.026680887631834</v>
      </c>
      <c r="W121">
        <f t="shared" si="44"/>
        <v>3.5847721972871898</v>
      </c>
      <c r="X121">
        <f t="shared" si="45"/>
        <v>79.286197337538127</v>
      </c>
      <c r="Y121">
        <f t="shared" si="46"/>
        <v>2.6011035336715995</v>
      </c>
      <c r="Z121">
        <f t="shared" si="47"/>
        <v>3.2806511360333643</v>
      </c>
      <c r="AA121">
        <f t="shared" si="48"/>
        <v>0.98366866361559024</v>
      </c>
      <c r="AB121">
        <f t="shared" si="49"/>
        <v>-81.16995784787612</v>
      </c>
      <c r="AC121">
        <f t="shared" si="50"/>
        <v>-177.73361277445161</v>
      </c>
      <c r="AD121">
        <f t="shared" si="51"/>
        <v>-17.341121735894522</v>
      </c>
      <c r="AE121">
        <f t="shared" si="52"/>
        <v>-0.13026562578176026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52720.165588416552</v>
      </c>
      <c r="AK121">
        <f t="shared" si="56"/>
        <v>1799.99</v>
      </c>
      <c r="AL121">
        <f t="shared" si="57"/>
        <v>1499.1030776032999</v>
      </c>
      <c r="AM121">
        <f t="shared" si="58"/>
        <v>0.83283966999999992</v>
      </c>
      <c r="AN121">
        <f t="shared" si="59"/>
        <v>0.15339775594999999</v>
      </c>
      <c r="AO121">
        <v>31.2</v>
      </c>
      <c r="AP121">
        <v>0.5</v>
      </c>
      <c r="AQ121" t="s">
        <v>331</v>
      </c>
      <c r="AR121">
        <v>2</v>
      </c>
      <c r="AS121">
        <v>1690204815.5</v>
      </c>
      <c r="AT121">
        <v>413.9</v>
      </c>
      <c r="AU121">
        <v>799.96199999999999</v>
      </c>
      <c r="AV121">
        <v>26.2286</v>
      </c>
      <c r="AW121">
        <v>7.5956299999999999</v>
      </c>
      <c r="AX121">
        <v>414.62299999999999</v>
      </c>
      <c r="AY121">
        <v>26.0609</v>
      </c>
      <c r="AZ121">
        <v>300.11399999999998</v>
      </c>
      <c r="BA121">
        <v>99.070499999999996</v>
      </c>
      <c r="BB121">
        <v>0.100006</v>
      </c>
      <c r="BC121">
        <v>25.525400000000001</v>
      </c>
      <c r="BD121">
        <v>26.968699999999998</v>
      </c>
      <c r="BE121">
        <v>26.790099999999999</v>
      </c>
      <c r="BF121">
        <v>0</v>
      </c>
      <c r="BG121">
        <v>0</v>
      </c>
      <c r="BH121">
        <v>10015</v>
      </c>
      <c r="BI121">
        <v>1064.1400000000001</v>
      </c>
      <c r="BJ121">
        <v>1.68198</v>
      </c>
      <c r="BK121">
        <v>-386.06200000000001</v>
      </c>
      <c r="BL121">
        <v>425.048</v>
      </c>
      <c r="BM121">
        <v>806.08500000000004</v>
      </c>
      <c r="BN121">
        <v>18.632999999999999</v>
      </c>
      <c r="BO121">
        <v>799.96199999999999</v>
      </c>
      <c r="BP121">
        <v>7.5956299999999999</v>
      </c>
      <c r="BQ121">
        <v>2.5984799999999999</v>
      </c>
      <c r="BR121">
        <v>0.75250300000000003</v>
      </c>
      <c r="BS121">
        <v>21.6569</v>
      </c>
      <c r="BT121">
        <v>2.8415400000000002</v>
      </c>
      <c r="BU121">
        <v>1799.99</v>
      </c>
      <c r="BV121">
        <v>0.90998999999999997</v>
      </c>
      <c r="BW121">
        <v>3.4001499999999997E-2</v>
      </c>
      <c r="BX121">
        <v>2.2003499999999999E-2</v>
      </c>
      <c r="BY121">
        <v>3.4005300000000002E-2</v>
      </c>
      <c r="BZ121">
        <v>25</v>
      </c>
      <c r="CA121">
        <v>33528</v>
      </c>
      <c r="CB121">
        <v>1690203121.0999999</v>
      </c>
      <c r="CC121" t="s">
        <v>332</v>
      </c>
      <c r="CD121">
        <v>1690203121.0999999</v>
      </c>
      <c r="CE121">
        <v>1690203121.0999999</v>
      </c>
      <c r="CF121">
        <v>3</v>
      </c>
      <c r="CG121">
        <v>0.53600000000000003</v>
      </c>
      <c r="CH121">
        <v>-0.01</v>
      </c>
      <c r="CI121">
        <v>-0.996</v>
      </c>
      <c r="CJ121">
        <v>-6.6000000000000003E-2</v>
      </c>
      <c r="CK121">
        <v>800</v>
      </c>
      <c r="CL121">
        <v>9</v>
      </c>
      <c r="CM121">
        <v>0.82</v>
      </c>
      <c r="CN121">
        <v>0.01</v>
      </c>
      <c r="CO121">
        <v>-384.03060975609748</v>
      </c>
      <c r="CP121">
        <v>-11.386013937282369</v>
      </c>
      <c r="CQ121">
        <v>1.125425878805578</v>
      </c>
      <c r="CR121">
        <v>-1</v>
      </c>
      <c r="CS121">
        <v>18.554426829268291</v>
      </c>
      <c r="CT121">
        <v>0.39947247386761803</v>
      </c>
      <c r="CU121">
        <v>3.9404890277113358E-2</v>
      </c>
      <c r="CV121">
        <v>-1</v>
      </c>
      <c r="CW121">
        <v>0</v>
      </c>
      <c r="CX121">
        <v>0</v>
      </c>
      <c r="CY121" t="s">
        <v>333</v>
      </c>
      <c r="CZ121">
        <v>2.36477</v>
      </c>
      <c r="DA121">
        <v>2.7138100000000001</v>
      </c>
      <c r="DB121">
        <v>9.2042499999999999E-2</v>
      </c>
      <c r="DC121">
        <v>0.14622399999999999</v>
      </c>
      <c r="DD121">
        <v>0.121395</v>
      </c>
      <c r="DE121">
        <v>4.7749300000000001E-2</v>
      </c>
      <c r="DF121">
        <v>33128.400000000001</v>
      </c>
      <c r="DG121">
        <v>27463.200000000001</v>
      </c>
      <c r="DH121">
        <v>31147.200000000001</v>
      </c>
      <c r="DI121">
        <v>28027.4</v>
      </c>
      <c r="DJ121">
        <v>37137.199999999997</v>
      </c>
      <c r="DK121">
        <v>37931.800000000003</v>
      </c>
      <c r="DL121">
        <v>44318.400000000001</v>
      </c>
      <c r="DM121">
        <v>42455.1</v>
      </c>
      <c r="DN121">
        <v>1.4823999999999999</v>
      </c>
      <c r="DO121">
        <v>2.0550799999999998</v>
      </c>
      <c r="DP121">
        <v>0.167966</v>
      </c>
      <c r="DQ121">
        <v>0.159528</v>
      </c>
      <c r="DR121">
        <v>24.215399999999999</v>
      </c>
      <c r="DS121">
        <v>24.174700000000001</v>
      </c>
      <c r="DT121">
        <v>24.7</v>
      </c>
      <c r="DU121">
        <v>27.7</v>
      </c>
      <c r="DV121">
        <v>9.2969200000000001</v>
      </c>
      <c r="DW121">
        <v>61.875500000000002</v>
      </c>
      <c r="DX121">
        <v>36.654600000000002</v>
      </c>
      <c r="DY121">
        <v>1</v>
      </c>
      <c r="DZ121">
        <v>-0.12625500000000001</v>
      </c>
      <c r="EA121">
        <v>6.1552299999999997E-2</v>
      </c>
      <c r="EB121">
        <v>20.191400000000002</v>
      </c>
      <c r="EC121">
        <v>5.2411000000000003</v>
      </c>
      <c r="ED121">
        <v>12.039899999999999</v>
      </c>
      <c r="EE121">
        <v>5.0175999999999998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</v>
      </c>
      <c r="EL121">
        <v>1.8646199999999999</v>
      </c>
      <c r="EM121">
        <v>1.86913</v>
      </c>
      <c r="EN121">
        <v>1.8672200000000001</v>
      </c>
      <c r="EO121">
        <v>1.8633999999999999</v>
      </c>
      <c r="EP121">
        <v>1.8644799999999999</v>
      </c>
      <c r="EQ121">
        <v>1.8701300000000001</v>
      </c>
      <c r="ER121">
        <v>1.86938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-0.72299999999999998</v>
      </c>
      <c r="FG121">
        <v>0.16769999999999999</v>
      </c>
      <c r="FH121">
        <v>-0.44422204735670362</v>
      </c>
      <c r="FI121">
        <v>-6.1462078757559423E-4</v>
      </c>
      <c r="FJ121">
        <v>-1.8861989874597051E-7</v>
      </c>
      <c r="FK121">
        <v>1.1980462299894961E-10</v>
      </c>
      <c r="FL121">
        <v>0.16773393518503121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28.2</v>
      </c>
      <c r="FU121">
        <v>28.2</v>
      </c>
      <c r="FV121">
        <v>1.77979</v>
      </c>
      <c r="FW121">
        <v>2.5598100000000001</v>
      </c>
      <c r="FX121">
        <v>1.5490699999999999</v>
      </c>
      <c r="FY121">
        <v>2.33521</v>
      </c>
      <c r="FZ121">
        <v>1.50146</v>
      </c>
      <c r="GA121">
        <v>2.3718300000000001</v>
      </c>
      <c r="GB121">
        <v>32.399099999999997</v>
      </c>
      <c r="GC121">
        <v>23.982399999999998</v>
      </c>
      <c r="GD121">
        <v>19</v>
      </c>
      <c r="GE121">
        <v>283.89800000000002</v>
      </c>
      <c r="GF121">
        <v>594.51199999999994</v>
      </c>
      <c r="GG121">
        <v>23.759499999999999</v>
      </c>
      <c r="GH121">
        <v>25.809899999999999</v>
      </c>
      <c r="GI121">
        <v>29.9998</v>
      </c>
      <c r="GJ121">
        <v>25.985399999999998</v>
      </c>
      <c r="GK121">
        <v>25.972100000000001</v>
      </c>
      <c r="GL121">
        <v>35.593299999999999</v>
      </c>
      <c r="GM121">
        <v>-30</v>
      </c>
      <c r="GN121">
        <v>-30</v>
      </c>
      <c r="GO121">
        <v>23.758900000000001</v>
      </c>
      <c r="GP121">
        <v>800</v>
      </c>
      <c r="GQ121">
        <v>12.5298</v>
      </c>
      <c r="GR121">
        <v>99.648499999999999</v>
      </c>
      <c r="GS121">
        <v>99.340199999999996</v>
      </c>
    </row>
    <row r="122" spans="1:201" x14ac:dyDescent="0.25">
      <c r="A122">
        <v>106</v>
      </c>
      <c r="B122">
        <v>1690204825.5</v>
      </c>
      <c r="C122">
        <v>1385.900000095367</v>
      </c>
      <c r="D122" t="s">
        <v>545</v>
      </c>
      <c r="E122" t="s">
        <v>546</v>
      </c>
      <c r="F122" t="s">
        <v>330</v>
      </c>
      <c r="H122">
        <v>1690204825.5</v>
      </c>
      <c r="I122">
        <f t="shared" si="30"/>
        <v>1.8490202888404544E-3</v>
      </c>
      <c r="J122">
        <f t="shared" si="31"/>
        <v>1.8490202888404543</v>
      </c>
      <c r="K122">
        <f t="shared" si="32"/>
        <v>36.563259722569789</v>
      </c>
      <c r="L122">
        <f t="shared" si="33"/>
        <v>412.15</v>
      </c>
      <c r="M122">
        <f t="shared" si="34"/>
        <v>87.972356281110848</v>
      </c>
      <c r="N122">
        <f t="shared" si="35"/>
        <v>8.7238807145634638</v>
      </c>
      <c r="O122">
        <f t="shared" si="36"/>
        <v>40.871332637924993</v>
      </c>
      <c r="P122">
        <f t="shared" si="37"/>
        <v>0.1902495885237486</v>
      </c>
      <c r="Q122">
        <f t="shared" si="38"/>
        <v>2.1959688819512992</v>
      </c>
      <c r="R122">
        <f t="shared" si="39"/>
        <v>0.18154408473466316</v>
      </c>
      <c r="S122">
        <f t="shared" si="40"/>
        <v>0.11421400775714757</v>
      </c>
      <c r="T122">
        <f t="shared" si="41"/>
        <v>276.11575500600003</v>
      </c>
      <c r="U122">
        <f t="shared" si="42"/>
        <v>27.033202458249086</v>
      </c>
      <c r="V122">
        <f t="shared" si="43"/>
        <v>27.033202458249086</v>
      </c>
      <c r="W122">
        <f t="shared" si="44"/>
        <v>3.5861452214485507</v>
      </c>
      <c r="X122">
        <f t="shared" si="45"/>
        <v>79.442402026378744</v>
      </c>
      <c r="Y122">
        <f t="shared" si="46"/>
        <v>2.6076832468279498</v>
      </c>
      <c r="Z122">
        <f t="shared" si="47"/>
        <v>3.2824828810715871</v>
      </c>
      <c r="AA122">
        <f t="shared" si="48"/>
        <v>0.97846197462060092</v>
      </c>
      <c r="AB122">
        <f t="shared" si="49"/>
        <v>-81.541794737864038</v>
      </c>
      <c r="AC122">
        <f t="shared" si="50"/>
        <v>-177.39448005648944</v>
      </c>
      <c r="AD122">
        <f t="shared" si="51"/>
        <v>-17.309254120816078</v>
      </c>
      <c r="AE122">
        <f t="shared" si="52"/>
        <v>-0.12977390916955756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52719.245402085813</v>
      </c>
      <c r="AK122">
        <f t="shared" si="56"/>
        <v>1800</v>
      </c>
      <c r="AL122">
        <f t="shared" si="57"/>
        <v>1499.1108515999999</v>
      </c>
      <c r="AM122">
        <f t="shared" si="58"/>
        <v>0.83283936199999997</v>
      </c>
      <c r="AN122">
        <f t="shared" si="59"/>
        <v>0.15339764167</v>
      </c>
      <c r="AO122">
        <v>31.2</v>
      </c>
      <c r="AP122">
        <v>0.5</v>
      </c>
      <c r="AQ122" t="s">
        <v>331</v>
      </c>
      <c r="AR122">
        <v>2</v>
      </c>
      <c r="AS122">
        <v>1690204825.5</v>
      </c>
      <c r="AT122">
        <v>412.15</v>
      </c>
      <c r="AU122">
        <v>799.98699999999997</v>
      </c>
      <c r="AV122">
        <v>26.296099999999999</v>
      </c>
      <c r="AW122">
        <v>7.5886699999999996</v>
      </c>
      <c r="AX122">
        <v>412.87099999999998</v>
      </c>
      <c r="AY122">
        <v>26.128399999999999</v>
      </c>
      <c r="AZ122">
        <v>300.26799999999997</v>
      </c>
      <c r="BA122">
        <v>99.066199999999995</v>
      </c>
      <c r="BB122">
        <v>9.9959500000000007E-2</v>
      </c>
      <c r="BC122">
        <v>25.534800000000001</v>
      </c>
      <c r="BD122">
        <v>27.020499999999998</v>
      </c>
      <c r="BE122">
        <v>26.799299999999999</v>
      </c>
      <c r="BF122">
        <v>0</v>
      </c>
      <c r="BG122">
        <v>0</v>
      </c>
      <c r="BH122">
        <v>10015.6</v>
      </c>
      <c r="BI122">
        <v>1064.25</v>
      </c>
      <c r="BJ122">
        <v>1.68198</v>
      </c>
      <c r="BK122">
        <v>-387.83699999999999</v>
      </c>
      <c r="BL122">
        <v>423.28</v>
      </c>
      <c r="BM122">
        <v>806.10400000000004</v>
      </c>
      <c r="BN122">
        <v>18.7075</v>
      </c>
      <c r="BO122">
        <v>799.98699999999997</v>
      </c>
      <c r="BP122">
        <v>7.5886699999999996</v>
      </c>
      <c r="BQ122">
        <v>2.6050599999999999</v>
      </c>
      <c r="BR122">
        <v>0.75178100000000003</v>
      </c>
      <c r="BS122">
        <v>21.6982</v>
      </c>
      <c r="BT122">
        <v>2.8280099999999999</v>
      </c>
      <c r="BU122">
        <v>1800</v>
      </c>
      <c r="BV122">
        <v>0.90999099999999999</v>
      </c>
      <c r="BW122">
        <v>3.4001000000000003E-2</v>
      </c>
      <c r="BX122">
        <v>2.2003100000000001E-2</v>
      </c>
      <c r="BY122">
        <v>3.4004699999999999E-2</v>
      </c>
      <c r="BZ122">
        <v>25</v>
      </c>
      <c r="CA122">
        <v>33528.300000000003</v>
      </c>
      <c r="CB122">
        <v>1690203121.0999999</v>
      </c>
      <c r="CC122" t="s">
        <v>332</v>
      </c>
      <c r="CD122">
        <v>1690203121.0999999</v>
      </c>
      <c r="CE122">
        <v>1690203121.0999999</v>
      </c>
      <c r="CF122">
        <v>3</v>
      </c>
      <c r="CG122">
        <v>0.53600000000000003</v>
      </c>
      <c r="CH122">
        <v>-0.01</v>
      </c>
      <c r="CI122">
        <v>-0.996</v>
      </c>
      <c r="CJ122">
        <v>-6.6000000000000003E-2</v>
      </c>
      <c r="CK122">
        <v>800</v>
      </c>
      <c r="CL122">
        <v>9</v>
      </c>
      <c r="CM122">
        <v>0.82</v>
      </c>
      <c r="CN122">
        <v>0.01</v>
      </c>
      <c r="CO122">
        <v>-385.8159024390244</v>
      </c>
      <c r="CP122">
        <v>-10.696348432054579</v>
      </c>
      <c r="CQ122">
        <v>1.057914487873473</v>
      </c>
      <c r="CR122">
        <v>-1</v>
      </c>
      <c r="CS122">
        <v>18.623429268292679</v>
      </c>
      <c r="CT122">
        <v>0.42718327526125321</v>
      </c>
      <c r="CU122">
        <v>4.214675431708359E-2</v>
      </c>
      <c r="CV122">
        <v>-1</v>
      </c>
      <c r="CW122">
        <v>0</v>
      </c>
      <c r="CX122">
        <v>0</v>
      </c>
      <c r="CY122" t="s">
        <v>333</v>
      </c>
      <c r="CZ122">
        <v>2.3652600000000001</v>
      </c>
      <c r="DA122">
        <v>2.7137699999999998</v>
      </c>
      <c r="DB122">
        <v>9.1744500000000007E-2</v>
      </c>
      <c r="DC122">
        <v>0.14622199999999999</v>
      </c>
      <c r="DD122">
        <v>0.12160899999999999</v>
      </c>
      <c r="DE122">
        <v>4.7713100000000001E-2</v>
      </c>
      <c r="DF122">
        <v>33139.4</v>
      </c>
      <c r="DG122">
        <v>27463.3</v>
      </c>
      <c r="DH122">
        <v>31147.3</v>
      </c>
      <c r="DI122">
        <v>28027.5</v>
      </c>
      <c r="DJ122">
        <v>37128.199999999997</v>
      </c>
      <c r="DK122">
        <v>37933.5</v>
      </c>
      <c r="DL122">
        <v>44318.6</v>
      </c>
      <c r="DM122">
        <v>42455.4</v>
      </c>
      <c r="DN122">
        <v>1.4824999999999999</v>
      </c>
      <c r="DO122">
        <v>2.0550999999999999</v>
      </c>
      <c r="DP122">
        <v>0.17113200000000001</v>
      </c>
      <c r="DQ122">
        <v>0.159912</v>
      </c>
      <c r="DR122">
        <v>24.215399999999999</v>
      </c>
      <c r="DS122">
        <v>24.177600000000002</v>
      </c>
      <c r="DT122">
        <v>24.7</v>
      </c>
      <c r="DU122">
        <v>27.7</v>
      </c>
      <c r="DV122">
        <v>9.2981400000000001</v>
      </c>
      <c r="DW122">
        <v>61.655500000000004</v>
      </c>
      <c r="DX122">
        <v>36.013599999999997</v>
      </c>
      <c r="DY122">
        <v>1</v>
      </c>
      <c r="DZ122">
        <v>-0.126359</v>
      </c>
      <c r="EA122">
        <v>-2.7260399999999999E-3</v>
      </c>
      <c r="EB122">
        <v>20.191299999999998</v>
      </c>
      <c r="EC122">
        <v>5.24125</v>
      </c>
      <c r="ED122">
        <v>12.039899999999999</v>
      </c>
      <c r="EE122">
        <v>5.0174500000000002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</v>
      </c>
      <c r="EL122">
        <v>1.8646199999999999</v>
      </c>
      <c r="EM122">
        <v>1.86914</v>
      </c>
      <c r="EN122">
        <v>1.8672200000000001</v>
      </c>
      <c r="EO122">
        <v>1.8633999999999999</v>
      </c>
      <c r="EP122">
        <v>1.8644799999999999</v>
      </c>
      <c r="EQ122">
        <v>1.8701399999999999</v>
      </c>
      <c r="ER122">
        <v>1.8693900000000001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-0.72099999999999997</v>
      </c>
      <c r="FG122">
        <v>0.16769999999999999</v>
      </c>
      <c r="FH122">
        <v>-0.44422204735670362</v>
      </c>
      <c r="FI122">
        <v>-6.1462078757559423E-4</v>
      </c>
      <c r="FJ122">
        <v>-1.8861989874597051E-7</v>
      </c>
      <c r="FK122">
        <v>1.1980462299894961E-10</v>
      </c>
      <c r="FL122">
        <v>0.16773393518503121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28.4</v>
      </c>
      <c r="FU122">
        <v>28.4</v>
      </c>
      <c r="FV122">
        <v>1.77979</v>
      </c>
      <c r="FW122">
        <v>2.5647000000000002</v>
      </c>
      <c r="FX122">
        <v>1.5490699999999999</v>
      </c>
      <c r="FY122">
        <v>2.33521</v>
      </c>
      <c r="FZ122">
        <v>1.50146</v>
      </c>
      <c r="GA122">
        <v>2.31934</v>
      </c>
      <c r="GB122">
        <v>32.399099999999997</v>
      </c>
      <c r="GC122">
        <v>23.982399999999998</v>
      </c>
      <c r="GD122">
        <v>19</v>
      </c>
      <c r="GE122">
        <v>283.923</v>
      </c>
      <c r="GF122">
        <v>594.48299999999995</v>
      </c>
      <c r="GG122">
        <v>23.784600000000001</v>
      </c>
      <c r="GH122">
        <v>25.806100000000001</v>
      </c>
      <c r="GI122">
        <v>29.9998</v>
      </c>
      <c r="GJ122">
        <v>25.9816</v>
      </c>
      <c r="GK122">
        <v>25.967700000000001</v>
      </c>
      <c r="GL122">
        <v>35.595199999999998</v>
      </c>
      <c r="GM122">
        <v>-30</v>
      </c>
      <c r="GN122">
        <v>-30</v>
      </c>
      <c r="GO122">
        <v>23.810500000000001</v>
      </c>
      <c r="GP122">
        <v>800</v>
      </c>
      <c r="GQ122">
        <v>12.5298</v>
      </c>
      <c r="GR122">
        <v>99.649000000000001</v>
      </c>
      <c r="GS122">
        <v>99.340800000000002</v>
      </c>
    </row>
    <row r="123" spans="1:201" x14ac:dyDescent="0.25">
      <c r="A123">
        <v>107</v>
      </c>
      <c r="B123">
        <v>1690204835.5</v>
      </c>
      <c r="C123">
        <v>1395.900000095367</v>
      </c>
      <c r="D123" t="s">
        <v>547</v>
      </c>
      <c r="E123" t="s">
        <v>548</v>
      </c>
      <c r="F123" t="s">
        <v>330</v>
      </c>
      <c r="H123">
        <v>1690204835.5</v>
      </c>
      <c r="I123">
        <f t="shared" si="30"/>
        <v>1.8564505434347429E-3</v>
      </c>
      <c r="J123">
        <f t="shared" si="31"/>
        <v>1.8564505434347429</v>
      </c>
      <c r="K123">
        <f t="shared" si="32"/>
        <v>36.719176222361931</v>
      </c>
      <c r="L123">
        <f t="shared" si="33"/>
        <v>410.279</v>
      </c>
      <c r="M123">
        <f t="shared" si="34"/>
        <v>88.479981918953428</v>
      </c>
      <c r="N123">
        <f t="shared" si="35"/>
        <v>8.774498348707171</v>
      </c>
      <c r="O123">
        <f t="shared" si="36"/>
        <v>40.6870834502066</v>
      </c>
      <c r="P123">
        <f t="shared" si="37"/>
        <v>0.19255600136947948</v>
      </c>
      <c r="Q123">
        <f t="shared" si="38"/>
        <v>2.1964748582340574</v>
      </c>
      <c r="R123">
        <f t="shared" si="39"/>
        <v>0.18364540730993037</v>
      </c>
      <c r="S123">
        <f t="shared" si="40"/>
        <v>0.11554459406246739</v>
      </c>
      <c r="T123">
        <f t="shared" si="41"/>
        <v>276.11573515200007</v>
      </c>
      <c r="U123">
        <f t="shared" si="42"/>
        <v>27.035757571618735</v>
      </c>
      <c r="V123">
        <f t="shared" si="43"/>
        <v>27.035757571618735</v>
      </c>
      <c r="W123">
        <f t="shared" si="44"/>
        <v>3.5866832894619001</v>
      </c>
      <c r="X123">
        <f t="shared" si="45"/>
        <v>79.656236217517886</v>
      </c>
      <c r="Y123">
        <f t="shared" si="46"/>
        <v>2.6155408452722999</v>
      </c>
      <c r="Z123">
        <f t="shared" si="47"/>
        <v>3.283535564158496</v>
      </c>
      <c r="AA123">
        <f t="shared" si="48"/>
        <v>0.97114244418960016</v>
      </c>
      <c r="AB123">
        <f t="shared" si="49"/>
        <v>-81.869468965472166</v>
      </c>
      <c r="AC123">
        <f t="shared" si="50"/>
        <v>-177.09847267026632</v>
      </c>
      <c r="AD123">
        <f t="shared" si="51"/>
        <v>-17.277078960879937</v>
      </c>
      <c r="AE123">
        <f t="shared" si="52"/>
        <v>-0.12928544461831848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52739.170975018336</v>
      </c>
      <c r="AK123">
        <f t="shared" si="56"/>
        <v>1800</v>
      </c>
      <c r="AL123">
        <f t="shared" si="57"/>
        <v>1499.1114222000001</v>
      </c>
      <c r="AM123">
        <f t="shared" si="58"/>
        <v>0.83283967900000011</v>
      </c>
      <c r="AN123">
        <f t="shared" si="59"/>
        <v>0.15339763064000003</v>
      </c>
      <c r="AO123">
        <v>31.2</v>
      </c>
      <c r="AP123">
        <v>0.5</v>
      </c>
      <c r="AQ123" t="s">
        <v>331</v>
      </c>
      <c r="AR123">
        <v>2</v>
      </c>
      <c r="AS123">
        <v>1690204835.5</v>
      </c>
      <c r="AT123">
        <v>410.279</v>
      </c>
      <c r="AU123">
        <v>799.98099999999999</v>
      </c>
      <c r="AV123">
        <v>26.374500000000001</v>
      </c>
      <c r="AW123">
        <v>7.5813899999999999</v>
      </c>
      <c r="AX123">
        <v>411</v>
      </c>
      <c r="AY123">
        <v>26.206800000000001</v>
      </c>
      <c r="AZ123">
        <v>300.07600000000002</v>
      </c>
      <c r="BA123">
        <v>99.069400000000002</v>
      </c>
      <c r="BB123">
        <v>9.9905400000000005E-2</v>
      </c>
      <c r="BC123">
        <v>25.540199999999999</v>
      </c>
      <c r="BD123">
        <v>26.968299999999999</v>
      </c>
      <c r="BE123">
        <v>26.8188</v>
      </c>
      <c r="BF123">
        <v>0</v>
      </c>
      <c r="BG123">
        <v>0</v>
      </c>
      <c r="BH123">
        <v>10019.4</v>
      </c>
      <c r="BI123">
        <v>1064.3399999999999</v>
      </c>
      <c r="BJ123">
        <v>1.68198</v>
      </c>
      <c r="BK123">
        <v>-389.702</v>
      </c>
      <c r="BL123">
        <v>421.39400000000001</v>
      </c>
      <c r="BM123">
        <v>806.09299999999996</v>
      </c>
      <c r="BN123">
        <v>18.793099999999999</v>
      </c>
      <c r="BO123">
        <v>799.98099999999999</v>
      </c>
      <c r="BP123">
        <v>7.5813899999999999</v>
      </c>
      <c r="BQ123">
        <v>2.6129099999999998</v>
      </c>
      <c r="BR123">
        <v>0.75108299999999995</v>
      </c>
      <c r="BS123">
        <v>21.747399999999999</v>
      </c>
      <c r="BT123">
        <v>2.8149299999999999</v>
      </c>
      <c r="BU123">
        <v>1800</v>
      </c>
      <c r="BV123">
        <v>0.90999300000000005</v>
      </c>
      <c r="BW123">
        <v>3.4000299999999997E-2</v>
      </c>
      <c r="BX123">
        <v>2.20027E-2</v>
      </c>
      <c r="BY123">
        <v>3.4004E-2</v>
      </c>
      <c r="BZ123">
        <v>25</v>
      </c>
      <c r="CA123">
        <v>33528.300000000003</v>
      </c>
      <c r="CB123">
        <v>1690203121.0999999</v>
      </c>
      <c r="CC123" t="s">
        <v>332</v>
      </c>
      <c r="CD123">
        <v>1690203121.0999999</v>
      </c>
      <c r="CE123">
        <v>1690203121.0999999</v>
      </c>
      <c r="CF123">
        <v>3</v>
      </c>
      <c r="CG123">
        <v>0.53600000000000003</v>
      </c>
      <c r="CH123">
        <v>-0.01</v>
      </c>
      <c r="CI123">
        <v>-0.996</v>
      </c>
      <c r="CJ123">
        <v>-6.6000000000000003E-2</v>
      </c>
      <c r="CK123">
        <v>800</v>
      </c>
      <c r="CL123">
        <v>9</v>
      </c>
      <c r="CM123">
        <v>0.82</v>
      </c>
      <c r="CN123">
        <v>0.01</v>
      </c>
      <c r="CO123">
        <v>-387.74650000000003</v>
      </c>
      <c r="CP123">
        <v>-11.30352720450249</v>
      </c>
      <c r="CQ123">
        <v>1.0878800485347599</v>
      </c>
      <c r="CR123">
        <v>-1</v>
      </c>
      <c r="CS123">
        <v>18.705377500000001</v>
      </c>
      <c r="CT123">
        <v>0.48619474671668089</v>
      </c>
      <c r="CU123">
        <v>4.6850136005672401E-2</v>
      </c>
      <c r="CV123">
        <v>-1</v>
      </c>
      <c r="CW123">
        <v>0</v>
      </c>
      <c r="CX123">
        <v>0</v>
      </c>
      <c r="CY123" t="s">
        <v>333</v>
      </c>
      <c r="CZ123">
        <v>2.3646600000000002</v>
      </c>
      <c r="DA123">
        <v>2.7137099999999998</v>
      </c>
      <c r="DB123">
        <v>9.1432299999999994E-2</v>
      </c>
      <c r="DC123">
        <v>0.146227</v>
      </c>
      <c r="DD123">
        <v>0.121867</v>
      </c>
      <c r="DE123">
        <v>4.7678699999999997E-2</v>
      </c>
      <c r="DF123">
        <v>33151</v>
      </c>
      <c r="DG123">
        <v>27463.200000000001</v>
      </c>
      <c r="DH123">
        <v>31147.5</v>
      </c>
      <c r="DI123">
        <v>28027.5</v>
      </c>
      <c r="DJ123">
        <v>37117.599999999999</v>
      </c>
      <c r="DK123">
        <v>37934.9</v>
      </c>
      <c r="DL123">
        <v>44319.199999999997</v>
      </c>
      <c r="DM123">
        <v>42455.4</v>
      </c>
      <c r="DN123">
        <v>1.4821500000000001</v>
      </c>
      <c r="DO123">
        <v>2.0552700000000002</v>
      </c>
      <c r="DP123">
        <v>0.16794400000000001</v>
      </c>
      <c r="DQ123">
        <v>0.16090599999999999</v>
      </c>
      <c r="DR123">
        <v>24.215399999999999</v>
      </c>
      <c r="DS123">
        <v>24.180800000000001</v>
      </c>
      <c r="DT123">
        <v>24.6</v>
      </c>
      <c r="DU123">
        <v>27.7</v>
      </c>
      <c r="DV123">
        <v>9.2584099999999996</v>
      </c>
      <c r="DW123">
        <v>61.3155</v>
      </c>
      <c r="DX123">
        <v>36.866999999999997</v>
      </c>
      <c r="DY123">
        <v>1</v>
      </c>
      <c r="DZ123">
        <v>-0.125808</v>
      </c>
      <c r="EA123">
        <v>0.18371499999999999</v>
      </c>
      <c r="EB123">
        <v>20.191400000000002</v>
      </c>
      <c r="EC123">
        <v>5.24125</v>
      </c>
      <c r="ED123">
        <v>12.039899999999999</v>
      </c>
      <c r="EE123">
        <v>5.0170500000000002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</v>
      </c>
      <c r="EL123">
        <v>1.8646199999999999</v>
      </c>
      <c r="EM123">
        <v>1.8691199999999999</v>
      </c>
      <c r="EN123">
        <v>1.8672200000000001</v>
      </c>
      <c r="EO123">
        <v>1.8633999999999999</v>
      </c>
      <c r="EP123">
        <v>1.8644700000000001</v>
      </c>
      <c r="EQ123">
        <v>1.8701399999999999</v>
      </c>
      <c r="ER123">
        <v>1.86938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-0.72099999999999997</v>
      </c>
      <c r="FG123">
        <v>0.16769999999999999</v>
      </c>
      <c r="FH123">
        <v>-0.44422204735670362</v>
      </c>
      <c r="FI123">
        <v>-6.1462078757559423E-4</v>
      </c>
      <c r="FJ123">
        <v>-1.8861989874597051E-7</v>
      </c>
      <c r="FK123">
        <v>1.1980462299894961E-10</v>
      </c>
      <c r="FL123">
        <v>0.16773393518503121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28.6</v>
      </c>
      <c r="FU123">
        <v>28.6</v>
      </c>
      <c r="FV123">
        <v>1.77979</v>
      </c>
      <c r="FW123">
        <v>2.5585900000000001</v>
      </c>
      <c r="FX123">
        <v>1.5490699999999999</v>
      </c>
      <c r="FY123">
        <v>2.33521</v>
      </c>
      <c r="FZ123">
        <v>1.50146</v>
      </c>
      <c r="GA123">
        <v>2.34131</v>
      </c>
      <c r="GB123">
        <v>32.399099999999997</v>
      </c>
      <c r="GC123">
        <v>23.982399999999998</v>
      </c>
      <c r="GD123">
        <v>19</v>
      </c>
      <c r="GE123">
        <v>283.75799999999998</v>
      </c>
      <c r="GF123">
        <v>594.58100000000002</v>
      </c>
      <c r="GG123">
        <v>23.7729</v>
      </c>
      <c r="GH123">
        <v>25.802299999999999</v>
      </c>
      <c r="GI123">
        <v>30.000399999999999</v>
      </c>
      <c r="GJ123">
        <v>25.977799999999998</v>
      </c>
      <c r="GK123">
        <v>25.9635</v>
      </c>
      <c r="GL123">
        <v>35.595999999999997</v>
      </c>
      <c r="GM123">
        <v>-30</v>
      </c>
      <c r="GN123">
        <v>-30</v>
      </c>
      <c r="GO123">
        <v>23.771999999999998</v>
      </c>
      <c r="GP123">
        <v>800</v>
      </c>
      <c r="GQ123">
        <v>12.5298</v>
      </c>
      <c r="GR123">
        <v>99.65</v>
      </c>
      <c r="GS123">
        <v>99.340900000000005</v>
      </c>
    </row>
    <row r="124" spans="1:201" x14ac:dyDescent="0.25">
      <c r="A124">
        <v>108</v>
      </c>
      <c r="B124">
        <v>1690204845.5</v>
      </c>
      <c r="C124">
        <v>1405.900000095367</v>
      </c>
      <c r="D124" t="s">
        <v>549</v>
      </c>
      <c r="E124" t="s">
        <v>550</v>
      </c>
      <c r="F124" t="s">
        <v>330</v>
      </c>
      <c r="H124">
        <v>1690204845.5</v>
      </c>
      <c r="I124">
        <f t="shared" si="30"/>
        <v>1.8614718873531269E-3</v>
      </c>
      <c r="J124">
        <f t="shared" si="31"/>
        <v>1.8614718873531269</v>
      </c>
      <c r="K124">
        <f t="shared" si="32"/>
        <v>36.878615544090884</v>
      </c>
      <c r="L124">
        <f t="shared" si="33"/>
        <v>408.608</v>
      </c>
      <c r="M124">
        <f t="shared" si="34"/>
        <v>87.511039987506948</v>
      </c>
      <c r="N124">
        <f t="shared" si="35"/>
        <v>8.6784855875482627</v>
      </c>
      <c r="O124">
        <f t="shared" si="36"/>
        <v>40.521728909440007</v>
      </c>
      <c r="P124">
        <f t="shared" si="37"/>
        <v>0.19386818522243848</v>
      </c>
      <c r="Q124">
        <f t="shared" si="38"/>
        <v>2.1915651867382846</v>
      </c>
      <c r="R124">
        <f t="shared" si="39"/>
        <v>0.1848195802431308</v>
      </c>
      <c r="S124">
        <f t="shared" si="40"/>
        <v>0.11629001833432727</v>
      </c>
      <c r="T124">
        <f t="shared" si="41"/>
        <v>276.11416895587263</v>
      </c>
      <c r="U124">
        <f t="shared" si="42"/>
        <v>27.039787533512936</v>
      </c>
      <c r="V124">
        <f t="shared" si="43"/>
        <v>27.039787533512936</v>
      </c>
      <c r="W124">
        <f t="shared" si="44"/>
        <v>3.5875320813701599</v>
      </c>
      <c r="X124">
        <f t="shared" si="45"/>
        <v>79.778245825011936</v>
      </c>
      <c r="Y124">
        <f t="shared" si="46"/>
        <v>2.6199670684020004</v>
      </c>
      <c r="Z124">
        <f t="shared" si="47"/>
        <v>3.284062016290402</v>
      </c>
      <c r="AA124">
        <f t="shared" si="48"/>
        <v>0.96756501296815944</v>
      </c>
      <c r="AB124">
        <f t="shared" si="49"/>
        <v>-82.090910232272904</v>
      </c>
      <c r="AC124">
        <f t="shared" si="50"/>
        <v>-176.85975043170433</v>
      </c>
      <c r="AD124">
        <f t="shared" si="51"/>
        <v>-17.293026502483944</v>
      </c>
      <c r="AE124">
        <f t="shared" si="52"/>
        <v>-0.12951821058854307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52537.003818320925</v>
      </c>
      <c r="AK124">
        <f t="shared" si="56"/>
        <v>1799.99</v>
      </c>
      <c r="AL124">
        <f t="shared" si="57"/>
        <v>1499.1036428001598</v>
      </c>
      <c r="AM124">
        <f t="shared" si="58"/>
        <v>0.83283998399999992</v>
      </c>
      <c r="AN124">
        <f t="shared" si="59"/>
        <v>0.15339761274000002</v>
      </c>
      <c r="AO124">
        <v>31.2</v>
      </c>
      <c r="AP124">
        <v>0.5</v>
      </c>
      <c r="AQ124" t="s">
        <v>331</v>
      </c>
      <c r="AR124">
        <v>2</v>
      </c>
      <c r="AS124">
        <v>1690204845.5</v>
      </c>
      <c r="AT124">
        <v>408.608</v>
      </c>
      <c r="AU124">
        <v>799.97900000000004</v>
      </c>
      <c r="AV124">
        <v>26.418900000000001</v>
      </c>
      <c r="AW124">
        <v>7.5747499999999999</v>
      </c>
      <c r="AX124">
        <v>409.32799999999997</v>
      </c>
      <c r="AY124">
        <v>26.251200000000001</v>
      </c>
      <c r="AZ124">
        <v>300.05900000000003</v>
      </c>
      <c r="BA124">
        <v>99.070099999999996</v>
      </c>
      <c r="BB124">
        <v>0.10008</v>
      </c>
      <c r="BC124">
        <v>25.542899999999999</v>
      </c>
      <c r="BD124">
        <v>26.954899999999999</v>
      </c>
      <c r="BE124">
        <v>26.814699999999998</v>
      </c>
      <c r="BF124">
        <v>0</v>
      </c>
      <c r="BG124">
        <v>0</v>
      </c>
      <c r="BH124">
        <v>9979.3799999999992</v>
      </c>
      <c r="BI124">
        <v>1064.44</v>
      </c>
      <c r="BJ124">
        <v>1.68198</v>
      </c>
      <c r="BK124">
        <v>-391.37</v>
      </c>
      <c r="BL124">
        <v>419.69600000000003</v>
      </c>
      <c r="BM124">
        <v>806.08500000000004</v>
      </c>
      <c r="BN124">
        <v>18.844200000000001</v>
      </c>
      <c r="BO124">
        <v>799.97900000000004</v>
      </c>
      <c r="BP124">
        <v>7.5747499999999999</v>
      </c>
      <c r="BQ124">
        <v>2.6173199999999999</v>
      </c>
      <c r="BR124">
        <v>0.75043099999999996</v>
      </c>
      <c r="BS124">
        <v>21.775099999999998</v>
      </c>
      <c r="BT124">
        <v>2.8026900000000001</v>
      </c>
      <c r="BU124">
        <v>1799.99</v>
      </c>
      <c r="BV124">
        <v>0.909995</v>
      </c>
      <c r="BW124">
        <v>3.3999599999999998E-2</v>
      </c>
      <c r="BX124">
        <v>2.20022E-2</v>
      </c>
      <c r="BY124">
        <v>3.4003400000000003E-2</v>
      </c>
      <c r="BZ124">
        <v>25</v>
      </c>
      <c r="CA124">
        <v>33528.199999999997</v>
      </c>
      <c r="CB124">
        <v>1690203121.0999999</v>
      </c>
      <c r="CC124" t="s">
        <v>332</v>
      </c>
      <c r="CD124">
        <v>1690203121.0999999</v>
      </c>
      <c r="CE124">
        <v>1690203121.0999999</v>
      </c>
      <c r="CF124">
        <v>3</v>
      </c>
      <c r="CG124">
        <v>0.53600000000000003</v>
      </c>
      <c r="CH124">
        <v>-0.01</v>
      </c>
      <c r="CI124">
        <v>-0.996</v>
      </c>
      <c r="CJ124">
        <v>-6.6000000000000003E-2</v>
      </c>
      <c r="CK124">
        <v>800</v>
      </c>
      <c r="CL124">
        <v>9</v>
      </c>
      <c r="CM124">
        <v>0.82</v>
      </c>
      <c r="CN124">
        <v>0.01</v>
      </c>
      <c r="CO124">
        <v>-389.39546341463421</v>
      </c>
      <c r="CP124">
        <v>-10.406320557491609</v>
      </c>
      <c r="CQ124">
        <v>1.0279164599623429</v>
      </c>
      <c r="CR124">
        <v>-1</v>
      </c>
      <c r="CS124">
        <v>18.77448048780488</v>
      </c>
      <c r="CT124">
        <v>0.42429198606272461</v>
      </c>
      <c r="CU124">
        <v>4.2279950962844912E-2</v>
      </c>
      <c r="CV124">
        <v>-1</v>
      </c>
      <c r="CW124">
        <v>0</v>
      </c>
      <c r="CX124">
        <v>0</v>
      </c>
      <c r="CY124" t="s">
        <v>333</v>
      </c>
      <c r="CZ124">
        <v>2.3645999999999998</v>
      </c>
      <c r="DA124">
        <v>2.7138499999999999</v>
      </c>
      <c r="DB124">
        <v>9.1151099999999999E-2</v>
      </c>
      <c r="DC124">
        <v>0.146229</v>
      </c>
      <c r="DD124">
        <v>0.122012</v>
      </c>
      <c r="DE124">
        <v>4.7646399999999998E-2</v>
      </c>
      <c r="DF124">
        <v>33161.800000000003</v>
      </c>
      <c r="DG124">
        <v>27463.8</v>
      </c>
      <c r="DH124">
        <v>31148</v>
      </c>
      <c r="DI124">
        <v>28028.1</v>
      </c>
      <c r="DJ124">
        <v>37111.599999999999</v>
      </c>
      <c r="DK124">
        <v>37937</v>
      </c>
      <c r="DL124">
        <v>44319.5</v>
      </c>
      <c r="DM124">
        <v>42456.3</v>
      </c>
      <c r="DN124">
        <v>1.4825200000000001</v>
      </c>
      <c r="DO124">
        <v>2.0549499999999998</v>
      </c>
      <c r="DP124">
        <v>0.16711999999999999</v>
      </c>
      <c r="DQ124">
        <v>0.16053799999999999</v>
      </c>
      <c r="DR124">
        <v>24.215399999999999</v>
      </c>
      <c r="DS124">
        <v>24.1828</v>
      </c>
      <c r="DT124">
        <v>24.6</v>
      </c>
      <c r="DU124">
        <v>27.7</v>
      </c>
      <c r="DV124">
        <v>9.2594399999999997</v>
      </c>
      <c r="DW124">
        <v>61.665500000000002</v>
      </c>
      <c r="DX124">
        <v>36.935099999999998</v>
      </c>
      <c r="DY124">
        <v>1</v>
      </c>
      <c r="DZ124">
        <v>-0.12683900000000001</v>
      </c>
      <c r="EA124">
        <v>0.10309599999999999</v>
      </c>
      <c r="EB124">
        <v>20.191400000000002</v>
      </c>
      <c r="EC124">
        <v>5.24125</v>
      </c>
      <c r="ED124">
        <v>12.039899999999999</v>
      </c>
      <c r="EE124">
        <v>5.0174500000000002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1.8688899999999999</v>
      </c>
      <c r="EL124">
        <v>1.8646199999999999</v>
      </c>
      <c r="EM124">
        <v>1.8691199999999999</v>
      </c>
      <c r="EN124">
        <v>1.8672200000000001</v>
      </c>
      <c r="EO124">
        <v>1.8633999999999999</v>
      </c>
      <c r="EP124">
        <v>1.8644700000000001</v>
      </c>
      <c r="EQ124">
        <v>1.8701300000000001</v>
      </c>
      <c r="ER124">
        <v>1.86938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-0.72</v>
      </c>
      <c r="FG124">
        <v>0.16769999999999999</v>
      </c>
      <c r="FH124">
        <v>-0.44422204735670362</v>
      </c>
      <c r="FI124">
        <v>-6.1462078757559423E-4</v>
      </c>
      <c r="FJ124">
        <v>-1.8861989874597051E-7</v>
      </c>
      <c r="FK124">
        <v>1.1980462299894961E-10</v>
      </c>
      <c r="FL124">
        <v>0.16773393518503121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28.7</v>
      </c>
      <c r="FU124">
        <v>28.7</v>
      </c>
      <c r="FV124">
        <v>1.77979</v>
      </c>
      <c r="FW124">
        <v>2.5549300000000001</v>
      </c>
      <c r="FX124">
        <v>1.5490699999999999</v>
      </c>
      <c r="FY124">
        <v>2.33521</v>
      </c>
      <c r="FZ124">
        <v>1.50146</v>
      </c>
      <c r="GA124">
        <v>2.3974600000000001</v>
      </c>
      <c r="GB124">
        <v>32.399099999999997</v>
      </c>
      <c r="GC124">
        <v>23.991199999999999</v>
      </c>
      <c r="GD124">
        <v>19</v>
      </c>
      <c r="GE124">
        <v>283.89600000000002</v>
      </c>
      <c r="GF124">
        <v>594.26499999999999</v>
      </c>
      <c r="GG124">
        <v>23.780999999999999</v>
      </c>
      <c r="GH124">
        <v>25.798500000000001</v>
      </c>
      <c r="GI124">
        <v>29.9999</v>
      </c>
      <c r="GJ124">
        <v>25.972899999999999</v>
      </c>
      <c r="GK124">
        <v>25.959800000000001</v>
      </c>
      <c r="GL124">
        <v>35.594700000000003</v>
      </c>
      <c r="GM124">
        <v>-30</v>
      </c>
      <c r="GN124">
        <v>-30</v>
      </c>
      <c r="GO124">
        <v>23.774999999999999</v>
      </c>
      <c r="GP124">
        <v>800</v>
      </c>
      <c r="GQ124">
        <v>12.5298</v>
      </c>
      <c r="GR124">
        <v>99.650999999999996</v>
      </c>
      <c r="GS124">
        <v>99.3429</v>
      </c>
    </row>
    <row r="125" spans="1:201" x14ac:dyDescent="0.25">
      <c r="A125">
        <v>109</v>
      </c>
      <c r="B125">
        <v>1690204855.5</v>
      </c>
      <c r="C125">
        <v>1415.900000095367</v>
      </c>
      <c r="D125" t="s">
        <v>551</v>
      </c>
      <c r="E125" t="s">
        <v>552</v>
      </c>
      <c r="F125" t="s">
        <v>330</v>
      </c>
      <c r="H125">
        <v>1690204855.5</v>
      </c>
      <c r="I125">
        <f t="shared" si="30"/>
        <v>1.8683821626882301E-3</v>
      </c>
      <c r="J125">
        <f t="shared" si="31"/>
        <v>1.8683821626882302</v>
      </c>
      <c r="K125">
        <f t="shared" si="32"/>
        <v>37.087413581688224</v>
      </c>
      <c r="L125">
        <f t="shared" si="33"/>
        <v>406.77199999999999</v>
      </c>
      <c r="M125">
        <f t="shared" si="34"/>
        <v>86.648572615284905</v>
      </c>
      <c r="N125">
        <f t="shared" si="35"/>
        <v>8.5927676420297434</v>
      </c>
      <c r="O125">
        <f t="shared" si="36"/>
        <v>40.338775051755995</v>
      </c>
      <c r="P125">
        <f t="shared" si="37"/>
        <v>0.19561157293980277</v>
      </c>
      <c r="Q125">
        <f t="shared" si="38"/>
        <v>2.1915391441937611</v>
      </c>
      <c r="R125">
        <f t="shared" si="39"/>
        <v>0.18640354365372436</v>
      </c>
      <c r="S125">
        <f t="shared" si="40"/>
        <v>0.11729339207296625</v>
      </c>
      <c r="T125">
        <f t="shared" si="41"/>
        <v>276.11402382267892</v>
      </c>
      <c r="U125">
        <f t="shared" si="42"/>
        <v>27.041546065116592</v>
      </c>
      <c r="V125">
        <f t="shared" si="43"/>
        <v>27.041546065116592</v>
      </c>
      <c r="W125">
        <f t="shared" si="44"/>
        <v>3.5879025188242575</v>
      </c>
      <c r="X125">
        <f t="shared" si="45"/>
        <v>79.913473332581063</v>
      </c>
      <c r="Y125">
        <f t="shared" si="46"/>
        <v>2.6250469864261001</v>
      </c>
      <c r="Z125">
        <f t="shared" si="47"/>
        <v>3.2848615846057303</v>
      </c>
      <c r="AA125">
        <f t="shared" si="48"/>
        <v>0.96285553239815735</v>
      </c>
      <c r="AB125">
        <f t="shared" si="49"/>
        <v>-82.395653374550946</v>
      </c>
      <c r="AC125">
        <f t="shared" si="50"/>
        <v>-176.58100369720711</v>
      </c>
      <c r="AD125">
        <f t="shared" si="51"/>
        <v>-17.266482953147161</v>
      </c>
      <c r="AE125">
        <f t="shared" si="52"/>
        <v>-0.12911620222627107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52535.168700678754</v>
      </c>
      <c r="AK125">
        <f t="shared" si="56"/>
        <v>1799.99</v>
      </c>
      <c r="AL125">
        <f t="shared" si="57"/>
        <v>1499.1026744055398</v>
      </c>
      <c r="AM125">
        <f t="shared" si="58"/>
        <v>0.83283944599999993</v>
      </c>
      <c r="AN125">
        <f t="shared" si="59"/>
        <v>0.15339753211000001</v>
      </c>
      <c r="AO125">
        <v>31.2</v>
      </c>
      <c r="AP125">
        <v>0.5</v>
      </c>
      <c r="AQ125" t="s">
        <v>331</v>
      </c>
      <c r="AR125">
        <v>2</v>
      </c>
      <c r="AS125">
        <v>1690204855.5</v>
      </c>
      <c r="AT125">
        <v>406.77199999999999</v>
      </c>
      <c r="AU125">
        <v>800.08100000000002</v>
      </c>
      <c r="AV125">
        <v>26.470700000000001</v>
      </c>
      <c r="AW125">
        <v>7.5685000000000002</v>
      </c>
      <c r="AX125">
        <v>407.49</v>
      </c>
      <c r="AY125">
        <v>26.303000000000001</v>
      </c>
      <c r="AZ125">
        <v>300.23200000000003</v>
      </c>
      <c r="BA125">
        <v>99.067999999999998</v>
      </c>
      <c r="BB125">
        <v>0.100023</v>
      </c>
      <c r="BC125">
        <v>25.547000000000001</v>
      </c>
      <c r="BD125">
        <v>26.965699999999998</v>
      </c>
      <c r="BE125">
        <v>26.820399999999999</v>
      </c>
      <c r="BF125">
        <v>0</v>
      </c>
      <c r="BG125">
        <v>0</v>
      </c>
      <c r="BH125">
        <v>9979.3799999999992</v>
      </c>
      <c r="BI125">
        <v>1064.6099999999999</v>
      </c>
      <c r="BJ125">
        <v>1.68198</v>
      </c>
      <c r="BK125">
        <v>-393.30900000000003</v>
      </c>
      <c r="BL125">
        <v>417.83300000000003</v>
      </c>
      <c r="BM125">
        <v>806.18299999999999</v>
      </c>
      <c r="BN125">
        <v>18.902200000000001</v>
      </c>
      <c r="BO125">
        <v>800.08100000000002</v>
      </c>
      <c r="BP125">
        <v>7.5685000000000002</v>
      </c>
      <c r="BQ125">
        <v>2.6223999999999998</v>
      </c>
      <c r="BR125">
        <v>0.74979600000000002</v>
      </c>
      <c r="BS125">
        <v>21.806799999999999</v>
      </c>
      <c r="BT125">
        <v>2.7907700000000002</v>
      </c>
      <c r="BU125">
        <v>1799.99</v>
      </c>
      <c r="BV125">
        <v>0.90999399999999997</v>
      </c>
      <c r="BW125">
        <v>3.3999799999999997E-2</v>
      </c>
      <c r="BX125">
        <v>2.2002299999999999E-2</v>
      </c>
      <c r="BY125">
        <v>3.4003499999999999E-2</v>
      </c>
      <c r="BZ125">
        <v>25</v>
      </c>
      <c r="CA125">
        <v>33528.199999999997</v>
      </c>
      <c r="CB125">
        <v>1690203121.0999999</v>
      </c>
      <c r="CC125" t="s">
        <v>332</v>
      </c>
      <c r="CD125">
        <v>1690203121.0999999</v>
      </c>
      <c r="CE125">
        <v>1690203121.0999999</v>
      </c>
      <c r="CF125">
        <v>3</v>
      </c>
      <c r="CG125">
        <v>0.53600000000000003</v>
      </c>
      <c r="CH125">
        <v>-0.01</v>
      </c>
      <c r="CI125">
        <v>-0.996</v>
      </c>
      <c r="CJ125">
        <v>-6.6000000000000003E-2</v>
      </c>
      <c r="CK125">
        <v>800</v>
      </c>
      <c r="CL125">
        <v>9</v>
      </c>
      <c r="CM125">
        <v>0.82</v>
      </c>
      <c r="CN125">
        <v>0.01</v>
      </c>
      <c r="CO125">
        <v>-391.34280487804881</v>
      </c>
      <c r="CP125">
        <v>-11.093895470382799</v>
      </c>
      <c r="CQ125">
        <v>1.095090846426642</v>
      </c>
      <c r="CR125">
        <v>-1</v>
      </c>
      <c r="CS125">
        <v>18.843287804878049</v>
      </c>
      <c r="CT125">
        <v>0.33325505226481272</v>
      </c>
      <c r="CU125">
        <v>3.2906261507514981E-2</v>
      </c>
      <c r="CV125">
        <v>-1</v>
      </c>
      <c r="CW125">
        <v>0</v>
      </c>
      <c r="CX125">
        <v>0</v>
      </c>
      <c r="CY125" t="s">
        <v>333</v>
      </c>
      <c r="CZ125">
        <v>2.3651800000000001</v>
      </c>
      <c r="DA125">
        <v>2.7138</v>
      </c>
      <c r="DB125">
        <v>9.0838600000000005E-2</v>
      </c>
      <c r="DC125">
        <v>0.14624000000000001</v>
      </c>
      <c r="DD125">
        <v>0.12217799999999999</v>
      </c>
      <c r="DE125">
        <v>4.7614700000000003E-2</v>
      </c>
      <c r="DF125">
        <v>33173.800000000003</v>
      </c>
      <c r="DG125">
        <v>27463.8</v>
      </c>
      <c r="DH125">
        <v>31148.5</v>
      </c>
      <c r="DI125">
        <v>28028.5</v>
      </c>
      <c r="DJ125">
        <v>37105.300000000003</v>
      </c>
      <c r="DK125">
        <v>37938.6</v>
      </c>
      <c r="DL125">
        <v>44320.6</v>
      </c>
      <c r="DM125">
        <v>42456.7</v>
      </c>
      <c r="DN125">
        <v>1.48258</v>
      </c>
      <c r="DO125">
        <v>2.05505</v>
      </c>
      <c r="DP125">
        <v>0.16767199999999999</v>
      </c>
      <c r="DQ125">
        <v>0.16075700000000001</v>
      </c>
      <c r="DR125">
        <v>24.217300000000002</v>
      </c>
      <c r="DS125">
        <v>24.184899999999999</v>
      </c>
      <c r="DT125">
        <v>24.6</v>
      </c>
      <c r="DU125">
        <v>27.7</v>
      </c>
      <c r="DV125">
        <v>9.2596500000000006</v>
      </c>
      <c r="DW125">
        <v>61.655500000000004</v>
      </c>
      <c r="DX125">
        <v>36.0657</v>
      </c>
      <c r="DY125">
        <v>1</v>
      </c>
      <c r="DZ125">
        <v>-0.12733</v>
      </c>
      <c r="EA125">
        <v>6.5514699999999995E-2</v>
      </c>
      <c r="EB125">
        <v>20.191500000000001</v>
      </c>
      <c r="EC125">
        <v>5.2411000000000003</v>
      </c>
      <c r="ED125">
        <v>12.039899999999999</v>
      </c>
      <c r="EE125">
        <v>5.0175999999999998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</v>
      </c>
      <c r="EL125">
        <v>1.8646199999999999</v>
      </c>
      <c r="EM125">
        <v>1.8690800000000001</v>
      </c>
      <c r="EN125">
        <v>1.8672200000000001</v>
      </c>
      <c r="EO125">
        <v>1.8633999999999999</v>
      </c>
      <c r="EP125">
        <v>1.8644700000000001</v>
      </c>
      <c r="EQ125">
        <v>1.8701399999999999</v>
      </c>
      <c r="ER125">
        <v>1.8694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-0.71799999999999997</v>
      </c>
      <c r="FG125">
        <v>0.16769999999999999</v>
      </c>
      <c r="FH125">
        <v>-0.44422204735670362</v>
      </c>
      <c r="FI125">
        <v>-6.1462078757559423E-4</v>
      </c>
      <c r="FJ125">
        <v>-1.8861989874597051E-7</v>
      </c>
      <c r="FK125">
        <v>1.1980462299894961E-10</v>
      </c>
      <c r="FL125">
        <v>0.16773393518503121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28.9</v>
      </c>
      <c r="FU125">
        <v>28.9</v>
      </c>
      <c r="FV125">
        <v>1.77979</v>
      </c>
      <c r="FW125">
        <v>2.5622600000000002</v>
      </c>
      <c r="FX125">
        <v>1.5490699999999999</v>
      </c>
      <c r="FY125">
        <v>2.33521</v>
      </c>
      <c r="FZ125">
        <v>1.50146</v>
      </c>
      <c r="GA125">
        <v>2.3596200000000001</v>
      </c>
      <c r="GB125">
        <v>32.399099999999997</v>
      </c>
      <c r="GC125">
        <v>23.982399999999998</v>
      </c>
      <c r="GD125">
        <v>19</v>
      </c>
      <c r="GE125">
        <v>283.89999999999998</v>
      </c>
      <c r="GF125">
        <v>594.29899999999998</v>
      </c>
      <c r="GG125">
        <v>23.7773</v>
      </c>
      <c r="GH125">
        <v>25.794699999999999</v>
      </c>
      <c r="GI125">
        <v>29.9999</v>
      </c>
      <c r="GJ125">
        <v>25.969100000000001</v>
      </c>
      <c r="GK125">
        <v>25.955400000000001</v>
      </c>
      <c r="GL125">
        <v>35.593000000000004</v>
      </c>
      <c r="GM125">
        <v>-30</v>
      </c>
      <c r="GN125">
        <v>-30</v>
      </c>
      <c r="GO125">
        <v>23.803699999999999</v>
      </c>
      <c r="GP125">
        <v>800</v>
      </c>
      <c r="GQ125">
        <v>12.5298</v>
      </c>
      <c r="GR125">
        <v>99.653199999999998</v>
      </c>
      <c r="GS125">
        <v>99.344099999999997</v>
      </c>
    </row>
    <row r="126" spans="1:201" x14ac:dyDescent="0.25">
      <c r="A126">
        <v>110</v>
      </c>
      <c r="B126">
        <v>1690204865.5</v>
      </c>
      <c r="C126">
        <v>1425.900000095367</v>
      </c>
      <c r="D126" t="s">
        <v>553</v>
      </c>
      <c r="E126" t="s">
        <v>554</v>
      </c>
      <c r="F126" t="s">
        <v>330</v>
      </c>
      <c r="H126">
        <v>1690204865.5</v>
      </c>
      <c r="I126">
        <f t="shared" si="30"/>
        <v>1.8744445800811863E-3</v>
      </c>
      <c r="J126">
        <f t="shared" si="31"/>
        <v>1.8744445800811862</v>
      </c>
      <c r="K126">
        <f t="shared" si="32"/>
        <v>37.231508382206385</v>
      </c>
      <c r="L126">
        <f t="shared" si="33"/>
        <v>405.13900000000001</v>
      </c>
      <c r="M126">
        <f t="shared" si="34"/>
        <v>86.555797634864405</v>
      </c>
      <c r="N126">
        <f t="shared" si="35"/>
        <v>8.5836794636734162</v>
      </c>
      <c r="O126">
        <f t="shared" si="36"/>
        <v>40.177358527771503</v>
      </c>
      <c r="P126">
        <f t="shared" si="37"/>
        <v>0.19737496029031232</v>
      </c>
      <c r="Q126">
        <f t="shared" si="38"/>
        <v>2.1937093188807366</v>
      </c>
      <c r="R126">
        <f t="shared" si="39"/>
        <v>0.18801323712890111</v>
      </c>
      <c r="S126">
        <f t="shared" si="40"/>
        <v>0.11831237625405849</v>
      </c>
      <c r="T126">
        <f t="shared" si="41"/>
        <v>276.11548061399998</v>
      </c>
      <c r="U126">
        <f t="shared" si="42"/>
        <v>27.044540207604733</v>
      </c>
      <c r="V126">
        <f t="shared" si="43"/>
        <v>27.044540207604733</v>
      </c>
      <c r="W126">
        <f t="shared" si="44"/>
        <v>3.5885333164801856</v>
      </c>
      <c r="X126">
        <f t="shared" si="45"/>
        <v>80.059492581307893</v>
      </c>
      <c r="Y126">
        <f t="shared" si="46"/>
        <v>2.6308430166228001</v>
      </c>
      <c r="Z126">
        <f t="shared" si="47"/>
        <v>3.2861100311757951</v>
      </c>
      <c r="AA126">
        <f t="shared" si="48"/>
        <v>0.95769029985738552</v>
      </c>
      <c r="AB126">
        <f t="shared" si="49"/>
        <v>-82.663005981580312</v>
      </c>
      <c r="AC126">
        <f t="shared" si="50"/>
        <v>-176.35306185684615</v>
      </c>
      <c r="AD126">
        <f t="shared" si="51"/>
        <v>-17.227945698200134</v>
      </c>
      <c r="AE126">
        <f t="shared" si="52"/>
        <v>-0.12853292262661853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52623.16853402993</v>
      </c>
      <c r="AK126">
        <f t="shared" si="56"/>
        <v>1800</v>
      </c>
      <c r="AL126">
        <f t="shared" si="57"/>
        <v>1499.1113123999999</v>
      </c>
      <c r="AM126">
        <f t="shared" si="58"/>
        <v>0.83283961799999995</v>
      </c>
      <c r="AN126">
        <f t="shared" si="59"/>
        <v>0.15339748922999999</v>
      </c>
      <c r="AO126">
        <v>31.2</v>
      </c>
      <c r="AP126">
        <v>0.5</v>
      </c>
      <c r="AQ126" t="s">
        <v>331</v>
      </c>
      <c r="AR126">
        <v>2</v>
      </c>
      <c r="AS126">
        <v>1690204865.5</v>
      </c>
      <c r="AT126">
        <v>405.13900000000001</v>
      </c>
      <c r="AU126">
        <v>800.03</v>
      </c>
      <c r="AV126">
        <v>26.5288</v>
      </c>
      <c r="AW126">
        <v>7.5620399999999997</v>
      </c>
      <c r="AX126">
        <v>405.85500000000002</v>
      </c>
      <c r="AY126">
        <v>26.3611</v>
      </c>
      <c r="AZ126">
        <v>300.16300000000001</v>
      </c>
      <c r="BA126">
        <v>99.069400000000002</v>
      </c>
      <c r="BB126">
        <v>9.9918499999999993E-2</v>
      </c>
      <c r="BC126">
        <v>25.5534</v>
      </c>
      <c r="BD126">
        <v>26.920500000000001</v>
      </c>
      <c r="BE126">
        <v>26.820599999999999</v>
      </c>
      <c r="BF126">
        <v>0</v>
      </c>
      <c r="BG126">
        <v>0</v>
      </c>
      <c r="BH126">
        <v>9996.8799999999992</v>
      </c>
      <c r="BI126">
        <v>1064.73</v>
      </c>
      <c r="BJ126">
        <v>1.68198</v>
      </c>
      <c r="BK126">
        <v>-394.89100000000002</v>
      </c>
      <c r="BL126">
        <v>416.17899999999997</v>
      </c>
      <c r="BM126">
        <v>806.125</v>
      </c>
      <c r="BN126">
        <v>18.966799999999999</v>
      </c>
      <c r="BO126">
        <v>800.03</v>
      </c>
      <c r="BP126">
        <v>7.5620399999999997</v>
      </c>
      <c r="BQ126">
        <v>2.62819</v>
      </c>
      <c r="BR126">
        <v>0.74916700000000003</v>
      </c>
      <c r="BS126">
        <v>21.8429</v>
      </c>
      <c r="BT126">
        <v>2.7789299999999999</v>
      </c>
      <c r="BU126">
        <v>1800</v>
      </c>
      <c r="BV126">
        <v>0.90999600000000003</v>
      </c>
      <c r="BW126">
        <v>3.3999000000000001E-2</v>
      </c>
      <c r="BX126">
        <v>2.2001900000000001E-2</v>
      </c>
      <c r="BY126">
        <v>3.4002699999999997E-2</v>
      </c>
      <c r="BZ126">
        <v>25</v>
      </c>
      <c r="CA126">
        <v>33528.400000000001</v>
      </c>
      <c r="CB126">
        <v>1690203121.0999999</v>
      </c>
      <c r="CC126" t="s">
        <v>332</v>
      </c>
      <c r="CD126">
        <v>1690203121.0999999</v>
      </c>
      <c r="CE126">
        <v>1690203121.0999999</v>
      </c>
      <c r="CF126">
        <v>3</v>
      </c>
      <c r="CG126">
        <v>0.53600000000000003</v>
      </c>
      <c r="CH126">
        <v>-0.01</v>
      </c>
      <c r="CI126">
        <v>-0.996</v>
      </c>
      <c r="CJ126">
        <v>-6.6000000000000003E-2</v>
      </c>
      <c r="CK126">
        <v>800</v>
      </c>
      <c r="CL126">
        <v>9</v>
      </c>
      <c r="CM126">
        <v>0.82</v>
      </c>
      <c r="CN126">
        <v>0.01</v>
      </c>
      <c r="CO126">
        <v>-393.06054999999998</v>
      </c>
      <c r="CP126">
        <v>-10.40273921200767</v>
      </c>
      <c r="CQ126">
        <v>1.004925617894179</v>
      </c>
      <c r="CR126">
        <v>-1</v>
      </c>
      <c r="CS126">
        <v>18.897805000000002</v>
      </c>
      <c r="CT126">
        <v>0.34523076923069268</v>
      </c>
      <c r="CU126">
        <v>3.3288713928296791E-2</v>
      </c>
      <c r="CV126">
        <v>-1</v>
      </c>
      <c r="CW126">
        <v>0</v>
      </c>
      <c r="CX126">
        <v>0</v>
      </c>
      <c r="CY126" t="s">
        <v>333</v>
      </c>
      <c r="CZ126">
        <v>2.36496</v>
      </c>
      <c r="DA126">
        <v>2.7137099999999998</v>
      </c>
      <c r="DB126">
        <v>9.0563099999999994E-2</v>
      </c>
      <c r="DC126">
        <v>0.146236</v>
      </c>
      <c r="DD126">
        <v>0.122367</v>
      </c>
      <c r="DE126">
        <v>4.7583500000000001E-2</v>
      </c>
      <c r="DF126">
        <v>33183.9</v>
      </c>
      <c r="DG126">
        <v>27464.400000000001</v>
      </c>
      <c r="DH126">
        <v>31148.6</v>
      </c>
      <c r="DI126">
        <v>28029</v>
      </c>
      <c r="DJ126">
        <v>37097.199999999997</v>
      </c>
      <c r="DK126">
        <v>37940.699999999997</v>
      </c>
      <c r="DL126">
        <v>44320.6</v>
      </c>
      <c r="DM126">
        <v>42457.599999999999</v>
      </c>
      <c r="DN126">
        <v>1.48217</v>
      </c>
      <c r="DO126">
        <v>2.0551200000000001</v>
      </c>
      <c r="DP126">
        <v>0.16472100000000001</v>
      </c>
      <c r="DQ126">
        <v>0.16064899999999999</v>
      </c>
      <c r="DR126">
        <v>24.220400000000001</v>
      </c>
      <c r="DS126">
        <v>24.186900000000001</v>
      </c>
      <c r="DT126">
        <v>24.6</v>
      </c>
      <c r="DU126">
        <v>27.7</v>
      </c>
      <c r="DV126">
        <v>9.2583400000000005</v>
      </c>
      <c r="DW126">
        <v>61.555500000000002</v>
      </c>
      <c r="DX126">
        <v>36.229999999999997</v>
      </c>
      <c r="DY126">
        <v>1</v>
      </c>
      <c r="DZ126">
        <v>-0.12745699999999999</v>
      </c>
      <c r="EA126">
        <v>-0.113486</v>
      </c>
      <c r="EB126">
        <v>20.191199999999998</v>
      </c>
      <c r="EC126">
        <v>5.24125</v>
      </c>
      <c r="ED126">
        <v>12.039899999999999</v>
      </c>
      <c r="EE126">
        <v>5.0175000000000001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</v>
      </c>
      <c r="EL126">
        <v>1.8646199999999999</v>
      </c>
      <c r="EM126">
        <v>1.86911</v>
      </c>
      <c r="EN126">
        <v>1.8672200000000001</v>
      </c>
      <c r="EO126">
        <v>1.8633999999999999</v>
      </c>
      <c r="EP126">
        <v>1.8644700000000001</v>
      </c>
      <c r="EQ126">
        <v>1.87012</v>
      </c>
      <c r="ER126">
        <v>1.8693900000000001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-0.71599999999999997</v>
      </c>
      <c r="FG126">
        <v>0.16769999999999999</v>
      </c>
      <c r="FH126">
        <v>-0.44422204735670362</v>
      </c>
      <c r="FI126">
        <v>-6.1462078757559423E-4</v>
      </c>
      <c r="FJ126">
        <v>-1.8861989874597051E-7</v>
      </c>
      <c r="FK126">
        <v>1.1980462299894961E-10</v>
      </c>
      <c r="FL126">
        <v>0.16773393518503121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29.1</v>
      </c>
      <c r="FU126">
        <v>29.1</v>
      </c>
      <c r="FV126">
        <v>1.77979</v>
      </c>
      <c r="FW126">
        <v>2.5622600000000002</v>
      </c>
      <c r="FX126">
        <v>1.5490699999999999</v>
      </c>
      <c r="FY126">
        <v>2.33521</v>
      </c>
      <c r="FZ126">
        <v>1.50146</v>
      </c>
      <c r="GA126">
        <v>2.2705099999999998</v>
      </c>
      <c r="GB126">
        <v>32.421199999999999</v>
      </c>
      <c r="GC126">
        <v>23.973700000000001</v>
      </c>
      <c r="GD126">
        <v>19</v>
      </c>
      <c r="GE126">
        <v>283.71199999999999</v>
      </c>
      <c r="GF126">
        <v>594.31700000000001</v>
      </c>
      <c r="GG126">
        <v>23.834299999999999</v>
      </c>
      <c r="GH126">
        <v>25.790400000000002</v>
      </c>
      <c r="GI126">
        <v>29.9999</v>
      </c>
      <c r="GJ126">
        <v>25.965299999999999</v>
      </c>
      <c r="GK126">
        <v>25.951699999999999</v>
      </c>
      <c r="GL126">
        <v>35.593400000000003</v>
      </c>
      <c r="GM126">
        <v>-30</v>
      </c>
      <c r="GN126">
        <v>-30</v>
      </c>
      <c r="GO126">
        <v>23.890499999999999</v>
      </c>
      <c r="GP126">
        <v>800</v>
      </c>
      <c r="GQ126">
        <v>12.5298</v>
      </c>
      <c r="GR126">
        <v>99.653199999999998</v>
      </c>
      <c r="GS126">
        <v>99.346000000000004</v>
      </c>
    </row>
    <row r="127" spans="1:201" x14ac:dyDescent="0.25">
      <c r="A127">
        <v>111</v>
      </c>
      <c r="B127">
        <v>1690204875.5</v>
      </c>
      <c r="C127">
        <v>1435.900000095367</v>
      </c>
      <c r="D127" t="s">
        <v>555</v>
      </c>
      <c r="E127" t="s">
        <v>556</v>
      </c>
      <c r="F127" t="s">
        <v>330</v>
      </c>
      <c r="H127">
        <v>1690204875.5</v>
      </c>
      <c r="I127">
        <f t="shared" si="30"/>
        <v>1.8812535253959826E-3</v>
      </c>
      <c r="J127">
        <f t="shared" si="31"/>
        <v>1.8812535253959826</v>
      </c>
      <c r="K127">
        <f t="shared" si="32"/>
        <v>37.368375322659773</v>
      </c>
      <c r="L127">
        <f t="shared" si="33"/>
        <v>403.51</v>
      </c>
      <c r="M127">
        <f t="shared" si="34"/>
        <v>86.762516481930234</v>
      </c>
      <c r="N127">
        <f t="shared" si="35"/>
        <v>8.6039515929359691</v>
      </c>
      <c r="O127">
        <f t="shared" si="36"/>
        <v>40.014751162601996</v>
      </c>
      <c r="P127">
        <f t="shared" si="37"/>
        <v>0.19930886936398348</v>
      </c>
      <c r="Q127">
        <f t="shared" si="38"/>
        <v>2.1969810578844942</v>
      </c>
      <c r="R127">
        <f t="shared" si="39"/>
        <v>0.18978103601012752</v>
      </c>
      <c r="S127">
        <f t="shared" si="40"/>
        <v>0.11943122121290625</v>
      </c>
      <c r="T127">
        <f t="shared" si="41"/>
        <v>276.11534073600006</v>
      </c>
      <c r="U127">
        <f t="shared" si="42"/>
        <v>27.050389704397023</v>
      </c>
      <c r="V127">
        <f t="shared" si="43"/>
        <v>27.050389704397023</v>
      </c>
      <c r="W127">
        <f t="shared" si="44"/>
        <v>3.5897659515923279</v>
      </c>
      <c r="X127">
        <f t="shared" si="45"/>
        <v>80.217004092661213</v>
      </c>
      <c r="Y127">
        <f t="shared" si="46"/>
        <v>2.6376157926015598</v>
      </c>
      <c r="Z127">
        <f t="shared" si="47"/>
        <v>3.2881005996618446</v>
      </c>
      <c r="AA127">
        <f t="shared" si="48"/>
        <v>0.95215015899076816</v>
      </c>
      <c r="AB127">
        <f t="shared" si="49"/>
        <v>-82.963280469962839</v>
      </c>
      <c r="AC127">
        <f t="shared" si="50"/>
        <v>-176.10078865541865</v>
      </c>
      <c r="AD127">
        <f t="shared" si="51"/>
        <v>-17.179063096879542</v>
      </c>
      <c r="AE127">
        <f t="shared" si="52"/>
        <v>-0.12779148626097481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52755.799411454209</v>
      </c>
      <c r="AK127">
        <f t="shared" si="56"/>
        <v>1800</v>
      </c>
      <c r="AL127">
        <f t="shared" si="57"/>
        <v>1499.1117245999999</v>
      </c>
      <c r="AM127">
        <f t="shared" si="58"/>
        <v>0.83283984699999991</v>
      </c>
      <c r="AN127">
        <f t="shared" si="59"/>
        <v>0.15339741152000003</v>
      </c>
      <c r="AO127">
        <v>31.2</v>
      </c>
      <c r="AP127">
        <v>0.5</v>
      </c>
      <c r="AQ127" t="s">
        <v>331</v>
      </c>
      <c r="AR127">
        <v>2</v>
      </c>
      <c r="AS127">
        <v>1690204875.5</v>
      </c>
      <c r="AT127">
        <v>403.51</v>
      </c>
      <c r="AU127">
        <v>799.97500000000002</v>
      </c>
      <c r="AV127">
        <v>26.597799999999999</v>
      </c>
      <c r="AW127">
        <v>7.5560700000000001</v>
      </c>
      <c r="AX127">
        <v>404.226</v>
      </c>
      <c r="AY127">
        <v>26.430099999999999</v>
      </c>
      <c r="AZ127">
        <v>300.04599999999999</v>
      </c>
      <c r="BA127">
        <v>99.066699999999997</v>
      </c>
      <c r="BB127">
        <v>9.9990200000000001E-2</v>
      </c>
      <c r="BC127">
        <v>25.563600000000001</v>
      </c>
      <c r="BD127">
        <v>26.963899999999999</v>
      </c>
      <c r="BE127">
        <v>26.838799999999999</v>
      </c>
      <c r="BF127">
        <v>0</v>
      </c>
      <c r="BG127">
        <v>0</v>
      </c>
      <c r="BH127">
        <v>10023.799999999999</v>
      </c>
      <c r="BI127">
        <v>1064.8599999999999</v>
      </c>
      <c r="BJ127">
        <v>1.68198</v>
      </c>
      <c r="BK127">
        <v>-396.46499999999997</v>
      </c>
      <c r="BL127">
        <v>414.536</v>
      </c>
      <c r="BM127">
        <v>806.06600000000003</v>
      </c>
      <c r="BN127">
        <v>19.041699999999999</v>
      </c>
      <c r="BO127">
        <v>799.97500000000002</v>
      </c>
      <c r="BP127">
        <v>7.5560700000000001</v>
      </c>
      <c r="BQ127">
        <v>2.63496</v>
      </c>
      <c r="BR127">
        <v>0.74855499999999997</v>
      </c>
      <c r="BS127">
        <v>21.885000000000002</v>
      </c>
      <c r="BT127">
        <v>2.76742</v>
      </c>
      <c r="BU127">
        <v>1800</v>
      </c>
      <c r="BV127">
        <v>0.909999</v>
      </c>
      <c r="BW127">
        <v>3.3997899999999998E-2</v>
      </c>
      <c r="BX127">
        <v>2.2001099999999999E-2</v>
      </c>
      <c r="BY127">
        <v>3.40016E-2</v>
      </c>
      <c r="BZ127">
        <v>25</v>
      </c>
      <c r="CA127">
        <v>33528.300000000003</v>
      </c>
      <c r="CB127">
        <v>1690203121.0999999</v>
      </c>
      <c r="CC127" t="s">
        <v>332</v>
      </c>
      <c r="CD127">
        <v>1690203121.0999999</v>
      </c>
      <c r="CE127">
        <v>1690203121.0999999</v>
      </c>
      <c r="CF127">
        <v>3</v>
      </c>
      <c r="CG127">
        <v>0.53600000000000003</v>
      </c>
      <c r="CH127">
        <v>-0.01</v>
      </c>
      <c r="CI127">
        <v>-0.996</v>
      </c>
      <c r="CJ127">
        <v>-6.6000000000000003E-2</v>
      </c>
      <c r="CK127">
        <v>800</v>
      </c>
      <c r="CL127">
        <v>9</v>
      </c>
      <c r="CM127">
        <v>0.82</v>
      </c>
      <c r="CN127">
        <v>0.01</v>
      </c>
      <c r="CO127">
        <v>-394.74592682926829</v>
      </c>
      <c r="CP127">
        <v>-9.7816933797915677</v>
      </c>
      <c r="CQ127">
        <v>0.968459158141176</v>
      </c>
      <c r="CR127">
        <v>-1</v>
      </c>
      <c r="CS127">
        <v>18.963156097560969</v>
      </c>
      <c r="CT127">
        <v>0.42170592334493989</v>
      </c>
      <c r="CU127">
        <v>4.1650708123752288E-2</v>
      </c>
      <c r="CV127">
        <v>-1</v>
      </c>
      <c r="CW127">
        <v>0</v>
      </c>
      <c r="CX127">
        <v>0</v>
      </c>
      <c r="CY127" t="s">
        <v>333</v>
      </c>
      <c r="CZ127">
        <v>2.3645700000000001</v>
      </c>
      <c r="DA127">
        <v>2.7138</v>
      </c>
      <c r="DB127">
        <v>9.0284299999999998E-2</v>
      </c>
      <c r="DC127">
        <v>0.146227</v>
      </c>
      <c r="DD127">
        <v>0.122587</v>
      </c>
      <c r="DE127">
        <v>4.7552900000000002E-2</v>
      </c>
      <c r="DF127">
        <v>33194.800000000003</v>
      </c>
      <c r="DG127">
        <v>27464.9</v>
      </c>
      <c r="DH127">
        <v>31149.200000000001</v>
      </c>
      <c r="DI127">
        <v>28029.200000000001</v>
      </c>
      <c r="DJ127">
        <v>37088.6</v>
      </c>
      <c r="DK127">
        <v>37942.1</v>
      </c>
      <c r="DL127">
        <v>44321.599999999999</v>
      </c>
      <c r="DM127">
        <v>42457.8</v>
      </c>
      <c r="DN127">
        <v>1.4828699999999999</v>
      </c>
      <c r="DO127">
        <v>2.0551499999999998</v>
      </c>
      <c r="DP127">
        <v>0.16730300000000001</v>
      </c>
      <c r="DQ127">
        <v>0.161633</v>
      </c>
      <c r="DR127">
        <v>24.221499999999999</v>
      </c>
      <c r="DS127">
        <v>24.189</v>
      </c>
      <c r="DT127">
        <v>24.5</v>
      </c>
      <c r="DU127">
        <v>27.7</v>
      </c>
      <c r="DV127">
        <v>9.2210099999999997</v>
      </c>
      <c r="DW127">
        <v>61.815399999999997</v>
      </c>
      <c r="DX127">
        <v>37.167499999999997</v>
      </c>
      <c r="DY127">
        <v>1</v>
      </c>
      <c r="DZ127">
        <v>-0.12795999999999999</v>
      </c>
      <c r="EA127">
        <v>-0.15445300000000001</v>
      </c>
      <c r="EB127">
        <v>20.191299999999998</v>
      </c>
      <c r="EC127">
        <v>5.2415500000000002</v>
      </c>
      <c r="ED127">
        <v>12.039899999999999</v>
      </c>
      <c r="EE127">
        <v>5.0175999999999998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</v>
      </c>
      <c r="EL127">
        <v>1.8646199999999999</v>
      </c>
      <c r="EM127">
        <v>1.86911</v>
      </c>
      <c r="EN127">
        <v>1.8672200000000001</v>
      </c>
      <c r="EO127">
        <v>1.8633999999999999</v>
      </c>
      <c r="EP127">
        <v>1.8644700000000001</v>
      </c>
      <c r="EQ127">
        <v>1.8701300000000001</v>
      </c>
      <c r="ER127">
        <v>1.8693900000000001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-0.71599999999999997</v>
      </c>
      <c r="FG127">
        <v>0.16769999999999999</v>
      </c>
      <c r="FH127">
        <v>-0.44422204735670362</v>
      </c>
      <c r="FI127">
        <v>-6.1462078757559423E-4</v>
      </c>
      <c r="FJ127">
        <v>-1.8861989874597051E-7</v>
      </c>
      <c r="FK127">
        <v>1.1980462299894961E-10</v>
      </c>
      <c r="FL127">
        <v>0.16773393518503121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29.2</v>
      </c>
      <c r="FU127">
        <v>29.2</v>
      </c>
      <c r="FV127">
        <v>1.77979</v>
      </c>
      <c r="FW127">
        <v>2.5561500000000001</v>
      </c>
      <c r="FX127">
        <v>1.5490699999999999</v>
      </c>
      <c r="FY127">
        <v>2.33521</v>
      </c>
      <c r="FZ127">
        <v>1.50146</v>
      </c>
      <c r="GA127">
        <v>2.3815900000000001</v>
      </c>
      <c r="GB127">
        <v>32.421199999999999</v>
      </c>
      <c r="GC127">
        <v>23.991199999999999</v>
      </c>
      <c r="GD127">
        <v>19</v>
      </c>
      <c r="GE127">
        <v>283.995</v>
      </c>
      <c r="GF127">
        <v>594.29399999999998</v>
      </c>
      <c r="GG127">
        <v>23.944199999999999</v>
      </c>
      <c r="GH127">
        <v>25.787099999999999</v>
      </c>
      <c r="GI127">
        <v>30</v>
      </c>
      <c r="GJ127">
        <v>25.962</v>
      </c>
      <c r="GK127">
        <v>25.947800000000001</v>
      </c>
      <c r="GL127">
        <v>35.594700000000003</v>
      </c>
      <c r="GM127">
        <v>-30</v>
      </c>
      <c r="GN127">
        <v>-30</v>
      </c>
      <c r="GO127">
        <v>23.953800000000001</v>
      </c>
      <c r="GP127">
        <v>800</v>
      </c>
      <c r="GQ127">
        <v>12.5298</v>
      </c>
      <c r="GR127">
        <v>99.6554</v>
      </c>
      <c r="GS127">
        <v>99.346599999999995</v>
      </c>
    </row>
    <row r="128" spans="1:201" x14ac:dyDescent="0.25">
      <c r="A128">
        <v>112</v>
      </c>
      <c r="B128">
        <v>1690204885.5</v>
      </c>
      <c r="C128">
        <v>1445.900000095367</v>
      </c>
      <c r="D128" t="s">
        <v>557</v>
      </c>
      <c r="E128" t="s">
        <v>558</v>
      </c>
      <c r="F128" t="s">
        <v>330</v>
      </c>
      <c r="H128">
        <v>1690204885.5</v>
      </c>
      <c r="I128">
        <f t="shared" si="30"/>
        <v>1.8897128551857917E-3</v>
      </c>
      <c r="J128">
        <f t="shared" si="31"/>
        <v>1.8897128551857918</v>
      </c>
      <c r="K128">
        <f t="shared" si="32"/>
        <v>37.534022157834336</v>
      </c>
      <c r="L128">
        <f t="shared" si="33"/>
        <v>401.89499999999998</v>
      </c>
      <c r="M128">
        <f t="shared" si="34"/>
        <v>86.910565957760383</v>
      </c>
      <c r="N128">
        <f t="shared" si="35"/>
        <v>8.6188057998970518</v>
      </c>
      <c r="O128">
        <f t="shared" si="36"/>
        <v>39.8553952419675</v>
      </c>
      <c r="P128">
        <f t="shared" si="37"/>
        <v>0.20138966403593989</v>
      </c>
      <c r="Q128">
        <f t="shared" si="38"/>
        <v>2.1976189208620251</v>
      </c>
      <c r="R128">
        <f t="shared" si="39"/>
        <v>0.19166973943796636</v>
      </c>
      <c r="S128">
        <f t="shared" si="40"/>
        <v>0.12062778071622879</v>
      </c>
      <c r="T128">
        <f t="shared" si="41"/>
        <v>276.11384423767663</v>
      </c>
      <c r="U128">
        <f t="shared" si="42"/>
        <v>27.060596124466517</v>
      </c>
      <c r="V128">
        <f t="shared" si="43"/>
        <v>27.060596124466517</v>
      </c>
      <c r="W128">
        <f t="shared" si="44"/>
        <v>3.5919175843347397</v>
      </c>
      <c r="X128">
        <f t="shared" si="45"/>
        <v>80.375242760270524</v>
      </c>
      <c r="Y128">
        <f t="shared" si="46"/>
        <v>2.6449376877991497</v>
      </c>
      <c r="Z128">
        <f t="shared" si="47"/>
        <v>3.2907367952691797</v>
      </c>
      <c r="AA128">
        <f t="shared" si="48"/>
        <v>0.94697989653559</v>
      </c>
      <c r="AB128">
        <f t="shared" si="49"/>
        <v>-83.336336913693415</v>
      </c>
      <c r="AC128">
        <f t="shared" si="50"/>
        <v>-175.76170021087802</v>
      </c>
      <c r="AD128">
        <f t="shared" si="51"/>
        <v>-17.143043603295208</v>
      </c>
      <c r="AE128">
        <f t="shared" si="52"/>
        <v>-0.1272364901900005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52779.701258062552</v>
      </c>
      <c r="AK128">
        <f t="shared" si="56"/>
        <v>1799.99</v>
      </c>
      <c r="AL128">
        <f t="shared" si="57"/>
        <v>1499.10422779691</v>
      </c>
      <c r="AM128">
        <f t="shared" si="58"/>
        <v>0.83284030899999995</v>
      </c>
      <c r="AN128">
        <f t="shared" si="59"/>
        <v>0.15339743234</v>
      </c>
      <c r="AO128">
        <v>31.2</v>
      </c>
      <c r="AP128">
        <v>0.5</v>
      </c>
      <c r="AQ128" t="s">
        <v>331</v>
      </c>
      <c r="AR128">
        <v>2</v>
      </c>
      <c r="AS128">
        <v>1690204885.5</v>
      </c>
      <c r="AT128">
        <v>401.89499999999998</v>
      </c>
      <c r="AU128">
        <v>799.99599999999998</v>
      </c>
      <c r="AV128">
        <v>26.671099999999999</v>
      </c>
      <c r="AW128">
        <v>7.5495200000000002</v>
      </c>
      <c r="AX128">
        <v>402.60899999999998</v>
      </c>
      <c r="AY128">
        <v>26.503399999999999</v>
      </c>
      <c r="AZ128">
        <v>300.11399999999998</v>
      </c>
      <c r="BA128">
        <v>99.068700000000007</v>
      </c>
      <c r="BB128">
        <v>9.9976499999999996E-2</v>
      </c>
      <c r="BC128">
        <v>25.577100000000002</v>
      </c>
      <c r="BD128">
        <v>27.0197</v>
      </c>
      <c r="BE128">
        <v>26.837700000000002</v>
      </c>
      <c r="BF128">
        <v>0</v>
      </c>
      <c r="BG128">
        <v>0</v>
      </c>
      <c r="BH128">
        <v>10028.799999999999</v>
      </c>
      <c r="BI128">
        <v>1064.99</v>
      </c>
      <c r="BJ128">
        <v>1.68198</v>
      </c>
      <c r="BK128">
        <v>-398.101</v>
      </c>
      <c r="BL128">
        <v>412.90699999999998</v>
      </c>
      <c r="BM128">
        <v>806.08100000000002</v>
      </c>
      <c r="BN128">
        <v>19.121600000000001</v>
      </c>
      <c r="BO128">
        <v>799.99599999999998</v>
      </c>
      <c r="BP128">
        <v>7.5495200000000002</v>
      </c>
      <c r="BQ128">
        <v>2.6422699999999999</v>
      </c>
      <c r="BR128">
        <v>0.74792099999999995</v>
      </c>
      <c r="BS128">
        <v>21.930399999999999</v>
      </c>
      <c r="BT128">
        <v>2.7555000000000001</v>
      </c>
      <c r="BU128">
        <v>1799.99</v>
      </c>
      <c r="BV128">
        <v>0.91000099999999995</v>
      </c>
      <c r="BW128">
        <v>3.3997300000000001E-2</v>
      </c>
      <c r="BX128">
        <v>2.2000700000000002E-2</v>
      </c>
      <c r="BY128">
        <v>3.4001000000000003E-2</v>
      </c>
      <c r="BZ128">
        <v>25</v>
      </c>
      <c r="CA128">
        <v>33528.199999999997</v>
      </c>
      <c r="CB128">
        <v>1690203121.0999999</v>
      </c>
      <c r="CC128" t="s">
        <v>332</v>
      </c>
      <c r="CD128">
        <v>1690203121.0999999</v>
      </c>
      <c r="CE128">
        <v>1690203121.0999999</v>
      </c>
      <c r="CF128">
        <v>3</v>
      </c>
      <c r="CG128">
        <v>0.53600000000000003</v>
      </c>
      <c r="CH128">
        <v>-0.01</v>
      </c>
      <c r="CI128">
        <v>-0.996</v>
      </c>
      <c r="CJ128">
        <v>-6.6000000000000003E-2</v>
      </c>
      <c r="CK128">
        <v>800</v>
      </c>
      <c r="CL128">
        <v>9</v>
      </c>
      <c r="CM128">
        <v>0.82</v>
      </c>
      <c r="CN128">
        <v>0.01</v>
      </c>
      <c r="CO128">
        <v>-396.36431707317081</v>
      </c>
      <c r="CP128">
        <v>-9.7266480836239442</v>
      </c>
      <c r="CQ128">
        <v>0.96058225328092783</v>
      </c>
      <c r="CR128">
        <v>-1</v>
      </c>
      <c r="CS128">
        <v>19.039014634146341</v>
      </c>
      <c r="CT128">
        <v>0.4769101045296269</v>
      </c>
      <c r="CU128">
        <v>4.7063582114534458E-2</v>
      </c>
      <c r="CV128">
        <v>-1</v>
      </c>
      <c r="CW128">
        <v>0</v>
      </c>
      <c r="CX128">
        <v>0</v>
      </c>
      <c r="CY128" t="s">
        <v>333</v>
      </c>
      <c r="CZ128">
        <v>2.3647800000000001</v>
      </c>
      <c r="DA128">
        <v>2.7137899999999999</v>
      </c>
      <c r="DB128">
        <v>9.00117E-2</v>
      </c>
      <c r="DC128">
        <v>0.146234</v>
      </c>
      <c r="DD128">
        <v>0.122826</v>
      </c>
      <c r="DE128">
        <v>4.7521500000000001E-2</v>
      </c>
      <c r="DF128">
        <v>33204.699999999997</v>
      </c>
      <c r="DG128">
        <v>27465</v>
      </c>
      <c r="DH128">
        <v>31149.200000000001</v>
      </c>
      <c r="DI128">
        <v>28029.5</v>
      </c>
      <c r="DJ128">
        <v>37078.300000000003</v>
      </c>
      <c r="DK128">
        <v>37943.800000000003</v>
      </c>
      <c r="DL128">
        <v>44321.599999999999</v>
      </c>
      <c r="DM128">
        <v>42458.3</v>
      </c>
      <c r="DN128">
        <v>1.4829300000000001</v>
      </c>
      <c r="DO128">
        <v>2.0551200000000001</v>
      </c>
      <c r="DP128">
        <v>0.170629</v>
      </c>
      <c r="DQ128">
        <v>0.161361</v>
      </c>
      <c r="DR128">
        <v>24.222899999999999</v>
      </c>
      <c r="DS128">
        <v>24.192399999999999</v>
      </c>
      <c r="DT128">
        <v>24.5</v>
      </c>
      <c r="DU128">
        <v>27.7</v>
      </c>
      <c r="DV128">
        <v>9.2214299999999998</v>
      </c>
      <c r="DW128">
        <v>61.445399999999999</v>
      </c>
      <c r="DX128">
        <v>36.534500000000001</v>
      </c>
      <c r="DY128">
        <v>1</v>
      </c>
      <c r="DZ128">
        <v>-0.128244</v>
      </c>
      <c r="EA128">
        <v>-2.8502199999999998E-2</v>
      </c>
      <c r="EB128">
        <v>20.191400000000002</v>
      </c>
      <c r="EC128">
        <v>5.2413999999999996</v>
      </c>
      <c r="ED128">
        <v>12.039899999999999</v>
      </c>
      <c r="EE128">
        <v>5.0172999999999996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</v>
      </c>
      <c r="EL128">
        <v>1.8646199999999999</v>
      </c>
      <c r="EM128">
        <v>1.8691199999999999</v>
      </c>
      <c r="EN128">
        <v>1.8672200000000001</v>
      </c>
      <c r="EO128">
        <v>1.8633999999999999</v>
      </c>
      <c r="EP128">
        <v>1.8644799999999999</v>
      </c>
      <c r="EQ128">
        <v>1.8701300000000001</v>
      </c>
      <c r="ER128">
        <v>1.8693900000000001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-0.71399999999999997</v>
      </c>
      <c r="FG128">
        <v>0.16769999999999999</v>
      </c>
      <c r="FH128">
        <v>-0.44422204735670362</v>
      </c>
      <c r="FI128">
        <v>-6.1462078757559423E-4</v>
      </c>
      <c r="FJ128">
        <v>-1.8861989874597051E-7</v>
      </c>
      <c r="FK128">
        <v>1.1980462299894961E-10</v>
      </c>
      <c r="FL128">
        <v>0.16773393518503121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29.4</v>
      </c>
      <c r="FU128">
        <v>29.4</v>
      </c>
      <c r="FV128">
        <v>1.77979</v>
      </c>
      <c r="FW128">
        <v>2.5598100000000001</v>
      </c>
      <c r="FX128">
        <v>1.5490699999999999</v>
      </c>
      <c r="FY128">
        <v>2.33521</v>
      </c>
      <c r="FZ128">
        <v>1.50146</v>
      </c>
      <c r="GA128">
        <v>2.3925800000000002</v>
      </c>
      <c r="GB128">
        <v>32.399099999999997</v>
      </c>
      <c r="GC128">
        <v>23.991199999999999</v>
      </c>
      <c r="GD128">
        <v>19</v>
      </c>
      <c r="GE128">
        <v>283.99799999999999</v>
      </c>
      <c r="GF128">
        <v>594.22699999999998</v>
      </c>
      <c r="GG128">
        <v>23.972999999999999</v>
      </c>
      <c r="GH128">
        <v>25.783300000000001</v>
      </c>
      <c r="GI128">
        <v>29.9998</v>
      </c>
      <c r="GJ128">
        <v>25.957599999999999</v>
      </c>
      <c r="GK128">
        <v>25.943899999999999</v>
      </c>
      <c r="GL128">
        <v>35.591900000000003</v>
      </c>
      <c r="GM128">
        <v>-30</v>
      </c>
      <c r="GN128">
        <v>-30</v>
      </c>
      <c r="GO128">
        <v>23.963200000000001</v>
      </c>
      <c r="GP128">
        <v>800</v>
      </c>
      <c r="GQ128">
        <v>12.5298</v>
      </c>
      <c r="GR128">
        <v>99.655299999999997</v>
      </c>
      <c r="GS128">
        <v>99.347700000000003</v>
      </c>
    </row>
    <row r="129" spans="1:201" x14ac:dyDescent="0.25">
      <c r="A129">
        <v>113</v>
      </c>
      <c r="B129">
        <v>1690204895.5</v>
      </c>
      <c r="C129">
        <v>1455.900000095367</v>
      </c>
      <c r="D129" t="s">
        <v>559</v>
      </c>
      <c r="E129" t="s">
        <v>560</v>
      </c>
      <c r="F129" t="s">
        <v>330</v>
      </c>
      <c r="H129">
        <v>1690204895.5</v>
      </c>
      <c r="I129">
        <f t="shared" si="30"/>
        <v>1.8976475561820673E-3</v>
      </c>
      <c r="J129">
        <f t="shared" si="31"/>
        <v>1.8976475561820674</v>
      </c>
      <c r="K129">
        <f t="shared" si="32"/>
        <v>37.707053393522848</v>
      </c>
      <c r="L129">
        <f t="shared" si="33"/>
        <v>400.40899999999999</v>
      </c>
      <c r="M129">
        <f t="shared" si="34"/>
        <v>86.618170861094441</v>
      </c>
      <c r="N129">
        <f t="shared" si="35"/>
        <v>8.5898793093185706</v>
      </c>
      <c r="O129">
        <f t="shared" si="36"/>
        <v>39.708353918955993</v>
      </c>
      <c r="P129">
        <f t="shared" si="37"/>
        <v>0.20316096986345361</v>
      </c>
      <c r="Q129">
        <f t="shared" si="38"/>
        <v>2.1952474912720281</v>
      </c>
      <c r="R129">
        <f t="shared" si="39"/>
        <v>0.19326369964587045</v>
      </c>
      <c r="S129">
        <f t="shared" si="40"/>
        <v>0.12163885241182734</v>
      </c>
      <c r="T129">
        <f t="shared" si="41"/>
        <v>276.11538670800002</v>
      </c>
      <c r="U129">
        <f t="shared" si="42"/>
        <v>27.07065867902357</v>
      </c>
      <c r="V129">
        <f t="shared" si="43"/>
        <v>27.07065867902357</v>
      </c>
      <c r="W129">
        <f t="shared" si="44"/>
        <v>3.5940399904924152</v>
      </c>
      <c r="X129">
        <f t="shared" si="45"/>
        <v>80.504203169521134</v>
      </c>
      <c r="Y129">
        <f t="shared" si="46"/>
        <v>2.6509589784943999</v>
      </c>
      <c r="Z129">
        <f t="shared" si="47"/>
        <v>3.2929448080023378</v>
      </c>
      <c r="AA129">
        <f t="shared" si="48"/>
        <v>0.94308101199801531</v>
      </c>
      <c r="AB129">
        <f t="shared" si="49"/>
        <v>-83.68625722762917</v>
      </c>
      <c r="AC129">
        <f t="shared" si="50"/>
        <v>-175.42558554440907</v>
      </c>
      <c r="AD129">
        <f t="shared" si="51"/>
        <v>-17.13057749659971</v>
      </c>
      <c r="AE129">
        <f t="shared" si="52"/>
        <v>-0.12703356063792626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52680.197195088513</v>
      </c>
      <c r="AK129">
        <f t="shared" si="56"/>
        <v>1800</v>
      </c>
      <c r="AL129">
        <f t="shared" si="57"/>
        <v>1499.1132617999999</v>
      </c>
      <c r="AM129">
        <f t="shared" si="58"/>
        <v>0.83284070099999996</v>
      </c>
      <c r="AN129">
        <f t="shared" si="59"/>
        <v>0.15339743706</v>
      </c>
      <c r="AO129">
        <v>31.2</v>
      </c>
      <c r="AP129">
        <v>0.5</v>
      </c>
      <c r="AQ129" t="s">
        <v>331</v>
      </c>
      <c r="AR129">
        <v>2</v>
      </c>
      <c r="AS129">
        <v>1690204895.5</v>
      </c>
      <c r="AT129">
        <v>400.40899999999999</v>
      </c>
      <c r="AU129">
        <v>800.05700000000002</v>
      </c>
      <c r="AV129">
        <v>26.7316</v>
      </c>
      <c r="AW129">
        <v>7.5431999999999997</v>
      </c>
      <c r="AX129">
        <v>401.12200000000001</v>
      </c>
      <c r="AY129">
        <v>26.5639</v>
      </c>
      <c r="AZ129">
        <v>300.30599999999998</v>
      </c>
      <c r="BA129">
        <v>99.069400000000002</v>
      </c>
      <c r="BB129">
        <v>0.10008400000000001</v>
      </c>
      <c r="BC129">
        <v>25.5884</v>
      </c>
      <c r="BD129">
        <v>27.070799999999998</v>
      </c>
      <c r="BE129">
        <v>26.836500000000001</v>
      </c>
      <c r="BF129">
        <v>0</v>
      </c>
      <c r="BG129">
        <v>0</v>
      </c>
      <c r="BH129">
        <v>10009.4</v>
      </c>
      <c r="BI129">
        <v>1065.07</v>
      </c>
      <c r="BJ129">
        <v>1.68198</v>
      </c>
      <c r="BK129">
        <v>-399.64800000000002</v>
      </c>
      <c r="BL129">
        <v>411.40600000000001</v>
      </c>
      <c r="BM129">
        <v>806.13800000000003</v>
      </c>
      <c r="BN129">
        <v>19.188400000000001</v>
      </c>
      <c r="BO129">
        <v>800.05700000000002</v>
      </c>
      <c r="BP129">
        <v>7.5431999999999997</v>
      </c>
      <c r="BQ129">
        <v>2.6482800000000002</v>
      </c>
      <c r="BR129">
        <v>0.74729999999999996</v>
      </c>
      <c r="BS129">
        <v>21.967700000000001</v>
      </c>
      <c r="BT129">
        <v>2.7437800000000001</v>
      </c>
      <c r="BU129">
        <v>1800</v>
      </c>
      <c r="BV129">
        <v>0.91000300000000001</v>
      </c>
      <c r="BW129">
        <v>3.3996600000000002E-2</v>
      </c>
      <c r="BX129">
        <v>2.20003E-2</v>
      </c>
      <c r="BY129">
        <v>3.40004E-2</v>
      </c>
      <c r="BZ129">
        <v>25</v>
      </c>
      <c r="CA129">
        <v>33528.400000000001</v>
      </c>
      <c r="CB129">
        <v>1690203121.0999999</v>
      </c>
      <c r="CC129" t="s">
        <v>332</v>
      </c>
      <c r="CD129">
        <v>1690203121.0999999</v>
      </c>
      <c r="CE129">
        <v>1690203121.0999999</v>
      </c>
      <c r="CF129">
        <v>3</v>
      </c>
      <c r="CG129">
        <v>0.53600000000000003</v>
      </c>
      <c r="CH129">
        <v>-0.01</v>
      </c>
      <c r="CI129">
        <v>-0.996</v>
      </c>
      <c r="CJ129">
        <v>-6.6000000000000003E-2</v>
      </c>
      <c r="CK129">
        <v>800</v>
      </c>
      <c r="CL129">
        <v>9</v>
      </c>
      <c r="CM129">
        <v>0.82</v>
      </c>
      <c r="CN129">
        <v>0.01</v>
      </c>
      <c r="CO129">
        <v>-397.86039024390237</v>
      </c>
      <c r="CP129">
        <v>-9.8500139372822506</v>
      </c>
      <c r="CQ129">
        <v>0.97283625769965199</v>
      </c>
      <c r="CR129">
        <v>-1</v>
      </c>
      <c r="CS129">
        <v>19.108965853658528</v>
      </c>
      <c r="CT129">
        <v>0.455021602787468</v>
      </c>
      <c r="CU129">
        <v>4.4916885899463459E-2</v>
      </c>
      <c r="CV129">
        <v>-1</v>
      </c>
      <c r="CW129">
        <v>0</v>
      </c>
      <c r="CX129">
        <v>0</v>
      </c>
      <c r="CY129" t="s">
        <v>333</v>
      </c>
      <c r="CZ129">
        <v>2.3654199999999999</v>
      </c>
      <c r="DA129">
        <v>2.7138900000000001</v>
      </c>
      <c r="DB129">
        <v>8.9759199999999997E-2</v>
      </c>
      <c r="DC129">
        <v>0.14624300000000001</v>
      </c>
      <c r="DD129">
        <v>0.12302200000000001</v>
      </c>
      <c r="DE129">
        <v>4.7490699999999997E-2</v>
      </c>
      <c r="DF129">
        <v>33213.800000000003</v>
      </c>
      <c r="DG129">
        <v>27465.200000000001</v>
      </c>
      <c r="DH129">
        <v>31149</v>
      </c>
      <c r="DI129">
        <v>28030</v>
      </c>
      <c r="DJ129">
        <v>37069.800000000003</v>
      </c>
      <c r="DK129">
        <v>37945.800000000003</v>
      </c>
      <c r="DL129">
        <v>44321.5</v>
      </c>
      <c r="DM129">
        <v>42459.1</v>
      </c>
      <c r="DN129">
        <v>1.4827699999999999</v>
      </c>
      <c r="DO129">
        <v>2.0552199999999998</v>
      </c>
      <c r="DP129">
        <v>0.17358699999999999</v>
      </c>
      <c r="DQ129">
        <v>0.16109999999999999</v>
      </c>
      <c r="DR129">
        <v>24.2256</v>
      </c>
      <c r="DS129">
        <v>24.195399999999999</v>
      </c>
      <c r="DT129">
        <v>24.5</v>
      </c>
      <c r="DU129">
        <v>27.7</v>
      </c>
      <c r="DV129">
        <v>9.2224299999999992</v>
      </c>
      <c r="DW129">
        <v>61.765500000000003</v>
      </c>
      <c r="DX129">
        <v>35.749200000000002</v>
      </c>
      <c r="DY129">
        <v>1</v>
      </c>
      <c r="DZ129">
        <v>-0.127744</v>
      </c>
      <c r="EA129">
        <v>0.33837099999999998</v>
      </c>
      <c r="EB129">
        <v>20.1907</v>
      </c>
      <c r="EC129">
        <v>5.24125</v>
      </c>
      <c r="ED129">
        <v>12.039899999999999</v>
      </c>
      <c r="EE129">
        <v>5.01755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</v>
      </c>
      <c r="EL129">
        <v>1.8646199999999999</v>
      </c>
      <c r="EM129">
        <v>1.86914</v>
      </c>
      <c r="EN129">
        <v>1.8672200000000001</v>
      </c>
      <c r="EO129">
        <v>1.8633999999999999</v>
      </c>
      <c r="EP129">
        <v>1.8644700000000001</v>
      </c>
      <c r="EQ129">
        <v>1.8701300000000001</v>
      </c>
      <c r="ER129">
        <v>1.8693900000000001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-0.71299999999999997</v>
      </c>
      <c r="FG129">
        <v>0.16769999999999999</v>
      </c>
      <c r="FH129">
        <v>-0.44422204735670362</v>
      </c>
      <c r="FI129">
        <v>-6.1462078757559423E-4</v>
      </c>
      <c r="FJ129">
        <v>-1.8861989874597051E-7</v>
      </c>
      <c r="FK129">
        <v>1.1980462299894961E-10</v>
      </c>
      <c r="FL129">
        <v>0.16773393518503121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29.6</v>
      </c>
      <c r="FU129">
        <v>29.6</v>
      </c>
      <c r="FV129">
        <v>1.77979</v>
      </c>
      <c r="FW129">
        <v>2.5598100000000001</v>
      </c>
      <c r="FX129">
        <v>1.5490699999999999</v>
      </c>
      <c r="FY129">
        <v>2.33521</v>
      </c>
      <c r="FZ129">
        <v>1.50146</v>
      </c>
      <c r="GA129">
        <v>2.3120099999999999</v>
      </c>
      <c r="GB129">
        <v>32.421199999999999</v>
      </c>
      <c r="GC129">
        <v>23.982399999999998</v>
      </c>
      <c r="GD129">
        <v>19</v>
      </c>
      <c r="GE129">
        <v>283.92</v>
      </c>
      <c r="GF129">
        <v>594.26</v>
      </c>
      <c r="GG129">
        <v>23.888100000000001</v>
      </c>
      <c r="GH129">
        <v>25.779399999999999</v>
      </c>
      <c r="GI129">
        <v>30.000499999999999</v>
      </c>
      <c r="GJ129">
        <v>25.9544</v>
      </c>
      <c r="GK129">
        <v>25.939599999999999</v>
      </c>
      <c r="GL129">
        <v>35.592199999999998</v>
      </c>
      <c r="GM129">
        <v>-30</v>
      </c>
      <c r="GN129">
        <v>-30</v>
      </c>
      <c r="GO129">
        <v>23.831499999999998</v>
      </c>
      <c r="GP129">
        <v>800</v>
      </c>
      <c r="GQ129">
        <v>12.5298</v>
      </c>
      <c r="GR129">
        <v>99.655000000000001</v>
      </c>
      <c r="GS129">
        <v>99.349599999999995</v>
      </c>
    </row>
    <row r="130" spans="1:201" x14ac:dyDescent="0.25">
      <c r="A130">
        <v>114</v>
      </c>
      <c r="B130">
        <v>1690204905.5</v>
      </c>
      <c r="C130">
        <v>1465.900000095367</v>
      </c>
      <c r="D130" t="s">
        <v>561</v>
      </c>
      <c r="E130" t="s">
        <v>562</v>
      </c>
      <c r="F130" t="s">
        <v>330</v>
      </c>
      <c r="H130">
        <v>1690204905.5</v>
      </c>
      <c r="I130">
        <f t="shared" si="30"/>
        <v>1.900390558521838E-3</v>
      </c>
      <c r="J130">
        <f t="shared" si="31"/>
        <v>1.9003905585218379</v>
      </c>
      <c r="K130">
        <f t="shared" si="32"/>
        <v>37.870432750534007</v>
      </c>
      <c r="L130">
        <f t="shared" si="33"/>
        <v>398.56</v>
      </c>
      <c r="M130">
        <f t="shared" si="34"/>
        <v>85.248910350959292</v>
      </c>
      <c r="N130">
        <f t="shared" si="35"/>
        <v>8.4542659188990665</v>
      </c>
      <c r="O130">
        <f t="shared" si="36"/>
        <v>39.525809899088003</v>
      </c>
      <c r="P130">
        <f t="shared" si="37"/>
        <v>0.20439134229220587</v>
      </c>
      <c r="Q130">
        <f t="shared" si="38"/>
        <v>2.1928906330222673</v>
      </c>
      <c r="R130">
        <f t="shared" si="39"/>
        <v>0.19436680876719406</v>
      </c>
      <c r="S130">
        <f t="shared" si="40"/>
        <v>0.12233893711247133</v>
      </c>
      <c r="T130">
        <f t="shared" si="41"/>
        <v>276.11537709600003</v>
      </c>
      <c r="U130">
        <f t="shared" si="42"/>
        <v>27.064586782008934</v>
      </c>
      <c r="V130">
        <f t="shared" si="43"/>
        <v>27.064586782008934</v>
      </c>
      <c r="W130">
        <f t="shared" si="44"/>
        <v>3.5927591677003234</v>
      </c>
      <c r="X130">
        <f t="shared" si="45"/>
        <v>80.61786147570615</v>
      </c>
      <c r="Y130">
        <f t="shared" si="46"/>
        <v>2.6536618803260899</v>
      </c>
      <c r="Z130">
        <f t="shared" si="47"/>
        <v>3.2916550150933479</v>
      </c>
      <c r="AA130">
        <f t="shared" si="48"/>
        <v>0.93909728737423359</v>
      </c>
      <c r="AB130">
        <f t="shared" si="49"/>
        <v>-83.807223630813056</v>
      </c>
      <c r="AC130">
        <f t="shared" si="50"/>
        <v>-175.29967937841425</v>
      </c>
      <c r="AD130">
        <f t="shared" si="51"/>
        <v>-17.135592722447385</v>
      </c>
      <c r="AE130">
        <f t="shared" si="52"/>
        <v>-0.12711863567463411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52584.592217336729</v>
      </c>
      <c r="AK130">
        <f t="shared" si="56"/>
        <v>1800</v>
      </c>
      <c r="AL130">
        <f t="shared" si="57"/>
        <v>1499.1135426000001</v>
      </c>
      <c r="AM130">
        <f t="shared" si="58"/>
        <v>0.83284085699999999</v>
      </c>
      <c r="AN130">
        <f t="shared" si="59"/>
        <v>0.15339743172000003</v>
      </c>
      <c r="AO130">
        <v>31.2</v>
      </c>
      <c r="AP130">
        <v>0.5</v>
      </c>
      <c r="AQ130" t="s">
        <v>331</v>
      </c>
      <c r="AR130">
        <v>2</v>
      </c>
      <c r="AS130">
        <v>1690204905.5</v>
      </c>
      <c r="AT130">
        <v>398.56</v>
      </c>
      <c r="AU130">
        <v>800.01400000000001</v>
      </c>
      <c r="AV130">
        <v>26.758299999999998</v>
      </c>
      <c r="AW130">
        <v>7.5362900000000002</v>
      </c>
      <c r="AX130">
        <v>399.27199999999999</v>
      </c>
      <c r="AY130">
        <v>26.590599999999998</v>
      </c>
      <c r="AZ130">
        <v>300.20600000000002</v>
      </c>
      <c r="BA130">
        <v>99.071600000000004</v>
      </c>
      <c r="BB130">
        <v>9.9942299999999998E-2</v>
      </c>
      <c r="BC130">
        <v>25.581800000000001</v>
      </c>
      <c r="BD130">
        <v>27.023099999999999</v>
      </c>
      <c r="BE130">
        <v>26.832000000000001</v>
      </c>
      <c r="BF130">
        <v>0</v>
      </c>
      <c r="BG130">
        <v>0</v>
      </c>
      <c r="BH130">
        <v>9990</v>
      </c>
      <c r="BI130">
        <v>1065.1300000000001</v>
      </c>
      <c r="BJ130">
        <v>1.68198</v>
      </c>
      <c r="BK130">
        <v>-401.45400000000001</v>
      </c>
      <c r="BL130">
        <v>409.51799999999997</v>
      </c>
      <c r="BM130">
        <v>806.08900000000006</v>
      </c>
      <c r="BN130">
        <v>19.222000000000001</v>
      </c>
      <c r="BO130">
        <v>800.01400000000001</v>
      </c>
      <c r="BP130">
        <v>7.5362900000000002</v>
      </c>
      <c r="BQ130">
        <v>2.6509900000000002</v>
      </c>
      <c r="BR130">
        <v>0.74663199999999996</v>
      </c>
      <c r="BS130">
        <v>21.984400000000001</v>
      </c>
      <c r="BT130">
        <v>2.7311899999999998</v>
      </c>
      <c r="BU130">
        <v>1800</v>
      </c>
      <c r="BV130">
        <v>0.91000400000000004</v>
      </c>
      <c r="BW130">
        <v>3.39963E-2</v>
      </c>
      <c r="BX130">
        <v>2.2000100000000002E-2</v>
      </c>
      <c r="BY130">
        <v>3.4000000000000002E-2</v>
      </c>
      <c r="BZ130">
        <v>25</v>
      </c>
      <c r="CA130">
        <v>33528.400000000001</v>
      </c>
      <c r="CB130">
        <v>1690203121.0999999</v>
      </c>
      <c r="CC130" t="s">
        <v>332</v>
      </c>
      <c r="CD130">
        <v>1690203121.0999999</v>
      </c>
      <c r="CE130">
        <v>1690203121.0999999</v>
      </c>
      <c r="CF130">
        <v>3</v>
      </c>
      <c r="CG130">
        <v>0.53600000000000003</v>
      </c>
      <c r="CH130">
        <v>-0.01</v>
      </c>
      <c r="CI130">
        <v>-0.996</v>
      </c>
      <c r="CJ130">
        <v>-6.6000000000000003E-2</v>
      </c>
      <c r="CK130">
        <v>800</v>
      </c>
      <c r="CL130">
        <v>9</v>
      </c>
      <c r="CM130">
        <v>0.82</v>
      </c>
      <c r="CN130">
        <v>0.01</v>
      </c>
      <c r="CO130">
        <v>-399.6495609756098</v>
      </c>
      <c r="CP130">
        <v>-9.5747456446002932</v>
      </c>
      <c r="CQ130">
        <v>0.94584245707149739</v>
      </c>
      <c r="CR130">
        <v>-1</v>
      </c>
      <c r="CS130">
        <v>19.179719512195121</v>
      </c>
      <c r="CT130">
        <v>0.31307038327530112</v>
      </c>
      <c r="CU130">
        <v>3.1278522355406291E-2</v>
      </c>
      <c r="CV130">
        <v>-1</v>
      </c>
      <c r="CW130">
        <v>0</v>
      </c>
      <c r="CX130">
        <v>0</v>
      </c>
      <c r="CY130" t="s">
        <v>333</v>
      </c>
      <c r="CZ130">
        <v>2.3651</v>
      </c>
      <c r="DA130">
        <v>2.71373</v>
      </c>
      <c r="DB130">
        <v>8.9445499999999997E-2</v>
      </c>
      <c r="DC130">
        <v>0.14624300000000001</v>
      </c>
      <c r="DD130">
        <v>0.123111</v>
      </c>
      <c r="DE130">
        <v>4.7457699999999998E-2</v>
      </c>
      <c r="DF130">
        <v>33225.5</v>
      </c>
      <c r="DG130">
        <v>27465.1</v>
      </c>
      <c r="DH130">
        <v>31149.200000000001</v>
      </c>
      <c r="DI130">
        <v>28029.8</v>
      </c>
      <c r="DJ130">
        <v>37066.1</v>
      </c>
      <c r="DK130">
        <v>37947</v>
      </c>
      <c r="DL130">
        <v>44321.8</v>
      </c>
      <c r="DM130">
        <v>42459</v>
      </c>
      <c r="DN130">
        <v>1.48312</v>
      </c>
      <c r="DO130">
        <v>2.0555500000000002</v>
      </c>
      <c r="DP130">
        <v>0.17033899999999999</v>
      </c>
      <c r="DQ130">
        <v>0.160519</v>
      </c>
      <c r="DR130">
        <v>24.231100000000001</v>
      </c>
      <c r="DS130">
        <v>24.200500000000002</v>
      </c>
      <c r="DT130">
        <v>24.5</v>
      </c>
      <c r="DU130">
        <v>27.7</v>
      </c>
      <c r="DV130">
        <v>9.2225199999999994</v>
      </c>
      <c r="DW130">
        <v>61.785400000000003</v>
      </c>
      <c r="DX130">
        <v>36.474400000000003</v>
      </c>
      <c r="DY130">
        <v>1</v>
      </c>
      <c r="DZ130">
        <v>-0.12773100000000001</v>
      </c>
      <c r="EA130">
        <v>0.29956199999999999</v>
      </c>
      <c r="EB130">
        <v>20.190799999999999</v>
      </c>
      <c r="EC130">
        <v>5.2416999999999998</v>
      </c>
      <c r="ED130">
        <v>12.039899999999999</v>
      </c>
      <c r="EE130">
        <v>5.0172999999999996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</v>
      </c>
      <c r="EL130">
        <v>1.8646199999999999</v>
      </c>
      <c r="EM130">
        <v>1.86914</v>
      </c>
      <c r="EN130">
        <v>1.8672200000000001</v>
      </c>
      <c r="EO130">
        <v>1.8633999999999999</v>
      </c>
      <c r="EP130">
        <v>1.8644799999999999</v>
      </c>
      <c r="EQ130">
        <v>1.8701399999999999</v>
      </c>
      <c r="ER130">
        <v>1.8693900000000001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-0.71199999999999997</v>
      </c>
      <c r="FG130">
        <v>0.16769999999999999</v>
      </c>
      <c r="FH130">
        <v>-0.44422204735670362</v>
      </c>
      <c r="FI130">
        <v>-6.1462078757559423E-4</v>
      </c>
      <c r="FJ130">
        <v>-1.8861989874597051E-7</v>
      </c>
      <c r="FK130">
        <v>1.1980462299894961E-10</v>
      </c>
      <c r="FL130">
        <v>0.16773393518503121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29.7</v>
      </c>
      <c r="FU130">
        <v>29.7</v>
      </c>
      <c r="FV130">
        <v>1.77979</v>
      </c>
      <c r="FW130">
        <v>2.5585900000000001</v>
      </c>
      <c r="FX130">
        <v>1.5490699999999999</v>
      </c>
      <c r="FY130">
        <v>2.33521</v>
      </c>
      <c r="FZ130">
        <v>1.50146</v>
      </c>
      <c r="GA130">
        <v>2.3535200000000001</v>
      </c>
      <c r="GB130">
        <v>32.421199999999999</v>
      </c>
      <c r="GC130">
        <v>23.982399999999998</v>
      </c>
      <c r="GD130">
        <v>19</v>
      </c>
      <c r="GE130">
        <v>284.04700000000003</v>
      </c>
      <c r="GF130">
        <v>594.48400000000004</v>
      </c>
      <c r="GG130">
        <v>23.774100000000001</v>
      </c>
      <c r="GH130">
        <v>25.775200000000002</v>
      </c>
      <c r="GI130">
        <v>30.0002</v>
      </c>
      <c r="GJ130">
        <v>25.9495</v>
      </c>
      <c r="GK130">
        <v>25.935400000000001</v>
      </c>
      <c r="GL130">
        <v>35.5931</v>
      </c>
      <c r="GM130">
        <v>-30</v>
      </c>
      <c r="GN130">
        <v>-30</v>
      </c>
      <c r="GO130">
        <v>23.7789</v>
      </c>
      <c r="GP130">
        <v>800</v>
      </c>
      <c r="GQ130">
        <v>12.5298</v>
      </c>
      <c r="GR130">
        <v>99.655600000000007</v>
      </c>
      <c r="GS130">
        <v>99.349199999999996</v>
      </c>
    </row>
    <row r="131" spans="1:201" x14ac:dyDescent="0.25">
      <c r="A131">
        <v>115</v>
      </c>
      <c r="B131">
        <v>1690204915.5</v>
      </c>
      <c r="C131">
        <v>1475.900000095367</v>
      </c>
      <c r="D131" t="s">
        <v>563</v>
      </c>
      <c r="E131" t="s">
        <v>564</v>
      </c>
      <c r="F131" t="s">
        <v>330</v>
      </c>
      <c r="H131">
        <v>1690204915.5</v>
      </c>
      <c r="I131">
        <f t="shared" si="30"/>
        <v>1.9023923751514272E-3</v>
      </c>
      <c r="J131">
        <f t="shared" si="31"/>
        <v>1.9023923751514271</v>
      </c>
      <c r="K131">
        <f t="shared" si="32"/>
        <v>38.006523978496396</v>
      </c>
      <c r="L131">
        <f t="shared" si="33"/>
        <v>397.02699999999999</v>
      </c>
      <c r="M131">
        <f t="shared" si="34"/>
        <v>84.181467346972582</v>
      </c>
      <c r="N131">
        <f t="shared" si="35"/>
        <v>8.3483364749113598</v>
      </c>
      <c r="O131">
        <f t="shared" si="36"/>
        <v>39.373452258359002</v>
      </c>
      <c r="P131">
        <f t="shared" si="37"/>
        <v>0.20545303700728548</v>
      </c>
      <c r="Q131">
        <f t="shared" si="38"/>
        <v>2.1938016551050263</v>
      </c>
      <c r="R131">
        <f t="shared" si="39"/>
        <v>0.19533084380188478</v>
      </c>
      <c r="S131">
        <f t="shared" si="40"/>
        <v>0.12294964646570852</v>
      </c>
      <c r="T131">
        <f t="shared" si="41"/>
        <v>276.115179888</v>
      </c>
      <c r="U131">
        <f t="shared" si="42"/>
        <v>27.055553784502827</v>
      </c>
      <c r="V131">
        <f t="shared" si="43"/>
        <v>27.055553784502827</v>
      </c>
      <c r="W131">
        <f t="shared" si="44"/>
        <v>3.5908544594326828</v>
      </c>
      <c r="X131">
        <f t="shared" si="45"/>
        <v>80.708480112619156</v>
      </c>
      <c r="Y131">
        <f t="shared" si="46"/>
        <v>2.6554149525353994</v>
      </c>
      <c r="Z131">
        <f t="shared" si="47"/>
        <v>3.2901312833918834</v>
      </c>
      <c r="AA131">
        <f t="shared" si="48"/>
        <v>0.93543950689728339</v>
      </c>
      <c r="AB131">
        <f t="shared" si="49"/>
        <v>-83.895503744177944</v>
      </c>
      <c r="AC131">
        <f t="shared" si="50"/>
        <v>-175.22667711402624</v>
      </c>
      <c r="AD131">
        <f t="shared" si="51"/>
        <v>-17.119899376188798</v>
      </c>
      <c r="AE131">
        <f t="shared" si="52"/>
        <v>-0.12690034639300052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52623.358600301333</v>
      </c>
      <c r="AK131">
        <f t="shared" si="56"/>
        <v>1800</v>
      </c>
      <c r="AL131">
        <f t="shared" si="57"/>
        <v>1499.1136938</v>
      </c>
      <c r="AM131">
        <f t="shared" si="58"/>
        <v>0.83284094099999995</v>
      </c>
      <c r="AN131">
        <f t="shared" si="59"/>
        <v>0.15339732215999999</v>
      </c>
      <c r="AO131">
        <v>31.2</v>
      </c>
      <c r="AP131">
        <v>0.5</v>
      </c>
      <c r="AQ131" t="s">
        <v>331</v>
      </c>
      <c r="AR131">
        <v>2</v>
      </c>
      <c r="AS131">
        <v>1690204915.5</v>
      </c>
      <c r="AT131">
        <v>397.02699999999999</v>
      </c>
      <c r="AU131">
        <v>799.97</v>
      </c>
      <c r="AV131">
        <v>26.776199999999999</v>
      </c>
      <c r="AW131">
        <v>7.5296799999999999</v>
      </c>
      <c r="AX131">
        <v>397.738</v>
      </c>
      <c r="AY131">
        <v>26.608499999999999</v>
      </c>
      <c r="AZ131">
        <v>300.13400000000001</v>
      </c>
      <c r="BA131">
        <v>99.070700000000002</v>
      </c>
      <c r="BB131">
        <v>0.10001699999999999</v>
      </c>
      <c r="BC131">
        <v>25.574000000000002</v>
      </c>
      <c r="BD131">
        <v>26.9542</v>
      </c>
      <c r="BE131">
        <v>26.840399999999999</v>
      </c>
      <c r="BF131">
        <v>0</v>
      </c>
      <c r="BG131">
        <v>0</v>
      </c>
      <c r="BH131">
        <v>9997.5</v>
      </c>
      <c r="BI131">
        <v>1065.2</v>
      </c>
      <c r="BJ131">
        <v>1.68198</v>
      </c>
      <c r="BK131">
        <v>-402.94200000000001</v>
      </c>
      <c r="BL131">
        <v>407.95100000000002</v>
      </c>
      <c r="BM131">
        <v>806.03899999999999</v>
      </c>
      <c r="BN131">
        <v>19.246500000000001</v>
      </c>
      <c r="BO131">
        <v>799.97</v>
      </c>
      <c r="BP131">
        <v>7.5296799999999999</v>
      </c>
      <c r="BQ131">
        <v>2.6527400000000001</v>
      </c>
      <c r="BR131">
        <v>0.74597100000000005</v>
      </c>
      <c r="BS131">
        <v>21.9953</v>
      </c>
      <c r="BT131">
        <v>2.7187299999999999</v>
      </c>
      <c r="BU131">
        <v>1800</v>
      </c>
      <c r="BV131">
        <v>0.91000700000000001</v>
      </c>
      <c r="BW131">
        <v>3.39951E-2</v>
      </c>
      <c r="BX131">
        <v>2.1999299999999999E-2</v>
      </c>
      <c r="BY131">
        <v>3.3998800000000003E-2</v>
      </c>
      <c r="BZ131">
        <v>25</v>
      </c>
      <c r="CA131">
        <v>33528.400000000001</v>
      </c>
      <c r="CB131">
        <v>1690203121.0999999</v>
      </c>
      <c r="CC131" t="s">
        <v>332</v>
      </c>
      <c r="CD131">
        <v>1690203121.0999999</v>
      </c>
      <c r="CE131">
        <v>1690203121.0999999</v>
      </c>
      <c r="CF131">
        <v>3</v>
      </c>
      <c r="CG131">
        <v>0.53600000000000003</v>
      </c>
      <c r="CH131">
        <v>-0.01</v>
      </c>
      <c r="CI131">
        <v>-0.996</v>
      </c>
      <c r="CJ131">
        <v>-6.6000000000000003E-2</v>
      </c>
      <c r="CK131">
        <v>800</v>
      </c>
      <c r="CL131">
        <v>9</v>
      </c>
      <c r="CM131">
        <v>0.82</v>
      </c>
      <c r="CN131">
        <v>0.01</v>
      </c>
      <c r="CO131">
        <v>-401.20882499999999</v>
      </c>
      <c r="CP131">
        <v>-9.6605290806745465</v>
      </c>
      <c r="CQ131">
        <v>0.93235143287013544</v>
      </c>
      <c r="CR131">
        <v>-1</v>
      </c>
      <c r="CS131">
        <v>19.218250000000001</v>
      </c>
      <c r="CT131">
        <v>0.16098461538454131</v>
      </c>
      <c r="CU131">
        <v>1.568105544917164E-2</v>
      </c>
      <c r="CV131">
        <v>-1</v>
      </c>
      <c r="CW131">
        <v>0</v>
      </c>
      <c r="CX131">
        <v>0</v>
      </c>
      <c r="CY131" t="s">
        <v>333</v>
      </c>
      <c r="CZ131">
        <v>2.3648600000000002</v>
      </c>
      <c r="DA131">
        <v>2.7138100000000001</v>
      </c>
      <c r="DB131">
        <v>8.9182600000000001E-2</v>
      </c>
      <c r="DC131">
        <v>0.14623700000000001</v>
      </c>
      <c r="DD131">
        <v>0.123169</v>
      </c>
      <c r="DE131">
        <v>4.74247E-2</v>
      </c>
      <c r="DF131">
        <v>33235.599999999999</v>
      </c>
      <c r="DG131">
        <v>27465.5</v>
      </c>
      <c r="DH131">
        <v>31149.7</v>
      </c>
      <c r="DI131">
        <v>28030</v>
      </c>
      <c r="DJ131">
        <v>37064.199999999997</v>
      </c>
      <c r="DK131">
        <v>37948.6</v>
      </c>
      <c r="DL131">
        <v>44322.400000000001</v>
      </c>
      <c r="DM131">
        <v>42459.3</v>
      </c>
      <c r="DN131">
        <v>1.48295</v>
      </c>
      <c r="DO131">
        <v>2.05538</v>
      </c>
      <c r="DP131">
        <v>0.16578699999999999</v>
      </c>
      <c r="DQ131">
        <v>0.16072400000000001</v>
      </c>
      <c r="DR131">
        <v>24.236699999999999</v>
      </c>
      <c r="DS131">
        <v>24.2056</v>
      </c>
      <c r="DT131">
        <v>24.5</v>
      </c>
      <c r="DU131">
        <v>27.7</v>
      </c>
      <c r="DV131">
        <v>9.2206100000000006</v>
      </c>
      <c r="DW131">
        <v>61.385399999999997</v>
      </c>
      <c r="DX131">
        <v>37.179499999999997</v>
      </c>
      <c r="DY131">
        <v>1</v>
      </c>
      <c r="DZ131">
        <v>-0.12828800000000001</v>
      </c>
      <c r="EA131">
        <v>0.27077099999999998</v>
      </c>
      <c r="EB131">
        <v>20.191099999999999</v>
      </c>
      <c r="EC131">
        <v>5.2428999999999997</v>
      </c>
      <c r="ED131">
        <v>12.039899999999999</v>
      </c>
      <c r="EE131">
        <v>5.0175000000000001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</v>
      </c>
      <c r="EL131">
        <v>1.8646199999999999</v>
      </c>
      <c r="EM131">
        <v>1.86917</v>
      </c>
      <c r="EN131">
        <v>1.8672200000000001</v>
      </c>
      <c r="EO131">
        <v>1.8633999999999999</v>
      </c>
      <c r="EP131">
        <v>1.8644700000000001</v>
      </c>
      <c r="EQ131">
        <v>1.8701399999999999</v>
      </c>
      <c r="ER131">
        <v>1.8693900000000001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-0.71099999999999997</v>
      </c>
      <c r="FG131">
        <v>0.16769999999999999</v>
      </c>
      <c r="FH131">
        <v>-0.44422204735670362</v>
      </c>
      <c r="FI131">
        <v>-6.1462078757559423E-4</v>
      </c>
      <c r="FJ131">
        <v>-1.8861989874597051E-7</v>
      </c>
      <c r="FK131">
        <v>1.1980462299894961E-10</v>
      </c>
      <c r="FL131">
        <v>0.16773393518503121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29.9</v>
      </c>
      <c r="FU131">
        <v>29.9</v>
      </c>
      <c r="FV131">
        <v>1.77979</v>
      </c>
      <c r="FW131">
        <v>2.5549300000000001</v>
      </c>
      <c r="FX131">
        <v>1.5490699999999999</v>
      </c>
      <c r="FY131">
        <v>2.33521</v>
      </c>
      <c r="FZ131">
        <v>1.50146</v>
      </c>
      <c r="GA131">
        <v>2.4035600000000001</v>
      </c>
      <c r="GB131">
        <v>32.421199999999999</v>
      </c>
      <c r="GC131">
        <v>23.991199999999999</v>
      </c>
      <c r="GD131">
        <v>19</v>
      </c>
      <c r="GE131">
        <v>283.95</v>
      </c>
      <c r="GF131">
        <v>594.29399999999998</v>
      </c>
      <c r="GG131">
        <v>23.736599999999999</v>
      </c>
      <c r="GH131">
        <v>25.771899999999999</v>
      </c>
      <c r="GI131">
        <v>29.9999</v>
      </c>
      <c r="GJ131">
        <v>25.944600000000001</v>
      </c>
      <c r="GK131">
        <v>25.9316</v>
      </c>
      <c r="GL131">
        <v>35.594700000000003</v>
      </c>
      <c r="GM131">
        <v>-30</v>
      </c>
      <c r="GN131">
        <v>-30</v>
      </c>
      <c r="GO131">
        <v>23.723700000000001</v>
      </c>
      <c r="GP131">
        <v>800</v>
      </c>
      <c r="GQ131">
        <v>12.5298</v>
      </c>
      <c r="GR131">
        <v>99.6571</v>
      </c>
      <c r="GS131">
        <v>99.349900000000005</v>
      </c>
    </row>
    <row r="132" spans="1:201" x14ac:dyDescent="0.25">
      <c r="A132">
        <v>116</v>
      </c>
      <c r="B132">
        <v>1690204925.5</v>
      </c>
      <c r="C132">
        <v>1485.900000095367</v>
      </c>
      <c r="D132" t="s">
        <v>565</v>
      </c>
      <c r="E132" t="s">
        <v>566</v>
      </c>
      <c r="F132" t="s">
        <v>330</v>
      </c>
      <c r="H132">
        <v>1690204925.5</v>
      </c>
      <c r="I132">
        <f t="shared" si="30"/>
        <v>1.9066024885842144E-3</v>
      </c>
      <c r="J132">
        <f t="shared" si="31"/>
        <v>1.9066024885842143</v>
      </c>
      <c r="K132">
        <f t="shared" si="32"/>
        <v>38.151875803271366</v>
      </c>
      <c r="L132">
        <f t="shared" si="33"/>
        <v>395.58499999999998</v>
      </c>
      <c r="M132">
        <f t="shared" si="34"/>
        <v>83.828603117767102</v>
      </c>
      <c r="N132">
        <f t="shared" si="35"/>
        <v>8.3133695517475594</v>
      </c>
      <c r="O132">
        <f t="shared" si="36"/>
        <v>39.230574908995997</v>
      </c>
      <c r="P132">
        <f t="shared" si="37"/>
        <v>0.20701204068160167</v>
      </c>
      <c r="Q132">
        <f t="shared" si="38"/>
        <v>2.19396025565141</v>
      </c>
      <c r="R132">
        <f t="shared" si="39"/>
        <v>0.19674047630944749</v>
      </c>
      <c r="S132">
        <f t="shared" si="40"/>
        <v>0.12384317298303504</v>
      </c>
      <c r="T132">
        <f t="shared" si="41"/>
        <v>276.11341972803501</v>
      </c>
      <c r="U132">
        <f t="shared" si="42"/>
        <v>27.050116765724404</v>
      </c>
      <c r="V132">
        <f t="shared" si="43"/>
        <v>27.050116765724404</v>
      </c>
      <c r="W132">
        <f t="shared" si="44"/>
        <v>3.5897084283760958</v>
      </c>
      <c r="X132">
        <f t="shared" si="45"/>
        <v>80.83385446546778</v>
      </c>
      <c r="Y132">
        <f t="shared" si="46"/>
        <v>2.6589242746124002</v>
      </c>
      <c r="Z132">
        <f t="shared" si="47"/>
        <v>3.2893696486393491</v>
      </c>
      <c r="AA132">
        <f t="shared" si="48"/>
        <v>0.93078415376369561</v>
      </c>
      <c r="AB132">
        <f t="shared" si="49"/>
        <v>-84.081169746563859</v>
      </c>
      <c r="AC132">
        <f t="shared" si="50"/>
        <v>-175.05754531101331</v>
      </c>
      <c r="AD132">
        <f t="shared" si="51"/>
        <v>-17.101338114145282</v>
      </c>
      <c r="AE132">
        <f t="shared" si="52"/>
        <v>-0.12663344368743878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52630.569479825208</v>
      </c>
      <c r="AK132">
        <f t="shared" si="56"/>
        <v>1799.99</v>
      </c>
      <c r="AL132">
        <f t="shared" si="57"/>
        <v>1499.10539059045</v>
      </c>
      <c r="AM132">
        <f t="shared" si="58"/>
        <v>0.83284095499999999</v>
      </c>
      <c r="AN132">
        <f t="shared" si="59"/>
        <v>0.1533971965</v>
      </c>
      <c r="AO132">
        <v>31.2</v>
      </c>
      <c r="AP132">
        <v>0.5</v>
      </c>
      <c r="AQ132" t="s">
        <v>331</v>
      </c>
      <c r="AR132">
        <v>2</v>
      </c>
      <c r="AS132">
        <v>1690204925.5</v>
      </c>
      <c r="AT132">
        <v>395.58499999999998</v>
      </c>
      <c r="AU132">
        <v>800.01700000000005</v>
      </c>
      <c r="AV132">
        <v>26.811499999999999</v>
      </c>
      <c r="AW132">
        <v>7.5236000000000001</v>
      </c>
      <c r="AX132">
        <v>396.29399999999998</v>
      </c>
      <c r="AY132">
        <v>26.643799999999999</v>
      </c>
      <c r="AZ132">
        <v>300.142</v>
      </c>
      <c r="BA132">
        <v>99.071100000000001</v>
      </c>
      <c r="BB132">
        <v>9.9937600000000001E-2</v>
      </c>
      <c r="BC132">
        <v>25.5701</v>
      </c>
      <c r="BD132">
        <v>26.958300000000001</v>
      </c>
      <c r="BE132">
        <v>26.818000000000001</v>
      </c>
      <c r="BF132">
        <v>0</v>
      </c>
      <c r="BG132">
        <v>0</v>
      </c>
      <c r="BH132">
        <v>9998.75</v>
      </c>
      <c r="BI132">
        <v>1065.26</v>
      </c>
      <c r="BJ132">
        <v>1.68198</v>
      </c>
      <c r="BK132">
        <v>-404.43200000000002</v>
      </c>
      <c r="BL132">
        <v>406.483</v>
      </c>
      <c r="BM132">
        <v>806.08100000000002</v>
      </c>
      <c r="BN132">
        <v>19.2879</v>
      </c>
      <c r="BO132">
        <v>800.01700000000005</v>
      </c>
      <c r="BP132">
        <v>7.5236000000000001</v>
      </c>
      <c r="BQ132">
        <v>2.6562399999999999</v>
      </c>
      <c r="BR132">
        <v>0.74537200000000003</v>
      </c>
      <c r="BS132">
        <v>22.0169</v>
      </c>
      <c r="BT132">
        <v>2.7074099999999999</v>
      </c>
      <c r="BU132">
        <v>1799.99</v>
      </c>
      <c r="BV132">
        <v>0.91000999999999999</v>
      </c>
      <c r="BW132">
        <v>3.3993799999999998E-2</v>
      </c>
      <c r="BX132">
        <v>2.1998500000000001E-2</v>
      </c>
      <c r="BY132">
        <v>3.3997600000000003E-2</v>
      </c>
      <c r="BZ132">
        <v>25</v>
      </c>
      <c r="CA132">
        <v>33528.199999999997</v>
      </c>
      <c r="CB132">
        <v>1690203121.0999999</v>
      </c>
      <c r="CC132" t="s">
        <v>332</v>
      </c>
      <c r="CD132">
        <v>1690203121.0999999</v>
      </c>
      <c r="CE132">
        <v>1690203121.0999999</v>
      </c>
      <c r="CF132">
        <v>3</v>
      </c>
      <c r="CG132">
        <v>0.53600000000000003</v>
      </c>
      <c r="CH132">
        <v>-0.01</v>
      </c>
      <c r="CI132">
        <v>-0.996</v>
      </c>
      <c r="CJ132">
        <v>-6.6000000000000003E-2</v>
      </c>
      <c r="CK132">
        <v>800</v>
      </c>
      <c r="CL132">
        <v>9</v>
      </c>
      <c r="CM132">
        <v>0.82</v>
      </c>
      <c r="CN132">
        <v>0.01</v>
      </c>
      <c r="CO132">
        <v>-402.79232500000001</v>
      </c>
      <c r="CP132">
        <v>-9.0197786116316099</v>
      </c>
      <c r="CQ132">
        <v>0.8695970442538361</v>
      </c>
      <c r="CR132">
        <v>-1</v>
      </c>
      <c r="CS132">
        <v>19.247947499999999</v>
      </c>
      <c r="CT132">
        <v>0.1956056285178151</v>
      </c>
      <c r="CU132">
        <v>1.9006709177288E-2</v>
      </c>
      <c r="CV132">
        <v>-1</v>
      </c>
      <c r="CW132">
        <v>0</v>
      </c>
      <c r="CX132">
        <v>0</v>
      </c>
      <c r="CY132" t="s">
        <v>333</v>
      </c>
      <c r="CZ132">
        <v>2.3649200000000001</v>
      </c>
      <c r="DA132">
        <v>2.71373</v>
      </c>
      <c r="DB132">
        <v>8.8935799999999995E-2</v>
      </c>
      <c r="DC132">
        <v>0.14624400000000001</v>
      </c>
      <c r="DD132">
        <v>0.123284</v>
      </c>
      <c r="DE132">
        <v>4.7394800000000001E-2</v>
      </c>
      <c r="DF132">
        <v>33245</v>
      </c>
      <c r="DG132">
        <v>27466</v>
      </c>
      <c r="DH132">
        <v>31150</v>
      </c>
      <c r="DI132">
        <v>28030.799999999999</v>
      </c>
      <c r="DJ132">
        <v>37059.599999999999</v>
      </c>
      <c r="DK132">
        <v>37950.699999999997</v>
      </c>
      <c r="DL132">
        <v>44322.8</v>
      </c>
      <c r="DM132">
        <v>42460.3</v>
      </c>
      <c r="DN132">
        <v>1.4829300000000001</v>
      </c>
      <c r="DO132">
        <v>2.0552700000000002</v>
      </c>
      <c r="DP132">
        <v>0.16584199999999999</v>
      </c>
      <c r="DQ132">
        <v>0.159249</v>
      </c>
      <c r="DR132">
        <v>24.239899999999999</v>
      </c>
      <c r="DS132">
        <v>24.2073</v>
      </c>
      <c r="DT132">
        <v>24.4</v>
      </c>
      <c r="DU132">
        <v>27.7</v>
      </c>
      <c r="DV132">
        <v>9.1840200000000003</v>
      </c>
      <c r="DW132">
        <v>61.795499999999997</v>
      </c>
      <c r="DX132">
        <v>36.426299999999998</v>
      </c>
      <c r="DY132">
        <v>1</v>
      </c>
      <c r="DZ132">
        <v>-0.129078</v>
      </c>
      <c r="EA132">
        <v>-7.1244600000000005E-2</v>
      </c>
      <c r="EB132">
        <v>20.191400000000002</v>
      </c>
      <c r="EC132">
        <v>5.2435</v>
      </c>
      <c r="ED132">
        <v>12.039899999999999</v>
      </c>
      <c r="EE132">
        <v>5.0172499999999998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</v>
      </c>
      <c r="EL132">
        <v>1.8646199999999999</v>
      </c>
      <c r="EM132">
        <v>1.8691500000000001</v>
      </c>
      <c r="EN132">
        <v>1.8672200000000001</v>
      </c>
      <c r="EO132">
        <v>1.8633999999999999</v>
      </c>
      <c r="EP132">
        <v>1.8644700000000001</v>
      </c>
      <c r="EQ132">
        <v>1.87012</v>
      </c>
      <c r="ER132">
        <v>1.86938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-0.70899999999999996</v>
      </c>
      <c r="FG132">
        <v>0.16769999999999999</v>
      </c>
      <c r="FH132">
        <v>-0.44422204735670362</v>
      </c>
      <c r="FI132">
        <v>-6.1462078757559423E-4</v>
      </c>
      <c r="FJ132">
        <v>-1.8861989874597051E-7</v>
      </c>
      <c r="FK132">
        <v>1.1980462299894961E-10</v>
      </c>
      <c r="FL132">
        <v>0.16773393518503121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30.1</v>
      </c>
      <c r="FU132">
        <v>30.1</v>
      </c>
      <c r="FV132">
        <v>1.77979</v>
      </c>
      <c r="FW132">
        <v>2.5585900000000001</v>
      </c>
      <c r="FX132">
        <v>1.5490699999999999</v>
      </c>
      <c r="FY132">
        <v>2.33521</v>
      </c>
      <c r="FZ132">
        <v>1.50146</v>
      </c>
      <c r="GA132">
        <v>2.3754900000000001</v>
      </c>
      <c r="GB132">
        <v>32.421199999999999</v>
      </c>
      <c r="GC132">
        <v>23.991199999999999</v>
      </c>
      <c r="GD132">
        <v>19</v>
      </c>
      <c r="GE132">
        <v>283.92200000000003</v>
      </c>
      <c r="GF132">
        <v>594.173</v>
      </c>
      <c r="GG132">
        <v>23.7806</v>
      </c>
      <c r="GH132">
        <v>25.7681</v>
      </c>
      <c r="GI132">
        <v>29.999600000000001</v>
      </c>
      <c r="GJ132">
        <v>25.940799999999999</v>
      </c>
      <c r="GK132">
        <v>25.9284</v>
      </c>
      <c r="GL132">
        <v>35.5959</v>
      </c>
      <c r="GM132">
        <v>-30</v>
      </c>
      <c r="GN132">
        <v>-30</v>
      </c>
      <c r="GO132">
        <v>23.823599999999999</v>
      </c>
      <c r="GP132">
        <v>800</v>
      </c>
      <c r="GQ132">
        <v>12.5298</v>
      </c>
      <c r="GR132">
        <v>99.658100000000005</v>
      </c>
      <c r="GS132">
        <v>99.352400000000003</v>
      </c>
    </row>
    <row r="133" spans="1:201" x14ac:dyDescent="0.25">
      <c r="A133">
        <v>117</v>
      </c>
      <c r="B133">
        <v>1690204935.5</v>
      </c>
      <c r="C133">
        <v>1495.900000095367</v>
      </c>
      <c r="D133" t="s">
        <v>567</v>
      </c>
      <c r="E133" t="s">
        <v>568</v>
      </c>
      <c r="F133" t="s">
        <v>330</v>
      </c>
      <c r="H133">
        <v>1690204935.5</v>
      </c>
      <c r="I133">
        <f t="shared" si="30"/>
        <v>1.9134916516641608E-3</v>
      </c>
      <c r="J133">
        <f t="shared" si="31"/>
        <v>1.9134916516641609</v>
      </c>
      <c r="K133">
        <f t="shared" si="32"/>
        <v>38.308727656360922</v>
      </c>
      <c r="L133">
        <f t="shared" si="33"/>
        <v>394.166</v>
      </c>
      <c r="M133">
        <f t="shared" si="34"/>
        <v>83.491508451392747</v>
      </c>
      <c r="N133">
        <f t="shared" si="35"/>
        <v>8.2797370904023975</v>
      </c>
      <c r="O133">
        <f t="shared" si="36"/>
        <v>39.088895511758004</v>
      </c>
      <c r="P133">
        <f t="shared" si="37"/>
        <v>0.20865010546105353</v>
      </c>
      <c r="Q133">
        <f t="shared" si="38"/>
        <v>2.1932371253675802</v>
      </c>
      <c r="R133">
        <f t="shared" si="39"/>
        <v>0.19821648738996608</v>
      </c>
      <c r="S133">
        <f t="shared" si="40"/>
        <v>0.12477923208472996</v>
      </c>
      <c r="T133">
        <f t="shared" si="41"/>
        <v>276.11502015600007</v>
      </c>
      <c r="U133">
        <f t="shared" si="42"/>
        <v>27.056920284247695</v>
      </c>
      <c r="V133">
        <f t="shared" si="43"/>
        <v>27.056920284247695</v>
      </c>
      <c r="W133">
        <f t="shared" si="44"/>
        <v>3.5911425445464951</v>
      </c>
      <c r="X133">
        <f t="shared" si="45"/>
        <v>80.946531546186833</v>
      </c>
      <c r="Y133">
        <f t="shared" si="46"/>
        <v>2.6640061184641999</v>
      </c>
      <c r="Z133">
        <f t="shared" si="47"/>
        <v>3.2910688914992723</v>
      </c>
      <c r="AA133">
        <f t="shared" si="48"/>
        <v>0.92713642608229518</v>
      </c>
      <c r="AB133">
        <f t="shared" si="49"/>
        <v>-84.384981838389493</v>
      </c>
      <c r="AC133">
        <f t="shared" si="50"/>
        <v>-174.77560288231086</v>
      </c>
      <c r="AD133">
        <f t="shared" si="51"/>
        <v>-17.080751367309258</v>
      </c>
      <c r="AE133">
        <f t="shared" si="52"/>
        <v>-0.12631593200950419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52599.282720161384</v>
      </c>
      <c r="AK133">
        <f t="shared" si="56"/>
        <v>1800</v>
      </c>
      <c r="AL133">
        <f t="shared" si="57"/>
        <v>1499.1146766000002</v>
      </c>
      <c r="AM133">
        <f t="shared" si="58"/>
        <v>0.83284148700000005</v>
      </c>
      <c r="AN133">
        <f t="shared" si="59"/>
        <v>0.15339723342000003</v>
      </c>
      <c r="AO133">
        <v>31.2</v>
      </c>
      <c r="AP133">
        <v>0.5</v>
      </c>
      <c r="AQ133" t="s">
        <v>331</v>
      </c>
      <c r="AR133">
        <v>2</v>
      </c>
      <c r="AS133">
        <v>1690204935.5</v>
      </c>
      <c r="AT133">
        <v>394.166</v>
      </c>
      <c r="AU133">
        <v>800.01900000000001</v>
      </c>
      <c r="AV133">
        <v>26.863399999999999</v>
      </c>
      <c r="AW133">
        <v>7.5168299999999997</v>
      </c>
      <c r="AX133">
        <v>394.875</v>
      </c>
      <c r="AY133">
        <v>26.695699999999999</v>
      </c>
      <c r="AZ133">
        <v>300.29700000000003</v>
      </c>
      <c r="BA133">
        <v>99.068600000000004</v>
      </c>
      <c r="BB133">
        <v>0.100013</v>
      </c>
      <c r="BC133">
        <v>25.578800000000001</v>
      </c>
      <c r="BD133">
        <v>27.031099999999999</v>
      </c>
      <c r="BE133">
        <v>26.821999999999999</v>
      </c>
      <c r="BF133">
        <v>0</v>
      </c>
      <c r="BG133">
        <v>0</v>
      </c>
      <c r="BH133">
        <v>9993.1200000000008</v>
      </c>
      <c r="BI133">
        <v>1065.3599999999999</v>
      </c>
      <c r="BJ133">
        <v>1.68198</v>
      </c>
      <c r="BK133">
        <v>-405.85300000000001</v>
      </c>
      <c r="BL133">
        <v>405.04700000000003</v>
      </c>
      <c r="BM133">
        <v>806.07799999999997</v>
      </c>
      <c r="BN133">
        <v>19.346599999999999</v>
      </c>
      <c r="BO133">
        <v>800.01900000000001</v>
      </c>
      <c r="BP133">
        <v>7.5168299999999997</v>
      </c>
      <c r="BQ133">
        <v>2.6613199999999999</v>
      </c>
      <c r="BR133">
        <v>0.74468199999999996</v>
      </c>
      <c r="BS133">
        <v>22.048200000000001</v>
      </c>
      <c r="BT133">
        <v>2.6943700000000002</v>
      </c>
      <c r="BU133">
        <v>1800</v>
      </c>
      <c r="BV133">
        <v>0.91001200000000004</v>
      </c>
      <c r="BW133">
        <v>3.3993299999999997E-2</v>
      </c>
      <c r="BX133">
        <v>2.19981E-2</v>
      </c>
      <c r="BY133">
        <v>3.3996999999999999E-2</v>
      </c>
      <c r="BZ133">
        <v>25</v>
      </c>
      <c r="CA133">
        <v>33528.5</v>
      </c>
      <c r="CB133">
        <v>1690203121.0999999</v>
      </c>
      <c r="CC133" t="s">
        <v>332</v>
      </c>
      <c r="CD133">
        <v>1690203121.0999999</v>
      </c>
      <c r="CE133">
        <v>1690203121.0999999</v>
      </c>
      <c r="CF133">
        <v>3</v>
      </c>
      <c r="CG133">
        <v>0.53600000000000003</v>
      </c>
      <c r="CH133">
        <v>-0.01</v>
      </c>
      <c r="CI133">
        <v>-0.996</v>
      </c>
      <c r="CJ133">
        <v>-6.6000000000000003E-2</v>
      </c>
      <c r="CK133">
        <v>800</v>
      </c>
      <c r="CL133">
        <v>9</v>
      </c>
      <c r="CM133">
        <v>0.82</v>
      </c>
      <c r="CN133">
        <v>0.01</v>
      </c>
      <c r="CO133">
        <v>-404.33441463414641</v>
      </c>
      <c r="CP133">
        <v>-8.840048780487745</v>
      </c>
      <c r="CQ133">
        <v>0.87297961800054424</v>
      </c>
      <c r="CR133">
        <v>-1</v>
      </c>
      <c r="CS133">
        <v>19.288699999999999</v>
      </c>
      <c r="CT133">
        <v>0.28011010452957769</v>
      </c>
      <c r="CU133">
        <v>2.7811596107537209E-2</v>
      </c>
      <c r="CV133">
        <v>-1</v>
      </c>
      <c r="CW133">
        <v>0</v>
      </c>
      <c r="CX133">
        <v>0</v>
      </c>
      <c r="CY133" t="s">
        <v>333</v>
      </c>
      <c r="CZ133">
        <v>2.3654000000000002</v>
      </c>
      <c r="DA133">
        <v>2.7138</v>
      </c>
      <c r="DB133">
        <v>8.8690199999999997E-2</v>
      </c>
      <c r="DC133">
        <v>0.14624200000000001</v>
      </c>
      <c r="DD133">
        <v>0.123448</v>
      </c>
      <c r="DE133">
        <v>4.7360199999999998E-2</v>
      </c>
      <c r="DF133">
        <v>33253.9</v>
      </c>
      <c r="DG133">
        <v>27466.7</v>
      </c>
      <c r="DH133">
        <v>31150</v>
      </c>
      <c r="DI133">
        <v>28031.5</v>
      </c>
      <c r="DJ133">
        <v>37052.6</v>
      </c>
      <c r="DK133">
        <v>37953</v>
      </c>
      <c r="DL133">
        <v>44322.9</v>
      </c>
      <c r="DM133">
        <v>42461.3</v>
      </c>
      <c r="DN133">
        <v>1.4835700000000001</v>
      </c>
      <c r="DO133">
        <v>2.0552199999999998</v>
      </c>
      <c r="DP133">
        <v>0.17016800000000001</v>
      </c>
      <c r="DQ133">
        <v>0.15949099999999999</v>
      </c>
      <c r="DR133">
        <v>24.241900000000001</v>
      </c>
      <c r="DS133">
        <v>24.2073</v>
      </c>
      <c r="DT133">
        <v>24.4</v>
      </c>
      <c r="DU133">
        <v>27.7</v>
      </c>
      <c r="DV133">
        <v>9.1848600000000005</v>
      </c>
      <c r="DW133">
        <v>61.9955</v>
      </c>
      <c r="DX133">
        <v>35.845399999999998</v>
      </c>
      <c r="DY133">
        <v>1</v>
      </c>
      <c r="DZ133">
        <v>-0.12981500000000001</v>
      </c>
      <c r="EA133">
        <v>2.34995E-2</v>
      </c>
      <c r="EB133">
        <v>20.191500000000001</v>
      </c>
      <c r="EC133">
        <v>5.2428999999999997</v>
      </c>
      <c r="ED133">
        <v>12.039899999999999</v>
      </c>
      <c r="EE133">
        <v>5.0174500000000002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</v>
      </c>
      <c r="EL133">
        <v>1.8646199999999999</v>
      </c>
      <c r="EM133">
        <v>1.86913</v>
      </c>
      <c r="EN133">
        <v>1.8672200000000001</v>
      </c>
      <c r="EO133">
        <v>1.8633999999999999</v>
      </c>
      <c r="EP133">
        <v>1.8644799999999999</v>
      </c>
      <c r="EQ133">
        <v>1.8701399999999999</v>
      </c>
      <c r="ER133">
        <v>1.8694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-0.70899999999999996</v>
      </c>
      <c r="FG133">
        <v>0.16769999999999999</v>
      </c>
      <c r="FH133">
        <v>-0.44422204735670362</v>
      </c>
      <c r="FI133">
        <v>-6.1462078757559423E-4</v>
      </c>
      <c r="FJ133">
        <v>-1.8861989874597051E-7</v>
      </c>
      <c r="FK133">
        <v>1.1980462299894961E-10</v>
      </c>
      <c r="FL133">
        <v>0.16773393518503121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30.2</v>
      </c>
      <c r="FU133">
        <v>30.2</v>
      </c>
      <c r="FV133">
        <v>1.77979</v>
      </c>
      <c r="FW133">
        <v>2.5634800000000002</v>
      </c>
      <c r="FX133">
        <v>1.5490699999999999</v>
      </c>
      <c r="FY133">
        <v>2.33521</v>
      </c>
      <c r="FZ133">
        <v>1.50146</v>
      </c>
      <c r="GA133">
        <v>2.3022499999999999</v>
      </c>
      <c r="GB133">
        <v>32.421199999999999</v>
      </c>
      <c r="GC133">
        <v>23.982399999999998</v>
      </c>
      <c r="GD133">
        <v>19</v>
      </c>
      <c r="GE133">
        <v>284.18700000000001</v>
      </c>
      <c r="GF133">
        <v>594.08000000000004</v>
      </c>
      <c r="GG133">
        <v>23.8628</v>
      </c>
      <c r="GH133">
        <v>25.764299999999999</v>
      </c>
      <c r="GI133">
        <v>29.9998</v>
      </c>
      <c r="GJ133">
        <v>25.937999999999999</v>
      </c>
      <c r="GK133">
        <v>25.924099999999999</v>
      </c>
      <c r="GL133">
        <v>35.595500000000001</v>
      </c>
      <c r="GM133">
        <v>-30</v>
      </c>
      <c r="GN133">
        <v>-30</v>
      </c>
      <c r="GO133">
        <v>23.825600000000001</v>
      </c>
      <c r="GP133">
        <v>800</v>
      </c>
      <c r="GQ133">
        <v>12.5298</v>
      </c>
      <c r="GR133">
        <v>99.658199999999994</v>
      </c>
      <c r="GS133">
        <v>99.354799999999997</v>
      </c>
    </row>
    <row r="134" spans="1:201" x14ac:dyDescent="0.25">
      <c r="A134">
        <v>118</v>
      </c>
      <c r="B134">
        <v>1690204945.5</v>
      </c>
      <c r="C134">
        <v>1505.900000095367</v>
      </c>
      <c r="D134" t="s">
        <v>569</v>
      </c>
      <c r="E134" t="s">
        <v>570</v>
      </c>
      <c r="F134" t="s">
        <v>330</v>
      </c>
      <c r="H134">
        <v>1690204945.5</v>
      </c>
      <c r="I134">
        <f t="shared" si="30"/>
        <v>1.9190460553988923E-3</v>
      </c>
      <c r="J134">
        <f t="shared" si="31"/>
        <v>1.9190460553988922</v>
      </c>
      <c r="K134">
        <f t="shared" si="32"/>
        <v>38.436899892129588</v>
      </c>
      <c r="L134">
        <f t="shared" si="33"/>
        <v>392.62299999999999</v>
      </c>
      <c r="M134">
        <f t="shared" si="34"/>
        <v>84.425042858583993</v>
      </c>
      <c r="N134">
        <f t="shared" si="35"/>
        <v>8.3727218886631913</v>
      </c>
      <c r="O134">
        <f t="shared" si="36"/>
        <v>38.937773376070801</v>
      </c>
      <c r="P134">
        <f t="shared" si="37"/>
        <v>0.21111351162657399</v>
      </c>
      <c r="Q134">
        <f t="shared" si="38"/>
        <v>2.1979726521874423</v>
      </c>
      <c r="R134">
        <f t="shared" si="39"/>
        <v>0.20046059407103586</v>
      </c>
      <c r="S134">
        <f t="shared" si="40"/>
        <v>0.12620018262069344</v>
      </c>
      <c r="T134">
        <f t="shared" si="41"/>
        <v>276.11482618799999</v>
      </c>
      <c r="U134">
        <f t="shared" si="42"/>
        <v>27.04833550943907</v>
      </c>
      <c r="V134">
        <f t="shared" si="43"/>
        <v>27.04833550943907</v>
      </c>
      <c r="W134">
        <f t="shared" si="44"/>
        <v>3.5893330392960068</v>
      </c>
      <c r="X134">
        <f t="shared" si="45"/>
        <v>81.143550841499845</v>
      </c>
      <c r="Y134">
        <f t="shared" si="46"/>
        <v>2.6698878368474399</v>
      </c>
      <c r="Z134">
        <f t="shared" si="47"/>
        <v>3.2903265991681985</v>
      </c>
      <c r="AA134">
        <f t="shared" si="48"/>
        <v>0.91944520244856687</v>
      </c>
      <c r="AB134">
        <f t="shared" si="49"/>
        <v>-84.629931043091148</v>
      </c>
      <c r="AC134">
        <f t="shared" si="50"/>
        <v>-174.58598758932408</v>
      </c>
      <c r="AD134">
        <f t="shared" si="51"/>
        <v>-17.024402496066568</v>
      </c>
      <c r="AE134">
        <f t="shared" si="52"/>
        <v>-0.12549494048178644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52794.735741481556</v>
      </c>
      <c r="AK134">
        <f t="shared" si="56"/>
        <v>1800</v>
      </c>
      <c r="AL134">
        <f t="shared" si="57"/>
        <v>1499.1141527999998</v>
      </c>
      <c r="AM134">
        <f t="shared" si="58"/>
        <v>0.83284119599999995</v>
      </c>
      <c r="AN134">
        <f t="shared" si="59"/>
        <v>0.15339712565999999</v>
      </c>
      <c r="AO134">
        <v>31.2</v>
      </c>
      <c r="AP134">
        <v>0.5</v>
      </c>
      <c r="AQ134" t="s">
        <v>331</v>
      </c>
      <c r="AR134">
        <v>2</v>
      </c>
      <c r="AS134">
        <v>1690204945.5</v>
      </c>
      <c r="AT134">
        <v>392.62299999999999</v>
      </c>
      <c r="AU134">
        <v>799.995</v>
      </c>
      <c r="AV134">
        <v>26.921399999999998</v>
      </c>
      <c r="AW134">
        <v>7.5105199999999996</v>
      </c>
      <c r="AX134">
        <v>393.33100000000002</v>
      </c>
      <c r="AY134">
        <v>26.753699999999998</v>
      </c>
      <c r="AZ134">
        <v>300.15300000000002</v>
      </c>
      <c r="BA134">
        <v>99.073499999999996</v>
      </c>
      <c r="BB134">
        <v>9.9939600000000003E-2</v>
      </c>
      <c r="BC134">
        <v>25.574999999999999</v>
      </c>
      <c r="BD134">
        <v>26.934200000000001</v>
      </c>
      <c r="BE134">
        <v>26.818100000000001</v>
      </c>
      <c r="BF134">
        <v>0</v>
      </c>
      <c r="BG134">
        <v>0</v>
      </c>
      <c r="BH134">
        <v>10031.200000000001</v>
      </c>
      <c r="BI134">
        <v>1065.3800000000001</v>
      </c>
      <c r="BJ134">
        <v>1.68198</v>
      </c>
      <c r="BK134">
        <v>-407.37099999999998</v>
      </c>
      <c r="BL134">
        <v>403.48599999999999</v>
      </c>
      <c r="BM134">
        <v>806.04899999999998</v>
      </c>
      <c r="BN134">
        <v>19.410900000000002</v>
      </c>
      <c r="BO134">
        <v>799.995</v>
      </c>
      <c r="BP134">
        <v>7.5105199999999996</v>
      </c>
      <c r="BQ134">
        <v>2.6671900000000002</v>
      </c>
      <c r="BR134">
        <v>0.74409400000000003</v>
      </c>
      <c r="BS134">
        <v>22.084399999999999</v>
      </c>
      <c r="BT134">
        <v>2.6832500000000001</v>
      </c>
      <c r="BU134">
        <v>1800</v>
      </c>
      <c r="BV134">
        <v>0.91001299999999996</v>
      </c>
      <c r="BW134">
        <v>3.3992700000000001E-2</v>
      </c>
      <c r="BX134">
        <v>2.1997800000000001E-2</v>
      </c>
      <c r="BY134">
        <v>3.3996400000000003E-2</v>
      </c>
      <c r="BZ134">
        <v>25</v>
      </c>
      <c r="CA134">
        <v>33528.400000000001</v>
      </c>
      <c r="CB134">
        <v>1690203121.0999999</v>
      </c>
      <c r="CC134" t="s">
        <v>332</v>
      </c>
      <c r="CD134">
        <v>1690203121.0999999</v>
      </c>
      <c r="CE134">
        <v>1690203121.0999999</v>
      </c>
      <c r="CF134">
        <v>3</v>
      </c>
      <c r="CG134">
        <v>0.53600000000000003</v>
      </c>
      <c r="CH134">
        <v>-0.01</v>
      </c>
      <c r="CI134">
        <v>-0.996</v>
      </c>
      <c r="CJ134">
        <v>-6.6000000000000003E-2</v>
      </c>
      <c r="CK134">
        <v>800</v>
      </c>
      <c r="CL134">
        <v>9</v>
      </c>
      <c r="CM134">
        <v>0.82</v>
      </c>
      <c r="CN134">
        <v>0.01</v>
      </c>
      <c r="CO134">
        <v>-405.71365853658529</v>
      </c>
      <c r="CP134">
        <v>-9.1590940766538491</v>
      </c>
      <c r="CQ134">
        <v>0.90599829348237626</v>
      </c>
      <c r="CR134">
        <v>-1</v>
      </c>
      <c r="CS134">
        <v>19.33747804878049</v>
      </c>
      <c r="CT134">
        <v>0.37432055749131471</v>
      </c>
      <c r="CU134">
        <v>3.6995935915199292E-2</v>
      </c>
      <c r="CV134">
        <v>-1</v>
      </c>
      <c r="CW134">
        <v>0</v>
      </c>
      <c r="CX134">
        <v>0</v>
      </c>
      <c r="CY134" t="s">
        <v>333</v>
      </c>
      <c r="CZ134">
        <v>2.36496</v>
      </c>
      <c r="DA134">
        <v>2.7137600000000002</v>
      </c>
      <c r="DB134">
        <v>8.8429400000000005E-2</v>
      </c>
      <c r="DC134">
        <v>0.14624699999999999</v>
      </c>
      <c r="DD134">
        <v>0.12364</v>
      </c>
      <c r="DE134">
        <v>4.7331400000000003E-2</v>
      </c>
      <c r="DF134">
        <v>33263.5</v>
      </c>
      <c r="DG134">
        <v>27466.5</v>
      </c>
      <c r="DH134">
        <v>31150.1</v>
      </c>
      <c r="DI134">
        <v>28031.4</v>
      </c>
      <c r="DJ134">
        <v>37044.5</v>
      </c>
      <c r="DK134">
        <v>37954.1</v>
      </c>
      <c r="DL134">
        <v>44323.1</v>
      </c>
      <c r="DM134">
        <v>42461.3</v>
      </c>
      <c r="DN134">
        <v>1.4826299999999999</v>
      </c>
      <c r="DO134">
        <v>2.05518</v>
      </c>
      <c r="DP134">
        <v>0.16439300000000001</v>
      </c>
      <c r="DQ134">
        <v>0.15936800000000001</v>
      </c>
      <c r="DR134">
        <v>24.2395</v>
      </c>
      <c r="DS134">
        <v>24.205400000000001</v>
      </c>
      <c r="DT134">
        <v>24.4</v>
      </c>
      <c r="DU134">
        <v>27.7</v>
      </c>
      <c r="DV134">
        <v>9.1843900000000005</v>
      </c>
      <c r="DW134">
        <v>61.445399999999999</v>
      </c>
      <c r="DX134">
        <v>36.522399999999998</v>
      </c>
      <c r="DY134">
        <v>1</v>
      </c>
      <c r="DZ134">
        <v>-0.12931400000000001</v>
      </c>
      <c r="EA134">
        <v>0.296846</v>
      </c>
      <c r="EB134">
        <v>20.190999999999999</v>
      </c>
      <c r="EC134">
        <v>5.2431999999999999</v>
      </c>
      <c r="ED134">
        <v>12.039899999999999</v>
      </c>
      <c r="EE134">
        <v>5.0174500000000002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1.8688899999999999</v>
      </c>
      <c r="EL134">
        <v>1.8646100000000001</v>
      </c>
      <c r="EM134">
        <v>1.86911</v>
      </c>
      <c r="EN134">
        <v>1.8672200000000001</v>
      </c>
      <c r="EO134">
        <v>1.8633900000000001</v>
      </c>
      <c r="EP134">
        <v>1.86449</v>
      </c>
      <c r="EQ134">
        <v>1.8701300000000001</v>
      </c>
      <c r="ER134">
        <v>1.86937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-0.70799999999999996</v>
      </c>
      <c r="FG134">
        <v>0.16769999999999999</v>
      </c>
      <c r="FH134">
        <v>-0.44422204735670362</v>
      </c>
      <c r="FI134">
        <v>-6.1462078757559423E-4</v>
      </c>
      <c r="FJ134">
        <v>-1.8861989874597051E-7</v>
      </c>
      <c r="FK134">
        <v>1.1980462299894961E-10</v>
      </c>
      <c r="FL134">
        <v>0.16773393518503121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30.4</v>
      </c>
      <c r="FU134">
        <v>30.4</v>
      </c>
      <c r="FV134">
        <v>1.77979</v>
      </c>
      <c r="FW134">
        <v>2.5549300000000001</v>
      </c>
      <c r="FX134">
        <v>1.5490699999999999</v>
      </c>
      <c r="FY134">
        <v>2.33521</v>
      </c>
      <c r="FZ134">
        <v>1.50146</v>
      </c>
      <c r="GA134">
        <v>2.3327599999999999</v>
      </c>
      <c r="GB134">
        <v>32.421199999999999</v>
      </c>
      <c r="GC134">
        <v>23.991199999999999</v>
      </c>
      <c r="GD134">
        <v>19</v>
      </c>
      <c r="GE134">
        <v>283.76600000000002</v>
      </c>
      <c r="GF134">
        <v>593.99199999999996</v>
      </c>
      <c r="GG134">
        <v>23.787299999999998</v>
      </c>
      <c r="GH134">
        <v>25.7605</v>
      </c>
      <c r="GI134">
        <v>30.000299999999999</v>
      </c>
      <c r="GJ134">
        <v>25.9343</v>
      </c>
      <c r="GK134">
        <v>25.920100000000001</v>
      </c>
      <c r="GL134">
        <v>35.593400000000003</v>
      </c>
      <c r="GM134">
        <v>-30</v>
      </c>
      <c r="GN134">
        <v>-30</v>
      </c>
      <c r="GO134">
        <v>23.761399999999998</v>
      </c>
      <c r="GP134">
        <v>800</v>
      </c>
      <c r="GQ134">
        <v>12.5298</v>
      </c>
      <c r="GR134">
        <v>99.658500000000004</v>
      </c>
      <c r="GS134">
        <v>99.354600000000005</v>
      </c>
    </row>
    <row r="135" spans="1:201" x14ac:dyDescent="0.25">
      <c r="A135">
        <v>119</v>
      </c>
      <c r="B135">
        <v>1690204955.5</v>
      </c>
      <c r="C135">
        <v>1515.900000095367</v>
      </c>
      <c r="D135" t="s">
        <v>571</v>
      </c>
      <c r="E135" t="s">
        <v>572</v>
      </c>
      <c r="F135" t="s">
        <v>330</v>
      </c>
      <c r="H135">
        <v>1690204955.5</v>
      </c>
      <c r="I135">
        <f t="shared" si="30"/>
        <v>1.9222471613286689E-3</v>
      </c>
      <c r="J135">
        <f t="shared" si="31"/>
        <v>1.9222471613286689</v>
      </c>
      <c r="K135">
        <f t="shared" si="32"/>
        <v>38.570414694302805</v>
      </c>
      <c r="L135">
        <f t="shared" si="33"/>
        <v>391.15499999999997</v>
      </c>
      <c r="M135">
        <f t="shared" si="34"/>
        <v>83.420728454195867</v>
      </c>
      <c r="N135">
        <f t="shared" si="35"/>
        <v>8.2729229510344879</v>
      </c>
      <c r="O135">
        <f t="shared" si="36"/>
        <v>38.791260120543001</v>
      </c>
      <c r="P135">
        <f t="shared" si="37"/>
        <v>0.21220775140375045</v>
      </c>
      <c r="Q135">
        <f t="shared" si="38"/>
        <v>2.1952685813381358</v>
      </c>
      <c r="R135">
        <f t="shared" si="39"/>
        <v>0.20143460696517787</v>
      </c>
      <c r="S135">
        <f t="shared" si="40"/>
        <v>0.12681896111763508</v>
      </c>
      <c r="T135">
        <f t="shared" si="41"/>
        <v>276.11492099399993</v>
      </c>
      <c r="U135">
        <f t="shared" si="42"/>
        <v>27.048403957395074</v>
      </c>
      <c r="V135">
        <f t="shared" si="43"/>
        <v>27.048403957395074</v>
      </c>
      <c r="W135">
        <f t="shared" si="44"/>
        <v>3.5893474636591565</v>
      </c>
      <c r="X135">
        <f t="shared" si="45"/>
        <v>81.236252660274815</v>
      </c>
      <c r="Y135">
        <f t="shared" si="46"/>
        <v>2.6728586948112003</v>
      </c>
      <c r="Z135">
        <f t="shared" si="47"/>
        <v>3.2902289400139328</v>
      </c>
      <c r="AA135">
        <f t="shared" si="48"/>
        <v>0.91648876884795616</v>
      </c>
      <c r="AB135">
        <f t="shared" si="49"/>
        <v>-84.771099814594294</v>
      </c>
      <c r="AC135">
        <f t="shared" si="50"/>
        <v>-174.43847855292177</v>
      </c>
      <c r="AD135">
        <f t="shared" si="51"/>
        <v>-17.030934162855107</v>
      </c>
      <c r="AE135">
        <f t="shared" si="52"/>
        <v>-0.12559153637121767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52683.553715534967</v>
      </c>
      <c r="AK135">
        <f t="shared" si="56"/>
        <v>1800</v>
      </c>
      <c r="AL135">
        <f t="shared" si="57"/>
        <v>1499.1152454</v>
      </c>
      <c r="AM135">
        <f t="shared" si="58"/>
        <v>0.83284180299999999</v>
      </c>
      <c r="AN135">
        <f t="shared" si="59"/>
        <v>0.15339717832999997</v>
      </c>
      <c r="AO135">
        <v>31.2</v>
      </c>
      <c r="AP135">
        <v>0.5</v>
      </c>
      <c r="AQ135" t="s">
        <v>331</v>
      </c>
      <c r="AR135">
        <v>2</v>
      </c>
      <c r="AS135">
        <v>1690204955.5</v>
      </c>
      <c r="AT135">
        <v>391.15499999999997</v>
      </c>
      <c r="AU135">
        <v>800.01300000000003</v>
      </c>
      <c r="AV135">
        <v>26.952000000000002</v>
      </c>
      <c r="AW135">
        <v>7.5039100000000003</v>
      </c>
      <c r="AX135">
        <v>391.86200000000002</v>
      </c>
      <c r="AY135">
        <v>26.784300000000002</v>
      </c>
      <c r="AZ135">
        <v>300.06900000000002</v>
      </c>
      <c r="BA135">
        <v>99.071100000000001</v>
      </c>
      <c r="BB135">
        <v>9.9970600000000007E-2</v>
      </c>
      <c r="BC135">
        <v>25.5745</v>
      </c>
      <c r="BD135">
        <v>27.019500000000001</v>
      </c>
      <c r="BE135">
        <v>26.831199999999999</v>
      </c>
      <c r="BF135">
        <v>0</v>
      </c>
      <c r="BG135">
        <v>0</v>
      </c>
      <c r="BH135">
        <v>10009.4</v>
      </c>
      <c r="BI135">
        <v>1065.3499999999999</v>
      </c>
      <c r="BJ135">
        <v>1.73384</v>
      </c>
      <c r="BK135">
        <v>-408.858</v>
      </c>
      <c r="BL135">
        <v>401.98899999999998</v>
      </c>
      <c r="BM135">
        <v>806.06200000000001</v>
      </c>
      <c r="BN135">
        <v>19.4481</v>
      </c>
      <c r="BO135">
        <v>800.01300000000003</v>
      </c>
      <c r="BP135">
        <v>7.5039100000000003</v>
      </c>
      <c r="BQ135">
        <v>2.6701700000000002</v>
      </c>
      <c r="BR135">
        <v>0.743421</v>
      </c>
      <c r="BS135">
        <v>22.102699999999999</v>
      </c>
      <c r="BT135">
        <v>2.6705199999999998</v>
      </c>
      <c r="BU135">
        <v>1800</v>
      </c>
      <c r="BV135">
        <v>0.91001500000000002</v>
      </c>
      <c r="BW135">
        <v>3.39922E-2</v>
      </c>
      <c r="BX135">
        <v>2.19974E-2</v>
      </c>
      <c r="BY135">
        <v>3.3995900000000003E-2</v>
      </c>
      <c r="BZ135">
        <v>25</v>
      </c>
      <c r="CA135">
        <v>33528.5</v>
      </c>
      <c r="CB135">
        <v>1690203121.0999999</v>
      </c>
      <c r="CC135" t="s">
        <v>332</v>
      </c>
      <c r="CD135">
        <v>1690203121.0999999</v>
      </c>
      <c r="CE135">
        <v>1690203121.0999999</v>
      </c>
      <c r="CF135">
        <v>3</v>
      </c>
      <c r="CG135">
        <v>0.53600000000000003</v>
      </c>
      <c r="CH135">
        <v>-0.01</v>
      </c>
      <c r="CI135">
        <v>-0.996</v>
      </c>
      <c r="CJ135">
        <v>-6.6000000000000003E-2</v>
      </c>
      <c r="CK135">
        <v>800</v>
      </c>
      <c r="CL135">
        <v>9</v>
      </c>
      <c r="CM135">
        <v>0.82</v>
      </c>
      <c r="CN135">
        <v>0.01</v>
      </c>
      <c r="CO135">
        <v>-407.303675</v>
      </c>
      <c r="CP135">
        <v>-8.50127954971747</v>
      </c>
      <c r="CQ135">
        <v>0.81999400569455305</v>
      </c>
      <c r="CR135">
        <v>-1</v>
      </c>
      <c r="CS135">
        <v>19.400057499999999</v>
      </c>
      <c r="CT135">
        <v>0.31402964352714152</v>
      </c>
      <c r="CU135">
        <v>3.0581226982415319E-2</v>
      </c>
      <c r="CV135">
        <v>-1</v>
      </c>
      <c r="CW135">
        <v>0</v>
      </c>
      <c r="CX135">
        <v>0</v>
      </c>
      <c r="CY135" t="s">
        <v>333</v>
      </c>
      <c r="CZ135">
        <v>2.3646799999999999</v>
      </c>
      <c r="DA135">
        <v>2.7137699999999998</v>
      </c>
      <c r="DB135">
        <v>8.8174600000000006E-2</v>
      </c>
      <c r="DC135">
        <v>0.14624699999999999</v>
      </c>
      <c r="DD135">
        <v>0.123736</v>
      </c>
      <c r="DE135">
        <v>4.7297600000000002E-2</v>
      </c>
      <c r="DF135">
        <v>33273.300000000003</v>
      </c>
      <c r="DG135">
        <v>27466.9</v>
      </c>
      <c r="DH135">
        <v>31150.5</v>
      </c>
      <c r="DI135">
        <v>28031.8</v>
      </c>
      <c r="DJ135">
        <v>37040.9</v>
      </c>
      <c r="DK135">
        <v>37956</v>
      </c>
      <c r="DL135">
        <v>44323.8</v>
      </c>
      <c r="DM135">
        <v>42461.9</v>
      </c>
      <c r="DN135">
        <v>1.4832000000000001</v>
      </c>
      <c r="DO135">
        <v>2.0556000000000001</v>
      </c>
      <c r="DP135">
        <v>0.16983200000000001</v>
      </c>
      <c r="DQ135">
        <v>0.160303</v>
      </c>
      <c r="DR135">
        <v>24.235800000000001</v>
      </c>
      <c r="DS135">
        <v>24.203199999999999</v>
      </c>
      <c r="DT135">
        <v>24.3</v>
      </c>
      <c r="DU135">
        <v>27.7</v>
      </c>
      <c r="DV135">
        <v>9.1454400000000007</v>
      </c>
      <c r="DW135">
        <v>61.615499999999997</v>
      </c>
      <c r="DX135">
        <v>37.227600000000002</v>
      </c>
      <c r="DY135">
        <v>1</v>
      </c>
      <c r="DZ135">
        <v>-0.130102</v>
      </c>
      <c r="EA135">
        <v>0.10145999999999999</v>
      </c>
      <c r="EB135">
        <v>20.191299999999998</v>
      </c>
      <c r="EC135">
        <v>5.2424499999999998</v>
      </c>
      <c r="ED135">
        <v>12.039899999999999</v>
      </c>
      <c r="EE135">
        <v>5.0172999999999996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</v>
      </c>
      <c r="EL135">
        <v>1.8646199999999999</v>
      </c>
      <c r="EM135">
        <v>1.86914</v>
      </c>
      <c r="EN135">
        <v>1.8672200000000001</v>
      </c>
      <c r="EO135">
        <v>1.8633999999999999</v>
      </c>
      <c r="EP135">
        <v>1.8644799999999999</v>
      </c>
      <c r="EQ135">
        <v>1.8701300000000001</v>
      </c>
      <c r="ER135">
        <v>1.8693900000000001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-0.70699999999999996</v>
      </c>
      <c r="FG135">
        <v>0.16769999999999999</v>
      </c>
      <c r="FH135">
        <v>-0.44422204735670362</v>
      </c>
      <c r="FI135">
        <v>-6.1462078757559423E-4</v>
      </c>
      <c r="FJ135">
        <v>-1.8861989874597051E-7</v>
      </c>
      <c r="FK135">
        <v>1.1980462299894961E-10</v>
      </c>
      <c r="FL135">
        <v>0.16773393518503121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30.6</v>
      </c>
      <c r="FU135">
        <v>30.6</v>
      </c>
      <c r="FV135">
        <v>1.77979</v>
      </c>
      <c r="FW135">
        <v>2.5561500000000001</v>
      </c>
      <c r="FX135">
        <v>1.5490699999999999</v>
      </c>
      <c r="FY135">
        <v>2.33521</v>
      </c>
      <c r="FZ135">
        <v>1.50146</v>
      </c>
      <c r="GA135">
        <v>2.3852500000000001</v>
      </c>
      <c r="GB135">
        <v>32.421199999999999</v>
      </c>
      <c r="GC135">
        <v>23.991199999999999</v>
      </c>
      <c r="GD135">
        <v>19</v>
      </c>
      <c r="GE135">
        <v>283.99099999999999</v>
      </c>
      <c r="GF135">
        <v>594.30600000000004</v>
      </c>
      <c r="GG135">
        <v>23.7818</v>
      </c>
      <c r="GH135">
        <v>25.757300000000001</v>
      </c>
      <c r="GI135">
        <v>29.999700000000001</v>
      </c>
      <c r="GJ135">
        <v>25.9299</v>
      </c>
      <c r="GK135">
        <v>25.916499999999999</v>
      </c>
      <c r="GL135">
        <v>35.594200000000001</v>
      </c>
      <c r="GM135">
        <v>-30</v>
      </c>
      <c r="GN135">
        <v>-30</v>
      </c>
      <c r="GO135">
        <v>23.784199999999998</v>
      </c>
      <c r="GP135">
        <v>800</v>
      </c>
      <c r="GQ135">
        <v>12.5298</v>
      </c>
      <c r="GR135">
        <v>99.66</v>
      </c>
      <c r="GS135">
        <v>99.355999999999995</v>
      </c>
    </row>
    <row r="136" spans="1:201" x14ac:dyDescent="0.25">
      <c r="A136">
        <v>120</v>
      </c>
      <c r="B136">
        <v>1690204965.5</v>
      </c>
      <c r="C136">
        <v>1525.900000095367</v>
      </c>
      <c r="D136" t="s">
        <v>573</v>
      </c>
      <c r="E136" t="s">
        <v>574</v>
      </c>
      <c r="F136" t="s">
        <v>330</v>
      </c>
      <c r="H136">
        <v>1690204965.5</v>
      </c>
      <c r="I136">
        <f t="shared" si="30"/>
        <v>1.926942095616273E-3</v>
      </c>
      <c r="J136">
        <f t="shared" si="31"/>
        <v>1.9269420956162731</v>
      </c>
      <c r="K136">
        <f t="shared" si="32"/>
        <v>38.720337602666561</v>
      </c>
      <c r="L136">
        <f t="shared" si="33"/>
        <v>389.827</v>
      </c>
      <c r="M136">
        <f t="shared" si="34"/>
        <v>82.359897406375694</v>
      </c>
      <c r="N136">
        <f t="shared" si="35"/>
        <v>8.1676358850242234</v>
      </c>
      <c r="O136">
        <f t="shared" si="36"/>
        <v>38.659166589793003</v>
      </c>
      <c r="P136">
        <f t="shared" si="37"/>
        <v>0.21326443040756055</v>
      </c>
      <c r="Q136">
        <f t="shared" si="38"/>
        <v>2.1914088174672655</v>
      </c>
      <c r="R136">
        <f t="shared" si="39"/>
        <v>0.20236857600647212</v>
      </c>
      <c r="S136">
        <f t="shared" si="40"/>
        <v>0.12741290263904903</v>
      </c>
      <c r="T136">
        <f t="shared" si="41"/>
        <v>276.11476561799998</v>
      </c>
      <c r="U136">
        <f t="shared" si="42"/>
        <v>27.054065195700474</v>
      </c>
      <c r="V136">
        <f t="shared" si="43"/>
        <v>27.054065195700474</v>
      </c>
      <c r="W136">
        <f t="shared" si="44"/>
        <v>3.5905406584934552</v>
      </c>
      <c r="X136">
        <f t="shared" si="45"/>
        <v>81.31063147256873</v>
      </c>
      <c r="Y136">
        <f t="shared" si="46"/>
        <v>2.6760842081031995</v>
      </c>
      <c r="Z136">
        <f t="shared" si="47"/>
        <v>3.2911861089235468</v>
      </c>
      <c r="AA136">
        <f t="shared" si="48"/>
        <v>0.91445645039025569</v>
      </c>
      <c r="AB136">
        <f t="shared" si="49"/>
        <v>-84.978146416677646</v>
      </c>
      <c r="AC136">
        <f t="shared" si="50"/>
        <v>-174.221712584671</v>
      </c>
      <c r="AD136">
        <f t="shared" si="51"/>
        <v>-17.040632250212301</v>
      </c>
      <c r="AE136">
        <f t="shared" si="52"/>
        <v>-0.12572563356096111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52524.163532487364</v>
      </c>
      <c r="AK136">
        <f t="shared" si="56"/>
        <v>1800</v>
      </c>
      <c r="AL136">
        <f t="shared" si="57"/>
        <v>1499.1145667999999</v>
      </c>
      <c r="AM136">
        <f t="shared" si="58"/>
        <v>0.832841426</v>
      </c>
      <c r="AN136">
        <f t="shared" si="59"/>
        <v>0.15339709200999999</v>
      </c>
      <c r="AO136">
        <v>31.2</v>
      </c>
      <c r="AP136">
        <v>0.5</v>
      </c>
      <c r="AQ136" t="s">
        <v>331</v>
      </c>
      <c r="AR136">
        <v>2</v>
      </c>
      <c r="AS136">
        <v>1690204965.5</v>
      </c>
      <c r="AT136">
        <v>389.827</v>
      </c>
      <c r="AU136">
        <v>800.07500000000005</v>
      </c>
      <c r="AV136">
        <v>26.9848</v>
      </c>
      <c r="AW136">
        <v>7.4975300000000002</v>
      </c>
      <c r="AX136">
        <v>390.53199999999998</v>
      </c>
      <c r="AY136">
        <v>26.8171</v>
      </c>
      <c r="AZ136">
        <v>300.18700000000001</v>
      </c>
      <c r="BA136">
        <v>99.07</v>
      </c>
      <c r="BB136">
        <v>0.100059</v>
      </c>
      <c r="BC136">
        <v>25.5794</v>
      </c>
      <c r="BD136">
        <v>26.971399999999999</v>
      </c>
      <c r="BE136">
        <v>26.815899999999999</v>
      </c>
      <c r="BF136">
        <v>0</v>
      </c>
      <c r="BG136">
        <v>0</v>
      </c>
      <c r="BH136">
        <v>9978.1200000000008</v>
      </c>
      <c r="BI136">
        <v>1065.4000000000001</v>
      </c>
      <c r="BJ136">
        <v>1.7380500000000001</v>
      </c>
      <c r="BK136">
        <v>-410.24799999999999</v>
      </c>
      <c r="BL136">
        <v>400.63799999999998</v>
      </c>
      <c r="BM136">
        <v>806.11900000000003</v>
      </c>
      <c r="BN136">
        <v>19.487300000000001</v>
      </c>
      <c r="BO136">
        <v>800.07500000000005</v>
      </c>
      <c r="BP136">
        <v>7.4975300000000002</v>
      </c>
      <c r="BQ136">
        <v>2.6733899999999999</v>
      </c>
      <c r="BR136">
        <v>0.74278</v>
      </c>
      <c r="BS136">
        <v>22.122399999999999</v>
      </c>
      <c r="BT136">
        <v>2.6583800000000002</v>
      </c>
      <c r="BU136">
        <v>1800</v>
      </c>
      <c r="BV136">
        <v>0.91001500000000002</v>
      </c>
      <c r="BW136">
        <v>3.3992000000000001E-2</v>
      </c>
      <c r="BX136">
        <v>2.1997300000000001E-2</v>
      </c>
      <c r="BY136">
        <v>3.3995699999999997E-2</v>
      </c>
      <c r="BZ136">
        <v>25</v>
      </c>
      <c r="CA136">
        <v>33528.5</v>
      </c>
      <c r="CB136">
        <v>1690203121.0999999</v>
      </c>
      <c r="CC136" t="s">
        <v>332</v>
      </c>
      <c r="CD136">
        <v>1690203121.0999999</v>
      </c>
      <c r="CE136">
        <v>1690203121.0999999</v>
      </c>
      <c r="CF136">
        <v>3</v>
      </c>
      <c r="CG136">
        <v>0.53600000000000003</v>
      </c>
      <c r="CH136">
        <v>-0.01</v>
      </c>
      <c r="CI136">
        <v>-0.996</v>
      </c>
      <c r="CJ136">
        <v>-6.6000000000000003E-2</v>
      </c>
      <c r="CK136">
        <v>800</v>
      </c>
      <c r="CL136">
        <v>9</v>
      </c>
      <c r="CM136">
        <v>0.82</v>
      </c>
      <c r="CN136">
        <v>0.01</v>
      </c>
      <c r="CO136">
        <v>-408.57882926829268</v>
      </c>
      <c r="CP136">
        <v>-8.359003484321395</v>
      </c>
      <c r="CQ136">
        <v>0.82697420558584644</v>
      </c>
      <c r="CR136">
        <v>-1</v>
      </c>
      <c r="CS136">
        <v>19.44239268292683</v>
      </c>
      <c r="CT136">
        <v>0.22664738675957491</v>
      </c>
      <c r="CU136">
        <v>2.2357531499544191E-2</v>
      </c>
      <c r="CV136">
        <v>-1</v>
      </c>
      <c r="CW136">
        <v>0</v>
      </c>
      <c r="CX136">
        <v>0</v>
      </c>
      <c r="CY136" t="s">
        <v>333</v>
      </c>
      <c r="CZ136">
        <v>2.3650600000000002</v>
      </c>
      <c r="DA136">
        <v>2.7138300000000002</v>
      </c>
      <c r="DB136">
        <v>8.7944599999999998E-2</v>
      </c>
      <c r="DC136">
        <v>0.146254</v>
      </c>
      <c r="DD136">
        <v>0.12384100000000001</v>
      </c>
      <c r="DE136">
        <v>4.7265500000000002E-2</v>
      </c>
      <c r="DF136">
        <v>33282.199999999997</v>
      </c>
      <c r="DG136">
        <v>27467.4</v>
      </c>
      <c r="DH136">
        <v>31150.9</v>
      </c>
      <c r="DI136">
        <v>28032.5</v>
      </c>
      <c r="DJ136">
        <v>37036.9</v>
      </c>
      <c r="DK136">
        <v>37958.199999999997</v>
      </c>
      <c r="DL136">
        <v>44324.4</v>
      </c>
      <c r="DM136">
        <v>42463</v>
      </c>
      <c r="DN136">
        <v>1.4834700000000001</v>
      </c>
      <c r="DO136">
        <v>2.05525</v>
      </c>
      <c r="DP136">
        <v>0.16689300000000001</v>
      </c>
      <c r="DQ136">
        <v>0.15945400000000001</v>
      </c>
      <c r="DR136">
        <v>24.235800000000001</v>
      </c>
      <c r="DS136">
        <v>24.201799999999999</v>
      </c>
      <c r="DT136">
        <v>24.3</v>
      </c>
      <c r="DU136">
        <v>27.7</v>
      </c>
      <c r="DV136">
        <v>9.1464999999999996</v>
      </c>
      <c r="DW136">
        <v>61.605499999999999</v>
      </c>
      <c r="DX136">
        <v>36.342100000000002</v>
      </c>
      <c r="DY136">
        <v>1</v>
      </c>
      <c r="DZ136">
        <v>-0.13050300000000001</v>
      </c>
      <c r="EA136">
        <v>6.9564299999999996E-2</v>
      </c>
      <c r="EB136">
        <v>20.191299999999998</v>
      </c>
      <c r="EC136">
        <v>5.2433500000000004</v>
      </c>
      <c r="ED136">
        <v>12.039899999999999</v>
      </c>
      <c r="EE136">
        <v>5.01755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</v>
      </c>
      <c r="EL136">
        <v>1.8646199999999999</v>
      </c>
      <c r="EM136">
        <v>1.8691199999999999</v>
      </c>
      <c r="EN136">
        <v>1.8672200000000001</v>
      </c>
      <c r="EO136">
        <v>1.8633900000000001</v>
      </c>
      <c r="EP136">
        <v>1.86449</v>
      </c>
      <c r="EQ136">
        <v>1.8701399999999999</v>
      </c>
      <c r="ER136">
        <v>1.8693599999999999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-0.70499999999999996</v>
      </c>
      <c r="FG136">
        <v>0.16769999999999999</v>
      </c>
      <c r="FH136">
        <v>-0.44422204735670362</v>
      </c>
      <c r="FI136">
        <v>-6.1462078757559423E-4</v>
      </c>
      <c r="FJ136">
        <v>-1.8861989874597051E-7</v>
      </c>
      <c r="FK136">
        <v>1.1980462299894961E-10</v>
      </c>
      <c r="FL136">
        <v>0.16773393518503121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30.7</v>
      </c>
      <c r="FU136">
        <v>30.7</v>
      </c>
      <c r="FV136">
        <v>1.77979</v>
      </c>
      <c r="FW136">
        <v>2.5622600000000002</v>
      </c>
      <c r="FX136">
        <v>1.5490699999999999</v>
      </c>
      <c r="FY136">
        <v>2.33521</v>
      </c>
      <c r="FZ136">
        <v>1.50146</v>
      </c>
      <c r="GA136">
        <v>2.3730500000000001</v>
      </c>
      <c r="GB136">
        <v>32.443300000000001</v>
      </c>
      <c r="GC136">
        <v>23.991199999999999</v>
      </c>
      <c r="GD136">
        <v>19</v>
      </c>
      <c r="GE136">
        <v>284.09100000000001</v>
      </c>
      <c r="GF136">
        <v>593.97</v>
      </c>
      <c r="GG136">
        <v>23.783999999999999</v>
      </c>
      <c r="GH136">
        <v>25.753399999999999</v>
      </c>
      <c r="GI136">
        <v>29.9999</v>
      </c>
      <c r="GJ136">
        <v>25.926100000000002</v>
      </c>
      <c r="GK136">
        <v>25.912700000000001</v>
      </c>
      <c r="GL136">
        <v>35.5929</v>
      </c>
      <c r="GM136">
        <v>-30</v>
      </c>
      <c r="GN136">
        <v>-30</v>
      </c>
      <c r="GO136">
        <v>23.813800000000001</v>
      </c>
      <c r="GP136">
        <v>800</v>
      </c>
      <c r="GQ136">
        <v>12.5298</v>
      </c>
      <c r="GR136">
        <v>99.661299999999997</v>
      </c>
      <c r="GS136">
        <v>99.358599999999996</v>
      </c>
    </row>
    <row r="137" spans="1:201" x14ac:dyDescent="0.25">
      <c r="A137">
        <v>121</v>
      </c>
      <c r="B137">
        <v>1690204975.5</v>
      </c>
      <c r="C137">
        <v>1535.900000095367</v>
      </c>
      <c r="D137" t="s">
        <v>575</v>
      </c>
      <c r="E137" t="s">
        <v>576</v>
      </c>
      <c r="F137" t="s">
        <v>330</v>
      </c>
      <c r="H137">
        <v>1690204975.5</v>
      </c>
      <c r="I137">
        <f t="shared" si="30"/>
        <v>1.93192983974467E-3</v>
      </c>
      <c r="J137">
        <f t="shared" si="31"/>
        <v>1.93192983974467</v>
      </c>
      <c r="K137">
        <f t="shared" si="32"/>
        <v>38.843588918419513</v>
      </c>
      <c r="L137">
        <f t="shared" si="33"/>
        <v>388.51799999999997</v>
      </c>
      <c r="M137">
        <f t="shared" si="34"/>
        <v>82.259309553563938</v>
      </c>
      <c r="N137">
        <f t="shared" si="35"/>
        <v>8.157931264210216</v>
      </c>
      <c r="O137">
        <f t="shared" si="36"/>
        <v>38.530631439892801</v>
      </c>
      <c r="P137">
        <f t="shared" si="37"/>
        <v>0.21483033745019658</v>
      </c>
      <c r="Q137">
        <f t="shared" si="38"/>
        <v>2.1954444557628623</v>
      </c>
      <c r="R137">
        <f t="shared" si="39"/>
        <v>0.20379753691667588</v>
      </c>
      <c r="S137">
        <f t="shared" si="40"/>
        <v>0.1283174796680368</v>
      </c>
      <c r="T137">
        <f t="shared" si="41"/>
        <v>276.11481270600001</v>
      </c>
      <c r="U137">
        <f t="shared" si="42"/>
        <v>27.054094654230763</v>
      </c>
      <c r="V137">
        <f t="shared" si="43"/>
        <v>27.054094654230763</v>
      </c>
      <c r="W137">
        <f t="shared" si="44"/>
        <v>3.5905468682465096</v>
      </c>
      <c r="X137">
        <f t="shared" si="45"/>
        <v>81.413561867524251</v>
      </c>
      <c r="Y137">
        <f t="shared" si="46"/>
        <v>2.6801399382700803</v>
      </c>
      <c r="Z137">
        <f t="shared" si="47"/>
        <v>3.2920067330197282</v>
      </c>
      <c r="AA137">
        <f t="shared" si="48"/>
        <v>0.91040692997642925</v>
      </c>
      <c r="AB137">
        <f t="shared" si="49"/>
        <v>-85.198105932739949</v>
      </c>
      <c r="AC137">
        <f t="shared" si="50"/>
        <v>-174.04892587487652</v>
      </c>
      <c r="AD137">
        <f t="shared" si="51"/>
        <v>-16.992798749381986</v>
      </c>
      <c r="AE137">
        <f t="shared" si="52"/>
        <v>-0.12501785099843232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52689.227467432363</v>
      </c>
      <c r="AK137">
        <f t="shared" si="56"/>
        <v>1800</v>
      </c>
      <c r="AL137">
        <f t="shared" si="57"/>
        <v>1499.1151176000003</v>
      </c>
      <c r="AM137">
        <f t="shared" si="58"/>
        <v>0.83284173200000011</v>
      </c>
      <c r="AN137">
        <f t="shared" si="59"/>
        <v>0.15339711817000001</v>
      </c>
      <c r="AO137">
        <v>31.2</v>
      </c>
      <c r="AP137">
        <v>0.5</v>
      </c>
      <c r="AQ137" t="s">
        <v>331</v>
      </c>
      <c r="AR137">
        <v>2</v>
      </c>
      <c r="AS137">
        <v>1690204975.5</v>
      </c>
      <c r="AT137">
        <v>388.51799999999997</v>
      </c>
      <c r="AU137">
        <v>799.98199999999997</v>
      </c>
      <c r="AV137">
        <v>27.024799999999999</v>
      </c>
      <c r="AW137">
        <v>7.4906899999999998</v>
      </c>
      <c r="AX137">
        <v>389.22300000000001</v>
      </c>
      <c r="AY137">
        <v>26.857099999999999</v>
      </c>
      <c r="AZ137">
        <v>300.23</v>
      </c>
      <c r="BA137">
        <v>99.073400000000007</v>
      </c>
      <c r="BB137">
        <v>9.99496E-2</v>
      </c>
      <c r="BC137">
        <v>25.583600000000001</v>
      </c>
      <c r="BD137">
        <v>27.016400000000001</v>
      </c>
      <c r="BE137">
        <v>26.827300000000001</v>
      </c>
      <c r="BF137">
        <v>0</v>
      </c>
      <c r="BG137">
        <v>0</v>
      </c>
      <c r="BH137">
        <v>10010.6</v>
      </c>
      <c r="BI137">
        <v>1065.52</v>
      </c>
      <c r="BJ137">
        <v>1.7380500000000001</v>
      </c>
      <c r="BK137">
        <v>-411.464</v>
      </c>
      <c r="BL137">
        <v>399.30900000000003</v>
      </c>
      <c r="BM137">
        <v>806.02</v>
      </c>
      <c r="BN137">
        <v>19.534099999999999</v>
      </c>
      <c r="BO137">
        <v>799.98199999999997</v>
      </c>
      <c r="BP137">
        <v>7.4906899999999998</v>
      </c>
      <c r="BQ137">
        <v>2.6774399999999998</v>
      </c>
      <c r="BR137">
        <v>0.74212800000000001</v>
      </c>
      <c r="BS137">
        <v>22.147300000000001</v>
      </c>
      <c r="BT137">
        <v>2.64602</v>
      </c>
      <c r="BU137">
        <v>1800</v>
      </c>
      <c r="BV137">
        <v>0.91001600000000005</v>
      </c>
      <c r="BW137">
        <v>3.39917E-2</v>
      </c>
      <c r="BX137">
        <v>2.1997099999999999E-2</v>
      </c>
      <c r="BY137">
        <v>3.3995499999999998E-2</v>
      </c>
      <c r="BZ137">
        <v>25</v>
      </c>
      <c r="CA137">
        <v>33528.400000000001</v>
      </c>
      <c r="CB137">
        <v>1690203121.0999999</v>
      </c>
      <c r="CC137" t="s">
        <v>332</v>
      </c>
      <c r="CD137">
        <v>1690203121.0999999</v>
      </c>
      <c r="CE137">
        <v>1690203121.0999999</v>
      </c>
      <c r="CF137">
        <v>3</v>
      </c>
      <c r="CG137">
        <v>0.53600000000000003</v>
      </c>
      <c r="CH137">
        <v>-0.01</v>
      </c>
      <c r="CI137">
        <v>-0.996</v>
      </c>
      <c r="CJ137">
        <v>-6.6000000000000003E-2</v>
      </c>
      <c r="CK137">
        <v>800</v>
      </c>
      <c r="CL137">
        <v>9</v>
      </c>
      <c r="CM137">
        <v>0.82</v>
      </c>
      <c r="CN137">
        <v>0.01</v>
      </c>
      <c r="CO137">
        <v>-409.97839024390248</v>
      </c>
      <c r="CP137">
        <v>-8.3199512195128307</v>
      </c>
      <c r="CQ137">
        <v>0.82499602003618921</v>
      </c>
      <c r="CR137">
        <v>-1</v>
      </c>
      <c r="CS137">
        <v>19.48220487804878</v>
      </c>
      <c r="CT137">
        <v>0.24965226480842051</v>
      </c>
      <c r="CU137">
        <v>2.4647217734630741E-2</v>
      </c>
      <c r="CV137">
        <v>-1</v>
      </c>
      <c r="CW137">
        <v>0</v>
      </c>
      <c r="CX137">
        <v>0</v>
      </c>
      <c r="CY137" t="s">
        <v>333</v>
      </c>
      <c r="CZ137">
        <v>2.3652000000000002</v>
      </c>
      <c r="DA137">
        <v>2.7137500000000001</v>
      </c>
      <c r="DB137">
        <v>8.7721499999999994E-2</v>
      </c>
      <c r="DC137">
        <v>0.14624899999999999</v>
      </c>
      <c r="DD137">
        <v>0.123974</v>
      </c>
      <c r="DE137">
        <v>4.7233299999999999E-2</v>
      </c>
      <c r="DF137">
        <v>33290.5</v>
      </c>
      <c r="DG137">
        <v>27467.8</v>
      </c>
      <c r="DH137">
        <v>31151.1</v>
      </c>
      <c r="DI137">
        <v>28032.7</v>
      </c>
      <c r="DJ137">
        <v>37031.599999999999</v>
      </c>
      <c r="DK137">
        <v>37959.800000000003</v>
      </c>
      <c r="DL137">
        <v>44324.9</v>
      </c>
      <c r="DM137">
        <v>42463.3</v>
      </c>
      <c r="DN137">
        <v>1.4835</v>
      </c>
      <c r="DO137">
        <v>2.0554299999999999</v>
      </c>
      <c r="DP137">
        <v>0.169765</v>
      </c>
      <c r="DQ137">
        <v>0.160191</v>
      </c>
      <c r="DR137">
        <v>24.233799999999999</v>
      </c>
      <c r="DS137">
        <v>24.2012</v>
      </c>
      <c r="DT137">
        <v>24.3</v>
      </c>
      <c r="DU137">
        <v>27.7</v>
      </c>
      <c r="DV137">
        <v>9.1455800000000007</v>
      </c>
      <c r="DW137">
        <v>61.475499999999997</v>
      </c>
      <c r="DX137">
        <v>35.869399999999999</v>
      </c>
      <c r="DY137">
        <v>1</v>
      </c>
      <c r="DZ137">
        <v>-0.13111999999999999</v>
      </c>
      <c r="EA137">
        <v>7.7995599999999998E-2</v>
      </c>
      <c r="EB137">
        <v>20.191199999999998</v>
      </c>
      <c r="EC137">
        <v>5.2428999999999997</v>
      </c>
      <c r="ED137">
        <v>12.039899999999999</v>
      </c>
      <c r="EE137">
        <v>5.0171000000000001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</v>
      </c>
      <c r="EL137">
        <v>1.8646199999999999</v>
      </c>
      <c r="EM137">
        <v>1.8691500000000001</v>
      </c>
      <c r="EN137">
        <v>1.8672200000000001</v>
      </c>
      <c r="EO137">
        <v>1.8633999999999999</v>
      </c>
      <c r="EP137">
        <v>1.8644799999999999</v>
      </c>
      <c r="EQ137">
        <v>1.87012</v>
      </c>
      <c r="ER137">
        <v>1.8693900000000001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-0.70499999999999996</v>
      </c>
      <c r="FG137">
        <v>0.16769999999999999</v>
      </c>
      <c r="FH137">
        <v>-0.44422204735670362</v>
      </c>
      <c r="FI137">
        <v>-6.1462078757559423E-4</v>
      </c>
      <c r="FJ137">
        <v>-1.8861989874597051E-7</v>
      </c>
      <c r="FK137">
        <v>1.1980462299894961E-10</v>
      </c>
      <c r="FL137">
        <v>0.16773393518503121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30.9</v>
      </c>
      <c r="FU137">
        <v>30.9</v>
      </c>
      <c r="FV137">
        <v>1.77979</v>
      </c>
      <c r="FW137">
        <v>2.5659200000000002</v>
      </c>
      <c r="FX137">
        <v>1.5490699999999999</v>
      </c>
      <c r="FY137">
        <v>2.33521</v>
      </c>
      <c r="FZ137">
        <v>1.50146</v>
      </c>
      <c r="GA137">
        <v>2.3083499999999999</v>
      </c>
      <c r="GB137">
        <v>32.443300000000001</v>
      </c>
      <c r="GC137">
        <v>23.982399999999998</v>
      </c>
      <c r="GD137">
        <v>19</v>
      </c>
      <c r="GE137">
        <v>284.08699999999999</v>
      </c>
      <c r="GF137">
        <v>594.072</v>
      </c>
      <c r="GG137">
        <v>23.834599999999998</v>
      </c>
      <c r="GH137">
        <v>25.7502</v>
      </c>
      <c r="GI137">
        <v>29.9999</v>
      </c>
      <c r="GJ137">
        <v>25.922799999999999</v>
      </c>
      <c r="GK137">
        <v>25.908899999999999</v>
      </c>
      <c r="GL137">
        <v>35.592599999999997</v>
      </c>
      <c r="GM137">
        <v>-30</v>
      </c>
      <c r="GN137">
        <v>-30</v>
      </c>
      <c r="GO137">
        <v>23.8065</v>
      </c>
      <c r="GP137">
        <v>800</v>
      </c>
      <c r="GQ137">
        <v>12.5298</v>
      </c>
      <c r="GR137">
        <v>99.662199999999999</v>
      </c>
      <c r="GS137">
        <v>99.359399999999994</v>
      </c>
    </row>
    <row r="138" spans="1:201" x14ac:dyDescent="0.25">
      <c r="A138">
        <v>122</v>
      </c>
      <c r="B138">
        <v>1690204985.5</v>
      </c>
      <c r="C138">
        <v>1545.900000095367</v>
      </c>
      <c r="D138" t="s">
        <v>577</v>
      </c>
      <c r="E138" t="s">
        <v>578</v>
      </c>
      <c r="F138" t="s">
        <v>330</v>
      </c>
      <c r="H138">
        <v>1690204985.5</v>
      </c>
      <c r="I138">
        <f t="shared" si="30"/>
        <v>1.9369735326542385E-3</v>
      </c>
      <c r="J138">
        <f t="shared" si="31"/>
        <v>1.9369735326542386</v>
      </c>
      <c r="K138">
        <f t="shared" si="32"/>
        <v>38.967142521892391</v>
      </c>
      <c r="L138">
        <f t="shared" si="33"/>
        <v>387.25299999999999</v>
      </c>
      <c r="M138">
        <f t="shared" si="34"/>
        <v>81.889946978941268</v>
      </c>
      <c r="N138">
        <f t="shared" si="35"/>
        <v>8.1214965815369471</v>
      </c>
      <c r="O138">
        <f t="shared" si="36"/>
        <v>38.406105165737998</v>
      </c>
      <c r="P138">
        <f t="shared" si="37"/>
        <v>0.21622094227113089</v>
      </c>
      <c r="Q138">
        <f t="shared" si="38"/>
        <v>2.1900948876594213</v>
      </c>
      <c r="R138">
        <f t="shared" si="39"/>
        <v>0.2050230657372864</v>
      </c>
      <c r="S138">
        <f t="shared" si="40"/>
        <v>0.12909715457566698</v>
      </c>
      <c r="T138">
        <f t="shared" si="41"/>
        <v>276.11481765599996</v>
      </c>
      <c r="U138">
        <f t="shared" si="42"/>
        <v>27.060145595981556</v>
      </c>
      <c r="V138">
        <f t="shared" si="43"/>
        <v>27.060145595981556</v>
      </c>
      <c r="W138">
        <f t="shared" si="44"/>
        <v>3.5918225839164668</v>
      </c>
      <c r="X138">
        <f t="shared" si="45"/>
        <v>81.524197026825476</v>
      </c>
      <c r="Y138">
        <f t="shared" si="46"/>
        <v>2.6844990103026003</v>
      </c>
      <c r="Z138">
        <f t="shared" si="47"/>
        <v>3.2928861714752835</v>
      </c>
      <c r="AA138">
        <f t="shared" si="48"/>
        <v>0.90732357361386651</v>
      </c>
      <c r="AB138">
        <f t="shared" si="49"/>
        <v>-85.420532790051922</v>
      </c>
      <c r="AC138">
        <f t="shared" si="50"/>
        <v>-173.80794992567544</v>
      </c>
      <c r="AD138">
        <f t="shared" si="51"/>
        <v>-17.011620848474767</v>
      </c>
      <c r="AE138">
        <f t="shared" si="52"/>
        <v>-0.1252859082021871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52468.864562917472</v>
      </c>
      <c r="AK138">
        <f t="shared" si="56"/>
        <v>1800</v>
      </c>
      <c r="AL138">
        <f t="shared" si="57"/>
        <v>1499.1151356</v>
      </c>
      <c r="AM138">
        <f t="shared" si="58"/>
        <v>0.83284174200000005</v>
      </c>
      <c r="AN138">
        <f t="shared" si="59"/>
        <v>0.15339712091999999</v>
      </c>
      <c r="AO138">
        <v>31.2</v>
      </c>
      <c r="AP138">
        <v>0.5</v>
      </c>
      <c r="AQ138" t="s">
        <v>331</v>
      </c>
      <c r="AR138">
        <v>2</v>
      </c>
      <c r="AS138">
        <v>1690204985.5</v>
      </c>
      <c r="AT138">
        <v>387.25299999999999</v>
      </c>
      <c r="AU138">
        <v>799.98900000000003</v>
      </c>
      <c r="AV138">
        <v>27.068100000000001</v>
      </c>
      <c r="AW138">
        <v>7.4841899999999999</v>
      </c>
      <c r="AX138">
        <v>387.95699999999999</v>
      </c>
      <c r="AY138">
        <v>26.900400000000001</v>
      </c>
      <c r="AZ138">
        <v>300.23500000000001</v>
      </c>
      <c r="BA138">
        <v>99.075699999999998</v>
      </c>
      <c r="BB138">
        <v>0.100046</v>
      </c>
      <c r="BC138">
        <v>25.588100000000001</v>
      </c>
      <c r="BD138">
        <v>27.017800000000001</v>
      </c>
      <c r="BE138">
        <v>26.831099999999999</v>
      </c>
      <c r="BF138">
        <v>0</v>
      </c>
      <c r="BG138">
        <v>0</v>
      </c>
      <c r="BH138">
        <v>9966.8799999999992</v>
      </c>
      <c r="BI138">
        <v>1065.57</v>
      </c>
      <c r="BJ138">
        <v>1.7380500000000001</v>
      </c>
      <c r="BK138">
        <v>-412.73599999999999</v>
      </c>
      <c r="BL138">
        <v>398.02699999999999</v>
      </c>
      <c r="BM138">
        <v>806.02099999999996</v>
      </c>
      <c r="BN138">
        <v>19.5839</v>
      </c>
      <c r="BO138">
        <v>799.98900000000003</v>
      </c>
      <c r="BP138">
        <v>7.4841899999999999</v>
      </c>
      <c r="BQ138">
        <v>2.6817899999999999</v>
      </c>
      <c r="BR138">
        <v>0.74150099999999997</v>
      </c>
      <c r="BS138">
        <v>22.173999999999999</v>
      </c>
      <c r="BT138">
        <v>2.6341199999999998</v>
      </c>
      <c r="BU138">
        <v>1800</v>
      </c>
      <c r="BV138">
        <v>0.91001600000000005</v>
      </c>
      <c r="BW138">
        <v>3.3993299999999997E-2</v>
      </c>
      <c r="BX138">
        <v>2.1996600000000002E-2</v>
      </c>
      <c r="BY138">
        <v>3.39946E-2</v>
      </c>
      <c r="BZ138">
        <v>25</v>
      </c>
      <c r="CA138">
        <v>33528.5</v>
      </c>
      <c r="CB138">
        <v>1690203121.0999999</v>
      </c>
      <c r="CC138" t="s">
        <v>332</v>
      </c>
      <c r="CD138">
        <v>1690203121.0999999</v>
      </c>
      <c r="CE138">
        <v>1690203121.0999999</v>
      </c>
      <c r="CF138">
        <v>3</v>
      </c>
      <c r="CG138">
        <v>0.53600000000000003</v>
      </c>
      <c r="CH138">
        <v>-0.01</v>
      </c>
      <c r="CI138">
        <v>-0.996</v>
      </c>
      <c r="CJ138">
        <v>-6.6000000000000003E-2</v>
      </c>
      <c r="CK138">
        <v>800</v>
      </c>
      <c r="CL138">
        <v>9</v>
      </c>
      <c r="CM138">
        <v>0.82</v>
      </c>
      <c r="CN138">
        <v>0.01</v>
      </c>
      <c r="CO138">
        <v>-411.34436585365859</v>
      </c>
      <c r="CP138">
        <v>-7.7714006968646521</v>
      </c>
      <c r="CQ138">
        <v>0.76871542376647561</v>
      </c>
      <c r="CR138">
        <v>-1</v>
      </c>
      <c r="CS138">
        <v>19.527926829268289</v>
      </c>
      <c r="CT138">
        <v>0.29742020905922861</v>
      </c>
      <c r="CU138">
        <v>2.9347622369230261E-2</v>
      </c>
      <c r="CV138">
        <v>-1</v>
      </c>
      <c r="CW138">
        <v>0</v>
      </c>
      <c r="CX138">
        <v>0</v>
      </c>
      <c r="CY138" t="s">
        <v>333</v>
      </c>
      <c r="CZ138">
        <v>2.3652299999999999</v>
      </c>
      <c r="DA138">
        <v>2.7138100000000001</v>
      </c>
      <c r="DB138">
        <v>8.7504999999999999E-2</v>
      </c>
      <c r="DC138">
        <v>0.146254</v>
      </c>
      <c r="DD138">
        <v>0.124116</v>
      </c>
      <c r="DE138">
        <v>4.72022E-2</v>
      </c>
      <c r="DF138">
        <v>33299.199999999997</v>
      </c>
      <c r="DG138">
        <v>27468.1</v>
      </c>
      <c r="DH138">
        <v>31151.8</v>
      </c>
      <c r="DI138">
        <v>28033.200000000001</v>
      </c>
      <c r="DJ138">
        <v>37026.400000000001</v>
      </c>
      <c r="DK138">
        <v>37961.599999999999</v>
      </c>
      <c r="DL138">
        <v>44326</v>
      </c>
      <c r="DM138">
        <v>42463.9</v>
      </c>
      <c r="DN138">
        <v>1.4834700000000001</v>
      </c>
      <c r="DO138">
        <v>2.0553699999999999</v>
      </c>
      <c r="DP138">
        <v>0.169769</v>
      </c>
      <c r="DQ138">
        <v>0.16039999999999999</v>
      </c>
      <c r="DR138">
        <v>24.235099999999999</v>
      </c>
      <c r="DS138">
        <v>24.201499999999999</v>
      </c>
      <c r="DT138">
        <v>24.3</v>
      </c>
      <c r="DU138">
        <v>27.8</v>
      </c>
      <c r="DV138">
        <v>9.19956</v>
      </c>
      <c r="DW138">
        <v>61.555500000000002</v>
      </c>
      <c r="DX138">
        <v>36.410299999999999</v>
      </c>
      <c r="DY138">
        <v>1</v>
      </c>
      <c r="DZ138">
        <v>-0.13064799999999999</v>
      </c>
      <c r="EA138">
        <v>0.29384500000000002</v>
      </c>
      <c r="EB138">
        <v>20.190899999999999</v>
      </c>
      <c r="EC138">
        <v>5.2428999999999997</v>
      </c>
      <c r="ED138">
        <v>12.039899999999999</v>
      </c>
      <c r="EE138">
        <v>5.0170500000000002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</v>
      </c>
      <c r="EL138">
        <v>1.8646199999999999</v>
      </c>
      <c r="EM138">
        <v>1.86917</v>
      </c>
      <c r="EN138">
        <v>1.8672200000000001</v>
      </c>
      <c r="EO138">
        <v>1.8633999999999999</v>
      </c>
      <c r="EP138">
        <v>1.8645</v>
      </c>
      <c r="EQ138">
        <v>1.8701399999999999</v>
      </c>
      <c r="ER138">
        <v>1.86941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-0.70399999999999996</v>
      </c>
      <c r="FG138">
        <v>0.16769999999999999</v>
      </c>
      <c r="FH138">
        <v>-0.44422204735670362</v>
      </c>
      <c r="FI138">
        <v>-6.1462078757559423E-4</v>
      </c>
      <c r="FJ138">
        <v>-1.8861989874597051E-7</v>
      </c>
      <c r="FK138">
        <v>1.1980462299894961E-10</v>
      </c>
      <c r="FL138">
        <v>0.16773393518503121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31.1</v>
      </c>
      <c r="FU138">
        <v>31.1</v>
      </c>
      <c r="FV138">
        <v>1.77979</v>
      </c>
      <c r="FW138">
        <v>2.5573700000000001</v>
      </c>
      <c r="FX138">
        <v>1.5490699999999999</v>
      </c>
      <c r="FY138">
        <v>2.33521</v>
      </c>
      <c r="FZ138">
        <v>1.50146</v>
      </c>
      <c r="GA138">
        <v>2.34985</v>
      </c>
      <c r="GB138">
        <v>32.443300000000001</v>
      </c>
      <c r="GC138">
        <v>23.982399999999998</v>
      </c>
      <c r="GD138">
        <v>19</v>
      </c>
      <c r="GE138">
        <v>284.06</v>
      </c>
      <c r="GF138">
        <v>593.98400000000004</v>
      </c>
      <c r="GG138">
        <v>23.775500000000001</v>
      </c>
      <c r="GH138">
        <v>25.7469</v>
      </c>
      <c r="GI138">
        <v>30.0002</v>
      </c>
      <c r="GJ138">
        <v>25.9191</v>
      </c>
      <c r="GK138">
        <v>25.905000000000001</v>
      </c>
      <c r="GL138">
        <v>35.596200000000003</v>
      </c>
      <c r="GM138">
        <v>-30</v>
      </c>
      <c r="GN138">
        <v>-30</v>
      </c>
      <c r="GO138">
        <v>23.741099999999999</v>
      </c>
      <c r="GP138">
        <v>800</v>
      </c>
      <c r="GQ138">
        <v>12.5298</v>
      </c>
      <c r="GR138">
        <v>99.664599999999993</v>
      </c>
      <c r="GS138">
        <v>99.360900000000001</v>
      </c>
    </row>
    <row r="139" spans="1:201" x14ac:dyDescent="0.25">
      <c r="A139">
        <v>123</v>
      </c>
      <c r="B139">
        <v>1690204995.5</v>
      </c>
      <c r="C139">
        <v>1555.900000095367</v>
      </c>
      <c r="D139" t="s">
        <v>579</v>
      </c>
      <c r="E139" t="s">
        <v>580</v>
      </c>
      <c r="F139" t="s">
        <v>330</v>
      </c>
      <c r="H139">
        <v>1690204995.5</v>
      </c>
      <c r="I139">
        <f t="shared" si="30"/>
        <v>1.939701570667561E-3</v>
      </c>
      <c r="J139">
        <f t="shared" si="31"/>
        <v>1.9397015706675611</v>
      </c>
      <c r="K139">
        <f t="shared" si="32"/>
        <v>39.082209039855627</v>
      </c>
      <c r="L139">
        <f t="shared" si="33"/>
        <v>385.96899999999999</v>
      </c>
      <c r="M139">
        <f t="shared" si="34"/>
        <v>81.657810350906914</v>
      </c>
      <c r="N139">
        <f t="shared" si="35"/>
        <v>8.0981280291618276</v>
      </c>
      <c r="O139">
        <f t="shared" si="36"/>
        <v>38.277126999313992</v>
      </c>
      <c r="P139">
        <f t="shared" si="37"/>
        <v>0.21764540967503568</v>
      </c>
      <c r="Q139">
        <f t="shared" si="38"/>
        <v>2.1935792332756998</v>
      </c>
      <c r="R139">
        <f t="shared" si="39"/>
        <v>0.20632066839107324</v>
      </c>
      <c r="S139">
        <f t="shared" si="40"/>
        <v>0.12991877595663501</v>
      </c>
      <c r="T139">
        <f t="shared" si="41"/>
        <v>276.11474653800002</v>
      </c>
      <c r="U139">
        <f t="shared" si="42"/>
        <v>27.050494827285981</v>
      </c>
      <c r="V139">
        <f t="shared" si="43"/>
        <v>27.050494827285981</v>
      </c>
      <c r="W139">
        <f t="shared" si="44"/>
        <v>3.5897881069915432</v>
      </c>
      <c r="X139">
        <f t="shared" si="45"/>
        <v>81.630386627328235</v>
      </c>
      <c r="Y139">
        <f t="shared" si="46"/>
        <v>2.6869428664133999</v>
      </c>
      <c r="Z139">
        <f t="shared" si="47"/>
        <v>3.2915963986306354</v>
      </c>
      <c r="AA139">
        <f t="shared" si="48"/>
        <v>0.9028452405781433</v>
      </c>
      <c r="AB139">
        <f t="shared" si="49"/>
        <v>-85.540839266439434</v>
      </c>
      <c r="AC139">
        <f t="shared" si="50"/>
        <v>-173.72368615776421</v>
      </c>
      <c r="AD139">
        <f t="shared" si="51"/>
        <v>-16.974981902092782</v>
      </c>
      <c r="AE139">
        <f t="shared" si="52"/>
        <v>-0.12476078829641324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52612.916688294754</v>
      </c>
      <c r="AK139">
        <f t="shared" si="56"/>
        <v>1800</v>
      </c>
      <c r="AL139">
        <f t="shared" si="57"/>
        <v>1499.1128567999999</v>
      </c>
      <c r="AM139">
        <f t="shared" si="58"/>
        <v>0.832840476</v>
      </c>
      <c r="AN139">
        <f t="shared" si="59"/>
        <v>0.15339708141</v>
      </c>
      <c r="AO139">
        <v>31.2</v>
      </c>
      <c r="AP139">
        <v>0.5</v>
      </c>
      <c r="AQ139" t="s">
        <v>331</v>
      </c>
      <c r="AR139">
        <v>2</v>
      </c>
      <c r="AS139">
        <v>1690204995.5</v>
      </c>
      <c r="AT139">
        <v>385.96899999999999</v>
      </c>
      <c r="AU139">
        <v>799.98099999999999</v>
      </c>
      <c r="AV139">
        <v>27.093900000000001</v>
      </c>
      <c r="AW139">
        <v>7.4784199999999998</v>
      </c>
      <c r="AX139">
        <v>386.67200000000003</v>
      </c>
      <c r="AY139">
        <v>26.926100000000002</v>
      </c>
      <c r="AZ139">
        <v>300.166</v>
      </c>
      <c r="BA139">
        <v>99.071399999999997</v>
      </c>
      <c r="BB139">
        <v>0.100106</v>
      </c>
      <c r="BC139">
        <v>25.581499999999998</v>
      </c>
      <c r="BD139">
        <v>27.043099999999999</v>
      </c>
      <c r="BE139">
        <v>26.821200000000001</v>
      </c>
      <c r="BF139">
        <v>0</v>
      </c>
      <c r="BG139">
        <v>0</v>
      </c>
      <c r="BH139">
        <v>9995.6200000000008</v>
      </c>
      <c r="BI139">
        <v>1065.68</v>
      </c>
      <c r="BJ139">
        <v>1.7380500000000001</v>
      </c>
      <c r="BK139">
        <v>-414.01100000000002</v>
      </c>
      <c r="BL139">
        <v>396.71800000000002</v>
      </c>
      <c r="BM139">
        <v>806.00800000000004</v>
      </c>
      <c r="BN139">
        <v>19.615400000000001</v>
      </c>
      <c r="BO139">
        <v>799.98099999999999</v>
      </c>
      <c r="BP139">
        <v>7.4784199999999998</v>
      </c>
      <c r="BQ139">
        <v>2.6842299999999999</v>
      </c>
      <c r="BR139">
        <v>0.74089700000000003</v>
      </c>
      <c r="BS139">
        <v>22.1889</v>
      </c>
      <c r="BT139">
        <v>2.6226699999999998</v>
      </c>
      <c r="BU139">
        <v>1800</v>
      </c>
      <c r="BV139">
        <v>0.91000999999999999</v>
      </c>
      <c r="BW139">
        <v>3.3999599999999998E-2</v>
      </c>
      <c r="BX139">
        <v>2.19963E-2</v>
      </c>
      <c r="BY139">
        <v>3.3994099999999999E-2</v>
      </c>
      <c r="BZ139">
        <v>25</v>
      </c>
      <c r="CA139">
        <v>33528.5</v>
      </c>
      <c r="CB139">
        <v>1690203121.0999999</v>
      </c>
      <c r="CC139" t="s">
        <v>332</v>
      </c>
      <c r="CD139">
        <v>1690203121.0999999</v>
      </c>
      <c r="CE139">
        <v>1690203121.0999999</v>
      </c>
      <c r="CF139">
        <v>3</v>
      </c>
      <c r="CG139">
        <v>0.53600000000000003</v>
      </c>
      <c r="CH139">
        <v>-0.01</v>
      </c>
      <c r="CI139">
        <v>-0.996</v>
      </c>
      <c r="CJ139">
        <v>-6.6000000000000003E-2</v>
      </c>
      <c r="CK139">
        <v>800</v>
      </c>
      <c r="CL139">
        <v>9</v>
      </c>
      <c r="CM139">
        <v>0.82</v>
      </c>
      <c r="CN139">
        <v>0.01</v>
      </c>
      <c r="CO139">
        <v>-412.73007317073171</v>
      </c>
      <c r="CP139">
        <v>-7.3417839721255076</v>
      </c>
      <c r="CQ139">
        <v>0.72550353885418206</v>
      </c>
      <c r="CR139">
        <v>-1</v>
      </c>
      <c r="CS139">
        <v>19.579073170731711</v>
      </c>
      <c r="CT139">
        <v>0.25299094076657558</v>
      </c>
      <c r="CU139">
        <v>2.5116450972592758E-2</v>
      </c>
      <c r="CV139">
        <v>-1</v>
      </c>
      <c r="CW139">
        <v>0</v>
      </c>
      <c r="CX139">
        <v>0</v>
      </c>
      <c r="CY139" t="s">
        <v>333</v>
      </c>
      <c r="CZ139">
        <v>2.3650099999999998</v>
      </c>
      <c r="DA139">
        <v>2.7138900000000001</v>
      </c>
      <c r="DB139">
        <v>8.7278900000000006E-2</v>
      </c>
      <c r="DC139">
        <v>0.14624799999999999</v>
      </c>
      <c r="DD139">
        <v>0.124194</v>
      </c>
      <c r="DE139">
        <v>4.71718E-2</v>
      </c>
      <c r="DF139">
        <v>33307.599999999999</v>
      </c>
      <c r="DG139">
        <v>27468.400000000001</v>
      </c>
      <c r="DH139">
        <v>31152</v>
      </c>
      <c r="DI139">
        <v>28033.4</v>
      </c>
      <c r="DJ139">
        <v>37023.1</v>
      </c>
      <c r="DK139">
        <v>37963.300000000003</v>
      </c>
      <c r="DL139">
        <v>44326.1</v>
      </c>
      <c r="DM139">
        <v>42464.4</v>
      </c>
      <c r="DN139">
        <v>1.4836</v>
      </c>
      <c r="DO139">
        <v>2.0554299999999999</v>
      </c>
      <c r="DP139">
        <v>0.171151</v>
      </c>
      <c r="DQ139">
        <v>0.159692</v>
      </c>
      <c r="DR139">
        <v>24.2379</v>
      </c>
      <c r="DS139">
        <v>24.203199999999999</v>
      </c>
      <c r="DT139">
        <v>24.3</v>
      </c>
      <c r="DU139">
        <v>27.8</v>
      </c>
      <c r="DV139">
        <v>9.1999099999999991</v>
      </c>
      <c r="DW139">
        <v>61.665500000000002</v>
      </c>
      <c r="DX139">
        <v>37.111400000000003</v>
      </c>
      <c r="DY139">
        <v>1</v>
      </c>
      <c r="DZ139">
        <v>-0.13058900000000001</v>
      </c>
      <c r="EA139">
        <v>0.14732600000000001</v>
      </c>
      <c r="EB139">
        <v>20.191099999999999</v>
      </c>
      <c r="EC139">
        <v>5.2441000000000004</v>
      </c>
      <c r="ED139">
        <v>12.039899999999999</v>
      </c>
      <c r="EE139">
        <v>5.0174500000000002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</v>
      </c>
      <c r="EL139">
        <v>1.8646100000000001</v>
      </c>
      <c r="EM139">
        <v>1.86917</v>
      </c>
      <c r="EN139">
        <v>1.8672200000000001</v>
      </c>
      <c r="EO139">
        <v>1.8633999999999999</v>
      </c>
      <c r="EP139">
        <v>1.86449</v>
      </c>
      <c r="EQ139">
        <v>1.87012</v>
      </c>
      <c r="ER139">
        <v>1.86937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-0.70299999999999996</v>
      </c>
      <c r="FG139">
        <v>0.1678</v>
      </c>
      <c r="FH139">
        <v>-0.44422204735670362</v>
      </c>
      <c r="FI139">
        <v>-6.1462078757559423E-4</v>
      </c>
      <c r="FJ139">
        <v>-1.8861989874597051E-7</v>
      </c>
      <c r="FK139">
        <v>1.1980462299894961E-10</v>
      </c>
      <c r="FL139">
        <v>0.16773393518503121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31.2</v>
      </c>
      <c r="FU139">
        <v>31.2</v>
      </c>
      <c r="FV139">
        <v>1.77979</v>
      </c>
      <c r="FW139">
        <v>2.5537100000000001</v>
      </c>
      <c r="FX139">
        <v>1.5490699999999999</v>
      </c>
      <c r="FY139">
        <v>2.33521</v>
      </c>
      <c r="FZ139">
        <v>1.50146</v>
      </c>
      <c r="GA139">
        <v>2.3791500000000001</v>
      </c>
      <c r="GB139">
        <v>32.443300000000001</v>
      </c>
      <c r="GC139">
        <v>23.991199999999999</v>
      </c>
      <c r="GD139">
        <v>19</v>
      </c>
      <c r="GE139">
        <v>284.09500000000003</v>
      </c>
      <c r="GF139">
        <v>593.97799999999995</v>
      </c>
      <c r="GG139">
        <v>23.7285</v>
      </c>
      <c r="GH139">
        <v>25.744299999999999</v>
      </c>
      <c r="GI139">
        <v>29.9999</v>
      </c>
      <c r="GJ139">
        <v>25.915299999999998</v>
      </c>
      <c r="GK139">
        <v>25.9008</v>
      </c>
      <c r="GL139">
        <v>35.593899999999998</v>
      </c>
      <c r="GM139">
        <v>-30</v>
      </c>
      <c r="GN139">
        <v>-30</v>
      </c>
      <c r="GO139">
        <v>23.768000000000001</v>
      </c>
      <c r="GP139">
        <v>800</v>
      </c>
      <c r="GQ139">
        <v>12.5298</v>
      </c>
      <c r="GR139">
        <v>99.664900000000003</v>
      </c>
      <c r="GS139">
        <v>99.361800000000002</v>
      </c>
    </row>
    <row r="140" spans="1:201" x14ac:dyDescent="0.25">
      <c r="A140">
        <v>124</v>
      </c>
      <c r="B140">
        <v>1690205005.5</v>
      </c>
      <c r="C140">
        <v>1565.900000095367</v>
      </c>
      <c r="D140" t="s">
        <v>581</v>
      </c>
      <c r="E140" t="s">
        <v>582</v>
      </c>
      <c r="F140" t="s">
        <v>330</v>
      </c>
      <c r="H140">
        <v>1690205005.5</v>
      </c>
      <c r="I140">
        <f t="shared" si="30"/>
        <v>1.9433899962245128E-3</v>
      </c>
      <c r="J140">
        <f t="shared" si="31"/>
        <v>1.9433899962245129</v>
      </c>
      <c r="K140">
        <f t="shared" si="32"/>
        <v>39.22170269125418</v>
      </c>
      <c r="L140">
        <f t="shared" si="33"/>
        <v>384.55099999999999</v>
      </c>
      <c r="M140">
        <f t="shared" si="34"/>
        <v>80.974003758294643</v>
      </c>
      <c r="N140">
        <f t="shared" si="35"/>
        <v>8.030579283759657</v>
      </c>
      <c r="O140">
        <f t="shared" si="36"/>
        <v>38.137762131253396</v>
      </c>
      <c r="P140">
        <f t="shared" si="37"/>
        <v>0.21898987251496044</v>
      </c>
      <c r="Q140">
        <f t="shared" si="38"/>
        <v>2.1948477988095498</v>
      </c>
      <c r="R140">
        <f t="shared" si="39"/>
        <v>0.2075349948095411</v>
      </c>
      <c r="S140">
        <f t="shared" si="40"/>
        <v>0.13068859465660623</v>
      </c>
      <c r="T140">
        <f t="shared" si="41"/>
        <v>276.11470549799998</v>
      </c>
      <c r="U140">
        <f t="shared" si="42"/>
        <v>27.048667077659122</v>
      </c>
      <c r="V140">
        <f t="shared" si="43"/>
        <v>27.048667077659122</v>
      </c>
      <c r="W140">
        <f t="shared" si="44"/>
        <v>3.5894029127143079</v>
      </c>
      <c r="X140">
        <f t="shared" si="45"/>
        <v>81.725817430251396</v>
      </c>
      <c r="Y140">
        <f t="shared" si="46"/>
        <v>2.6901159997249997</v>
      </c>
      <c r="Z140">
        <f t="shared" si="47"/>
        <v>3.2916354761711246</v>
      </c>
      <c r="AA140">
        <f t="shared" si="48"/>
        <v>0.89928691298930818</v>
      </c>
      <c r="AB140">
        <f t="shared" si="49"/>
        <v>-85.703498833501015</v>
      </c>
      <c r="AC140">
        <f t="shared" si="50"/>
        <v>-173.584211199018</v>
      </c>
      <c r="AD140">
        <f t="shared" si="51"/>
        <v>-16.951411664115454</v>
      </c>
      <c r="AE140">
        <f t="shared" si="52"/>
        <v>-0.12441619863452047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52665.070575448175</v>
      </c>
      <c r="AK140">
        <f t="shared" si="56"/>
        <v>1800</v>
      </c>
      <c r="AL140">
        <f t="shared" si="57"/>
        <v>1499.1113717999999</v>
      </c>
      <c r="AM140">
        <f t="shared" si="58"/>
        <v>0.83283965100000001</v>
      </c>
      <c r="AN140">
        <f t="shared" si="59"/>
        <v>0.15339705861</v>
      </c>
      <c r="AO140">
        <v>31.2</v>
      </c>
      <c r="AP140">
        <v>0.5</v>
      </c>
      <c r="AQ140" t="s">
        <v>331</v>
      </c>
      <c r="AR140">
        <v>2</v>
      </c>
      <c r="AS140">
        <v>1690205005.5</v>
      </c>
      <c r="AT140">
        <v>384.55099999999999</v>
      </c>
      <c r="AU140">
        <v>800.024</v>
      </c>
      <c r="AV140">
        <v>27.125</v>
      </c>
      <c r="AW140">
        <v>7.4716699999999996</v>
      </c>
      <c r="AX140">
        <v>385.25299999999999</v>
      </c>
      <c r="AY140">
        <v>26.9573</v>
      </c>
      <c r="AZ140">
        <v>300.14800000000002</v>
      </c>
      <c r="BA140">
        <v>99.074799999999996</v>
      </c>
      <c r="BB140">
        <v>9.99834E-2</v>
      </c>
      <c r="BC140">
        <v>25.581700000000001</v>
      </c>
      <c r="BD140">
        <v>26.997499999999999</v>
      </c>
      <c r="BE140">
        <v>26.816600000000001</v>
      </c>
      <c r="BF140">
        <v>0</v>
      </c>
      <c r="BG140">
        <v>0</v>
      </c>
      <c r="BH140">
        <v>10005.6</v>
      </c>
      <c r="BI140">
        <v>1065.68</v>
      </c>
      <c r="BJ140">
        <v>1.7380500000000001</v>
      </c>
      <c r="BK140">
        <v>-415.47300000000001</v>
      </c>
      <c r="BL140">
        <v>395.27300000000002</v>
      </c>
      <c r="BM140">
        <v>806.04700000000003</v>
      </c>
      <c r="BN140">
        <v>19.653400000000001</v>
      </c>
      <c r="BO140">
        <v>800.024</v>
      </c>
      <c r="BP140">
        <v>7.4716699999999996</v>
      </c>
      <c r="BQ140">
        <v>2.6874099999999999</v>
      </c>
      <c r="BR140">
        <v>0.74025399999999997</v>
      </c>
      <c r="BS140">
        <v>22.208300000000001</v>
      </c>
      <c r="BT140">
        <v>2.6104500000000002</v>
      </c>
      <c r="BU140">
        <v>1800</v>
      </c>
      <c r="BV140">
        <v>0.91000599999999998</v>
      </c>
      <c r="BW140">
        <v>3.4004699999999999E-2</v>
      </c>
      <c r="BX140">
        <v>2.1995799999999999E-2</v>
      </c>
      <c r="BY140">
        <v>3.3993299999999997E-2</v>
      </c>
      <c r="BZ140">
        <v>25</v>
      </c>
      <c r="CA140">
        <v>33528.5</v>
      </c>
      <c r="CB140">
        <v>1690203121.0999999</v>
      </c>
      <c r="CC140" t="s">
        <v>332</v>
      </c>
      <c r="CD140">
        <v>1690203121.0999999</v>
      </c>
      <c r="CE140">
        <v>1690203121.0999999</v>
      </c>
      <c r="CF140">
        <v>3</v>
      </c>
      <c r="CG140">
        <v>0.53600000000000003</v>
      </c>
      <c r="CH140">
        <v>-0.01</v>
      </c>
      <c r="CI140">
        <v>-0.996</v>
      </c>
      <c r="CJ140">
        <v>-6.6000000000000003E-2</v>
      </c>
      <c r="CK140">
        <v>800</v>
      </c>
      <c r="CL140">
        <v>9</v>
      </c>
      <c r="CM140">
        <v>0.82</v>
      </c>
      <c r="CN140">
        <v>0.01</v>
      </c>
      <c r="CO140">
        <v>-413.85017073170741</v>
      </c>
      <c r="CP140">
        <v>-7.834411149826038</v>
      </c>
      <c r="CQ140">
        <v>0.77419484225711066</v>
      </c>
      <c r="CR140">
        <v>-1</v>
      </c>
      <c r="CS140">
        <v>19.61148536585366</v>
      </c>
      <c r="CT140">
        <v>0.18205714285713859</v>
      </c>
      <c r="CU140">
        <v>1.8071734579718911E-2</v>
      </c>
      <c r="CV140">
        <v>-1</v>
      </c>
      <c r="CW140">
        <v>0</v>
      </c>
      <c r="CX140">
        <v>0</v>
      </c>
      <c r="CY140" t="s">
        <v>333</v>
      </c>
      <c r="CZ140">
        <v>2.3649399999999998</v>
      </c>
      <c r="DA140">
        <v>2.7137799999999999</v>
      </c>
      <c r="DB140">
        <v>8.7035699999999994E-2</v>
      </c>
      <c r="DC140">
        <v>0.146259</v>
      </c>
      <c r="DD140">
        <v>0.12429800000000001</v>
      </c>
      <c r="DE140">
        <v>4.7139899999999998E-2</v>
      </c>
      <c r="DF140">
        <v>33316.300000000003</v>
      </c>
      <c r="DG140">
        <v>27468.7</v>
      </c>
      <c r="DH140">
        <v>31151.8</v>
      </c>
      <c r="DI140">
        <v>28034</v>
      </c>
      <c r="DJ140">
        <v>37018.5</v>
      </c>
      <c r="DK140">
        <v>37965.300000000003</v>
      </c>
      <c r="DL140">
        <v>44325.9</v>
      </c>
      <c r="DM140">
        <v>42465.2</v>
      </c>
      <c r="DN140">
        <v>1.4834700000000001</v>
      </c>
      <c r="DO140">
        <v>2.05545</v>
      </c>
      <c r="DP140">
        <v>0.16836100000000001</v>
      </c>
      <c r="DQ140">
        <v>0.15928999999999999</v>
      </c>
      <c r="DR140">
        <v>24.2379</v>
      </c>
      <c r="DS140">
        <v>24.205200000000001</v>
      </c>
      <c r="DT140">
        <v>24.2</v>
      </c>
      <c r="DU140">
        <v>27.8</v>
      </c>
      <c r="DV140">
        <v>9.16249</v>
      </c>
      <c r="DW140">
        <v>61.535499999999999</v>
      </c>
      <c r="DX140">
        <v>36.935099999999998</v>
      </c>
      <c r="DY140">
        <v>1</v>
      </c>
      <c r="DZ140">
        <v>-0.131603</v>
      </c>
      <c r="EA140">
        <v>0.221471</v>
      </c>
      <c r="EB140">
        <v>20.191299999999998</v>
      </c>
      <c r="EC140">
        <v>5.2438000000000002</v>
      </c>
      <c r="ED140">
        <v>12.039899999999999</v>
      </c>
      <c r="EE140">
        <v>5.0174500000000002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</v>
      </c>
      <c r="EL140">
        <v>1.8646199999999999</v>
      </c>
      <c r="EM140">
        <v>1.86917</v>
      </c>
      <c r="EN140">
        <v>1.8672200000000001</v>
      </c>
      <c r="EO140">
        <v>1.8633900000000001</v>
      </c>
      <c r="EP140">
        <v>1.8644799999999999</v>
      </c>
      <c r="EQ140">
        <v>1.8701300000000001</v>
      </c>
      <c r="ER140">
        <v>1.8694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-0.70199999999999996</v>
      </c>
      <c r="FG140">
        <v>0.16769999999999999</v>
      </c>
      <c r="FH140">
        <v>-0.44422204735670362</v>
      </c>
      <c r="FI140">
        <v>-6.1462078757559423E-4</v>
      </c>
      <c r="FJ140">
        <v>-1.8861989874597051E-7</v>
      </c>
      <c r="FK140">
        <v>1.1980462299894961E-10</v>
      </c>
      <c r="FL140">
        <v>0.16773393518503121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31.4</v>
      </c>
      <c r="FU140">
        <v>31.4</v>
      </c>
      <c r="FV140">
        <v>1.78101</v>
      </c>
      <c r="FW140">
        <v>2.5622600000000002</v>
      </c>
      <c r="FX140">
        <v>1.5490699999999999</v>
      </c>
      <c r="FY140">
        <v>2.33521</v>
      </c>
      <c r="FZ140">
        <v>1.50146</v>
      </c>
      <c r="GA140">
        <v>2.3706100000000001</v>
      </c>
      <c r="GB140">
        <v>32.443300000000001</v>
      </c>
      <c r="GC140">
        <v>23.982399999999998</v>
      </c>
      <c r="GD140">
        <v>19</v>
      </c>
      <c r="GE140">
        <v>284.02800000000002</v>
      </c>
      <c r="GF140">
        <v>593.96100000000001</v>
      </c>
      <c r="GG140">
        <v>23.756699999999999</v>
      </c>
      <c r="GH140">
        <v>25.740400000000001</v>
      </c>
      <c r="GI140">
        <v>30</v>
      </c>
      <c r="GJ140">
        <v>25.911899999999999</v>
      </c>
      <c r="GK140">
        <v>25.897600000000001</v>
      </c>
      <c r="GL140">
        <v>35.5961</v>
      </c>
      <c r="GM140">
        <v>-30</v>
      </c>
      <c r="GN140">
        <v>-30</v>
      </c>
      <c r="GO140">
        <v>23.711400000000001</v>
      </c>
      <c r="GP140">
        <v>800</v>
      </c>
      <c r="GQ140">
        <v>12.5298</v>
      </c>
      <c r="GR140">
        <v>99.664599999999993</v>
      </c>
      <c r="GS140">
        <v>99.363799999999998</v>
      </c>
    </row>
    <row r="141" spans="1:201" x14ac:dyDescent="0.25">
      <c r="A141">
        <v>125</v>
      </c>
      <c r="B141">
        <v>1690205015.5</v>
      </c>
      <c r="C141">
        <v>1575.900000095367</v>
      </c>
      <c r="D141" t="s">
        <v>583</v>
      </c>
      <c r="E141" t="s">
        <v>584</v>
      </c>
      <c r="F141" t="s">
        <v>330</v>
      </c>
      <c r="H141">
        <v>1690205015.5</v>
      </c>
      <c r="I141">
        <f t="shared" si="30"/>
        <v>1.9487847336424992E-3</v>
      </c>
      <c r="J141">
        <f t="shared" si="31"/>
        <v>1.9487847336424993</v>
      </c>
      <c r="K141">
        <f t="shared" si="32"/>
        <v>39.345117263556773</v>
      </c>
      <c r="L141">
        <f t="shared" si="33"/>
        <v>383.40499999999997</v>
      </c>
      <c r="M141">
        <f t="shared" si="34"/>
        <v>81.178950318375769</v>
      </c>
      <c r="N141">
        <f t="shared" si="35"/>
        <v>8.0508559609719761</v>
      </c>
      <c r="O141">
        <f t="shared" si="36"/>
        <v>38.023877096347995</v>
      </c>
      <c r="P141">
        <f t="shared" si="37"/>
        <v>0.22074168966495966</v>
      </c>
      <c r="Q141">
        <f t="shared" si="38"/>
        <v>2.1932303427523805</v>
      </c>
      <c r="R141">
        <f t="shared" si="39"/>
        <v>0.20909994589784126</v>
      </c>
      <c r="S141">
        <f t="shared" si="40"/>
        <v>0.13168224367296963</v>
      </c>
      <c r="T141">
        <f t="shared" si="41"/>
        <v>276.11468541000005</v>
      </c>
      <c r="U141">
        <f t="shared" si="42"/>
        <v>27.047219764853104</v>
      </c>
      <c r="V141">
        <f t="shared" si="43"/>
        <v>27.047219764853104</v>
      </c>
      <c r="W141">
        <f t="shared" si="44"/>
        <v>3.5890979202701194</v>
      </c>
      <c r="X141">
        <f t="shared" si="45"/>
        <v>81.849355758083135</v>
      </c>
      <c r="Y141">
        <f t="shared" si="46"/>
        <v>2.6940864780003202</v>
      </c>
      <c r="Z141">
        <f t="shared" si="47"/>
        <v>3.2915182447654909</v>
      </c>
      <c r="AA141">
        <f t="shared" si="48"/>
        <v>0.89501144226979923</v>
      </c>
      <c r="AB141">
        <f t="shared" si="49"/>
        <v>-85.941406753634212</v>
      </c>
      <c r="AC141">
        <f t="shared" si="50"/>
        <v>-173.35610376159408</v>
      </c>
      <c r="AD141">
        <f t="shared" si="51"/>
        <v>-16.941446677026061</v>
      </c>
      <c r="AE141">
        <f t="shared" si="52"/>
        <v>-0.12427178225433977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52598.720033751379</v>
      </c>
      <c r="AK141">
        <f t="shared" si="56"/>
        <v>1800</v>
      </c>
      <c r="AL141">
        <f t="shared" si="57"/>
        <v>1499.1099839999999</v>
      </c>
      <c r="AM141">
        <f t="shared" si="58"/>
        <v>0.83283887999999995</v>
      </c>
      <c r="AN141">
        <f t="shared" si="59"/>
        <v>0.15339704745000002</v>
      </c>
      <c r="AO141">
        <v>31.2</v>
      </c>
      <c r="AP141">
        <v>0.5</v>
      </c>
      <c r="AQ141" t="s">
        <v>331</v>
      </c>
      <c r="AR141">
        <v>2</v>
      </c>
      <c r="AS141">
        <v>1690205015.5</v>
      </c>
      <c r="AT141">
        <v>383.40499999999997</v>
      </c>
      <c r="AU141">
        <v>800.00099999999998</v>
      </c>
      <c r="AV141">
        <v>27.165199999999999</v>
      </c>
      <c r="AW141">
        <v>7.4656099999999999</v>
      </c>
      <c r="AX141">
        <v>384.10700000000003</v>
      </c>
      <c r="AY141">
        <v>26.997499999999999</v>
      </c>
      <c r="AZ141">
        <v>300.262</v>
      </c>
      <c r="BA141">
        <v>99.074200000000005</v>
      </c>
      <c r="BB141">
        <v>9.9981600000000004E-2</v>
      </c>
      <c r="BC141">
        <v>25.581099999999999</v>
      </c>
      <c r="BD141">
        <v>26.944500000000001</v>
      </c>
      <c r="BE141">
        <v>26.831099999999999</v>
      </c>
      <c r="BF141">
        <v>0</v>
      </c>
      <c r="BG141">
        <v>0</v>
      </c>
      <c r="BH141">
        <v>9992.5</v>
      </c>
      <c r="BI141">
        <v>1065.6400000000001</v>
      </c>
      <c r="BJ141">
        <v>1.7380500000000001</v>
      </c>
      <c r="BK141">
        <v>-416.596</v>
      </c>
      <c r="BL141">
        <v>394.11099999999999</v>
      </c>
      <c r="BM141">
        <v>806.01800000000003</v>
      </c>
      <c r="BN141">
        <v>19.6996</v>
      </c>
      <c r="BO141">
        <v>800.00099999999998</v>
      </c>
      <c r="BP141">
        <v>7.4656099999999999</v>
      </c>
      <c r="BQ141">
        <v>2.69137</v>
      </c>
      <c r="BR141">
        <v>0.739649</v>
      </c>
      <c r="BS141">
        <v>22.232500000000002</v>
      </c>
      <c r="BT141">
        <v>2.5989499999999999</v>
      </c>
      <c r="BU141">
        <v>1800</v>
      </c>
      <c r="BV141">
        <v>0.91000199999999998</v>
      </c>
      <c r="BW141">
        <v>3.4009200000000003E-2</v>
      </c>
      <c r="BX141">
        <v>2.1995500000000001E-2</v>
      </c>
      <c r="BY141">
        <v>3.39929E-2</v>
      </c>
      <c r="BZ141">
        <v>25</v>
      </c>
      <c r="CA141">
        <v>33528.400000000001</v>
      </c>
      <c r="CB141">
        <v>1690203121.0999999</v>
      </c>
      <c r="CC141" t="s">
        <v>332</v>
      </c>
      <c r="CD141">
        <v>1690203121.0999999</v>
      </c>
      <c r="CE141">
        <v>1690203121.0999999</v>
      </c>
      <c r="CF141">
        <v>3</v>
      </c>
      <c r="CG141">
        <v>0.53600000000000003</v>
      </c>
      <c r="CH141">
        <v>-0.01</v>
      </c>
      <c r="CI141">
        <v>-0.996</v>
      </c>
      <c r="CJ141">
        <v>-6.6000000000000003E-2</v>
      </c>
      <c r="CK141">
        <v>800</v>
      </c>
      <c r="CL141">
        <v>9</v>
      </c>
      <c r="CM141">
        <v>0.82</v>
      </c>
      <c r="CN141">
        <v>0.01</v>
      </c>
      <c r="CO141">
        <v>-415.15297560975608</v>
      </c>
      <c r="CP141">
        <v>-7.7160418118474254</v>
      </c>
      <c r="CQ141">
        <v>0.76614939916711833</v>
      </c>
      <c r="CR141">
        <v>-1</v>
      </c>
      <c r="CS141">
        <v>19.648036585365851</v>
      </c>
      <c r="CT141">
        <v>0.25712195121951448</v>
      </c>
      <c r="CU141">
        <v>2.5486742188139181E-2</v>
      </c>
      <c r="CV141">
        <v>-1</v>
      </c>
      <c r="CW141">
        <v>0</v>
      </c>
      <c r="CX141">
        <v>0</v>
      </c>
      <c r="CY141" t="s">
        <v>333</v>
      </c>
      <c r="CZ141">
        <v>2.36531</v>
      </c>
      <c r="DA141">
        <v>2.7137699999999998</v>
      </c>
      <c r="DB141">
        <v>8.6836499999999997E-2</v>
      </c>
      <c r="DC141">
        <v>0.146257</v>
      </c>
      <c r="DD141">
        <v>0.124427</v>
      </c>
      <c r="DE141">
        <v>4.7109600000000001E-2</v>
      </c>
      <c r="DF141">
        <v>33323.9</v>
      </c>
      <c r="DG141">
        <v>27468.6</v>
      </c>
      <c r="DH141">
        <v>31152.1</v>
      </c>
      <c r="DI141">
        <v>28033.8</v>
      </c>
      <c r="DJ141">
        <v>37013.199999999997</v>
      </c>
      <c r="DK141">
        <v>37966.5</v>
      </c>
      <c r="DL141">
        <v>44326.2</v>
      </c>
      <c r="DM141">
        <v>42465.3</v>
      </c>
      <c r="DN141">
        <v>1.4834000000000001</v>
      </c>
      <c r="DO141">
        <v>2.0552000000000001</v>
      </c>
      <c r="DP141">
        <v>0.16512299999999999</v>
      </c>
      <c r="DQ141">
        <v>0.16017300000000001</v>
      </c>
      <c r="DR141">
        <v>24.2379</v>
      </c>
      <c r="DS141">
        <v>24.205200000000001</v>
      </c>
      <c r="DT141">
        <v>24.2</v>
      </c>
      <c r="DU141">
        <v>27.8</v>
      </c>
      <c r="DV141">
        <v>9.1631400000000003</v>
      </c>
      <c r="DW141">
        <v>61.975499999999997</v>
      </c>
      <c r="DX141">
        <v>36.129800000000003</v>
      </c>
      <c r="DY141">
        <v>1</v>
      </c>
      <c r="DZ141">
        <v>-0.13164100000000001</v>
      </c>
      <c r="EA141">
        <v>0.14127500000000001</v>
      </c>
      <c r="EB141">
        <v>20.191400000000002</v>
      </c>
      <c r="EC141">
        <v>5.2436499999999997</v>
      </c>
      <c r="ED141">
        <v>12.039899999999999</v>
      </c>
      <c r="EE141">
        <v>5.0172499999999998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</v>
      </c>
      <c r="EL141">
        <v>1.8646199999999999</v>
      </c>
      <c r="EM141">
        <v>1.8691599999999999</v>
      </c>
      <c r="EN141">
        <v>1.8672200000000001</v>
      </c>
      <c r="EO141">
        <v>1.8633999999999999</v>
      </c>
      <c r="EP141">
        <v>1.8644700000000001</v>
      </c>
      <c r="EQ141">
        <v>1.87012</v>
      </c>
      <c r="ER141">
        <v>1.86938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-0.70199999999999996</v>
      </c>
      <c r="FG141">
        <v>0.16769999999999999</v>
      </c>
      <c r="FH141">
        <v>-0.44422204735670362</v>
      </c>
      <c r="FI141">
        <v>-6.1462078757559423E-4</v>
      </c>
      <c r="FJ141">
        <v>-1.8861989874597051E-7</v>
      </c>
      <c r="FK141">
        <v>1.1980462299894961E-10</v>
      </c>
      <c r="FL141">
        <v>0.16773393518503121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31.6</v>
      </c>
      <c r="FU141">
        <v>31.6</v>
      </c>
      <c r="FV141">
        <v>1.77979</v>
      </c>
      <c r="FW141">
        <v>2.5622600000000002</v>
      </c>
      <c r="FX141">
        <v>1.5490699999999999</v>
      </c>
      <c r="FY141">
        <v>2.33521</v>
      </c>
      <c r="FZ141">
        <v>1.50146</v>
      </c>
      <c r="GA141">
        <v>2.32422</v>
      </c>
      <c r="GB141">
        <v>32.443300000000001</v>
      </c>
      <c r="GC141">
        <v>23.982399999999998</v>
      </c>
      <c r="GD141">
        <v>19</v>
      </c>
      <c r="GE141">
        <v>283.976</v>
      </c>
      <c r="GF141">
        <v>593.71199999999999</v>
      </c>
      <c r="GG141">
        <v>23.735499999999998</v>
      </c>
      <c r="GH141">
        <v>25.7378</v>
      </c>
      <c r="GI141">
        <v>29.9998</v>
      </c>
      <c r="GJ141">
        <v>25.907599999999999</v>
      </c>
      <c r="GK141">
        <v>25.894200000000001</v>
      </c>
      <c r="GL141">
        <v>35.594499999999996</v>
      </c>
      <c r="GM141">
        <v>-30</v>
      </c>
      <c r="GN141">
        <v>-30</v>
      </c>
      <c r="GO141">
        <v>23.7363</v>
      </c>
      <c r="GP141">
        <v>800</v>
      </c>
      <c r="GQ141">
        <v>12.5298</v>
      </c>
      <c r="GR141">
        <v>99.665400000000005</v>
      </c>
      <c r="GS141">
        <v>99.363600000000005</v>
      </c>
    </row>
    <row r="142" spans="1:201" x14ac:dyDescent="0.25">
      <c r="A142">
        <v>126</v>
      </c>
      <c r="B142">
        <v>1690205025.5</v>
      </c>
      <c r="C142">
        <v>1585.900000095367</v>
      </c>
      <c r="D142" t="s">
        <v>585</v>
      </c>
      <c r="E142" t="s">
        <v>586</v>
      </c>
      <c r="F142" t="s">
        <v>330</v>
      </c>
      <c r="H142">
        <v>1690205025.5</v>
      </c>
      <c r="I142">
        <f t="shared" si="30"/>
        <v>1.9524714538019779E-3</v>
      </c>
      <c r="J142">
        <f t="shared" si="31"/>
        <v>1.9524714538019778</v>
      </c>
      <c r="K142">
        <f t="shared" si="32"/>
        <v>39.455389663849935</v>
      </c>
      <c r="L142">
        <f t="shared" si="33"/>
        <v>382.12700000000001</v>
      </c>
      <c r="M142">
        <f t="shared" si="34"/>
        <v>81.098596064768614</v>
      </c>
      <c r="N142">
        <f t="shared" si="35"/>
        <v>8.0429560220756926</v>
      </c>
      <c r="O142">
        <f t="shared" si="36"/>
        <v>37.897458217318004</v>
      </c>
      <c r="P142">
        <f t="shared" si="37"/>
        <v>0.22231905918704195</v>
      </c>
      <c r="Q142">
        <f t="shared" si="38"/>
        <v>2.1898544868321128</v>
      </c>
      <c r="R142">
        <f t="shared" si="39"/>
        <v>0.21049796195497206</v>
      </c>
      <c r="S142">
        <f t="shared" si="40"/>
        <v>0.13257090201006347</v>
      </c>
      <c r="T142">
        <f t="shared" si="41"/>
        <v>276.11321789515631</v>
      </c>
      <c r="U142">
        <f t="shared" si="42"/>
        <v>27.043319388712462</v>
      </c>
      <c r="V142">
        <f t="shared" si="43"/>
        <v>27.043319388712462</v>
      </c>
      <c r="W142">
        <f t="shared" si="44"/>
        <v>3.5882761060456136</v>
      </c>
      <c r="X142">
        <f t="shared" si="45"/>
        <v>81.97687730262642</v>
      </c>
      <c r="Y142">
        <f t="shared" si="46"/>
        <v>2.6975311722897999</v>
      </c>
      <c r="Z142">
        <f t="shared" si="47"/>
        <v>3.2906000582720112</v>
      </c>
      <c r="AA142">
        <f t="shared" si="48"/>
        <v>0.89074493375581376</v>
      </c>
      <c r="AB142">
        <f t="shared" si="49"/>
        <v>-86.103991112667231</v>
      </c>
      <c r="AC142">
        <f t="shared" si="50"/>
        <v>-173.18367435996532</v>
      </c>
      <c r="AD142">
        <f t="shared" si="51"/>
        <v>-16.949956109511366</v>
      </c>
      <c r="AE142">
        <f t="shared" si="52"/>
        <v>-0.12440368698764814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52461.048996949743</v>
      </c>
      <c r="AK142">
        <f t="shared" si="56"/>
        <v>1799.99</v>
      </c>
      <c r="AL142">
        <f t="shared" si="57"/>
        <v>1499.1026132058801</v>
      </c>
      <c r="AM142">
        <f t="shared" si="58"/>
        <v>0.832839412</v>
      </c>
      <c r="AN142">
        <f t="shared" si="59"/>
        <v>0.15339708436999999</v>
      </c>
      <c r="AO142">
        <v>31.2</v>
      </c>
      <c r="AP142">
        <v>0.5</v>
      </c>
      <c r="AQ142" t="s">
        <v>331</v>
      </c>
      <c r="AR142">
        <v>2</v>
      </c>
      <c r="AS142">
        <v>1690205025.5</v>
      </c>
      <c r="AT142">
        <v>382.12700000000001</v>
      </c>
      <c r="AU142">
        <v>799.95500000000004</v>
      </c>
      <c r="AV142">
        <v>27.1997</v>
      </c>
      <c r="AW142">
        <v>7.4589400000000001</v>
      </c>
      <c r="AX142">
        <v>382.82799999999997</v>
      </c>
      <c r="AY142">
        <v>27.032</v>
      </c>
      <c r="AZ142">
        <v>300.19200000000001</v>
      </c>
      <c r="BA142">
        <v>99.075000000000003</v>
      </c>
      <c r="BB142">
        <v>0.100034</v>
      </c>
      <c r="BC142">
        <v>25.5764</v>
      </c>
      <c r="BD142">
        <v>26.934999999999999</v>
      </c>
      <c r="BE142">
        <v>26.814</v>
      </c>
      <c r="BF142">
        <v>0</v>
      </c>
      <c r="BG142">
        <v>0</v>
      </c>
      <c r="BH142">
        <v>9965</v>
      </c>
      <c r="BI142">
        <v>1065.73</v>
      </c>
      <c r="BJ142">
        <v>1.7380500000000001</v>
      </c>
      <c r="BK142">
        <v>-417.82799999999997</v>
      </c>
      <c r="BL142">
        <v>392.81200000000001</v>
      </c>
      <c r="BM142">
        <v>805.96699999999998</v>
      </c>
      <c r="BN142">
        <v>19.7408</v>
      </c>
      <c r="BO142">
        <v>799.95500000000004</v>
      </c>
      <c r="BP142">
        <v>7.4589400000000001</v>
      </c>
      <c r="BQ142">
        <v>2.6948099999999999</v>
      </c>
      <c r="BR142">
        <v>0.73899499999999996</v>
      </c>
      <c r="BS142">
        <v>22.253499999999999</v>
      </c>
      <c r="BT142">
        <v>2.5865</v>
      </c>
      <c r="BU142">
        <v>1799.99</v>
      </c>
      <c r="BV142">
        <v>0.91000400000000004</v>
      </c>
      <c r="BW142">
        <v>3.4008700000000003E-2</v>
      </c>
      <c r="BX142">
        <v>2.19951E-2</v>
      </c>
      <c r="BY142">
        <v>3.3992300000000003E-2</v>
      </c>
      <c r="BZ142">
        <v>25</v>
      </c>
      <c r="CA142">
        <v>33528.300000000003</v>
      </c>
      <c r="CB142">
        <v>1690203121.0999999</v>
      </c>
      <c r="CC142" t="s">
        <v>332</v>
      </c>
      <c r="CD142">
        <v>1690203121.0999999</v>
      </c>
      <c r="CE142">
        <v>1690203121.0999999</v>
      </c>
      <c r="CF142">
        <v>3</v>
      </c>
      <c r="CG142">
        <v>0.53600000000000003</v>
      </c>
      <c r="CH142">
        <v>-0.01</v>
      </c>
      <c r="CI142">
        <v>-0.996</v>
      </c>
      <c r="CJ142">
        <v>-6.6000000000000003E-2</v>
      </c>
      <c r="CK142">
        <v>800</v>
      </c>
      <c r="CL142">
        <v>9</v>
      </c>
      <c r="CM142">
        <v>0.82</v>
      </c>
      <c r="CN142">
        <v>0.01</v>
      </c>
      <c r="CO142">
        <v>-416.54746341463408</v>
      </c>
      <c r="CP142">
        <v>-7.1270383275255442</v>
      </c>
      <c r="CQ142">
        <v>0.70692760513748087</v>
      </c>
      <c r="CR142">
        <v>-1</v>
      </c>
      <c r="CS142">
        <v>19.6970243902439</v>
      </c>
      <c r="CT142">
        <v>0.26541951219513299</v>
      </c>
      <c r="CU142">
        <v>2.619558499840547E-2</v>
      </c>
      <c r="CV142">
        <v>-1</v>
      </c>
      <c r="CW142">
        <v>0</v>
      </c>
      <c r="CX142">
        <v>0</v>
      </c>
      <c r="CY142" t="s">
        <v>333</v>
      </c>
      <c r="CZ142">
        <v>2.36511</v>
      </c>
      <c r="DA142">
        <v>2.7137899999999999</v>
      </c>
      <c r="DB142">
        <v>8.6614700000000003E-2</v>
      </c>
      <c r="DC142">
        <v>0.14625299999999999</v>
      </c>
      <c r="DD142">
        <v>0.124538</v>
      </c>
      <c r="DE142">
        <v>4.7076899999999998E-2</v>
      </c>
      <c r="DF142">
        <v>33332.1</v>
      </c>
      <c r="DG142">
        <v>27469.4</v>
      </c>
      <c r="DH142">
        <v>31152.2</v>
      </c>
      <c r="DI142">
        <v>28034.5</v>
      </c>
      <c r="DJ142">
        <v>37008.5</v>
      </c>
      <c r="DK142">
        <v>37968.6</v>
      </c>
      <c r="DL142">
        <v>44326.400000000001</v>
      </c>
      <c r="DM142">
        <v>42466.1</v>
      </c>
      <c r="DN142">
        <v>1.48353</v>
      </c>
      <c r="DO142">
        <v>2.05565</v>
      </c>
      <c r="DP142">
        <v>0.16453899999999999</v>
      </c>
      <c r="DQ142">
        <v>0.15900300000000001</v>
      </c>
      <c r="DR142">
        <v>24.2379</v>
      </c>
      <c r="DS142">
        <v>24.2073</v>
      </c>
      <c r="DT142">
        <v>24.2</v>
      </c>
      <c r="DU142">
        <v>27.8</v>
      </c>
      <c r="DV142">
        <v>9.1615199999999994</v>
      </c>
      <c r="DW142">
        <v>61.8155</v>
      </c>
      <c r="DX142">
        <v>35.989600000000003</v>
      </c>
      <c r="DY142">
        <v>1</v>
      </c>
      <c r="DZ142">
        <v>-0.13167400000000001</v>
      </c>
      <c r="EA142">
        <v>0.162663</v>
      </c>
      <c r="EB142">
        <v>20.191500000000001</v>
      </c>
      <c r="EC142">
        <v>5.2436499999999997</v>
      </c>
      <c r="ED142">
        <v>12.039899999999999</v>
      </c>
      <c r="EE142">
        <v>5.0172999999999996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</v>
      </c>
      <c r="EL142">
        <v>1.8646199999999999</v>
      </c>
      <c r="EM142">
        <v>1.8691599999999999</v>
      </c>
      <c r="EN142">
        <v>1.8672200000000001</v>
      </c>
      <c r="EO142">
        <v>1.8633999999999999</v>
      </c>
      <c r="EP142">
        <v>1.8644799999999999</v>
      </c>
      <c r="EQ142">
        <v>1.8701399999999999</v>
      </c>
      <c r="ER142">
        <v>1.86937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-0.70099999999999996</v>
      </c>
      <c r="FG142">
        <v>0.16769999999999999</v>
      </c>
      <c r="FH142">
        <v>-0.44422204735670362</v>
      </c>
      <c r="FI142">
        <v>-6.1462078757559423E-4</v>
      </c>
      <c r="FJ142">
        <v>-1.8861989874597051E-7</v>
      </c>
      <c r="FK142">
        <v>1.1980462299894961E-10</v>
      </c>
      <c r="FL142">
        <v>0.16773393518503121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31.7</v>
      </c>
      <c r="FU142">
        <v>31.7</v>
      </c>
      <c r="FV142">
        <v>1.77979</v>
      </c>
      <c r="FW142">
        <v>2.5695800000000002</v>
      </c>
      <c r="FX142">
        <v>1.5490699999999999</v>
      </c>
      <c r="FY142">
        <v>2.33521</v>
      </c>
      <c r="FZ142">
        <v>1.50146</v>
      </c>
      <c r="GA142">
        <v>2.2717299999999998</v>
      </c>
      <c r="GB142">
        <v>32.443300000000001</v>
      </c>
      <c r="GC142">
        <v>23.982399999999998</v>
      </c>
      <c r="GD142">
        <v>19</v>
      </c>
      <c r="GE142">
        <v>284.017</v>
      </c>
      <c r="GF142">
        <v>594.04700000000003</v>
      </c>
      <c r="GG142">
        <v>23.7364</v>
      </c>
      <c r="GH142">
        <v>25.734500000000001</v>
      </c>
      <c r="GI142">
        <v>29.9999</v>
      </c>
      <c r="GJ142">
        <v>25.904900000000001</v>
      </c>
      <c r="GK142">
        <v>25.890499999999999</v>
      </c>
      <c r="GL142">
        <v>35.594999999999999</v>
      </c>
      <c r="GM142">
        <v>-30</v>
      </c>
      <c r="GN142">
        <v>-30</v>
      </c>
      <c r="GO142">
        <v>23.7364</v>
      </c>
      <c r="GP142">
        <v>800</v>
      </c>
      <c r="GQ142">
        <v>12.5298</v>
      </c>
      <c r="GR142">
        <v>99.665700000000001</v>
      </c>
      <c r="GS142">
        <v>99.365700000000004</v>
      </c>
    </row>
    <row r="143" spans="1:201" x14ac:dyDescent="0.25">
      <c r="A143">
        <v>127</v>
      </c>
      <c r="B143">
        <v>1690205035.5</v>
      </c>
      <c r="C143">
        <v>1595.900000095367</v>
      </c>
      <c r="D143" t="s">
        <v>587</v>
      </c>
      <c r="E143" t="s">
        <v>588</v>
      </c>
      <c r="F143" t="s">
        <v>330</v>
      </c>
      <c r="H143">
        <v>1690205035.5</v>
      </c>
      <c r="I143">
        <f t="shared" si="30"/>
        <v>1.9559023013815961E-3</v>
      </c>
      <c r="J143">
        <f t="shared" si="31"/>
        <v>1.9559023013815959</v>
      </c>
      <c r="K143">
        <f t="shared" si="32"/>
        <v>39.561345263171901</v>
      </c>
      <c r="L143">
        <f t="shared" si="33"/>
        <v>380.97399999999999</v>
      </c>
      <c r="M143">
        <f t="shared" si="34"/>
        <v>80.787498658802505</v>
      </c>
      <c r="N143">
        <f t="shared" si="35"/>
        <v>8.0120433697176807</v>
      </c>
      <c r="O143">
        <f t="shared" si="36"/>
        <v>37.782828549083199</v>
      </c>
      <c r="P143">
        <f t="shared" si="37"/>
        <v>0.22357804080380836</v>
      </c>
      <c r="Q143">
        <f t="shared" si="38"/>
        <v>2.1921551691249337</v>
      </c>
      <c r="R143">
        <f t="shared" si="39"/>
        <v>0.21163836830943025</v>
      </c>
      <c r="S143">
        <f t="shared" si="40"/>
        <v>0.13329355341881466</v>
      </c>
      <c r="T143">
        <f t="shared" si="41"/>
        <v>276.11624724462922</v>
      </c>
      <c r="U143">
        <f t="shared" si="42"/>
        <v>27.043868414425383</v>
      </c>
      <c r="V143">
        <f t="shared" si="43"/>
        <v>27.043868414425383</v>
      </c>
      <c r="W143">
        <f t="shared" si="44"/>
        <v>3.5883917765288347</v>
      </c>
      <c r="X143">
        <f t="shared" si="45"/>
        <v>82.064540777978351</v>
      </c>
      <c r="Y143">
        <f t="shared" si="46"/>
        <v>2.7009127990512001</v>
      </c>
      <c r="Z143">
        <f t="shared" si="47"/>
        <v>3.2912056455155083</v>
      </c>
      <c r="AA143">
        <f t="shared" si="48"/>
        <v>0.8874789774776346</v>
      </c>
      <c r="AB143">
        <f t="shared" si="49"/>
        <v>-86.255291490928386</v>
      </c>
      <c r="AC143">
        <f t="shared" si="50"/>
        <v>-173.06413981058955</v>
      </c>
      <c r="AD143">
        <f t="shared" si="51"/>
        <v>-16.920789194580461</v>
      </c>
      <c r="AE143">
        <f t="shared" si="52"/>
        <v>-0.1239732514691525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52554.86484773647</v>
      </c>
      <c r="AK143">
        <f t="shared" si="56"/>
        <v>1800.01</v>
      </c>
      <c r="AL143">
        <f t="shared" si="57"/>
        <v>1499.11942479498</v>
      </c>
      <c r="AM143">
        <f t="shared" si="58"/>
        <v>0.83283949800000001</v>
      </c>
      <c r="AN143">
        <f t="shared" si="59"/>
        <v>0.15339706292999997</v>
      </c>
      <c r="AO143">
        <v>31.2</v>
      </c>
      <c r="AP143">
        <v>0.5</v>
      </c>
      <c r="AQ143" t="s">
        <v>331</v>
      </c>
      <c r="AR143">
        <v>2</v>
      </c>
      <c r="AS143">
        <v>1690205035.5</v>
      </c>
      <c r="AT143">
        <v>380.97399999999999</v>
      </c>
      <c r="AU143">
        <v>800.04</v>
      </c>
      <c r="AV143">
        <v>27.234000000000002</v>
      </c>
      <c r="AW143">
        <v>7.4523299999999999</v>
      </c>
      <c r="AX143">
        <v>381.673</v>
      </c>
      <c r="AY143">
        <v>27.066299999999998</v>
      </c>
      <c r="AZ143">
        <v>300.08699999999999</v>
      </c>
      <c r="BA143">
        <v>99.074299999999994</v>
      </c>
      <c r="BB143">
        <v>9.9996799999999997E-2</v>
      </c>
      <c r="BC143">
        <v>25.579499999999999</v>
      </c>
      <c r="BD143">
        <v>26.883199999999999</v>
      </c>
      <c r="BE143">
        <v>26.803799999999999</v>
      </c>
      <c r="BF143">
        <v>0</v>
      </c>
      <c r="BG143">
        <v>0</v>
      </c>
      <c r="BH143">
        <v>9983.75</v>
      </c>
      <c r="BI143">
        <v>1065.76</v>
      </c>
      <c r="BJ143">
        <v>1.7380500000000001</v>
      </c>
      <c r="BK143">
        <v>-419.06599999999997</v>
      </c>
      <c r="BL143">
        <v>391.64</v>
      </c>
      <c r="BM143">
        <v>806.04700000000003</v>
      </c>
      <c r="BN143">
        <v>19.781700000000001</v>
      </c>
      <c r="BO143">
        <v>800.04</v>
      </c>
      <c r="BP143">
        <v>7.4523299999999999</v>
      </c>
      <c r="BQ143">
        <v>2.6981899999999999</v>
      </c>
      <c r="BR143">
        <v>0.73833400000000005</v>
      </c>
      <c r="BS143">
        <v>22.274100000000001</v>
      </c>
      <c r="BT143">
        <v>2.5739299999999998</v>
      </c>
      <c r="BU143">
        <v>1800.01</v>
      </c>
      <c r="BV143">
        <v>0.91000499999999995</v>
      </c>
      <c r="BW143">
        <v>3.4008299999999998E-2</v>
      </c>
      <c r="BX143">
        <v>2.1994900000000001E-2</v>
      </c>
      <c r="BY143">
        <v>3.3991899999999999E-2</v>
      </c>
      <c r="BZ143">
        <v>25</v>
      </c>
      <c r="CA143">
        <v>33528.5</v>
      </c>
      <c r="CB143">
        <v>1690203121.0999999</v>
      </c>
      <c r="CC143" t="s">
        <v>332</v>
      </c>
      <c r="CD143">
        <v>1690203121.0999999</v>
      </c>
      <c r="CE143">
        <v>1690203121.0999999</v>
      </c>
      <c r="CF143">
        <v>3</v>
      </c>
      <c r="CG143">
        <v>0.53600000000000003</v>
      </c>
      <c r="CH143">
        <v>-0.01</v>
      </c>
      <c r="CI143">
        <v>-0.996</v>
      </c>
      <c r="CJ143">
        <v>-6.6000000000000003E-2</v>
      </c>
      <c r="CK143">
        <v>800</v>
      </c>
      <c r="CL143">
        <v>9</v>
      </c>
      <c r="CM143">
        <v>0.82</v>
      </c>
      <c r="CN143">
        <v>0.01</v>
      </c>
      <c r="CO143">
        <v>-417.78802439024378</v>
      </c>
      <c r="CP143">
        <v>-7.4058397212545586</v>
      </c>
      <c r="CQ143">
        <v>0.73236940858055088</v>
      </c>
      <c r="CR143">
        <v>-1</v>
      </c>
      <c r="CS143">
        <v>19.738865853658542</v>
      </c>
      <c r="CT143">
        <v>0.2364480836236611</v>
      </c>
      <c r="CU143">
        <v>2.3328581964328441E-2</v>
      </c>
      <c r="CV143">
        <v>-1</v>
      </c>
      <c r="CW143">
        <v>0</v>
      </c>
      <c r="CX143">
        <v>0</v>
      </c>
      <c r="CY143" t="s">
        <v>333</v>
      </c>
      <c r="CZ143">
        <v>2.36476</v>
      </c>
      <c r="DA143">
        <v>2.7137699999999998</v>
      </c>
      <c r="DB143">
        <v>8.6413199999999996E-2</v>
      </c>
      <c r="DC143">
        <v>0.146263</v>
      </c>
      <c r="DD143">
        <v>0.12464799999999999</v>
      </c>
      <c r="DE143">
        <v>4.7043700000000001E-2</v>
      </c>
      <c r="DF143">
        <v>33339.9</v>
      </c>
      <c r="DG143">
        <v>27469</v>
      </c>
      <c r="DH143">
        <v>31152.6</v>
      </c>
      <c r="DI143">
        <v>28034.400000000001</v>
      </c>
      <c r="DJ143">
        <v>37004.300000000003</v>
      </c>
      <c r="DK143">
        <v>37969.699999999997</v>
      </c>
      <c r="DL143">
        <v>44327</v>
      </c>
      <c r="DM143">
        <v>42465.9</v>
      </c>
      <c r="DN143">
        <v>1.48342</v>
      </c>
      <c r="DO143">
        <v>2.0555500000000002</v>
      </c>
      <c r="DP143">
        <v>0.16150300000000001</v>
      </c>
      <c r="DQ143">
        <v>0.15839200000000001</v>
      </c>
      <c r="DR143">
        <v>24.235800000000001</v>
      </c>
      <c r="DS143">
        <v>24.207100000000001</v>
      </c>
      <c r="DT143">
        <v>24.2</v>
      </c>
      <c r="DU143">
        <v>27.8</v>
      </c>
      <c r="DV143">
        <v>9.1613600000000002</v>
      </c>
      <c r="DW143">
        <v>61.625500000000002</v>
      </c>
      <c r="DX143">
        <v>36.686700000000002</v>
      </c>
      <c r="DY143">
        <v>1</v>
      </c>
      <c r="DZ143">
        <v>-0.132157</v>
      </c>
      <c r="EA143">
        <v>6.3878000000000004E-2</v>
      </c>
      <c r="EB143">
        <v>20.191199999999998</v>
      </c>
      <c r="EC143">
        <v>5.2433500000000004</v>
      </c>
      <c r="ED143">
        <v>12.039899999999999</v>
      </c>
      <c r="EE143">
        <v>5.0174500000000002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</v>
      </c>
      <c r="EL143">
        <v>1.8646100000000001</v>
      </c>
      <c r="EM143">
        <v>1.86913</v>
      </c>
      <c r="EN143">
        <v>1.8672200000000001</v>
      </c>
      <c r="EO143">
        <v>1.86338</v>
      </c>
      <c r="EP143">
        <v>1.8644799999999999</v>
      </c>
      <c r="EQ143">
        <v>1.8701300000000001</v>
      </c>
      <c r="ER143">
        <v>1.86937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-0.69899999999999995</v>
      </c>
      <c r="FG143">
        <v>0.16769999999999999</v>
      </c>
      <c r="FH143">
        <v>-0.44422204735670362</v>
      </c>
      <c r="FI143">
        <v>-6.1462078757559423E-4</v>
      </c>
      <c r="FJ143">
        <v>-1.8861989874597051E-7</v>
      </c>
      <c r="FK143">
        <v>1.1980462299894961E-10</v>
      </c>
      <c r="FL143">
        <v>0.16773393518503121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31.9</v>
      </c>
      <c r="FU143">
        <v>31.9</v>
      </c>
      <c r="FV143">
        <v>1.77979</v>
      </c>
      <c r="FW143">
        <v>2.5573700000000001</v>
      </c>
      <c r="FX143">
        <v>1.5490699999999999</v>
      </c>
      <c r="FY143">
        <v>2.33521</v>
      </c>
      <c r="FZ143">
        <v>1.50146</v>
      </c>
      <c r="GA143">
        <v>2.3303199999999999</v>
      </c>
      <c r="GB143">
        <v>32.465400000000002</v>
      </c>
      <c r="GC143">
        <v>23.991199999999999</v>
      </c>
      <c r="GD143">
        <v>19</v>
      </c>
      <c r="GE143">
        <v>283.95800000000003</v>
      </c>
      <c r="GF143">
        <v>593.92899999999997</v>
      </c>
      <c r="GG143">
        <v>23.7379</v>
      </c>
      <c r="GH143">
        <v>25.7318</v>
      </c>
      <c r="GI143">
        <v>30</v>
      </c>
      <c r="GJ143">
        <v>25.9011</v>
      </c>
      <c r="GK143">
        <v>25.887699999999999</v>
      </c>
      <c r="GL143">
        <v>35.595599999999997</v>
      </c>
      <c r="GM143">
        <v>-30</v>
      </c>
      <c r="GN143">
        <v>-30</v>
      </c>
      <c r="GO143">
        <v>23.7896</v>
      </c>
      <c r="GP143">
        <v>800</v>
      </c>
      <c r="GQ143">
        <v>12.5298</v>
      </c>
      <c r="GR143">
        <v>99.667100000000005</v>
      </c>
      <c r="GS143">
        <v>99.365399999999994</v>
      </c>
    </row>
    <row r="144" spans="1:201" x14ac:dyDescent="0.25">
      <c r="A144">
        <v>128</v>
      </c>
      <c r="B144">
        <v>1690205045.5</v>
      </c>
      <c r="C144">
        <v>1605.900000095367</v>
      </c>
      <c r="D144" t="s">
        <v>589</v>
      </c>
      <c r="E144" t="s">
        <v>590</v>
      </c>
      <c r="F144" t="s">
        <v>330</v>
      </c>
      <c r="H144">
        <v>1690205045.5</v>
      </c>
      <c r="I144">
        <f t="shared" si="30"/>
        <v>1.9591696688992587E-3</v>
      </c>
      <c r="J144">
        <f t="shared" si="31"/>
        <v>1.9591696688992586</v>
      </c>
      <c r="K144">
        <f t="shared" si="32"/>
        <v>39.666034136510014</v>
      </c>
      <c r="L144">
        <f t="shared" si="33"/>
        <v>379.85500000000002</v>
      </c>
      <c r="M144">
        <f t="shared" si="34"/>
        <v>79.537398244048489</v>
      </c>
      <c r="N144">
        <f t="shared" si="35"/>
        <v>7.8883132355206742</v>
      </c>
      <c r="O144">
        <f t="shared" si="36"/>
        <v>37.673035455405</v>
      </c>
      <c r="P144">
        <f t="shared" si="37"/>
        <v>0.22408461303559044</v>
      </c>
      <c r="Q144">
        <f t="shared" si="38"/>
        <v>2.1911163748655231</v>
      </c>
      <c r="R144">
        <f t="shared" si="39"/>
        <v>0.21208697419148853</v>
      </c>
      <c r="S144">
        <f t="shared" si="40"/>
        <v>0.13357874373108178</v>
      </c>
      <c r="T144">
        <f t="shared" si="41"/>
        <v>276.11441802000002</v>
      </c>
      <c r="U144">
        <f t="shared" si="42"/>
        <v>27.053761731157842</v>
      </c>
      <c r="V144">
        <f t="shared" si="43"/>
        <v>27.053761731157842</v>
      </c>
      <c r="W144">
        <f t="shared" si="44"/>
        <v>3.5904766897965645</v>
      </c>
      <c r="X144">
        <f t="shared" si="45"/>
        <v>82.089049841910395</v>
      </c>
      <c r="Y144">
        <f t="shared" si="46"/>
        <v>2.7033877867790999</v>
      </c>
      <c r="Z144">
        <f t="shared" si="47"/>
        <v>3.2932380043201457</v>
      </c>
      <c r="AA144">
        <f t="shared" si="48"/>
        <v>0.88708890301746468</v>
      </c>
      <c r="AB144">
        <f t="shared" si="49"/>
        <v>-86.399382398457305</v>
      </c>
      <c r="AC144">
        <f t="shared" si="50"/>
        <v>-172.92227687861094</v>
      </c>
      <c r="AD144">
        <f t="shared" si="51"/>
        <v>-16.916654694158311</v>
      </c>
      <c r="AE144">
        <f t="shared" si="52"/>
        <v>-0.12389595122652963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52510.477435327222</v>
      </c>
      <c r="AK144">
        <f t="shared" si="56"/>
        <v>1800</v>
      </c>
      <c r="AL144">
        <f t="shared" si="57"/>
        <v>1499.1108299999999</v>
      </c>
      <c r="AM144">
        <f t="shared" si="58"/>
        <v>0.83283934999999998</v>
      </c>
      <c r="AN144">
        <f t="shared" si="59"/>
        <v>0.15339689890000002</v>
      </c>
      <c r="AO144">
        <v>31.2</v>
      </c>
      <c r="AP144">
        <v>0.5</v>
      </c>
      <c r="AQ144" t="s">
        <v>331</v>
      </c>
      <c r="AR144">
        <v>2</v>
      </c>
      <c r="AS144">
        <v>1690205045.5</v>
      </c>
      <c r="AT144">
        <v>379.85500000000002</v>
      </c>
      <c r="AU144">
        <v>799.952</v>
      </c>
      <c r="AV144">
        <v>27.258099999999999</v>
      </c>
      <c r="AW144">
        <v>7.4461199999999996</v>
      </c>
      <c r="AX144">
        <v>380.55399999999997</v>
      </c>
      <c r="AY144">
        <v>27.090399999999999</v>
      </c>
      <c r="AZ144">
        <v>300.12099999999998</v>
      </c>
      <c r="BA144">
        <v>99.077399999999997</v>
      </c>
      <c r="BB144">
        <v>0.100011</v>
      </c>
      <c r="BC144">
        <v>25.5899</v>
      </c>
      <c r="BD144">
        <v>26.952999999999999</v>
      </c>
      <c r="BE144">
        <v>26.816800000000001</v>
      </c>
      <c r="BF144">
        <v>0</v>
      </c>
      <c r="BG144">
        <v>0</v>
      </c>
      <c r="BH144">
        <v>9975</v>
      </c>
      <c r="BI144">
        <v>1065.81</v>
      </c>
      <c r="BJ144">
        <v>1.7941199999999999</v>
      </c>
      <c r="BK144">
        <v>-420.09699999999998</v>
      </c>
      <c r="BL144">
        <v>390.49900000000002</v>
      </c>
      <c r="BM144">
        <v>805.95299999999997</v>
      </c>
      <c r="BN144">
        <v>19.812000000000001</v>
      </c>
      <c r="BO144">
        <v>799.952</v>
      </c>
      <c r="BP144">
        <v>7.4461199999999996</v>
      </c>
      <c r="BQ144">
        <v>2.7006700000000001</v>
      </c>
      <c r="BR144">
        <v>0.73774200000000001</v>
      </c>
      <c r="BS144">
        <v>22.289200000000001</v>
      </c>
      <c r="BT144">
        <v>2.56263</v>
      </c>
      <c r="BU144">
        <v>1800</v>
      </c>
      <c r="BV144">
        <v>0.91000800000000004</v>
      </c>
      <c r="BW144">
        <v>3.4007000000000003E-2</v>
      </c>
      <c r="BX144">
        <v>2.1994E-2</v>
      </c>
      <c r="BY144">
        <v>3.3990600000000003E-2</v>
      </c>
      <c r="BZ144">
        <v>25</v>
      </c>
      <c r="CA144">
        <v>33528.400000000001</v>
      </c>
      <c r="CB144">
        <v>1690203121.0999999</v>
      </c>
      <c r="CC144" t="s">
        <v>332</v>
      </c>
      <c r="CD144">
        <v>1690203121.0999999</v>
      </c>
      <c r="CE144">
        <v>1690203121.0999999</v>
      </c>
      <c r="CF144">
        <v>3</v>
      </c>
      <c r="CG144">
        <v>0.53600000000000003</v>
      </c>
      <c r="CH144">
        <v>-0.01</v>
      </c>
      <c r="CI144">
        <v>-0.996</v>
      </c>
      <c r="CJ144">
        <v>-6.6000000000000003E-2</v>
      </c>
      <c r="CK144">
        <v>800</v>
      </c>
      <c r="CL144">
        <v>9</v>
      </c>
      <c r="CM144">
        <v>0.82</v>
      </c>
      <c r="CN144">
        <v>0.01</v>
      </c>
      <c r="CO144">
        <v>-418.98553658536582</v>
      </c>
      <c r="CP144">
        <v>-7.0497491289200234</v>
      </c>
      <c r="CQ144">
        <v>0.69741068481609614</v>
      </c>
      <c r="CR144">
        <v>-1</v>
      </c>
      <c r="CS144">
        <v>19.776402439024391</v>
      </c>
      <c r="CT144">
        <v>0.2156675958188207</v>
      </c>
      <c r="CU144">
        <v>2.133552502746279E-2</v>
      </c>
      <c r="CV144">
        <v>-1</v>
      </c>
      <c r="CW144">
        <v>0</v>
      </c>
      <c r="CX144">
        <v>0</v>
      </c>
      <c r="CY144" t="s">
        <v>333</v>
      </c>
      <c r="CZ144">
        <v>2.3648699999999998</v>
      </c>
      <c r="DA144">
        <v>2.7137799999999999</v>
      </c>
      <c r="DB144">
        <v>8.6220599999999994E-2</v>
      </c>
      <c r="DC144">
        <v>0.146258</v>
      </c>
      <c r="DD144">
        <v>0.12472900000000001</v>
      </c>
      <c r="DE144">
        <v>4.7014300000000002E-2</v>
      </c>
      <c r="DF144">
        <v>33346.699999999997</v>
      </c>
      <c r="DG144">
        <v>27469.4</v>
      </c>
      <c r="DH144">
        <v>31152.3</v>
      </c>
      <c r="DI144">
        <v>28034.6</v>
      </c>
      <c r="DJ144">
        <v>37000.6</v>
      </c>
      <c r="DK144">
        <v>37971.300000000003</v>
      </c>
      <c r="DL144">
        <v>44326.8</v>
      </c>
      <c r="DM144">
        <v>42466.400000000001</v>
      </c>
      <c r="DN144">
        <v>1.4840500000000001</v>
      </c>
      <c r="DO144">
        <v>2.0554999999999999</v>
      </c>
      <c r="DP144">
        <v>0.16561899999999999</v>
      </c>
      <c r="DQ144">
        <v>0.15917400000000001</v>
      </c>
      <c r="DR144">
        <v>24.238199999999999</v>
      </c>
      <c r="DS144">
        <v>24.2073</v>
      </c>
      <c r="DT144">
        <v>24.2</v>
      </c>
      <c r="DU144">
        <v>27.8</v>
      </c>
      <c r="DV144">
        <v>9.1606199999999998</v>
      </c>
      <c r="DW144">
        <v>61.795499999999997</v>
      </c>
      <c r="DX144">
        <v>37.019199999999998</v>
      </c>
      <c r="DY144">
        <v>1</v>
      </c>
      <c r="DZ144">
        <v>-0.13270599999999999</v>
      </c>
      <c r="EA144">
        <v>-7.5904100000000002E-2</v>
      </c>
      <c r="EB144">
        <v>20.191400000000002</v>
      </c>
      <c r="EC144">
        <v>5.24125</v>
      </c>
      <c r="ED144">
        <v>12.039899999999999</v>
      </c>
      <c r="EE144">
        <v>5.0173500000000004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</v>
      </c>
      <c r="EL144">
        <v>1.8646100000000001</v>
      </c>
      <c r="EM144">
        <v>1.8691</v>
      </c>
      <c r="EN144">
        <v>1.8672200000000001</v>
      </c>
      <c r="EO144">
        <v>1.8633900000000001</v>
      </c>
      <c r="EP144">
        <v>1.8644700000000001</v>
      </c>
      <c r="EQ144">
        <v>1.8701399999999999</v>
      </c>
      <c r="ER144">
        <v>1.86938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-0.69899999999999995</v>
      </c>
      <c r="FG144">
        <v>0.16769999999999999</v>
      </c>
      <c r="FH144">
        <v>-0.44422204735670362</v>
      </c>
      <c r="FI144">
        <v>-6.1462078757559423E-4</v>
      </c>
      <c r="FJ144">
        <v>-1.8861989874597051E-7</v>
      </c>
      <c r="FK144">
        <v>1.1980462299894961E-10</v>
      </c>
      <c r="FL144">
        <v>0.16773393518503121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32.1</v>
      </c>
      <c r="FU144">
        <v>32.1</v>
      </c>
      <c r="FV144">
        <v>1.78101</v>
      </c>
      <c r="FW144">
        <v>2.5573700000000001</v>
      </c>
      <c r="FX144">
        <v>1.5490699999999999</v>
      </c>
      <c r="FY144">
        <v>2.33521</v>
      </c>
      <c r="FZ144">
        <v>1.50146</v>
      </c>
      <c r="GA144">
        <v>2.36938</v>
      </c>
      <c r="GB144">
        <v>32.443300000000001</v>
      </c>
      <c r="GC144">
        <v>23.991199999999999</v>
      </c>
      <c r="GD144">
        <v>19</v>
      </c>
      <c r="GE144">
        <v>284.20999999999998</v>
      </c>
      <c r="GF144">
        <v>593.84</v>
      </c>
      <c r="GG144">
        <v>23.843599999999999</v>
      </c>
      <c r="GH144">
        <v>25.729099999999999</v>
      </c>
      <c r="GI144">
        <v>29.9999</v>
      </c>
      <c r="GJ144">
        <v>25.8979</v>
      </c>
      <c r="GK144">
        <v>25.883500000000002</v>
      </c>
      <c r="GL144">
        <v>35.596600000000002</v>
      </c>
      <c r="GM144">
        <v>-30</v>
      </c>
      <c r="GN144">
        <v>-30</v>
      </c>
      <c r="GO144">
        <v>23.848299999999998</v>
      </c>
      <c r="GP144">
        <v>800</v>
      </c>
      <c r="GQ144">
        <v>12.5298</v>
      </c>
      <c r="GR144">
        <v>99.666399999999996</v>
      </c>
      <c r="GS144">
        <v>99.366299999999995</v>
      </c>
    </row>
    <row r="145" spans="1:201" x14ac:dyDescent="0.25">
      <c r="A145">
        <v>129</v>
      </c>
      <c r="B145">
        <v>1690205055.5</v>
      </c>
      <c r="C145">
        <v>1615.900000095367</v>
      </c>
      <c r="D145" t="s">
        <v>591</v>
      </c>
      <c r="E145" t="s">
        <v>592</v>
      </c>
      <c r="F145" t="s">
        <v>330</v>
      </c>
      <c r="H145">
        <v>1690205055.5</v>
      </c>
      <c r="I145">
        <f t="shared" ref="I145:I208" si="60">(J145)/1000</f>
        <v>1.9640354571035263E-3</v>
      </c>
      <c r="J145">
        <f t="shared" ref="J145:J208" si="61">1000*AZ145*AH145*(AV145-AW145)/(100*AO145*(1000-AH145*AV145))</f>
        <v>1.9640354571035261</v>
      </c>
      <c r="K145">
        <f t="shared" ref="K145:K208" si="62">AZ145*AH145*(AU145-AT145*(1000-AH145*AW145)/(1000-AH145*AV145))/(100*AO145)</f>
        <v>39.781443017676352</v>
      </c>
      <c r="L145">
        <f t="shared" ref="L145:L208" si="63">AT145 - IF(AH145&gt;1, K145*AO145*100/(AJ145*BH145), 0)</f>
        <v>378.68700000000001</v>
      </c>
      <c r="M145">
        <f t="shared" ref="M145:M208" si="64">((S145-I145/2)*L145-K145)/(S145+I145/2)</f>
        <v>79.276820222172205</v>
      </c>
      <c r="N145">
        <f t="shared" ref="N145:N208" si="65">M145*(BA145+BB145)/1000</f>
        <v>7.8624934857167297</v>
      </c>
      <c r="O145">
        <f t="shared" ref="O145:O208" si="66">(AT145 - IF(AH145&gt;1, K145*AO145*100/(AJ145*BH145), 0))*(BA145+BB145)/1000</f>
        <v>37.55730946677</v>
      </c>
      <c r="P145">
        <f t="shared" ref="P145:P208" si="67">2/((1/R145-1/Q145)+SIGN(R145)*SQRT((1/R145-1/Q145)*(1/R145-1/Q145) + 4*AP145/((AP145+1)*(AP145+1))*(2*1/R145*1/Q145-1/Q145*1/Q145)))</f>
        <v>0.22546576983023084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2.1925824776312273</v>
      </c>
      <c r="R145">
        <f t="shared" ref="R145:R208" si="69">I145*(1000-(1000*0.61365*EXP(17.502*V145/(240.97+V145))/(BA145+BB145)+AV145)/2)/(1000*0.61365*EXP(17.502*V145/(240.97+V145))/(BA145+BB145)-AV145)</f>
        <v>0.21333173117852877</v>
      </c>
      <c r="S145">
        <f t="shared" ref="S145:S208" si="70">1/((AP145+1)/(P145/1.6)+1/(Q145/1.37)) + AP145/((AP145+1)/(P145/1.6) + AP145/(Q145/1.37))</f>
        <v>0.13436808206729201</v>
      </c>
      <c r="T145">
        <f t="shared" ref="T145:T208" si="71">(AK145*AN145)</f>
        <v>276.1146612</v>
      </c>
      <c r="U145">
        <f t="shared" ref="U145:U208" si="72">(BC145+(T145+2*0.95*0.0000000567*(((BC145+$B$7)+273)^4-(BC145+273)^4)-44100*I145)/(1.84*29.3*Q145+8*0.95*0.0000000567*(BC145+273)^3))</f>
        <v>27.059805469813618</v>
      </c>
      <c r="V145">
        <f t="shared" ref="V145:V208" si="73">($C$7*BD145+$D$7*BE145+$E$7*U145)</f>
        <v>27.059805469813618</v>
      </c>
      <c r="W145">
        <f t="shared" ref="W145:W208" si="74">0.61365*EXP(17.502*V145/(240.97+V145))</f>
        <v>3.5917508648693546</v>
      </c>
      <c r="X145">
        <f t="shared" ref="X145:X208" si="75">(Y145/Z145*100)</f>
        <v>82.177138112272146</v>
      </c>
      <c r="Y145">
        <f t="shared" ref="Y145:Y208" si="76">AV145*(BA145+BB145)/1000</f>
        <v>2.7076704962519997</v>
      </c>
      <c r="Z145">
        <f t="shared" ref="Z145:Z208" si="77">0.61365*EXP(17.502*BC145/(240.97+BC145))</f>
        <v>3.2949194367814596</v>
      </c>
      <c r="AA145">
        <f t="shared" ref="AA145:AA208" si="78">(W145-AV145*(BA145+BB145)/1000)</f>
        <v>0.88408036861735484</v>
      </c>
      <c r="AB145">
        <f t="shared" ref="AB145:AB208" si="79">(-I145*44100)</f>
        <v>-86.613963658265504</v>
      </c>
      <c r="AC145">
        <f t="shared" ref="AC145:AC208" si="80">2*29.3*Q145*0.92*(BC145-V145)</f>
        <v>-172.73581456577321</v>
      </c>
      <c r="AD145">
        <f t="shared" ref="AD145:AD208" si="81">2*0.95*0.0000000567*(((BC145+$B$7)+273)^4-(V145+273)^4)</f>
        <v>-16.888352996001991</v>
      </c>
      <c r="AE145">
        <f t="shared" ref="AE145:AE208" si="82">T145+AD145+AB145+AC145</f>
        <v>-0.12347002004068486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52569.132473642341</v>
      </c>
      <c r="AK145">
        <f t="shared" ref="AK145:AK208" si="86">$B$11*BI145+$C$11*BJ145+$D$11*BU145</f>
        <v>1800</v>
      </c>
      <c r="AL145">
        <f t="shared" ref="AL145:AL208" si="87">AK145*AM145</f>
        <v>1499.112216</v>
      </c>
      <c r="AM145">
        <f t="shared" ref="AM145:AM208" si="88">($B$11*$D$9+$C$11*$D$9+$D$11*(BV145*$E$9+BW145*$F$9+BX145*$G$9+BY145*$H$9))/($B$11+$C$11+$D$11)</f>
        <v>0.83284011999999996</v>
      </c>
      <c r="AN145">
        <f t="shared" ref="AN145:AN208" si="89">($B$11*$K$9+$C$11*$K$9+$D$11*(BV145*$L$9+BW145*$M$9+BX145*$N$9+BY145*$O$9))/($B$11+$C$11+$D$11)</f>
        <v>0.15339703399999999</v>
      </c>
      <c r="AO145">
        <v>31.2</v>
      </c>
      <c r="AP145">
        <v>0.5</v>
      </c>
      <c r="AQ145" t="s">
        <v>331</v>
      </c>
      <c r="AR145">
        <v>2</v>
      </c>
      <c r="AS145">
        <v>1690205055.5</v>
      </c>
      <c r="AT145">
        <v>378.68700000000001</v>
      </c>
      <c r="AU145">
        <v>800.00300000000004</v>
      </c>
      <c r="AV145">
        <v>27.301200000000001</v>
      </c>
      <c r="AW145">
        <v>7.4397700000000002</v>
      </c>
      <c r="AX145">
        <v>379.38499999999999</v>
      </c>
      <c r="AY145">
        <v>27.133500000000002</v>
      </c>
      <c r="AZ145">
        <v>300.10399999999998</v>
      </c>
      <c r="BA145">
        <v>99.077699999999993</v>
      </c>
      <c r="BB145">
        <v>0.10001</v>
      </c>
      <c r="BC145">
        <v>25.598500000000001</v>
      </c>
      <c r="BD145">
        <v>26.985600000000002</v>
      </c>
      <c r="BE145">
        <v>26.8278</v>
      </c>
      <c r="BF145">
        <v>0</v>
      </c>
      <c r="BG145">
        <v>0</v>
      </c>
      <c r="BH145">
        <v>9986.8799999999992</v>
      </c>
      <c r="BI145">
        <v>1065.8900000000001</v>
      </c>
      <c r="BJ145">
        <v>1.7941199999999999</v>
      </c>
      <c r="BK145">
        <v>-421.31700000000001</v>
      </c>
      <c r="BL145">
        <v>389.315</v>
      </c>
      <c r="BM145">
        <v>806</v>
      </c>
      <c r="BN145">
        <v>19.861499999999999</v>
      </c>
      <c r="BO145">
        <v>800.00300000000004</v>
      </c>
      <c r="BP145">
        <v>7.4397700000000002</v>
      </c>
      <c r="BQ145">
        <v>2.7049400000000001</v>
      </c>
      <c r="BR145">
        <v>0.73711599999999999</v>
      </c>
      <c r="BS145">
        <v>22.315200000000001</v>
      </c>
      <c r="BT145">
        <v>2.5507</v>
      </c>
      <c r="BU145">
        <v>1800</v>
      </c>
      <c r="BV145">
        <v>0.91000899999999996</v>
      </c>
      <c r="BW145">
        <v>3.40069E-2</v>
      </c>
      <c r="BX145">
        <v>2.1994E-2</v>
      </c>
      <c r="BY145">
        <v>3.3990600000000003E-2</v>
      </c>
      <c r="BZ145">
        <v>25</v>
      </c>
      <c r="CA145">
        <v>33528.400000000001</v>
      </c>
      <c r="CB145">
        <v>1690203121.0999999</v>
      </c>
      <c r="CC145" t="s">
        <v>332</v>
      </c>
      <c r="CD145">
        <v>1690203121.0999999</v>
      </c>
      <c r="CE145">
        <v>1690203121.0999999</v>
      </c>
      <c r="CF145">
        <v>3</v>
      </c>
      <c r="CG145">
        <v>0.53600000000000003</v>
      </c>
      <c r="CH145">
        <v>-0.01</v>
      </c>
      <c r="CI145">
        <v>-0.996</v>
      </c>
      <c r="CJ145">
        <v>-6.6000000000000003E-2</v>
      </c>
      <c r="CK145">
        <v>800</v>
      </c>
      <c r="CL145">
        <v>9</v>
      </c>
      <c r="CM145">
        <v>0.82</v>
      </c>
      <c r="CN145">
        <v>0.01</v>
      </c>
      <c r="CO145">
        <v>-420.11448780487802</v>
      </c>
      <c r="CP145">
        <v>-6.6671916376305287</v>
      </c>
      <c r="CQ145">
        <v>0.65890711888300335</v>
      </c>
      <c r="CR145">
        <v>-1</v>
      </c>
      <c r="CS145">
        <v>19.813724390243902</v>
      </c>
      <c r="CT145">
        <v>0.2285184668989742</v>
      </c>
      <c r="CU145">
        <v>2.2696414033808211E-2</v>
      </c>
      <c r="CV145">
        <v>-1</v>
      </c>
      <c r="CW145">
        <v>0</v>
      </c>
      <c r="CX145">
        <v>0</v>
      </c>
      <c r="CY145" t="s">
        <v>333</v>
      </c>
      <c r="CZ145">
        <v>2.3648099999999999</v>
      </c>
      <c r="DA145">
        <v>2.7137899999999999</v>
      </c>
      <c r="DB145">
        <v>8.6017099999999999E-2</v>
      </c>
      <c r="DC145">
        <v>0.14626600000000001</v>
      </c>
      <c r="DD145">
        <v>0.12486800000000001</v>
      </c>
      <c r="DE145">
        <v>4.69831E-2</v>
      </c>
      <c r="DF145">
        <v>33354.9</v>
      </c>
      <c r="DG145">
        <v>27469.5</v>
      </c>
      <c r="DH145">
        <v>31153.1</v>
      </c>
      <c r="DI145">
        <v>28035</v>
      </c>
      <c r="DJ145">
        <v>36995.4</v>
      </c>
      <c r="DK145">
        <v>37973</v>
      </c>
      <c r="DL145">
        <v>44327.7</v>
      </c>
      <c r="DM145">
        <v>42466.9</v>
      </c>
      <c r="DN145">
        <v>1.4839800000000001</v>
      </c>
      <c r="DO145">
        <v>2.0552199999999998</v>
      </c>
      <c r="DP145">
        <v>0.16738800000000001</v>
      </c>
      <c r="DQ145">
        <v>0.15969900000000001</v>
      </c>
      <c r="DR145">
        <v>24.241900000000001</v>
      </c>
      <c r="DS145">
        <v>24.209700000000002</v>
      </c>
      <c r="DT145">
        <v>24.1</v>
      </c>
      <c r="DU145">
        <v>27.8</v>
      </c>
      <c r="DV145">
        <v>9.1232000000000006</v>
      </c>
      <c r="DW145">
        <v>61.905500000000004</v>
      </c>
      <c r="DX145">
        <v>36.9191</v>
      </c>
      <c r="DY145">
        <v>1</v>
      </c>
      <c r="DZ145">
        <v>-0.132909</v>
      </c>
      <c r="EA145">
        <v>-3.6666700000000003E-2</v>
      </c>
      <c r="EB145">
        <v>20.191700000000001</v>
      </c>
      <c r="EC145">
        <v>5.2409499999999998</v>
      </c>
      <c r="ED145">
        <v>12.039899999999999</v>
      </c>
      <c r="EE145">
        <v>5.0172999999999996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</v>
      </c>
      <c r="EL145">
        <v>1.8646</v>
      </c>
      <c r="EM145">
        <v>1.8691199999999999</v>
      </c>
      <c r="EN145">
        <v>1.8672200000000001</v>
      </c>
      <c r="EO145">
        <v>1.8633999999999999</v>
      </c>
      <c r="EP145">
        <v>1.8644700000000001</v>
      </c>
      <c r="EQ145">
        <v>1.8701399999999999</v>
      </c>
      <c r="ER145">
        <v>1.8693900000000001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-0.69799999999999995</v>
      </c>
      <c r="FG145">
        <v>0.16769999999999999</v>
      </c>
      <c r="FH145">
        <v>-0.44422204735670362</v>
      </c>
      <c r="FI145">
        <v>-6.1462078757559423E-4</v>
      </c>
      <c r="FJ145">
        <v>-1.8861989874597051E-7</v>
      </c>
      <c r="FK145">
        <v>1.1980462299894961E-10</v>
      </c>
      <c r="FL145">
        <v>0.16773393518503121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32.200000000000003</v>
      </c>
      <c r="FU145">
        <v>32.200000000000003</v>
      </c>
      <c r="FV145">
        <v>1.77979</v>
      </c>
      <c r="FW145">
        <v>2.5585900000000001</v>
      </c>
      <c r="FX145">
        <v>1.5490699999999999</v>
      </c>
      <c r="FY145">
        <v>2.33521</v>
      </c>
      <c r="FZ145">
        <v>1.50146</v>
      </c>
      <c r="GA145">
        <v>2.3815900000000001</v>
      </c>
      <c r="GB145">
        <v>32.465400000000002</v>
      </c>
      <c r="GC145">
        <v>23.991199999999999</v>
      </c>
      <c r="GD145">
        <v>19</v>
      </c>
      <c r="GE145">
        <v>284.16300000000001</v>
      </c>
      <c r="GF145">
        <v>593.572</v>
      </c>
      <c r="GG145">
        <v>23.8871</v>
      </c>
      <c r="GH145">
        <v>25.7258</v>
      </c>
      <c r="GI145">
        <v>29.9999</v>
      </c>
      <c r="GJ145">
        <v>25.894600000000001</v>
      </c>
      <c r="GK145">
        <v>25.880299999999998</v>
      </c>
      <c r="GL145">
        <v>35.595399999999998</v>
      </c>
      <c r="GM145">
        <v>-30</v>
      </c>
      <c r="GN145">
        <v>-30</v>
      </c>
      <c r="GO145">
        <v>23.892399999999999</v>
      </c>
      <c r="GP145">
        <v>800</v>
      </c>
      <c r="GQ145">
        <v>12.5298</v>
      </c>
      <c r="GR145">
        <v>99.668499999999995</v>
      </c>
      <c r="GS145">
        <v>99.367500000000007</v>
      </c>
    </row>
    <row r="146" spans="1:201" x14ac:dyDescent="0.25">
      <c r="A146">
        <v>130</v>
      </c>
      <c r="B146">
        <v>1690205065.5</v>
      </c>
      <c r="C146">
        <v>1625.900000095367</v>
      </c>
      <c r="D146" t="s">
        <v>593</v>
      </c>
      <c r="E146" t="s">
        <v>594</v>
      </c>
      <c r="F146" t="s">
        <v>330</v>
      </c>
      <c r="H146">
        <v>1690205065.5</v>
      </c>
      <c r="I146">
        <f t="shared" si="60"/>
        <v>1.9701466314635419E-3</v>
      </c>
      <c r="J146">
        <f t="shared" si="61"/>
        <v>1.9701466314635419</v>
      </c>
      <c r="K146">
        <f t="shared" si="62"/>
        <v>39.875321941837122</v>
      </c>
      <c r="L146">
        <f t="shared" si="63"/>
        <v>377.71100000000001</v>
      </c>
      <c r="M146">
        <f t="shared" si="64"/>
        <v>79.750090471877357</v>
      </c>
      <c r="N146">
        <f t="shared" si="65"/>
        <v>7.9092963283904458</v>
      </c>
      <c r="O146">
        <f t="shared" si="66"/>
        <v>37.459872557086996</v>
      </c>
      <c r="P146">
        <f t="shared" si="67"/>
        <v>0.22716477740841873</v>
      </c>
      <c r="Q146">
        <f t="shared" si="68"/>
        <v>2.1947889834292922</v>
      </c>
      <c r="R146">
        <f t="shared" si="69"/>
        <v>0.21486419638974061</v>
      </c>
      <c r="S146">
        <f t="shared" si="70"/>
        <v>0.13533974882446925</v>
      </c>
      <c r="T146">
        <f t="shared" si="71"/>
        <v>276.11442651599998</v>
      </c>
      <c r="U146">
        <f t="shared" si="72"/>
        <v>27.067573580980387</v>
      </c>
      <c r="V146">
        <f t="shared" si="73"/>
        <v>27.067573580980387</v>
      </c>
      <c r="W146">
        <f t="shared" si="74"/>
        <v>3.5933891615570741</v>
      </c>
      <c r="X146">
        <f t="shared" si="75"/>
        <v>82.282056641580724</v>
      </c>
      <c r="Y146">
        <f t="shared" si="76"/>
        <v>2.7129301922298996</v>
      </c>
      <c r="Z146">
        <f t="shared" si="77"/>
        <v>3.2971103336021104</v>
      </c>
      <c r="AA146">
        <f t="shared" si="78"/>
        <v>0.88045896932717449</v>
      </c>
      <c r="AB146">
        <f t="shared" si="79"/>
        <v>-86.883466447542204</v>
      </c>
      <c r="AC146">
        <f t="shared" si="80"/>
        <v>-172.50356744851209</v>
      </c>
      <c r="AD146">
        <f t="shared" si="81"/>
        <v>-16.850291643292071</v>
      </c>
      <c r="AE146">
        <f t="shared" si="82"/>
        <v>-0.12289902334637759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52657.741698279802</v>
      </c>
      <c r="AK146">
        <f t="shared" si="86"/>
        <v>1800</v>
      </c>
      <c r="AL146">
        <f t="shared" si="87"/>
        <v>1499.1115356</v>
      </c>
      <c r="AM146">
        <f t="shared" si="88"/>
        <v>0.83283974199999999</v>
      </c>
      <c r="AN146">
        <f t="shared" si="89"/>
        <v>0.15339690362</v>
      </c>
      <c r="AO146">
        <v>31.2</v>
      </c>
      <c r="AP146">
        <v>0.5</v>
      </c>
      <c r="AQ146" t="s">
        <v>331</v>
      </c>
      <c r="AR146">
        <v>2</v>
      </c>
      <c r="AS146">
        <v>1690205065.5</v>
      </c>
      <c r="AT146">
        <v>377.71100000000001</v>
      </c>
      <c r="AU146">
        <v>799.99300000000005</v>
      </c>
      <c r="AV146">
        <v>27.354700000000001</v>
      </c>
      <c r="AW146">
        <v>7.43323</v>
      </c>
      <c r="AX146">
        <v>378.40899999999999</v>
      </c>
      <c r="AY146">
        <v>27.186900000000001</v>
      </c>
      <c r="AZ146">
        <v>300.11399999999998</v>
      </c>
      <c r="BA146">
        <v>99.075999999999993</v>
      </c>
      <c r="BB146">
        <v>0.10001699999999999</v>
      </c>
      <c r="BC146">
        <v>25.6097</v>
      </c>
      <c r="BD146">
        <v>26.9556</v>
      </c>
      <c r="BE146">
        <v>26.838999999999999</v>
      </c>
      <c r="BF146">
        <v>0</v>
      </c>
      <c r="BG146">
        <v>0</v>
      </c>
      <c r="BH146">
        <v>10005</v>
      </c>
      <c r="BI146">
        <v>1065.96</v>
      </c>
      <c r="BJ146">
        <v>1.7941199999999999</v>
      </c>
      <c r="BK146">
        <v>-422.28199999999998</v>
      </c>
      <c r="BL146">
        <v>388.334</v>
      </c>
      <c r="BM146">
        <v>805.98400000000004</v>
      </c>
      <c r="BN146">
        <v>19.921399999999998</v>
      </c>
      <c r="BO146">
        <v>799.99300000000005</v>
      </c>
      <c r="BP146">
        <v>7.43323</v>
      </c>
      <c r="BQ146">
        <v>2.7101899999999999</v>
      </c>
      <c r="BR146">
        <v>0.73645499999999997</v>
      </c>
      <c r="BS146">
        <v>22.347000000000001</v>
      </c>
      <c r="BT146">
        <v>2.53809</v>
      </c>
      <c r="BU146">
        <v>1800</v>
      </c>
      <c r="BV146">
        <v>0.91000999999999999</v>
      </c>
      <c r="BW146">
        <v>3.4006300000000003E-2</v>
      </c>
      <c r="BX146">
        <v>2.1993599999999999E-2</v>
      </c>
      <c r="BY146">
        <v>3.3989999999999999E-2</v>
      </c>
      <c r="BZ146">
        <v>25</v>
      </c>
      <c r="CA146">
        <v>33528.5</v>
      </c>
      <c r="CB146">
        <v>1690203121.0999999</v>
      </c>
      <c r="CC146" t="s">
        <v>332</v>
      </c>
      <c r="CD146">
        <v>1690203121.0999999</v>
      </c>
      <c r="CE146">
        <v>1690203121.0999999</v>
      </c>
      <c r="CF146">
        <v>3</v>
      </c>
      <c r="CG146">
        <v>0.53600000000000003</v>
      </c>
      <c r="CH146">
        <v>-0.01</v>
      </c>
      <c r="CI146">
        <v>-0.996</v>
      </c>
      <c r="CJ146">
        <v>-6.6000000000000003E-2</v>
      </c>
      <c r="CK146">
        <v>800</v>
      </c>
      <c r="CL146">
        <v>9</v>
      </c>
      <c r="CM146">
        <v>0.82</v>
      </c>
      <c r="CN146">
        <v>0.01</v>
      </c>
      <c r="CO146">
        <v>-421.20182499999999</v>
      </c>
      <c r="CP146">
        <v>-6.881279549717517</v>
      </c>
      <c r="CQ146">
        <v>0.66248108982445975</v>
      </c>
      <c r="CR146">
        <v>-1</v>
      </c>
      <c r="CS146">
        <v>19.859940000000002</v>
      </c>
      <c r="CT146">
        <v>0.33785741088181132</v>
      </c>
      <c r="CU146">
        <v>3.2595903116802633E-2</v>
      </c>
      <c r="CV146">
        <v>-1</v>
      </c>
      <c r="CW146">
        <v>0</v>
      </c>
      <c r="CX146">
        <v>0</v>
      </c>
      <c r="CY146" t="s">
        <v>333</v>
      </c>
      <c r="CZ146">
        <v>2.3648699999999998</v>
      </c>
      <c r="DA146">
        <v>2.7138100000000001</v>
      </c>
      <c r="DB146">
        <v>8.5845199999999997E-2</v>
      </c>
      <c r="DC146">
        <v>0.146263</v>
      </c>
      <c r="DD146">
        <v>0.12503600000000001</v>
      </c>
      <c r="DE146">
        <v>4.69498E-2</v>
      </c>
      <c r="DF146">
        <v>33361.1</v>
      </c>
      <c r="DG146">
        <v>27470</v>
      </c>
      <c r="DH146">
        <v>31153</v>
      </c>
      <c r="DI146">
        <v>28035.4</v>
      </c>
      <c r="DJ146">
        <v>36988.400000000001</v>
      </c>
      <c r="DK146">
        <v>37975</v>
      </c>
      <c r="DL146">
        <v>44327.9</v>
      </c>
      <c r="DM146">
        <v>42467.6</v>
      </c>
      <c r="DN146">
        <v>1.4837499999999999</v>
      </c>
      <c r="DO146">
        <v>2.0557500000000002</v>
      </c>
      <c r="DP146">
        <v>0.16542499999999999</v>
      </c>
      <c r="DQ146">
        <v>0.16028400000000001</v>
      </c>
      <c r="DR146">
        <v>24.244</v>
      </c>
      <c r="DS146">
        <v>24.211400000000001</v>
      </c>
      <c r="DT146">
        <v>24.1</v>
      </c>
      <c r="DU146">
        <v>27.8</v>
      </c>
      <c r="DV146">
        <v>9.1235499999999998</v>
      </c>
      <c r="DW146">
        <v>61.355499999999999</v>
      </c>
      <c r="DX146">
        <v>36.458300000000001</v>
      </c>
      <c r="DY146">
        <v>1</v>
      </c>
      <c r="DZ146">
        <v>-0.13351099999999999</v>
      </c>
      <c r="EA146">
        <v>-2.4242900000000001E-2</v>
      </c>
      <c r="EB146">
        <v>20.191500000000001</v>
      </c>
      <c r="EC146">
        <v>5.24125</v>
      </c>
      <c r="ED146">
        <v>12.039899999999999</v>
      </c>
      <c r="EE146">
        <v>5.01715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</v>
      </c>
      <c r="EL146">
        <v>1.8646100000000001</v>
      </c>
      <c r="EM146">
        <v>1.86913</v>
      </c>
      <c r="EN146">
        <v>1.8672200000000001</v>
      </c>
      <c r="EO146">
        <v>1.8633900000000001</v>
      </c>
      <c r="EP146">
        <v>1.8644700000000001</v>
      </c>
      <c r="EQ146">
        <v>1.8701300000000001</v>
      </c>
      <c r="ER146">
        <v>1.86938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-0.69799999999999995</v>
      </c>
      <c r="FG146">
        <v>0.1678</v>
      </c>
      <c r="FH146">
        <v>-0.44422204735670362</v>
      </c>
      <c r="FI146">
        <v>-6.1462078757559423E-4</v>
      </c>
      <c r="FJ146">
        <v>-1.8861989874597051E-7</v>
      </c>
      <c r="FK146">
        <v>1.1980462299894961E-10</v>
      </c>
      <c r="FL146">
        <v>0.16773393518503121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32.4</v>
      </c>
      <c r="FU146">
        <v>32.4</v>
      </c>
      <c r="FV146">
        <v>1.77979</v>
      </c>
      <c r="FW146">
        <v>2.5647000000000002</v>
      </c>
      <c r="FX146">
        <v>1.5490699999999999</v>
      </c>
      <c r="FY146">
        <v>2.33521</v>
      </c>
      <c r="FZ146">
        <v>1.50024</v>
      </c>
      <c r="GA146">
        <v>2.34253</v>
      </c>
      <c r="GB146">
        <v>32.465400000000002</v>
      </c>
      <c r="GC146">
        <v>23.982399999999998</v>
      </c>
      <c r="GD146">
        <v>19</v>
      </c>
      <c r="GE146">
        <v>284.05700000000002</v>
      </c>
      <c r="GF146">
        <v>593.971</v>
      </c>
      <c r="GG146">
        <v>23.912700000000001</v>
      </c>
      <c r="GH146">
        <v>25.723099999999999</v>
      </c>
      <c r="GI146">
        <v>29.9999</v>
      </c>
      <c r="GJ146">
        <v>25.892399999999999</v>
      </c>
      <c r="GK146">
        <v>25.876899999999999</v>
      </c>
      <c r="GL146">
        <v>35.594700000000003</v>
      </c>
      <c r="GM146">
        <v>-30</v>
      </c>
      <c r="GN146">
        <v>-30</v>
      </c>
      <c r="GO146">
        <v>23.9282</v>
      </c>
      <c r="GP146">
        <v>800</v>
      </c>
      <c r="GQ146">
        <v>12.5298</v>
      </c>
      <c r="GR146">
        <v>99.668800000000005</v>
      </c>
      <c r="GS146">
        <v>99.369100000000003</v>
      </c>
    </row>
    <row r="147" spans="1:201" x14ac:dyDescent="0.25">
      <c r="A147">
        <v>131</v>
      </c>
      <c r="B147">
        <v>1690205075.5</v>
      </c>
      <c r="C147">
        <v>1635.900000095367</v>
      </c>
      <c r="D147" t="s">
        <v>595</v>
      </c>
      <c r="E147" t="s">
        <v>596</v>
      </c>
      <c r="F147" t="s">
        <v>330</v>
      </c>
      <c r="H147">
        <v>1690205075.5</v>
      </c>
      <c r="I147">
        <f t="shared" si="60"/>
        <v>1.9762491643543966E-3</v>
      </c>
      <c r="J147">
        <f t="shared" si="61"/>
        <v>1.9762491643543967</v>
      </c>
      <c r="K147">
        <f t="shared" si="62"/>
        <v>39.999416155959985</v>
      </c>
      <c r="L147">
        <f t="shared" si="63"/>
        <v>376.60700000000003</v>
      </c>
      <c r="M147">
        <f t="shared" si="64"/>
        <v>79.557576147491417</v>
      </c>
      <c r="N147">
        <f t="shared" si="65"/>
        <v>7.8903446994012763</v>
      </c>
      <c r="O147">
        <f t="shared" si="66"/>
        <v>37.351050523440499</v>
      </c>
      <c r="P147">
        <f t="shared" si="67"/>
        <v>0.22865800838607281</v>
      </c>
      <c r="Q147">
        <f t="shared" si="68"/>
        <v>2.1898127737962412</v>
      </c>
      <c r="R147">
        <f t="shared" si="69"/>
        <v>0.21617329491167955</v>
      </c>
      <c r="S147">
        <f t="shared" si="70"/>
        <v>0.13617317637772675</v>
      </c>
      <c r="T147">
        <f t="shared" si="71"/>
        <v>276.11446399200003</v>
      </c>
      <c r="U147">
        <f t="shared" si="72"/>
        <v>27.076005937571317</v>
      </c>
      <c r="V147">
        <f t="shared" si="73"/>
        <v>27.076005937571317</v>
      </c>
      <c r="W147">
        <f t="shared" si="74"/>
        <v>3.5951682860809049</v>
      </c>
      <c r="X147">
        <f t="shared" si="75"/>
        <v>82.37920768894756</v>
      </c>
      <c r="Y147">
        <f t="shared" si="76"/>
        <v>2.71734255597105</v>
      </c>
      <c r="Z147">
        <f t="shared" si="77"/>
        <v>3.2985781633532554</v>
      </c>
      <c r="AA147">
        <f t="shared" si="78"/>
        <v>0.87782573010985487</v>
      </c>
      <c r="AB147">
        <f t="shared" si="79"/>
        <v>-87.152588148028897</v>
      </c>
      <c r="AC147">
        <f t="shared" si="80"/>
        <v>-172.22252429036809</v>
      </c>
      <c r="AD147">
        <f t="shared" si="81"/>
        <v>-16.862414250327028</v>
      </c>
      <c r="AE147">
        <f t="shared" si="82"/>
        <v>-0.12306269672399139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52452.23063136125</v>
      </c>
      <c r="AK147">
        <f t="shared" si="86"/>
        <v>1800</v>
      </c>
      <c r="AL147">
        <f t="shared" si="87"/>
        <v>1499.1123672000001</v>
      </c>
      <c r="AM147">
        <f t="shared" si="88"/>
        <v>0.83284020400000003</v>
      </c>
      <c r="AN147">
        <f t="shared" si="89"/>
        <v>0.15339692444000003</v>
      </c>
      <c r="AO147">
        <v>31.2</v>
      </c>
      <c r="AP147">
        <v>0.5</v>
      </c>
      <c r="AQ147" t="s">
        <v>331</v>
      </c>
      <c r="AR147">
        <v>2</v>
      </c>
      <c r="AS147">
        <v>1690205075.5</v>
      </c>
      <c r="AT147">
        <v>376.60700000000003</v>
      </c>
      <c r="AU147">
        <v>799.97299999999996</v>
      </c>
      <c r="AV147">
        <v>27.398700000000002</v>
      </c>
      <c r="AW147">
        <v>7.4262100000000002</v>
      </c>
      <c r="AX147">
        <v>377.303</v>
      </c>
      <c r="AY147">
        <v>27.231000000000002</v>
      </c>
      <c r="AZ147">
        <v>300.26100000000002</v>
      </c>
      <c r="BA147">
        <v>99.077799999999996</v>
      </c>
      <c r="BB147">
        <v>9.9991499999999997E-2</v>
      </c>
      <c r="BC147">
        <v>25.6172</v>
      </c>
      <c r="BD147">
        <v>27.049600000000002</v>
      </c>
      <c r="BE147">
        <v>26.845199999999998</v>
      </c>
      <c r="BF147">
        <v>0</v>
      </c>
      <c r="BG147">
        <v>0</v>
      </c>
      <c r="BH147">
        <v>9964.3799999999992</v>
      </c>
      <c r="BI147">
        <v>1066.03</v>
      </c>
      <c r="BJ147">
        <v>1.7941199999999999</v>
      </c>
      <c r="BK147">
        <v>-423.36599999999999</v>
      </c>
      <c r="BL147">
        <v>387.21600000000001</v>
      </c>
      <c r="BM147">
        <v>805.95799999999997</v>
      </c>
      <c r="BN147">
        <v>19.9725</v>
      </c>
      <c r="BO147">
        <v>799.97299999999996</v>
      </c>
      <c r="BP147">
        <v>7.4262100000000002</v>
      </c>
      <c r="BQ147">
        <v>2.7145999999999999</v>
      </c>
      <c r="BR147">
        <v>0.73577300000000001</v>
      </c>
      <c r="BS147">
        <v>22.373799999999999</v>
      </c>
      <c r="BT147">
        <v>2.5250599999999999</v>
      </c>
      <c r="BU147">
        <v>1800</v>
      </c>
      <c r="BV147">
        <v>0.91001200000000004</v>
      </c>
      <c r="BW147">
        <v>3.40057E-2</v>
      </c>
      <c r="BX147">
        <v>2.1993200000000001E-2</v>
      </c>
      <c r="BY147">
        <v>3.3989400000000003E-2</v>
      </c>
      <c r="BZ147">
        <v>25</v>
      </c>
      <c r="CA147">
        <v>33528.400000000001</v>
      </c>
      <c r="CB147">
        <v>1690203121.0999999</v>
      </c>
      <c r="CC147" t="s">
        <v>332</v>
      </c>
      <c r="CD147">
        <v>1690203121.0999999</v>
      </c>
      <c r="CE147">
        <v>1690203121.0999999</v>
      </c>
      <c r="CF147">
        <v>3</v>
      </c>
      <c r="CG147">
        <v>0.53600000000000003</v>
      </c>
      <c r="CH147">
        <v>-0.01</v>
      </c>
      <c r="CI147">
        <v>-0.996</v>
      </c>
      <c r="CJ147">
        <v>-6.6000000000000003E-2</v>
      </c>
      <c r="CK147">
        <v>800</v>
      </c>
      <c r="CL147">
        <v>9</v>
      </c>
      <c r="CM147">
        <v>0.82</v>
      </c>
      <c r="CN147">
        <v>0.01</v>
      </c>
      <c r="CO147">
        <v>-422.25972500000012</v>
      </c>
      <c r="CP147">
        <v>-6.0491369605996326</v>
      </c>
      <c r="CQ147">
        <v>0.58367195356210089</v>
      </c>
      <c r="CR147">
        <v>-1</v>
      </c>
      <c r="CS147">
        <v>19.915244999999999</v>
      </c>
      <c r="CT147">
        <v>0.32215834896806761</v>
      </c>
      <c r="CU147">
        <v>3.1066862973271051E-2</v>
      </c>
      <c r="CV147">
        <v>-1</v>
      </c>
      <c r="CW147">
        <v>0</v>
      </c>
      <c r="CX147">
        <v>0</v>
      </c>
      <c r="CY147" t="s">
        <v>333</v>
      </c>
      <c r="CZ147">
        <v>2.3653400000000002</v>
      </c>
      <c r="DA147">
        <v>2.7137500000000001</v>
      </c>
      <c r="DB147">
        <v>8.5653699999999999E-2</v>
      </c>
      <c r="DC147">
        <v>0.14626500000000001</v>
      </c>
      <c r="DD147">
        <v>0.12517900000000001</v>
      </c>
      <c r="DE147">
        <v>4.6915800000000001E-2</v>
      </c>
      <c r="DF147">
        <v>33368.400000000001</v>
      </c>
      <c r="DG147">
        <v>27470.1</v>
      </c>
      <c r="DH147">
        <v>31153.3</v>
      </c>
      <c r="DI147">
        <v>28035.599999999999</v>
      </c>
      <c r="DJ147">
        <v>36982.5</v>
      </c>
      <c r="DK147">
        <v>37976.400000000001</v>
      </c>
      <c r="DL147">
        <v>44328.3</v>
      </c>
      <c r="DM147">
        <v>42467.7</v>
      </c>
      <c r="DN147">
        <v>1.4839800000000001</v>
      </c>
      <c r="DO147">
        <v>2.0555699999999999</v>
      </c>
      <c r="DP147">
        <v>0.171177</v>
      </c>
      <c r="DQ147">
        <v>0.16054099999999999</v>
      </c>
      <c r="DR147">
        <v>24.244</v>
      </c>
      <c r="DS147">
        <v>24.2134</v>
      </c>
      <c r="DT147">
        <v>24.1</v>
      </c>
      <c r="DU147">
        <v>27.8</v>
      </c>
      <c r="DV147">
        <v>9.1221700000000006</v>
      </c>
      <c r="DW147">
        <v>61.6755</v>
      </c>
      <c r="DX147">
        <v>36.1098</v>
      </c>
      <c r="DY147">
        <v>1</v>
      </c>
      <c r="DZ147">
        <v>-0.13389699999999999</v>
      </c>
      <c r="EA147">
        <v>0.18596099999999999</v>
      </c>
      <c r="EB147">
        <v>20.191099999999999</v>
      </c>
      <c r="EC147">
        <v>5.24125</v>
      </c>
      <c r="ED147">
        <v>12.039899999999999</v>
      </c>
      <c r="EE147">
        <v>5.0172999999999996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</v>
      </c>
      <c r="EL147">
        <v>1.8646199999999999</v>
      </c>
      <c r="EM147">
        <v>1.8691500000000001</v>
      </c>
      <c r="EN147">
        <v>1.8672200000000001</v>
      </c>
      <c r="EO147">
        <v>1.8633999999999999</v>
      </c>
      <c r="EP147">
        <v>1.8644700000000001</v>
      </c>
      <c r="EQ147">
        <v>1.8701300000000001</v>
      </c>
      <c r="ER147">
        <v>1.8693900000000001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-0.69599999999999995</v>
      </c>
      <c r="FG147">
        <v>0.16769999999999999</v>
      </c>
      <c r="FH147">
        <v>-0.44422204735670362</v>
      </c>
      <c r="FI147">
        <v>-6.1462078757559423E-4</v>
      </c>
      <c r="FJ147">
        <v>-1.8861989874597051E-7</v>
      </c>
      <c r="FK147">
        <v>1.1980462299894961E-10</v>
      </c>
      <c r="FL147">
        <v>0.16773393518503121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32.6</v>
      </c>
      <c r="FU147">
        <v>32.6</v>
      </c>
      <c r="FV147">
        <v>1.78101</v>
      </c>
      <c r="FW147">
        <v>2.5683600000000002</v>
      </c>
      <c r="FX147">
        <v>1.5490699999999999</v>
      </c>
      <c r="FY147">
        <v>2.33521</v>
      </c>
      <c r="FZ147">
        <v>1.50146</v>
      </c>
      <c r="GA147">
        <v>2.2973599999999998</v>
      </c>
      <c r="GB147">
        <v>32.465400000000002</v>
      </c>
      <c r="GC147">
        <v>23.982399999999998</v>
      </c>
      <c r="GD147">
        <v>19</v>
      </c>
      <c r="GE147">
        <v>284.13400000000001</v>
      </c>
      <c r="GF147">
        <v>593.77700000000004</v>
      </c>
      <c r="GG147">
        <v>23.9434</v>
      </c>
      <c r="GH147">
        <v>25.7209</v>
      </c>
      <c r="GI147">
        <v>30</v>
      </c>
      <c r="GJ147">
        <v>25.888100000000001</v>
      </c>
      <c r="GK147">
        <v>25.872699999999998</v>
      </c>
      <c r="GL147">
        <v>35.596200000000003</v>
      </c>
      <c r="GM147">
        <v>-30</v>
      </c>
      <c r="GN147">
        <v>-30</v>
      </c>
      <c r="GO147">
        <v>23.839700000000001</v>
      </c>
      <c r="GP147">
        <v>800</v>
      </c>
      <c r="GQ147">
        <v>12.5298</v>
      </c>
      <c r="GR147">
        <v>99.669700000000006</v>
      </c>
      <c r="GS147">
        <v>99.369500000000002</v>
      </c>
    </row>
    <row r="148" spans="1:201" x14ac:dyDescent="0.25">
      <c r="A148">
        <v>132</v>
      </c>
      <c r="B148">
        <v>1690205085.5</v>
      </c>
      <c r="C148">
        <v>1645.900000095367</v>
      </c>
      <c r="D148" t="s">
        <v>597</v>
      </c>
      <c r="E148" t="s">
        <v>598</v>
      </c>
      <c r="F148" t="s">
        <v>330</v>
      </c>
      <c r="H148">
        <v>1690205085.5</v>
      </c>
      <c r="I148">
        <f t="shared" si="60"/>
        <v>1.9790461289695819E-3</v>
      </c>
      <c r="J148">
        <f t="shared" si="61"/>
        <v>1.979046128969582</v>
      </c>
      <c r="K148">
        <f t="shared" si="62"/>
        <v>40.115606277768912</v>
      </c>
      <c r="L148">
        <f t="shared" si="63"/>
        <v>375.37900000000002</v>
      </c>
      <c r="M148">
        <f t="shared" si="64"/>
        <v>79.027365995925791</v>
      </c>
      <c r="N148">
        <f t="shared" si="65"/>
        <v>7.8376970220587756</v>
      </c>
      <c r="O148">
        <f t="shared" si="66"/>
        <v>37.228962820234699</v>
      </c>
      <c r="P148">
        <f t="shared" si="67"/>
        <v>0.22990837278579804</v>
      </c>
      <c r="Q148">
        <f t="shared" si="68"/>
        <v>2.1896475226009144</v>
      </c>
      <c r="R148">
        <f t="shared" si="69"/>
        <v>0.21728989505732524</v>
      </c>
      <c r="S148">
        <f t="shared" si="70"/>
        <v>0.1368821602549791</v>
      </c>
      <c r="T148">
        <f t="shared" si="71"/>
        <v>276.11434609200001</v>
      </c>
      <c r="U148">
        <f t="shared" si="72"/>
        <v>27.072156950735693</v>
      </c>
      <c r="V148">
        <f t="shared" si="73"/>
        <v>27.072156950735693</v>
      </c>
      <c r="W148">
        <f t="shared" si="74"/>
        <v>3.5943561013842418</v>
      </c>
      <c r="X148">
        <f t="shared" si="75"/>
        <v>82.468998297609019</v>
      </c>
      <c r="Y148">
        <f t="shared" si="76"/>
        <v>2.71982011110327</v>
      </c>
      <c r="Z148">
        <f t="shared" si="77"/>
        <v>3.2979909629654425</v>
      </c>
      <c r="AA148">
        <f t="shared" si="78"/>
        <v>0.87453599028097173</v>
      </c>
      <c r="AB148">
        <f t="shared" si="79"/>
        <v>-87.275934287558556</v>
      </c>
      <c r="AC148">
        <f t="shared" si="80"/>
        <v>-172.10930632218748</v>
      </c>
      <c r="AD148">
        <f t="shared" si="81"/>
        <v>-16.852022283599524</v>
      </c>
      <c r="AE148">
        <f t="shared" si="82"/>
        <v>-0.12291680134555349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52445.966715701368</v>
      </c>
      <c r="AK148">
        <f t="shared" si="86"/>
        <v>1800</v>
      </c>
      <c r="AL148">
        <f t="shared" si="87"/>
        <v>1499.1125201999998</v>
      </c>
      <c r="AM148">
        <f t="shared" si="88"/>
        <v>0.83284028899999996</v>
      </c>
      <c r="AN148">
        <f t="shared" si="89"/>
        <v>0.15339685893999999</v>
      </c>
      <c r="AO148">
        <v>31.2</v>
      </c>
      <c r="AP148">
        <v>0.5</v>
      </c>
      <c r="AQ148" t="s">
        <v>331</v>
      </c>
      <c r="AR148">
        <v>2</v>
      </c>
      <c r="AS148">
        <v>1690205085.5</v>
      </c>
      <c r="AT148">
        <v>375.37900000000002</v>
      </c>
      <c r="AU148">
        <v>799.99599999999998</v>
      </c>
      <c r="AV148">
        <v>27.4239</v>
      </c>
      <c r="AW148">
        <v>7.4209300000000002</v>
      </c>
      <c r="AX148">
        <v>376.07499999999999</v>
      </c>
      <c r="AY148">
        <v>27.2561</v>
      </c>
      <c r="AZ148">
        <v>300.22000000000003</v>
      </c>
      <c r="BA148">
        <v>99.076999999999998</v>
      </c>
      <c r="BB148">
        <v>9.9999299999999999E-2</v>
      </c>
      <c r="BC148">
        <v>25.6142</v>
      </c>
      <c r="BD148">
        <v>27.035599999999999</v>
      </c>
      <c r="BE148">
        <v>26.8432</v>
      </c>
      <c r="BF148">
        <v>0</v>
      </c>
      <c r="BG148">
        <v>0</v>
      </c>
      <c r="BH148">
        <v>9963.1200000000008</v>
      </c>
      <c r="BI148">
        <v>1066.03</v>
      </c>
      <c r="BJ148">
        <v>1.7941199999999999</v>
      </c>
      <c r="BK148">
        <v>-424.61599999999999</v>
      </c>
      <c r="BL148">
        <v>385.964</v>
      </c>
      <c r="BM148">
        <v>805.97699999999998</v>
      </c>
      <c r="BN148">
        <v>20.0029</v>
      </c>
      <c r="BO148">
        <v>799.99599999999998</v>
      </c>
      <c r="BP148">
        <v>7.4209300000000002</v>
      </c>
      <c r="BQ148">
        <v>2.7170700000000001</v>
      </c>
      <c r="BR148">
        <v>0.73524299999999998</v>
      </c>
      <c r="BS148">
        <v>22.3887</v>
      </c>
      <c r="BT148">
        <v>2.5149300000000001</v>
      </c>
      <c r="BU148">
        <v>1800</v>
      </c>
      <c r="BV148">
        <v>0.91001399999999999</v>
      </c>
      <c r="BW148">
        <v>3.4004899999999998E-2</v>
      </c>
      <c r="BX148">
        <v>2.19927E-2</v>
      </c>
      <c r="BY148">
        <v>3.3988600000000001E-2</v>
      </c>
      <c r="BZ148">
        <v>25</v>
      </c>
      <c r="CA148">
        <v>33528.400000000001</v>
      </c>
      <c r="CB148">
        <v>1690203121.0999999</v>
      </c>
      <c r="CC148" t="s">
        <v>332</v>
      </c>
      <c r="CD148">
        <v>1690203121.0999999</v>
      </c>
      <c r="CE148">
        <v>1690203121.0999999</v>
      </c>
      <c r="CF148">
        <v>3</v>
      </c>
      <c r="CG148">
        <v>0.53600000000000003</v>
      </c>
      <c r="CH148">
        <v>-0.01</v>
      </c>
      <c r="CI148">
        <v>-0.996</v>
      </c>
      <c r="CJ148">
        <v>-6.6000000000000003E-2</v>
      </c>
      <c r="CK148">
        <v>800</v>
      </c>
      <c r="CL148">
        <v>9</v>
      </c>
      <c r="CM148">
        <v>0.82</v>
      </c>
      <c r="CN148">
        <v>0.01</v>
      </c>
      <c r="CO148">
        <v>-423.32409756097547</v>
      </c>
      <c r="CP148">
        <v>-6.7014146341461212</v>
      </c>
      <c r="CQ148">
        <v>0.66148232669560869</v>
      </c>
      <c r="CR148">
        <v>-1</v>
      </c>
      <c r="CS148">
        <v>19.966714634146339</v>
      </c>
      <c r="CT148">
        <v>0.2705226480836202</v>
      </c>
      <c r="CU148">
        <v>2.692355538598603E-2</v>
      </c>
      <c r="CV148">
        <v>-1</v>
      </c>
      <c r="CW148">
        <v>0</v>
      </c>
      <c r="CX148">
        <v>0</v>
      </c>
      <c r="CY148" t="s">
        <v>333</v>
      </c>
      <c r="CZ148">
        <v>2.3652000000000002</v>
      </c>
      <c r="DA148">
        <v>2.7137600000000002</v>
      </c>
      <c r="DB148">
        <v>8.54375E-2</v>
      </c>
      <c r="DC148">
        <v>0.14626700000000001</v>
      </c>
      <c r="DD148">
        <v>0.12525900000000001</v>
      </c>
      <c r="DE148">
        <v>4.6889199999999999E-2</v>
      </c>
      <c r="DF148">
        <v>33376.300000000003</v>
      </c>
      <c r="DG148">
        <v>27469.7</v>
      </c>
      <c r="DH148">
        <v>31153.200000000001</v>
      </c>
      <c r="DI148">
        <v>28035.200000000001</v>
      </c>
      <c r="DJ148">
        <v>36979</v>
      </c>
      <c r="DK148">
        <v>37977.4</v>
      </c>
      <c r="DL148">
        <v>44328.2</v>
      </c>
      <c r="DM148">
        <v>42467.6</v>
      </c>
      <c r="DN148">
        <v>1.4839</v>
      </c>
      <c r="DO148">
        <v>2.0556000000000001</v>
      </c>
      <c r="DP148">
        <v>0.170238</v>
      </c>
      <c r="DQ148">
        <v>0.16029199999999999</v>
      </c>
      <c r="DR148">
        <v>24.2453</v>
      </c>
      <c r="DS148">
        <v>24.215399999999999</v>
      </c>
      <c r="DT148">
        <v>24.1</v>
      </c>
      <c r="DU148">
        <v>27.8</v>
      </c>
      <c r="DV148">
        <v>9.1234300000000008</v>
      </c>
      <c r="DW148">
        <v>61.785499999999999</v>
      </c>
      <c r="DX148">
        <v>36.270000000000003</v>
      </c>
      <c r="DY148">
        <v>1</v>
      </c>
      <c r="DZ148">
        <v>-0.13270599999999999</v>
      </c>
      <c r="EA148">
        <v>0.22750000000000001</v>
      </c>
      <c r="EB148">
        <v>20.191199999999998</v>
      </c>
      <c r="EC148">
        <v>5.2409499999999998</v>
      </c>
      <c r="ED148">
        <v>12.039899999999999</v>
      </c>
      <c r="EE148">
        <v>5.0171000000000001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</v>
      </c>
      <c r="EL148">
        <v>1.8646199999999999</v>
      </c>
      <c r="EM148">
        <v>1.86913</v>
      </c>
      <c r="EN148">
        <v>1.8672200000000001</v>
      </c>
      <c r="EO148">
        <v>1.8633999999999999</v>
      </c>
      <c r="EP148">
        <v>1.8644700000000001</v>
      </c>
      <c r="EQ148">
        <v>1.87012</v>
      </c>
      <c r="ER148">
        <v>1.8693599999999999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-0.69599999999999995</v>
      </c>
      <c r="FG148">
        <v>0.1678</v>
      </c>
      <c r="FH148">
        <v>-0.44422204735670362</v>
      </c>
      <c r="FI148">
        <v>-6.1462078757559423E-4</v>
      </c>
      <c r="FJ148">
        <v>-1.8861989874597051E-7</v>
      </c>
      <c r="FK148">
        <v>1.1980462299894961E-10</v>
      </c>
      <c r="FL148">
        <v>0.16773393518503121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32.700000000000003</v>
      </c>
      <c r="FU148">
        <v>32.700000000000003</v>
      </c>
      <c r="FV148">
        <v>1.77979</v>
      </c>
      <c r="FW148">
        <v>2.5598100000000001</v>
      </c>
      <c r="FX148">
        <v>1.5490699999999999</v>
      </c>
      <c r="FY148">
        <v>2.33521</v>
      </c>
      <c r="FZ148">
        <v>1.50146</v>
      </c>
      <c r="GA148">
        <v>2.35229</v>
      </c>
      <c r="GB148">
        <v>32.465400000000002</v>
      </c>
      <c r="GC148">
        <v>23.982399999999998</v>
      </c>
      <c r="GD148">
        <v>19</v>
      </c>
      <c r="GE148">
        <v>284.089</v>
      </c>
      <c r="GF148">
        <v>593.76599999999996</v>
      </c>
      <c r="GG148">
        <v>23.815200000000001</v>
      </c>
      <c r="GH148">
        <v>25.717199999999998</v>
      </c>
      <c r="GI148">
        <v>30.0002</v>
      </c>
      <c r="GJ148">
        <v>25.885400000000001</v>
      </c>
      <c r="GK148">
        <v>25.87</v>
      </c>
      <c r="GL148">
        <v>35.597099999999998</v>
      </c>
      <c r="GM148">
        <v>-30</v>
      </c>
      <c r="GN148">
        <v>-30</v>
      </c>
      <c r="GO148">
        <v>23.831900000000001</v>
      </c>
      <c r="GP148">
        <v>800</v>
      </c>
      <c r="GQ148">
        <v>12.5298</v>
      </c>
      <c r="GR148">
        <v>99.669399999999996</v>
      </c>
      <c r="GS148">
        <v>99.368899999999996</v>
      </c>
    </row>
    <row r="149" spans="1:201" x14ac:dyDescent="0.25">
      <c r="A149">
        <v>133</v>
      </c>
      <c r="B149">
        <v>1690205095.5</v>
      </c>
      <c r="C149">
        <v>1655.900000095367</v>
      </c>
      <c r="D149" t="s">
        <v>599</v>
      </c>
      <c r="E149" t="s">
        <v>600</v>
      </c>
      <c r="F149" t="s">
        <v>330</v>
      </c>
      <c r="H149">
        <v>1690205095.5</v>
      </c>
      <c r="I149">
        <f t="shared" si="60"/>
        <v>1.980605273935853E-3</v>
      </c>
      <c r="J149">
        <f t="shared" si="61"/>
        <v>1.9806052739358531</v>
      </c>
      <c r="K149">
        <f t="shared" si="62"/>
        <v>40.181334854220587</v>
      </c>
      <c r="L149">
        <f t="shared" si="63"/>
        <v>374.452</v>
      </c>
      <c r="M149">
        <f t="shared" si="64"/>
        <v>78.573735600205623</v>
      </c>
      <c r="N149">
        <f t="shared" si="65"/>
        <v>7.7926533168915011</v>
      </c>
      <c r="O149">
        <f t="shared" si="66"/>
        <v>37.136768381024005</v>
      </c>
      <c r="P149">
        <f t="shared" si="67"/>
        <v>0.23066045202166777</v>
      </c>
      <c r="Q149">
        <f t="shared" si="68"/>
        <v>2.1934100952860502</v>
      </c>
      <c r="R149">
        <f t="shared" si="69"/>
        <v>0.21798222954762531</v>
      </c>
      <c r="S149">
        <f t="shared" si="70"/>
        <v>0.13731987889417957</v>
      </c>
      <c r="T149">
        <f t="shared" si="71"/>
        <v>276.11428552200005</v>
      </c>
      <c r="U149">
        <f t="shared" si="72"/>
        <v>27.07074488088525</v>
      </c>
      <c r="V149">
        <f t="shared" si="73"/>
        <v>27.07074488088525</v>
      </c>
      <c r="W149">
        <f t="shared" si="74"/>
        <v>3.594058177021175</v>
      </c>
      <c r="X149">
        <f t="shared" si="75"/>
        <v>82.516902813491669</v>
      </c>
      <c r="Y149">
        <f t="shared" si="76"/>
        <v>2.7216261067976002</v>
      </c>
      <c r="Z149">
        <f t="shared" si="77"/>
        <v>3.2982649784482816</v>
      </c>
      <c r="AA149">
        <f t="shared" si="78"/>
        <v>0.87243207022357483</v>
      </c>
      <c r="AB149">
        <f t="shared" si="79"/>
        <v>-87.34469258057112</v>
      </c>
      <c r="AC149">
        <f t="shared" si="80"/>
        <v>-172.0725192857046</v>
      </c>
      <c r="AD149">
        <f t="shared" si="81"/>
        <v>-16.81951713497682</v>
      </c>
      <c r="AE149">
        <f t="shared" si="82"/>
        <v>-0.12244347925249599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52600.06922377256</v>
      </c>
      <c r="AK149">
        <f t="shared" si="86"/>
        <v>1800</v>
      </c>
      <c r="AL149">
        <f t="shared" si="87"/>
        <v>1499.1129342000002</v>
      </c>
      <c r="AM149">
        <f t="shared" si="88"/>
        <v>0.83284051900000011</v>
      </c>
      <c r="AN149">
        <f t="shared" si="89"/>
        <v>0.15339682529000001</v>
      </c>
      <c r="AO149">
        <v>31.2</v>
      </c>
      <c r="AP149">
        <v>0.5</v>
      </c>
      <c r="AQ149" t="s">
        <v>331</v>
      </c>
      <c r="AR149">
        <v>2</v>
      </c>
      <c r="AS149">
        <v>1690205095.5</v>
      </c>
      <c r="AT149">
        <v>374.452</v>
      </c>
      <c r="AU149">
        <v>799.94600000000003</v>
      </c>
      <c r="AV149">
        <v>27.442299999999999</v>
      </c>
      <c r="AW149">
        <v>7.4142099999999997</v>
      </c>
      <c r="AX149">
        <v>375.14699999999999</v>
      </c>
      <c r="AY149">
        <v>27.2746</v>
      </c>
      <c r="AZ149">
        <v>300.07400000000001</v>
      </c>
      <c r="BA149">
        <v>99.076300000000003</v>
      </c>
      <c r="BB149">
        <v>0.100012</v>
      </c>
      <c r="BC149">
        <v>25.615600000000001</v>
      </c>
      <c r="BD149">
        <v>27.031099999999999</v>
      </c>
      <c r="BE149">
        <v>26.8215</v>
      </c>
      <c r="BF149">
        <v>0</v>
      </c>
      <c r="BG149">
        <v>0</v>
      </c>
      <c r="BH149">
        <v>9993.75</v>
      </c>
      <c r="BI149">
        <v>1066.1300000000001</v>
      </c>
      <c r="BJ149">
        <v>1.7941199999999999</v>
      </c>
      <c r="BK149">
        <v>-425.49299999999999</v>
      </c>
      <c r="BL149">
        <v>385.01799999999997</v>
      </c>
      <c r="BM149">
        <v>805.92100000000005</v>
      </c>
      <c r="BN149">
        <v>20.028099999999998</v>
      </c>
      <c r="BO149">
        <v>799.94600000000003</v>
      </c>
      <c r="BP149">
        <v>7.4142099999999997</v>
      </c>
      <c r="BQ149">
        <v>2.71888</v>
      </c>
      <c r="BR149">
        <v>0.73457300000000003</v>
      </c>
      <c r="BS149">
        <v>22.399699999999999</v>
      </c>
      <c r="BT149">
        <v>2.5021200000000001</v>
      </c>
      <c r="BU149">
        <v>1800</v>
      </c>
      <c r="BV149">
        <v>0.91001600000000005</v>
      </c>
      <c r="BW149">
        <v>3.4004199999999998E-2</v>
      </c>
      <c r="BX149">
        <v>2.19922E-2</v>
      </c>
      <c r="BY149">
        <v>3.3987900000000001E-2</v>
      </c>
      <c r="BZ149">
        <v>25</v>
      </c>
      <c r="CA149">
        <v>33528.5</v>
      </c>
      <c r="CB149">
        <v>1690203121.0999999</v>
      </c>
      <c r="CC149" t="s">
        <v>332</v>
      </c>
      <c r="CD149">
        <v>1690203121.0999999</v>
      </c>
      <c r="CE149">
        <v>1690203121.0999999</v>
      </c>
      <c r="CF149">
        <v>3</v>
      </c>
      <c r="CG149">
        <v>0.53600000000000003</v>
      </c>
      <c r="CH149">
        <v>-0.01</v>
      </c>
      <c r="CI149">
        <v>-0.996</v>
      </c>
      <c r="CJ149">
        <v>-6.6000000000000003E-2</v>
      </c>
      <c r="CK149">
        <v>800</v>
      </c>
      <c r="CL149">
        <v>9</v>
      </c>
      <c r="CM149">
        <v>0.82</v>
      </c>
      <c r="CN149">
        <v>0.01</v>
      </c>
      <c r="CO149">
        <v>-424.34524390243899</v>
      </c>
      <c r="CP149">
        <v>-6.7816724738675438</v>
      </c>
      <c r="CQ149">
        <v>0.67333211391820236</v>
      </c>
      <c r="CR149">
        <v>-1</v>
      </c>
      <c r="CS149">
        <v>19.999643902439018</v>
      </c>
      <c r="CT149">
        <v>0.16586550522644791</v>
      </c>
      <c r="CU149">
        <v>1.664551574830481E-2</v>
      </c>
      <c r="CV149">
        <v>-1</v>
      </c>
      <c r="CW149">
        <v>0</v>
      </c>
      <c r="CX149">
        <v>0</v>
      </c>
      <c r="CY149" t="s">
        <v>333</v>
      </c>
      <c r="CZ149">
        <v>2.3647200000000002</v>
      </c>
      <c r="DA149">
        <v>2.7138</v>
      </c>
      <c r="DB149">
        <v>8.5274500000000003E-2</v>
      </c>
      <c r="DC149">
        <v>0.146261</v>
      </c>
      <c r="DD149">
        <v>0.12531800000000001</v>
      </c>
      <c r="DE149">
        <v>4.6855599999999997E-2</v>
      </c>
      <c r="DF149">
        <v>33382.1</v>
      </c>
      <c r="DG149">
        <v>27470.400000000001</v>
      </c>
      <c r="DH149">
        <v>31153.1</v>
      </c>
      <c r="DI149">
        <v>28035.7</v>
      </c>
      <c r="DJ149">
        <v>36976.300000000003</v>
      </c>
      <c r="DK149">
        <v>37979.199999999997</v>
      </c>
      <c r="DL149">
        <v>44328.1</v>
      </c>
      <c r="DM149">
        <v>42468.1</v>
      </c>
      <c r="DN149">
        <v>1.4836800000000001</v>
      </c>
      <c r="DO149">
        <v>2.0555699999999999</v>
      </c>
      <c r="DP149">
        <v>0.16974700000000001</v>
      </c>
      <c r="DQ149">
        <v>0.15873100000000001</v>
      </c>
      <c r="DR149">
        <v>24.248899999999999</v>
      </c>
      <c r="DS149">
        <v>24.2194</v>
      </c>
      <c r="DT149">
        <v>24</v>
      </c>
      <c r="DU149">
        <v>27.8</v>
      </c>
      <c r="DV149">
        <v>9.0840899999999998</v>
      </c>
      <c r="DW149">
        <v>61.505499999999998</v>
      </c>
      <c r="DX149">
        <v>37.087299999999999</v>
      </c>
      <c r="DY149">
        <v>1</v>
      </c>
      <c r="DZ149">
        <v>-0.13358500000000001</v>
      </c>
      <c r="EA149">
        <v>0.23655499999999999</v>
      </c>
      <c r="EB149">
        <v>20.191299999999998</v>
      </c>
      <c r="EC149">
        <v>5.2411000000000003</v>
      </c>
      <c r="ED149">
        <v>12.039899999999999</v>
      </c>
      <c r="EE149">
        <v>5.0171000000000001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</v>
      </c>
      <c r="EL149">
        <v>1.8646199999999999</v>
      </c>
      <c r="EM149">
        <v>1.86913</v>
      </c>
      <c r="EN149">
        <v>1.8672200000000001</v>
      </c>
      <c r="EO149">
        <v>1.8633999999999999</v>
      </c>
      <c r="EP149">
        <v>1.86449</v>
      </c>
      <c r="EQ149">
        <v>1.87015</v>
      </c>
      <c r="ER149">
        <v>1.8693900000000001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-0.69499999999999995</v>
      </c>
      <c r="FG149">
        <v>0.16769999999999999</v>
      </c>
      <c r="FH149">
        <v>-0.44422204735670362</v>
      </c>
      <c r="FI149">
        <v>-6.1462078757559423E-4</v>
      </c>
      <c r="FJ149">
        <v>-1.8861989874597051E-7</v>
      </c>
      <c r="FK149">
        <v>1.1980462299894961E-10</v>
      </c>
      <c r="FL149">
        <v>0.16773393518503121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32.9</v>
      </c>
      <c r="FU149">
        <v>32.9</v>
      </c>
      <c r="FV149">
        <v>1.77979</v>
      </c>
      <c r="FW149">
        <v>2.5573700000000001</v>
      </c>
      <c r="FX149">
        <v>1.5490699999999999</v>
      </c>
      <c r="FY149">
        <v>2.33521</v>
      </c>
      <c r="FZ149">
        <v>1.50146</v>
      </c>
      <c r="GA149">
        <v>2.3852500000000001</v>
      </c>
      <c r="GB149">
        <v>32.465400000000002</v>
      </c>
      <c r="GC149">
        <v>23.991199999999999</v>
      </c>
      <c r="GD149">
        <v>19</v>
      </c>
      <c r="GE149">
        <v>283.97699999999998</v>
      </c>
      <c r="GF149">
        <v>593.702</v>
      </c>
      <c r="GG149">
        <v>23.814399999999999</v>
      </c>
      <c r="GH149">
        <v>25.714400000000001</v>
      </c>
      <c r="GI149">
        <v>29.9999</v>
      </c>
      <c r="GJ149">
        <v>25.881499999999999</v>
      </c>
      <c r="GK149">
        <v>25.866199999999999</v>
      </c>
      <c r="GL149">
        <v>35.596699999999998</v>
      </c>
      <c r="GM149">
        <v>-30</v>
      </c>
      <c r="GN149">
        <v>-30</v>
      </c>
      <c r="GO149">
        <v>23.765999999999998</v>
      </c>
      <c r="GP149">
        <v>800</v>
      </c>
      <c r="GQ149">
        <v>12.5298</v>
      </c>
      <c r="GR149">
        <v>99.6691</v>
      </c>
      <c r="GS149">
        <v>99.370199999999997</v>
      </c>
    </row>
    <row r="150" spans="1:201" x14ac:dyDescent="0.25">
      <c r="A150">
        <v>134</v>
      </c>
      <c r="B150">
        <v>1690205105.5</v>
      </c>
      <c r="C150">
        <v>1665.900000095367</v>
      </c>
      <c r="D150" t="s">
        <v>601</v>
      </c>
      <c r="E150" t="s">
        <v>602</v>
      </c>
      <c r="F150" t="s">
        <v>330</v>
      </c>
      <c r="H150">
        <v>1690205105.5</v>
      </c>
      <c r="I150">
        <f t="shared" si="60"/>
        <v>1.9820021966657875E-3</v>
      </c>
      <c r="J150">
        <f t="shared" si="61"/>
        <v>1.9820021966657875</v>
      </c>
      <c r="K150">
        <f t="shared" si="62"/>
        <v>40.29506709241226</v>
      </c>
      <c r="L150">
        <f t="shared" si="63"/>
        <v>373.40300000000002</v>
      </c>
      <c r="M150">
        <f t="shared" si="64"/>
        <v>77.866325271815484</v>
      </c>
      <c r="N150">
        <f t="shared" si="65"/>
        <v>7.7226661196340043</v>
      </c>
      <c r="O150">
        <f t="shared" si="66"/>
        <v>37.033553169530002</v>
      </c>
      <c r="P150">
        <f t="shared" si="67"/>
        <v>0.23158574519351297</v>
      </c>
      <c r="Q150">
        <f t="shared" si="68"/>
        <v>2.1981204837664685</v>
      </c>
      <c r="R150">
        <f t="shared" si="69"/>
        <v>0.21883438788740853</v>
      </c>
      <c r="S150">
        <f t="shared" si="70"/>
        <v>0.13785861103997557</v>
      </c>
      <c r="T150">
        <f t="shared" si="71"/>
        <v>276.11428552200005</v>
      </c>
      <c r="U150">
        <f t="shared" si="72"/>
        <v>27.059937607613918</v>
      </c>
      <c r="V150">
        <f t="shared" si="73"/>
        <v>27.059937607613918</v>
      </c>
      <c r="W150">
        <f t="shared" si="74"/>
        <v>3.5917787273142801</v>
      </c>
      <c r="X150">
        <f t="shared" si="75"/>
        <v>82.56810326544759</v>
      </c>
      <c r="Y150">
        <f t="shared" si="76"/>
        <v>2.7221029747150003</v>
      </c>
      <c r="Z150">
        <f t="shared" si="77"/>
        <v>3.2967972704468353</v>
      </c>
      <c r="AA150">
        <f t="shared" si="78"/>
        <v>0.86967575259927976</v>
      </c>
      <c r="AB150">
        <f t="shared" si="79"/>
        <v>-87.406296872961221</v>
      </c>
      <c r="AC150">
        <f t="shared" si="80"/>
        <v>-172.0501195269004</v>
      </c>
      <c r="AD150">
        <f t="shared" si="81"/>
        <v>-16.779749639627635</v>
      </c>
      <c r="AE150">
        <f t="shared" si="82"/>
        <v>-0.1218805174892168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52795.07824213917</v>
      </c>
      <c r="AK150">
        <f t="shared" si="86"/>
        <v>1800</v>
      </c>
      <c r="AL150">
        <f t="shared" si="87"/>
        <v>1499.1129342000002</v>
      </c>
      <c r="AM150">
        <f t="shared" si="88"/>
        <v>0.83284051900000011</v>
      </c>
      <c r="AN150">
        <f t="shared" si="89"/>
        <v>0.15339682529000001</v>
      </c>
      <c r="AO150">
        <v>31.2</v>
      </c>
      <c r="AP150">
        <v>0.5</v>
      </c>
      <c r="AQ150" t="s">
        <v>331</v>
      </c>
      <c r="AR150">
        <v>2</v>
      </c>
      <c r="AS150">
        <v>1690205105.5</v>
      </c>
      <c r="AT150">
        <v>373.40300000000002</v>
      </c>
      <c r="AU150">
        <v>799.98800000000006</v>
      </c>
      <c r="AV150">
        <v>27.4465</v>
      </c>
      <c r="AW150">
        <v>7.4079100000000002</v>
      </c>
      <c r="AX150">
        <v>374.09699999999998</v>
      </c>
      <c r="AY150">
        <v>27.2788</v>
      </c>
      <c r="AZ150">
        <v>300.12700000000001</v>
      </c>
      <c r="BA150">
        <v>99.078500000000005</v>
      </c>
      <c r="BB150">
        <v>0.10001</v>
      </c>
      <c r="BC150">
        <v>25.6081</v>
      </c>
      <c r="BD150">
        <v>26.950500000000002</v>
      </c>
      <c r="BE150">
        <v>26.839700000000001</v>
      </c>
      <c r="BF150">
        <v>0</v>
      </c>
      <c r="BG150">
        <v>0</v>
      </c>
      <c r="BH150">
        <v>10031.9</v>
      </c>
      <c r="BI150">
        <v>1066.17</v>
      </c>
      <c r="BJ150">
        <v>1.7941199999999999</v>
      </c>
      <c r="BK150">
        <v>-426.58499999999998</v>
      </c>
      <c r="BL150">
        <v>383.94</v>
      </c>
      <c r="BM150">
        <v>805.95799999999997</v>
      </c>
      <c r="BN150">
        <v>20.038599999999999</v>
      </c>
      <c r="BO150">
        <v>799.98800000000006</v>
      </c>
      <c r="BP150">
        <v>7.4079100000000002</v>
      </c>
      <c r="BQ150">
        <v>2.71936</v>
      </c>
      <c r="BR150">
        <v>0.73396499999999998</v>
      </c>
      <c r="BS150">
        <v>22.4026</v>
      </c>
      <c r="BT150">
        <v>2.4904799999999998</v>
      </c>
      <c r="BU150">
        <v>1800</v>
      </c>
      <c r="BV150">
        <v>0.91001600000000005</v>
      </c>
      <c r="BW150">
        <v>3.4004199999999998E-2</v>
      </c>
      <c r="BX150">
        <v>2.19922E-2</v>
      </c>
      <c r="BY150">
        <v>3.3987900000000001E-2</v>
      </c>
      <c r="BZ150">
        <v>25</v>
      </c>
      <c r="CA150">
        <v>33528.5</v>
      </c>
      <c r="CB150">
        <v>1690203121.0999999</v>
      </c>
      <c r="CC150" t="s">
        <v>332</v>
      </c>
      <c r="CD150">
        <v>1690203121.0999999</v>
      </c>
      <c r="CE150">
        <v>1690203121.0999999</v>
      </c>
      <c r="CF150">
        <v>3</v>
      </c>
      <c r="CG150">
        <v>0.53600000000000003</v>
      </c>
      <c r="CH150">
        <v>-0.01</v>
      </c>
      <c r="CI150">
        <v>-0.996</v>
      </c>
      <c r="CJ150">
        <v>-6.6000000000000003E-2</v>
      </c>
      <c r="CK150">
        <v>800</v>
      </c>
      <c r="CL150">
        <v>9</v>
      </c>
      <c r="CM150">
        <v>0.82</v>
      </c>
      <c r="CN150">
        <v>0.01</v>
      </c>
      <c r="CO150">
        <v>-425.51580000000001</v>
      </c>
      <c r="CP150">
        <v>-6.1069643527193387</v>
      </c>
      <c r="CQ150">
        <v>0.59460470902944917</v>
      </c>
      <c r="CR150">
        <v>-1</v>
      </c>
      <c r="CS150">
        <v>20.023305000000001</v>
      </c>
      <c r="CT150">
        <v>0.10643302063785511</v>
      </c>
      <c r="CU150">
        <v>1.059914973004914E-2</v>
      </c>
      <c r="CV150">
        <v>-1</v>
      </c>
      <c r="CW150">
        <v>0</v>
      </c>
      <c r="CX150">
        <v>0</v>
      </c>
      <c r="CY150" t="s">
        <v>333</v>
      </c>
      <c r="CZ150">
        <v>2.3649100000000001</v>
      </c>
      <c r="DA150">
        <v>2.7138300000000002</v>
      </c>
      <c r="DB150">
        <v>8.5091899999999998E-2</v>
      </c>
      <c r="DC150">
        <v>0.14627000000000001</v>
      </c>
      <c r="DD150">
        <v>0.125335</v>
      </c>
      <c r="DE150">
        <v>4.6825199999999997E-2</v>
      </c>
      <c r="DF150">
        <v>33389</v>
      </c>
      <c r="DG150">
        <v>27470.7</v>
      </c>
      <c r="DH150">
        <v>31153.4</v>
      </c>
      <c r="DI150">
        <v>28036.2</v>
      </c>
      <c r="DJ150">
        <v>36976.1</v>
      </c>
      <c r="DK150">
        <v>37981.199999999997</v>
      </c>
      <c r="DL150">
        <v>44328.7</v>
      </c>
      <c r="DM150">
        <v>42468.9</v>
      </c>
      <c r="DN150">
        <v>1.4840500000000001</v>
      </c>
      <c r="DO150">
        <v>2.0556800000000002</v>
      </c>
      <c r="DP150">
        <v>0.16450100000000001</v>
      </c>
      <c r="DQ150">
        <v>0.15971099999999999</v>
      </c>
      <c r="DR150">
        <v>24.254000000000001</v>
      </c>
      <c r="DS150">
        <v>24.221499999999999</v>
      </c>
      <c r="DT150">
        <v>24</v>
      </c>
      <c r="DU150">
        <v>27.8</v>
      </c>
      <c r="DV150">
        <v>9.0859400000000008</v>
      </c>
      <c r="DW150">
        <v>60.985500000000002</v>
      </c>
      <c r="DX150">
        <v>37.035299999999999</v>
      </c>
      <c r="DY150">
        <v>1</v>
      </c>
      <c r="DZ150">
        <v>-0.13328799999999999</v>
      </c>
      <c r="EA150">
        <v>0.18541099999999999</v>
      </c>
      <c r="EB150">
        <v>20.191199999999998</v>
      </c>
      <c r="EC150">
        <v>5.2411000000000003</v>
      </c>
      <c r="ED150">
        <v>12.039899999999999</v>
      </c>
      <c r="EE150">
        <v>5.0171999999999999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</v>
      </c>
      <c r="EL150">
        <v>1.8646199999999999</v>
      </c>
      <c r="EM150">
        <v>1.86917</v>
      </c>
      <c r="EN150">
        <v>1.8672200000000001</v>
      </c>
      <c r="EO150">
        <v>1.8633999999999999</v>
      </c>
      <c r="EP150">
        <v>1.8644799999999999</v>
      </c>
      <c r="EQ150">
        <v>1.8701300000000001</v>
      </c>
      <c r="ER150">
        <v>1.86941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-0.69399999999999995</v>
      </c>
      <c r="FG150">
        <v>0.16769999999999999</v>
      </c>
      <c r="FH150">
        <v>-0.44422204735670362</v>
      </c>
      <c r="FI150">
        <v>-6.1462078757559423E-4</v>
      </c>
      <c r="FJ150">
        <v>-1.8861989874597051E-7</v>
      </c>
      <c r="FK150">
        <v>1.1980462299894961E-10</v>
      </c>
      <c r="FL150">
        <v>0.16773393518503121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33.1</v>
      </c>
      <c r="FU150">
        <v>33.1</v>
      </c>
      <c r="FV150">
        <v>1.78101</v>
      </c>
      <c r="FW150">
        <v>2.5585900000000001</v>
      </c>
      <c r="FX150">
        <v>1.5490699999999999</v>
      </c>
      <c r="FY150">
        <v>2.33521</v>
      </c>
      <c r="FZ150">
        <v>1.50146</v>
      </c>
      <c r="GA150">
        <v>2.3889200000000002</v>
      </c>
      <c r="GB150">
        <v>32.465400000000002</v>
      </c>
      <c r="GC150">
        <v>23.991199999999999</v>
      </c>
      <c r="GD150">
        <v>19</v>
      </c>
      <c r="GE150">
        <v>284.11700000000002</v>
      </c>
      <c r="GF150">
        <v>593.75400000000002</v>
      </c>
      <c r="GG150">
        <v>23.740100000000002</v>
      </c>
      <c r="GH150">
        <v>25.712199999999999</v>
      </c>
      <c r="GI150">
        <v>30.0001</v>
      </c>
      <c r="GJ150">
        <v>25.877300000000002</v>
      </c>
      <c r="GK150">
        <v>25.863499999999998</v>
      </c>
      <c r="GL150">
        <v>35.598300000000002</v>
      </c>
      <c r="GM150">
        <v>-30</v>
      </c>
      <c r="GN150">
        <v>-30</v>
      </c>
      <c r="GO150">
        <v>23.784500000000001</v>
      </c>
      <c r="GP150">
        <v>800</v>
      </c>
      <c r="GQ150">
        <v>12.5298</v>
      </c>
      <c r="GR150">
        <v>99.670199999999994</v>
      </c>
      <c r="GS150">
        <v>99.372200000000007</v>
      </c>
    </row>
    <row r="151" spans="1:201" x14ac:dyDescent="0.25">
      <c r="A151">
        <v>135</v>
      </c>
      <c r="B151">
        <v>1690205115.5</v>
      </c>
      <c r="C151">
        <v>1675.900000095367</v>
      </c>
      <c r="D151" t="s">
        <v>603</v>
      </c>
      <c r="E151" t="s">
        <v>604</v>
      </c>
      <c r="F151" t="s">
        <v>330</v>
      </c>
      <c r="H151">
        <v>1690205115.5</v>
      </c>
      <c r="I151">
        <f t="shared" si="60"/>
        <v>1.9853180939112961E-3</v>
      </c>
      <c r="J151">
        <f t="shared" si="61"/>
        <v>1.9853180939112962</v>
      </c>
      <c r="K151">
        <f t="shared" si="62"/>
        <v>40.412026292274952</v>
      </c>
      <c r="L151">
        <f t="shared" si="63"/>
        <v>372.32</v>
      </c>
      <c r="M151">
        <f t="shared" si="64"/>
        <v>77.150782436303587</v>
      </c>
      <c r="N151">
        <f t="shared" si="65"/>
        <v>7.6516521687752483</v>
      </c>
      <c r="O151">
        <f t="shared" si="66"/>
        <v>36.925913717472</v>
      </c>
      <c r="P151">
        <f t="shared" si="67"/>
        <v>0.2326031250281396</v>
      </c>
      <c r="Q151">
        <f t="shared" si="68"/>
        <v>2.193967168606668</v>
      </c>
      <c r="R151">
        <f t="shared" si="69"/>
        <v>0.21971992782080785</v>
      </c>
      <c r="S151">
        <f t="shared" si="70"/>
        <v>0.13842296248925595</v>
      </c>
      <c r="T151">
        <f t="shared" si="71"/>
        <v>276.11552747463065</v>
      </c>
      <c r="U151">
        <f t="shared" si="72"/>
        <v>27.061125844984247</v>
      </c>
      <c r="V151">
        <f t="shared" si="73"/>
        <v>27.061125844984247</v>
      </c>
      <c r="W151">
        <f t="shared" si="74"/>
        <v>3.5920292863388883</v>
      </c>
      <c r="X151">
        <f t="shared" si="75"/>
        <v>82.639567941286487</v>
      </c>
      <c r="Y151">
        <f t="shared" si="76"/>
        <v>2.7244266824514596</v>
      </c>
      <c r="Z151">
        <f t="shared" si="77"/>
        <v>3.2967581393783449</v>
      </c>
      <c r="AA151">
        <f t="shared" si="78"/>
        <v>0.86760260388742871</v>
      </c>
      <c r="AB151">
        <f t="shared" si="79"/>
        <v>-87.552527941488151</v>
      </c>
      <c r="AC151">
        <f t="shared" si="80"/>
        <v>-171.88923577143342</v>
      </c>
      <c r="AD151">
        <f t="shared" si="81"/>
        <v>-16.795877688153332</v>
      </c>
      <c r="AE151">
        <f t="shared" si="82"/>
        <v>-0.122113926444257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52624.3385443726</v>
      </c>
      <c r="AK151">
        <f t="shared" si="86"/>
        <v>1800.01</v>
      </c>
      <c r="AL151">
        <f t="shared" si="87"/>
        <v>1499.1203211999598</v>
      </c>
      <c r="AM151">
        <f t="shared" si="88"/>
        <v>0.83283999599999992</v>
      </c>
      <c r="AN151">
        <f t="shared" si="89"/>
        <v>0.15339666306000002</v>
      </c>
      <c r="AO151">
        <v>31.2</v>
      </c>
      <c r="AP151">
        <v>0.5</v>
      </c>
      <c r="AQ151" t="s">
        <v>331</v>
      </c>
      <c r="AR151">
        <v>2</v>
      </c>
      <c r="AS151">
        <v>1690205115.5</v>
      </c>
      <c r="AT151">
        <v>372.32</v>
      </c>
      <c r="AU151">
        <v>800.03300000000002</v>
      </c>
      <c r="AV151">
        <v>27.470099999999999</v>
      </c>
      <c r="AW151">
        <v>7.4021499999999998</v>
      </c>
      <c r="AX151">
        <v>373.01299999999998</v>
      </c>
      <c r="AY151">
        <v>27.302299999999999</v>
      </c>
      <c r="AZ151">
        <v>300.18200000000002</v>
      </c>
      <c r="BA151">
        <v>99.0779</v>
      </c>
      <c r="BB151">
        <v>9.9994600000000003E-2</v>
      </c>
      <c r="BC151">
        <v>25.607900000000001</v>
      </c>
      <c r="BD151">
        <v>27.000699999999998</v>
      </c>
      <c r="BE151">
        <v>26.8446</v>
      </c>
      <c r="BF151">
        <v>0</v>
      </c>
      <c r="BG151">
        <v>0</v>
      </c>
      <c r="BH151">
        <v>9998.1200000000008</v>
      </c>
      <c r="BI151">
        <v>1066.21</v>
      </c>
      <c r="BJ151">
        <v>1.7941199999999999</v>
      </c>
      <c r="BK151">
        <v>-427.714</v>
      </c>
      <c r="BL151">
        <v>382.83600000000001</v>
      </c>
      <c r="BM151">
        <v>806</v>
      </c>
      <c r="BN151">
        <v>20.067900000000002</v>
      </c>
      <c r="BO151">
        <v>800.03300000000002</v>
      </c>
      <c r="BP151">
        <v>7.4021499999999998</v>
      </c>
      <c r="BQ151">
        <v>2.7216800000000001</v>
      </c>
      <c r="BR151">
        <v>0.73338899999999996</v>
      </c>
      <c r="BS151">
        <v>22.416599999999999</v>
      </c>
      <c r="BT151">
        <v>2.4794399999999999</v>
      </c>
      <c r="BU151">
        <v>1800.01</v>
      </c>
      <c r="BV151">
        <v>0.91001699999999996</v>
      </c>
      <c r="BW151">
        <v>3.4003499999999999E-2</v>
      </c>
      <c r="BX151">
        <v>2.1991799999999999E-2</v>
      </c>
      <c r="BY151">
        <v>3.3987200000000002E-2</v>
      </c>
      <c r="BZ151">
        <v>25</v>
      </c>
      <c r="CA151">
        <v>33528.6</v>
      </c>
      <c r="CB151">
        <v>1690203121.0999999</v>
      </c>
      <c r="CC151" t="s">
        <v>332</v>
      </c>
      <c r="CD151">
        <v>1690203121.0999999</v>
      </c>
      <c r="CE151">
        <v>1690203121.0999999</v>
      </c>
      <c r="CF151">
        <v>3</v>
      </c>
      <c r="CG151">
        <v>0.53600000000000003</v>
      </c>
      <c r="CH151">
        <v>-0.01</v>
      </c>
      <c r="CI151">
        <v>-0.996</v>
      </c>
      <c r="CJ151">
        <v>-6.6000000000000003E-2</v>
      </c>
      <c r="CK151">
        <v>800</v>
      </c>
      <c r="CL151">
        <v>9</v>
      </c>
      <c r="CM151">
        <v>0.82</v>
      </c>
      <c r="CN151">
        <v>0.01</v>
      </c>
      <c r="CO151">
        <v>-426.53145000000012</v>
      </c>
      <c r="CP151">
        <v>-6.5010506566592614</v>
      </c>
      <c r="CQ151">
        <v>0.63018552625397639</v>
      </c>
      <c r="CR151">
        <v>-1</v>
      </c>
      <c r="CS151">
        <v>20.040792499999998</v>
      </c>
      <c r="CT151">
        <v>0.105914071294546</v>
      </c>
      <c r="CU151">
        <v>1.0596046137593259E-2</v>
      </c>
      <c r="CV151">
        <v>-1</v>
      </c>
      <c r="CW151">
        <v>0</v>
      </c>
      <c r="CX151">
        <v>0</v>
      </c>
      <c r="CY151" t="s">
        <v>333</v>
      </c>
      <c r="CZ151">
        <v>2.3651</v>
      </c>
      <c r="DA151">
        <v>2.7137799999999999</v>
      </c>
      <c r="DB151">
        <v>8.4900500000000004E-2</v>
      </c>
      <c r="DC151">
        <v>0.14627599999999999</v>
      </c>
      <c r="DD151">
        <v>0.12540899999999999</v>
      </c>
      <c r="DE151">
        <v>4.6796200000000003E-2</v>
      </c>
      <c r="DF151">
        <v>33396.6</v>
      </c>
      <c r="DG151">
        <v>27470.6</v>
      </c>
      <c r="DH151">
        <v>31153.9</v>
      </c>
      <c r="DI151">
        <v>28036.3</v>
      </c>
      <c r="DJ151">
        <v>36973.4</v>
      </c>
      <c r="DK151">
        <v>37982.5</v>
      </c>
      <c r="DL151">
        <v>44329.3</v>
      </c>
      <c r="DM151">
        <v>42469.1</v>
      </c>
      <c r="DN151">
        <v>1.48427</v>
      </c>
      <c r="DO151">
        <v>2.05572</v>
      </c>
      <c r="DP151">
        <v>0.167325</v>
      </c>
      <c r="DQ151">
        <v>0.159886</v>
      </c>
      <c r="DR151">
        <v>24.258099999999999</v>
      </c>
      <c r="DS151">
        <v>24.223600000000001</v>
      </c>
      <c r="DT151">
        <v>24</v>
      </c>
      <c r="DU151">
        <v>27.8</v>
      </c>
      <c r="DV151">
        <v>9.0867500000000003</v>
      </c>
      <c r="DW151">
        <v>61.875500000000002</v>
      </c>
      <c r="DX151">
        <v>36.6066</v>
      </c>
      <c r="DY151">
        <v>1</v>
      </c>
      <c r="DZ151">
        <v>-0.134329</v>
      </c>
      <c r="EA151">
        <v>2.32734E-2</v>
      </c>
      <c r="EB151">
        <v>20.191500000000001</v>
      </c>
      <c r="EC151">
        <v>5.24125</v>
      </c>
      <c r="ED151">
        <v>12.039899999999999</v>
      </c>
      <c r="EE151">
        <v>5.0172499999999998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</v>
      </c>
      <c r="EL151">
        <v>1.8646199999999999</v>
      </c>
      <c r="EM151">
        <v>1.8691599999999999</v>
      </c>
      <c r="EN151">
        <v>1.8672200000000001</v>
      </c>
      <c r="EO151">
        <v>1.8633999999999999</v>
      </c>
      <c r="EP151">
        <v>1.86449</v>
      </c>
      <c r="EQ151">
        <v>1.8701399999999999</v>
      </c>
      <c r="ER151">
        <v>1.8693900000000001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-0.69299999999999995</v>
      </c>
      <c r="FG151">
        <v>0.1678</v>
      </c>
      <c r="FH151">
        <v>-0.44422204735670362</v>
      </c>
      <c r="FI151">
        <v>-6.1462078757559423E-4</v>
      </c>
      <c r="FJ151">
        <v>-1.8861989874597051E-7</v>
      </c>
      <c r="FK151">
        <v>1.1980462299894961E-10</v>
      </c>
      <c r="FL151">
        <v>0.16773393518503121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33.200000000000003</v>
      </c>
      <c r="FU151">
        <v>33.200000000000003</v>
      </c>
      <c r="FV151">
        <v>1.78101</v>
      </c>
      <c r="FW151">
        <v>2.5622600000000002</v>
      </c>
      <c r="FX151">
        <v>1.5490699999999999</v>
      </c>
      <c r="FY151">
        <v>2.33521</v>
      </c>
      <c r="FZ151">
        <v>1.50146</v>
      </c>
      <c r="GA151">
        <v>2.3791500000000001</v>
      </c>
      <c r="GB151">
        <v>32.465400000000002</v>
      </c>
      <c r="GC151">
        <v>23.991199999999999</v>
      </c>
      <c r="GD151">
        <v>19</v>
      </c>
      <c r="GE151">
        <v>284.20299999999997</v>
      </c>
      <c r="GF151">
        <v>593.75199999999995</v>
      </c>
      <c r="GG151">
        <v>23.799800000000001</v>
      </c>
      <c r="GH151">
        <v>25.709099999999999</v>
      </c>
      <c r="GI151">
        <v>29.999700000000001</v>
      </c>
      <c r="GJ151">
        <v>25.8751</v>
      </c>
      <c r="GK151">
        <v>25.8598</v>
      </c>
      <c r="GL151">
        <v>35.597000000000001</v>
      </c>
      <c r="GM151">
        <v>-30</v>
      </c>
      <c r="GN151">
        <v>-30</v>
      </c>
      <c r="GO151">
        <v>23.815999999999999</v>
      </c>
      <c r="GP151">
        <v>800</v>
      </c>
      <c r="GQ151">
        <v>12.5298</v>
      </c>
      <c r="GR151">
        <v>99.671800000000005</v>
      </c>
      <c r="GS151">
        <v>99.372500000000002</v>
      </c>
    </row>
    <row r="152" spans="1:201" x14ac:dyDescent="0.25">
      <c r="A152">
        <v>136</v>
      </c>
      <c r="B152">
        <v>1690205125.5</v>
      </c>
      <c r="C152">
        <v>1685.900000095367</v>
      </c>
      <c r="D152" t="s">
        <v>605</v>
      </c>
      <c r="E152" t="s">
        <v>606</v>
      </c>
      <c r="F152" t="s">
        <v>330</v>
      </c>
      <c r="H152">
        <v>1690205125.5</v>
      </c>
      <c r="I152">
        <f t="shared" si="60"/>
        <v>1.9883232148642104E-3</v>
      </c>
      <c r="J152">
        <f t="shared" si="61"/>
        <v>1.9883232148642105</v>
      </c>
      <c r="K152">
        <f t="shared" si="62"/>
        <v>40.492315483478443</v>
      </c>
      <c r="L152">
        <f t="shared" si="63"/>
        <v>371.42200000000003</v>
      </c>
      <c r="M152">
        <f t="shared" si="64"/>
        <v>76.386560645453116</v>
      </c>
      <c r="N152">
        <f t="shared" si="65"/>
        <v>7.5759858184688795</v>
      </c>
      <c r="O152">
        <f t="shared" si="66"/>
        <v>36.837472205719003</v>
      </c>
      <c r="P152">
        <f t="shared" si="67"/>
        <v>0.23321158508404813</v>
      </c>
      <c r="Q152">
        <f t="shared" si="68"/>
        <v>2.1896033159395643</v>
      </c>
      <c r="R152">
        <f t="shared" si="69"/>
        <v>0.22023864696688736</v>
      </c>
      <c r="S152">
        <f t="shared" si="70"/>
        <v>0.13875454979751292</v>
      </c>
      <c r="T152">
        <f t="shared" si="71"/>
        <v>276.114049722</v>
      </c>
      <c r="U152">
        <f t="shared" si="72"/>
        <v>27.068623277844875</v>
      </c>
      <c r="V152">
        <f t="shared" si="73"/>
        <v>27.068623277844875</v>
      </c>
      <c r="W152">
        <f t="shared" si="74"/>
        <v>3.5936105929208808</v>
      </c>
      <c r="X152">
        <f t="shared" si="75"/>
        <v>82.680896502955179</v>
      </c>
      <c r="Y152">
        <f t="shared" si="76"/>
        <v>2.7267437667985002</v>
      </c>
      <c r="Z152">
        <f t="shared" si="77"/>
        <v>3.2979126764802809</v>
      </c>
      <c r="AA152">
        <f t="shared" si="78"/>
        <v>0.86686682612238064</v>
      </c>
      <c r="AB152">
        <f t="shared" si="79"/>
        <v>-87.685053775511676</v>
      </c>
      <c r="AC152">
        <f t="shared" si="80"/>
        <v>-171.73591440001266</v>
      </c>
      <c r="AD152">
        <f t="shared" si="81"/>
        <v>-16.815469348110803</v>
      </c>
      <c r="AE152">
        <f t="shared" si="82"/>
        <v>-0.12238780163514207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52444.279958362305</v>
      </c>
      <c r="AK152">
        <f t="shared" si="86"/>
        <v>1800</v>
      </c>
      <c r="AL152">
        <f t="shared" si="87"/>
        <v>1499.1132401999998</v>
      </c>
      <c r="AM152">
        <f t="shared" si="88"/>
        <v>0.83284068899999997</v>
      </c>
      <c r="AN152">
        <f t="shared" si="89"/>
        <v>0.15339669429</v>
      </c>
      <c r="AO152">
        <v>31.2</v>
      </c>
      <c r="AP152">
        <v>0.5</v>
      </c>
      <c r="AQ152" t="s">
        <v>331</v>
      </c>
      <c r="AR152">
        <v>2</v>
      </c>
      <c r="AS152">
        <v>1690205125.5</v>
      </c>
      <c r="AT152">
        <v>371.42200000000003</v>
      </c>
      <c r="AU152">
        <v>799.96400000000006</v>
      </c>
      <c r="AV152">
        <v>27.492999999999999</v>
      </c>
      <c r="AW152">
        <v>7.3950800000000001</v>
      </c>
      <c r="AX152">
        <v>372.11500000000001</v>
      </c>
      <c r="AY152">
        <v>27.325299999999999</v>
      </c>
      <c r="AZ152">
        <v>300.18099999999998</v>
      </c>
      <c r="BA152">
        <v>99.079599999999999</v>
      </c>
      <c r="BB152">
        <v>9.9964499999999998E-2</v>
      </c>
      <c r="BC152">
        <v>25.613800000000001</v>
      </c>
      <c r="BD152">
        <v>27.0594</v>
      </c>
      <c r="BE152">
        <v>26.831800000000001</v>
      </c>
      <c r="BF152">
        <v>0</v>
      </c>
      <c r="BG152">
        <v>0</v>
      </c>
      <c r="BH152">
        <v>9962.5</v>
      </c>
      <c r="BI152">
        <v>1066.2</v>
      </c>
      <c r="BJ152">
        <v>1.8221499999999999</v>
      </c>
      <c r="BK152">
        <v>-428.54199999999997</v>
      </c>
      <c r="BL152">
        <v>381.92200000000003</v>
      </c>
      <c r="BM152">
        <v>805.92399999999998</v>
      </c>
      <c r="BN152">
        <v>20.097899999999999</v>
      </c>
      <c r="BO152">
        <v>799.96400000000006</v>
      </c>
      <c r="BP152">
        <v>7.3950800000000001</v>
      </c>
      <c r="BQ152">
        <v>2.7239900000000001</v>
      </c>
      <c r="BR152">
        <v>0.73270199999999996</v>
      </c>
      <c r="BS152">
        <v>22.430599999999998</v>
      </c>
      <c r="BT152">
        <v>2.4662700000000002</v>
      </c>
      <c r="BU152">
        <v>1800</v>
      </c>
      <c r="BV152">
        <v>0.91002000000000005</v>
      </c>
      <c r="BW152">
        <v>3.4002600000000001E-2</v>
      </c>
      <c r="BX152">
        <v>2.1991199999999999E-2</v>
      </c>
      <c r="BY152">
        <v>3.3986299999999997E-2</v>
      </c>
      <c r="BZ152">
        <v>25</v>
      </c>
      <c r="CA152">
        <v>33528.5</v>
      </c>
      <c r="CB152">
        <v>1690203121.0999999</v>
      </c>
      <c r="CC152" t="s">
        <v>332</v>
      </c>
      <c r="CD152">
        <v>1690203121.0999999</v>
      </c>
      <c r="CE152">
        <v>1690203121.0999999</v>
      </c>
      <c r="CF152">
        <v>3</v>
      </c>
      <c r="CG152">
        <v>0.53600000000000003</v>
      </c>
      <c r="CH152">
        <v>-0.01</v>
      </c>
      <c r="CI152">
        <v>-0.996</v>
      </c>
      <c r="CJ152">
        <v>-6.6000000000000003E-2</v>
      </c>
      <c r="CK152">
        <v>800</v>
      </c>
      <c r="CL152">
        <v>9</v>
      </c>
      <c r="CM152">
        <v>0.82</v>
      </c>
      <c r="CN152">
        <v>0.01</v>
      </c>
      <c r="CO152">
        <v>-427.49073170731702</v>
      </c>
      <c r="CP152">
        <v>-6.3018606271775921</v>
      </c>
      <c r="CQ152">
        <v>0.62400140808120519</v>
      </c>
      <c r="CR152">
        <v>-1</v>
      </c>
      <c r="CS152">
        <v>20.063012195121949</v>
      </c>
      <c r="CT152">
        <v>0.1816578397212823</v>
      </c>
      <c r="CU152">
        <v>1.7961207454684699E-2</v>
      </c>
      <c r="CV152">
        <v>-1</v>
      </c>
      <c r="CW152">
        <v>0</v>
      </c>
      <c r="CX152">
        <v>0</v>
      </c>
      <c r="CY152" t="s">
        <v>333</v>
      </c>
      <c r="CZ152">
        <v>2.3650799999999998</v>
      </c>
      <c r="DA152">
        <v>2.7137199999999999</v>
      </c>
      <c r="DB152">
        <v>8.4744100000000003E-2</v>
      </c>
      <c r="DC152">
        <v>0.14627100000000001</v>
      </c>
      <c r="DD152">
        <v>0.12548500000000001</v>
      </c>
      <c r="DE152">
        <v>4.6761799999999999E-2</v>
      </c>
      <c r="DF152">
        <v>33402.6</v>
      </c>
      <c r="DG152">
        <v>27471.4</v>
      </c>
      <c r="DH152">
        <v>31154.1</v>
      </c>
      <c r="DI152">
        <v>28037</v>
      </c>
      <c r="DJ152">
        <v>36970.400000000001</v>
      </c>
      <c r="DK152">
        <v>37984.699999999997</v>
      </c>
      <c r="DL152">
        <v>44329.599999999999</v>
      </c>
      <c r="DM152">
        <v>42470</v>
      </c>
      <c r="DN152">
        <v>1.4837</v>
      </c>
      <c r="DO152">
        <v>2.0558800000000002</v>
      </c>
      <c r="DP152">
        <v>0.17064399999999999</v>
      </c>
      <c r="DQ152">
        <v>0.15884300000000001</v>
      </c>
      <c r="DR152">
        <v>24.262499999999999</v>
      </c>
      <c r="DS152">
        <v>24.227900000000002</v>
      </c>
      <c r="DT152">
        <v>24</v>
      </c>
      <c r="DU152">
        <v>27.8</v>
      </c>
      <c r="DV152">
        <v>9.0860599999999998</v>
      </c>
      <c r="DW152">
        <v>61.685499999999998</v>
      </c>
      <c r="DX152">
        <v>36.197899999999997</v>
      </c>
      <c r="DY152">
        <v>1</v>
      </c>
      <c r="DZ152">
        <v>-0.134466</v>
      </c>
      <c r="EA152">
        <v>0.31870100000000001</v>
      </c>
      <c r="EB152">
        <v>20.190899999999999</v>
      </c>
      <c r="EC152">
        <v>5.24125</v>
      </c>
      <c r="ED152">
        <v>12.039899999999999</v>
      </c>
      <c r="EE152">
        <v>5.0171999999999999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</v>
      </c>
      <c r="EL152">
        <v>1.8646199999999999</v>
      </c>
      <c r="EM152">
        <v>1.86917</v>
      </c>
      <c r="EN152">
        <v>1.8672200000000001</v>
      </c>
      <c r="EO152">
        <v>1.8633999999999999</v>
      </c>
      <c r="EP152">
        <v>1.86449</v>
      </c>
      <c r="EQ152">
        <v>1.87012</v>
      </c>
      <c r="ER152">
        <v>1.8694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-0.69299999999999995</v>
      </c>
      <c r="FG152">
        <v>0.16769999999999999</v>
      </c>
      <c r="FH152">
        <v>-0.44422204735670362</v>
      </c>
      <c r="FI152">
        <v>-6.1462078757559423E-4</v>
      </c>
      <c r="FJ152">
        <v>-1.8861989874597051E-7</v>
      </c>
      <c r="FK152">
        <v>1.1980462299894961E-10</v>
      </c>
      <c r="FL152">
        <v>0.16773393518503121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33.4</v>
      </c>
      <c r="FU152">
        <v>33.4</v>
      </c>
      <c r="FV152">
        <v>1.78101</v>
      </c>
      <c r="FW152">
        <v>2.5647000000000002</v>
      </c>
      <c r="FX152">
        <v>1.5490699999999999</v>
      </c>
      <c r="FY152">
        <v>2.33521</v>
      </c>
      <c r="FZ152">
        <v>1.50146</v>
      </c>
      <c r="GA152">
        <v>2.3059099999999999</v>
      </c>
      <c r="GB152">
        <v>32.487499999999997</v>
      </c>
      <c r="GC152">
        <v>23.982399999999998</v>
      </c>
      <c r="GD152">
        <v>19</v>
      </c>
      <c r="GE152">
        <v>283.94099999999997</v>
      </c>
      <c r="GF152">
        <v>593.85</v>
      </c>
      <c r="GG152">
        <v>23.805499999999999</v>
      </c>
      <c r="GH152">
        <v>25.706299999999999</v>
      </c>
      <c r="GI152">
        <v>30.0001</v>
      </c>
      <c r="GJ152">
        <v>25.871300000000002</v>
      </c>
      <c r="GK152">
        <v>25.857500000000002</v>
      </c>
      <c r="GL152">
        <v>35.600299999999997</v>
      </c>
      <c r="GM152">
        <v>-30</v>
      </c>
      <c r="GN152">
        <v>-30</v>
      </c>
      <c r="GO152">
        <v>23.709700000000002</v>
      </c>
      <c r="GP152">
        <v>800</v>
      </c>
      <c r="GQ152">
        <v>12.5298</v>
      </c>
      <c r="GR152">
        <v>99.672499999999999</v>
      </c>
      <c r="GS152">
        <v>99.374799999999993</v>
      </c>
    </row>
    <row r="153" spans="1:201" x14ac:dyDescent="0.25">
      <c r="A153">
        <v>137</v>
      </c>
      <c r="B153">
        <v>1690205135.5</v>
      </c>
      <c r="C153">
        <v>1695.900000095367</v>
      </c>
      <c r="D153" t="s">
        <v>607</v>
      </c>
      <c r="E153" t="s">
        <v>608</v>
      </c>
      <c r="F153" t="s">
        <v>330</v>
      </c>
      <c r="H153">
        <v>1690205135.5</v>
      </c>
      <c r="I153">
        <f t="shared" si="60"/>
        <v>1.9900134101524915E-3</v>
      </c>
      <c r="J153">
        <f t="shared" si="61"/>
        <v>1.9900134101524916</v>
      </c>
      <c r="K153">
        <f t="shared" si="62"/>
        <v>40.603072596618951</v>
      </c>
      <c r="L153">
        <f t="shared" si="63"/>
        <v>370.49400000000003</v>
      </c>
      <c r="M153">
        <f t="shared" si="64"/>
        <v>75.446519034547649</v>
      </c>
      <c r="N153">
        <f t="shared" si="65"/>
        <v>7.4826975608656845</v>
      </c>
      <c r="O153">
        <f t="shared" si="66"/>
        <v>36.745161812513999</v>
      </c>
      <c r="P153">
        <f t="shared" si="67"/>
        <v>0.23383814171993914</v>
      </c>
      <c r="Q153">
        <f t="shared" si="68"/>
        <v>2.1928261718157498</v>
      </c>
      <c r="R153">
        <f t="shared" si="69"/>
        <v>0.22081551523845577</v>
      </c>
      <c r="S153">
        <f t="shared" si="70"/>
        <v>0.13911925724229363</v>
      </c>
      <c r="T153">
        <f t="shared" si="71"/>
        <v>276.11381503799998</v>
      </c>
      <c r="U153">
        <f t="shared" si="72"/>
        <v>27.0637008244959</v>
      </c>
      <c r="V153">
        <f t="shared" si="73"/>
        <v>27.0637008244959</v>
      </c>
      <c r="W153">
        <f t="shared" si="74"/>
        <v>3.5925723146792912</v>
      </c>
      <c r="X153">
        <f t="shared" si="75"/>
        <v>82.707702225696295</v>
      </c>
      <c r="Y153">
        <f t="shared" si="76"/>
        <v>2.7272393306042</v>
      </c>
      <c r="Z153">
        <f t="shared" si="77"/>
        <v>3.2974429916599464</v>
      </c>
      <c r="AA153">
        <f t="shared" si="78"/>
        <v>0.86533298407509118</v>
      </c>
      <c r="AB153">
        <f t="shared" si="79"/>
        <v>-87.759591387724882</v>
      </c>
      <c r="AC153">
        <f t="shared" si="80"/>
        <v>-171.69048728778412</v>
      </c>
      <c r="AD153">
        <f t="shared" si="81"/>
        <v>-16.785697482968121</v>
      </c>
      <c r="AE153">
        <f t="shared" si="82"/>
        <v>-0.12196112047715246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52576.888676661161</v>
      </c>
      <c r="AK153">
        <f t="shared" si="86"/>
        <v>1800</v>
      </c>
      <c r="AL153">
        <f t="shared" si="87"/>
        <v>1499.1125597999999</v>
      </c>
      <c r="AM153">
        <f t="shared" si="88"/>
        <v>0.83284031099999989</v>
      </c>
      <c r="AN153">
        <f t="shared" si="89"/>
        <v>0.15339656391000001</v>
      </c>
      <c r="AO153">
        <v>31.2</v>
      </c>
      <c r="AP153">
        <v>0.5</v>
      </c>
      <c r="AQ153" t="s">
        <v>331</v>
      </c>
      <c r="AR153">
        <v>2</v>
      </c>
      <c r="AS153">
        <v>1690205135.5</v>
      </c>
      <c r="AT153">
        <v>370.49400000000003</v>
      </c>
      <c r="AU153">
        <v>800.04</v>
      </c>
      <c r="AV153">
        <v>27.498200000000001</v>
      </c>
      <c r="AW153">
        <v>7.3895999999999997</v>
      </c>
      <c r="AX153">
        <v>371.18599999999998</v>
      </c>
      <c r="AY153">
        <v>27.330400000000001</v>
      </c>
      <c r="AZ153">
        <v>300.27499999999998</v>
      </c>
      <c r="BA153">
        <v>99.078800000000001</v>
      </c>
      <c r="BB153">
        <v>0.10003099999999999</v>
      </c>
      <c r="BC153">
        <v>25.6114</v>
      </c>
      <c r="BD153">
        <v>27.078499999999998</v>
      </c>
      <c r="BE153">
        <v>26.836600000000001</v>
      </c>
      <c r="BF153">
        <v>0</v>
      </c>
      <c r="BG153">
        <v>0</v>
      </c>
      <c r="BH153">
        <v>9988.75</v>
      </c>
      <c r="BI153">
        <v>1066.24</v>
      </c>
      <c r="BJ153">
        <v>1.8501799999999999</v>
      </c>
      <c r="BK153">
        <v>-429.54700000000003</v>
      </c>
      <c r="BL153">
        <v>380.97</v>
      </c>
      <c r="BM153">
        <v>805.99599999999998</v>
      </c>
      <c r="BN153">
        <v>20.108599999999999</v>
      </c>
      <c r="BO153">
        <v>800.04</v>
      </c>
      <c r="BP153">
        <v>7.3895999999999997</v>
      </c>
      <c r="BQ153">
        <v>2.7244899999999999</v>
      </c>
      <c r="BR153">
        <v>0.73215300000000005</v>
      </c>
      <c r="BS153">
        <v>22.433599999999998</v>
      </c>
      <c r="BT153">
        <v>2.45574</v>
      </c>
      <c r="BU153">
        <v>1800</v>
      </c>
      <c r="BV153">
        <v>0.91002099999999997</v>
      </c>
      <c r="BW153">
        <v>3.4001999999999998E-2</v>
      </c>
      <c r="BX153">
        <v>2.1990800000000001E-2</v>
      </c>
      <c r="BY153">
        <v>3.3985700000000001E-2</v>
      </c>
      <c r="BZ153">
        <v>25</v>
      </c>
      <c r="CA153">
        <v>33528.5</v>
      </c>
      <c r="CB153">
        <v>1690203121.0999999</v>
      </c>
      <c r="CC153" t="s">
        <v>332</v>
      </c>
      <c r="CD153">
        <v>1690203121.0999999</v>
      </c>
      <c r="CE153">
        <v>1690203121.0999999</v>
      </c>
      <c r="CF153">
        <v>3</v>
      </c>
      <c r="CG153">
        <v>0.53600000000000003</v>
      </c>
      <c r="CH153">
        <v>-0.01</v>
      </c>
      <c r="CI153">
        <v>-0.996</v>
      </c>
      <c r="CJ153">
        <v>-6.6000000000000003E-2</v>
      </c>
      <c r="CK153">
        <v>800</v>
      </c>
      <c r="CL153">
        <v>9</v>
      </c>
      <c r="CM153">
        <v>0.82</v>
      </c>
      <c r="CN153">
        <v>0.01</v>
      </c>
      <c r="CO153">
        <v>-428.46731707317059</v>
      </c>
      <c r="CP153">
        <v>-5.4147177700359173</v>
      </c>
      <c r="CQ153">
        <v>0.53648528445821619</v>
      </c>
      <c r="CR153">
        <v>-1</v>
      </c>
      <c r="CS153">
        <v>20.09017317073171</v>
      </c>
      <c r="CT153">
        <v>0.13828432055752221</v>
      </c>
      <c r="CU153">
        <v>1.3937649036984939E-2</v>
      </c>
      <c r="CV153">
        <v>-1</v>
      </c>
      <c r="CW153">
        <v>0</v>
      </c>
      <c r="CX153">
        <v>0</v>
      </c>
      <c r="CY153" t="s">
        <v>333</v>
      </c>
      <c r="CZ153">
        <v>2.3654000000000002</v>
      </c>
      <c r="DA153">
        <v>2.7138100000000001</v>
      </c>
      <c r="DB153">
        <v>8.4579500000000002E-2</v>
      </c>
      <c r="DC153">
        <v>0.14627999999999999</v>
      </c>
      <c r="DD153">
        <v>0.125502</v>
      </c>
      <c r="DE153">
        <v>4.6734199999999997E-2</v>
      </c>
      <c r="DF153">
        <v>33408.6</v>
      </c>
      <c r="DG153">
        <v>27471.3</v>
      </c>
      <c r="DH153">
        <v>31154.2</v>
      </c>
      <c r="DI153">
        <v>28037.200000000001</v>
      </c>
      <c r="DJ153">
        <v>36969.699999999997</v>
      </c>
      <c r="DK153">
        <v>37986.1</v>
      </c>
      <c r="DL153">
        <v>44329.7</v>
      </c>
      <c r="DM153">
        <v>42470.400000000001</v>
      </c>
      <c r="DN153">
        <v>1.4838</v>
      </c>
      <c r="DO153">
        <v>2.0556800000000002</v>
      </c>
      <c r="DP153">
        <v>0.17146</v>
      </c>
      <c r="DQ153">
        <v>0.158776</v>
      </c>
      <c r="DR153">
        <v>24.2683</v>
      </c>
      <c r="DS153">
        <v>24.233799999999999</v>
      </c>
      <c r="DT153">
        <v>23.9</v>
      </c>
      <c r="DU153">
        <v>27.8</v>
      </c>
      <c r="DV153">
        <v>9.0471699999999995</v>
      </c>
      <c r="DW153">
        <v>61.4955</v>
      </c>
      <c r="DX153">
        <v>35.9375</v>
      </c>
      <c r="DY153">
        <v>1</v>
      </c>
      <c r="DZ153">
        <v>-0.133882</v>
      </c>
      <c r="EA153">
        <v>0.52991600000000005</v>
      </c>
      <c r="EB153">
        <v>20.189599999999999</v>
      </c>
      <c r="EC153">
        <v>5.2408000000000001</v>
      </c>
      <c r="ED153">
        <v>12.039899999999999</v>
      </c>
      <c r="EE153">
        <v>5.0171000000000001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</v>
      </c>
      <c r="EL153">
        <v>1.8646199999999999</v>
      </c>
      <c r="EM153">
        <v>1.8691599999999999</v>
      </c>
      <c r="EN153">
        <v>1.8672200000000001</v>
      </c>
      <c r="EO153">
        <v>1.8633999999999999</v>
      </c>
      <c r="EP153">
        <v>1.8644799999999999</v>
      </c>
      <c r="EQ153">
        <v>1.8701399999999999</v>
      </c>
      <c r="ER153">
        <v>1.8693900000000001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-0.69199999999999995</v>
      </c>
      <c r="FG153">
        <v>0.1678</v>
      </c>
      <c r="FH153">
        <v>-0.44422204735670362</v>
      </c>
      <c r="FI153">
        <v>-6.1462078757559423E-4</v>
      </c>
      <c r="FJ153">
        <v>-1.8861989874597051E-7</v>
      </c>
      <c r="FK153">
        <v>1.1980462299894961E-10</v>
      </c>
      <c r="FL153">
        <v>0.16773393518503121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33.6</v>
      </c>
      <c r="FU153">
        <v>33.6</v>
      </c>
      <c r="FV153">
        <v>1.77979</v>
      </c>
      <c r="FW153">
        <v>2.5610400000000002</v>
      </c>
      <c r="FX153">
        <v>1.5490699999999999</v>
      </c>
      <c r="FY153">
        <v>2.33521</v>
      </c>
      <c r="FZ153">
        <v>1.50146</v>
      </c>
      <c r="GA153">
        <v>2.2583000000000002</v>
      </c>
      <c r="GB153">
        <v>32.487499999999997</v>
      </c>
      <c r="GC153">
        <v>23.982399999999998</v>
      </c>
      <c r="GD153">
        <v>19</v>
      </c>
      <c r="GE153">
        <v>283.971</v>
      </c>
      <c r="GF153">
        <v>593.64099999999996</v>
      </c>
      <c r="GG153">
        <v>23.647200000000002</v>
      </c>
      <c r="GH153">
        <v>25.703600000000002</v>
      </c>
      <c r="GI153">
        <v>30.0001</v>
      </c>
      <c r="GJ153">
        <v>25.868500000000001</v>
      </c>
      <c r="GK153">
        <v>25.8538</v>
      </c>
      <c r="GL153">
        <v>35.597299999999997</v>
      </c>
      <c r="GM153">
        <v>-30</v>
      </c>
      <c r="GN153">
        <v>-30</v>
      </c>
      <c r="GO153">
        <v>23.6051</v>
      </c>
      <c r="GP153">
        <v>800</v>
      </c>
      <c r="GQ153">
        <v>12.5298</v>
      </c>
      <c r="GR153">
        <v>99.672600000000003</v>
      </c>
      <c r="GS153">
        <v>99.375600000000006</v>
      </c>
    </row>
    <row r="154" spans="1:201" x14ac:dyDescent="0.25">
      <c r="A154">
        <v>138</v>
      </c>
      <c r="B154">
        <v>1690205145.5</v>
      </c>
      <c r="C154">
        <v>1705.900000095367</v>
      </c>
      <c r="D154" t="s">
        <v>609</v>
      </c>
      <c r="E154" t="s">
        <v>610</v>
      </c>
      <c r="F154" t="s">
        <v>330</v>
      </c>
      <c r="H154">
        <v>1690205145.5</v>
      </c>
      <c r="I154">
        <f t="shared" si="60"/>
        <v>1.9895796931548399E-3</v>
      </c>
      <c r="J154">
        <f t="shared" si="61"/>
        <v>1.98957969315484</v>
      </c>
      <c r="K154">
        <f t="shared" si="62"/>
        <v>40.678429527057105</v>
      </c>
      <c r="L154">
        <f t="shared" si="63"/>
        <v>369.53300000000002</v>
      </c>
      <c r="M154">
        <f t="shared" si="64"/>
        <v>75.450893059754563</v>
      </c>
      <c r="N154">
        <f t="shared" si="65"/>
        <v>7.4831412179140155</v>
      </c>
      <c r="O154">
        <f t="shared" si="66"/>
        <v>36.649899179979506</v>
      </c>
      <c r="P154">
        <f t="shared" si="67"/>
        <v>0.2350920347805783</v>
      </c>
      <c r="Q154">
        <f t="shared" si="68"/>
        <v>2.1925985994872588</v>
      </c>
      <c r="R154">
        <f t="shared" si="69"/>
        <v>0.22193230821148927</v>
      </c>
      <c r="S154">
        <f t="shared" si="70"/>
        <v>0.13982861933901622</v>
      </c>
      <c r="T154">
        <f t="shared" si="71"/>
        <v>276.11397781199997</v>
      </c>
      <c r="U154">
        <f t="shared" si="72"/>
        <v>27.040217699239783</v>
      </c>
      <c r="V154">
        <f t="shared" si="73"/>
        <v>27.040217699239783</v>
      </c>
      <c r="W154">
        <f t="shared" si="74"/>
        <v>3.5876226933739477</v>
      </c>
      <c r="X154">
        <f t="shared" si="75"/>
        <v>82.811470473805471</v>
      </c>
      <c r="Y154">
        <f t="shared" si="76"/>
        <v>2.7268065316887</v>
      </c>
      <c r="Z154">
        <f t="shared" si="77"/>
        <v>3.2927884459571701</v>
      </c>
      <c r="AA154">
        <f t="shared" si="78"/>
        <v>0.86081616168524766</v>
      </c>
      <c r="AB154">
        <f t="shared" si="79"/>
        <v>-87.740464468128437</v>
      </c>
      <c r="AC154">
        <f t="shared" si="80"/>
        <v>-171.71012611605295</v>
      </c>
      <c r="AD154">
        <f t="shared" si="81"/>
        <v>-16.785382243913098</v>
      </c>
      <c r="AE154">
        <f t="shared" si="82"/>
        <v>-0.12199501609450181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52571.741305889343</v>
      </c>
      <c r="AK154">
        <f t="shared" si="86"/>
        <v>1800</v>
      </c>
      <c r="AL154">
        <f t="shared" si="87"/>
        <v>1499.1127361999997</v>
      </c>
      <c r="AM154">
        <f t="shared" si="88"/>
        <v>0.83284040899999989</v>
      </c>
      <c r="AN154">
        <f t="shared" si="89"/>
        <v>0.15339665433999999</v>
      </c>
      <c r="AO154">
        <v>31.2</v>
      </c>
      <c r="AP154">
        <v>0.5</v>
      </c>
      <c r="AQ154" t="s">
        <v>331</v>
      </c>
      <c r="AR154">
        <v>2</v>
      </c>
      <c r="AS154">
        <v>1690205145.5</v>
      </c>
      <c r="AT154">
        <v>369.53300000000002</v>
      </c>
      <c r="AU154">
        <v>799.95799999999997</v>
      </c>
      <c r="AV154">
        <v>27.4938</v>
      </c>
      <c r="AW154">
        <v>7.3840000000000003</v>
      </c>
      <c r="AX154">
        <v>370.22399999999999</v>
      </c>
      <c r="AY154">
        <v>27.326000000000001</v>
      </c>
      <c r="AZ154">
        <v>300.19299999999998</v>
      </c>
      <c r="BA154">
        <v>99.078999999999994</v>
      </c>
      <c r="BB154">
        <v>9.9961499999999995E-2</v>
      </c>
      <c r="BC154">
        <v>25.587599999999998</v>
      </c>
      <c r="BD154">
        <v>26.977</v>
      </c>
      <c r="BE154">
        <v>26.815899999999999</v>
      </c>
      <c r="BF154">
        <v>0</v>
      </c>
      <c r="BG154">
        <v>0</v>
      </c>
      <c r="BH154">
        <v>9986.8799999999992</v>
      </c>
      <c r="BI154">
        <v>1066.24</v>
      </c>
      <c r="BJ154">
        <v>1.8501799999999999</v>
      </c>
      <c r="BK154">
        <v>-430.42500000000001</v>
      </c>
      <c r="BL154">
        <v>379.98</v>
      </c>
      <c r="BM154">
        <v>805.90800000000002</v>
      </c>
      <c r="BN154">
        <v>20.1098</v>
      </c>
      <c r="BO154">
        <v>799.95799999999997</v>
      </c>
      <c r="BP154">
        <v>7.3840000000000003</v>
      </c>
      <c r="BQ154">
        <v>2.7240600000000001</v>
      </c>
      <c r="BR154">
        <v>0.731599</v>
      </c>
      <c r="BS154">
        <v>22.431000000000001</v>
      </c>
      <c r="BT154">
        <v>2.4451100000000001</v>
      </c>
      <c r="BU154">
        <v>1800</v>
      </c>
      <c r="BV154">
        <v>0.91001799999999999</v>
      </c>
      <c r="BW154">
        <v>3.4001900000000002E-2</v>
      </c>
      <c r="BX154">
        <v>2.1990699999999998E-2</v>
      </c>
      <c r="BY154">
        <v>3.3989400000000003E-2</v>
      </c>
      <c r="BZ154">
        <v>25</v>
      </c>
      <c r="CA154">
        <v>33528.5</v>
      </c>
      <c r="CB154">
        <v>1690203121.0999999</v>
      </c>
      <c r="CC154" t="s">
        <v>332</v>
      </c>
      <c r="CD154">
        <v>1690203121.0999999</v>
      </c>
      <c r="CE154">
        <v>1690203121.0999999</v>
      </c>
      <c r="CF154">
        <v>3</v>
      </c>
      <c r="CG154">
        <v>0.53600000000000003</v>
      </c>
      <c r="CH154">
        <v>-0.01</v>
      </c>
      <c r="CI154">
        <v>-0.996</v>
      </c>
      <c r="CJ154">
        <v>-6.6000000000000003E-2</v>
      </c>
      <c r="CK154">
        <v>800</v>
      </c>
      <c r="CL154">
        <v>9</v>
      </c>
      <c r="CM154">
        <v>0.82</v>
      </c>
      <c r="CN154">
        <v>0.01</v>
      </c>
      <c r="CO154">
        <v>-429.3974146341464</v>
      </c>
      <c r="CP154">
        <v>-5.7012961672468423</v>
      </c>
      <c r="CQ154">
        <v>0.56460614269702303</v>
      </c>
      <c r="CR154">
        <v>-1</v>
      </c>
      <c r="CS154">
        <v>20.105626829268299</v>
      </c>
      <c r="CT154">
        <v>4.2407665505255182E-2</v>
      </c>
      <c r="CU154">
        <v>4.6170428921996484E-3</v>
      </c>
      <c r="CV154">
        <v>-1</v>
      </c>
      <c r="CW154">
        <v>0</v>
      </c>
      <c r="CX154">
        <v>0</v>
      </c>
      <c r="CY154" t="s">
        <v>333</v>
      </c>
      <c r="CZ154">
        <v>2.3651399999999998</v>
      </c>
      <c r="DA154">
        <v>2.71374</v>
      </c>
      <c r="DB154">
        <v>8.4410100000000002E-2</v>
      </c>
      <c r="DC154">
        <v>0.14627100000000001</v>
      </c>
      <c r="DD154">
        <v>0.12548899999999999</v>
      </c>
      <c r="DE154">
        <v>4.6706400000000002E-2</v>
      </c>
      <c r="DF154">
        <v>33415.1</v>
      </c>
      <c r="DG154">
        <v>27471.7</v>
      </c>
      <c r="DH154">
        <v>31154.400000000001</v>
      </c>
      <c r="DI154">
        <v>28037.3</v>
      </c>
      <c r="DJ154">
        <v>36970.400000000001</v>
      </c>
      <c r="DK154">
        <v>37987.599999999999</v>
      </c>
      <c r="DL154">
        <v>44329.9</v>
      </c>
      <c r="DM154">
        <v>42470.8</v>
      </c>
      <c r="DN154">
        <v>1.484</v>
      </c>
      <c r="DO154">
        <v>2.0562</v>
      </c>
      <c r="DP154">
        <v>0.164997</v>
      </c>
      <c r="DQ154">
        <v>0.15726699999999999</v>
      </c>
      <c r="DR154">
        <v>24.272600000000001</v>
      </c>
      <c r="DS154">
        <v>24.2377</v>
      </c>
      <c r="DT154">
        <v>23.9</v>
      </c>
      <c r="DU154">
        <v>27.8</v>
      </c>
      <c r="DV154">
        <v>9.0479000000000003</v>
      </c>
      <c r="DW154">
        <v>61.515500000000003</v>
      </c>
      <c r="DX154">
        <v>36.414299999999997</v>
      </c>
      <c r="DY154">
        <v>1</v>
      </c>
      <c r="DZ154">
        <v>-0.133328</v>
      </c>
      <c r="EA154">
        <v>0.50431599999999999</v>
      </c>
      <c r="EB154">
        <v>20.189900000000002</v>
      </c>
      <c r="EC154">
        <v>5.2411000000000003</v>
      </c>
      <c r="ED154">
        <v>12.039899999999999</v>
      </c>
      <c r="EE154">
        <v>5.0172499999999998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</v>
      </c>
      <c r="EL154">
        <v>1.8646199999999999</v>
      </c>
      <c r="EM154">
        <v>1.86913</v>
      </c>
      <c r="EN154">
        <v>1.8672200000000001</v>
      </c>
      <c r="EO154">
        <v>1.8633999999999999</v>
      </c>
      <c r="EP154">
        <v>1.8644700000000001</v>
      </c>
      <c r="EQ154">
        <v>1.8701300000000001</v>
      </c>
      <c r="ER154">
        <v>1.8693900000000001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-0.69099999999999995</v>
      </c>
      <c r="FG154">
        <v>0.1678</v>
      </c>
      <c r="FH154">
        <v>-0.44422204735670362</v>
      </c>
      <c r="FI154">
        <v>-6.1462078757559423E-4</v>
      </c>
      <c r="FJ154">
        <v>-1.8861989874597051E-7</v>
      </c>
      <c r="FK154">
        <v>1.1980462299894961E-10</v>
      </c>
      <c r="FL154">
        <v>0.16773393518503121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33.700000000000003</v>
      </c>
      <c r="FU154">
        <v>33.700000000000003</v>
      </c>
      <c r="FV154">
        <v>1.77979</v>
      </c>
      <c r="FW154">
        <v>2.5598100000000001</v>
      </c>
      <c r="FX154">
        <v>1.5490699999999999</v>
      </c>
      <c r="FY154">
        <v>2.33521</v>
      </c>
      <c r="FZ154">
        <v>1.50146</v>
      </c>
      <c r="GA154">
        <v>2.3938000000000001</v>
      </c>
      <c r="GB154">
        <v>32.487499999999997</v>
      </c>
      <c r="GC154">
        <v>23.991199999999999</v>
      </c>
      <c r="GD154">
        <v>19</v>
      </c>
      <c r="GE154">
        <v>284.04000000000002</v>
      </c>
      <c r="GF154">
        <v>594.04600000000005</v>
      </c>
      <c r="GG154">
        <v>23.526900000000001</v>
      </c>
      <c r="GH154">
        <v>25.7014</v>
      </c>
      <c r="GI154">
        <v>30.000399999999999</v>
      </c>
      <c r="GJ154">
        <v>25.864799999999999</v>
      </c>
      <c r="GK154">
        <v>25.850999999999999</v>
      </c>
      <c r="GL154">
        <v>35.599299999999999</v>
      </c>
      <c r="GM154">
        <v>-30</v>
      </c>
      <c r="GN154">
        <v>-30</v>
      </c>
      <c r="GO154">
        <v>23.530999999999999</v>
      </c>
      <c r="GP154">
        <v>800</v>
      </c>
      <c r="GQ154">
        <v>12.5298</v>
      </c>
      <c r="GR154">
        <v>99.673199999999994</v>
      </c>
      <c r="GS154">
        <v>99.376300000000001</v>
      </c>
    </row>
    <row r="155" spans="1:201" x14ac:dyDescent="0.25">
      <c r="A155">
        <v>139</v>
      </c>
      <c r="B155">
        <v>1690205155.5</v>
      </c>
      <c r="C155">
        <v>1715.900000095367</v>
      </c>
      <c r="D155" t="s">
        <v>611</v>
      </c>
      <c r="E155" t="s">
        <v>612</v>
      </c>
      <c r="F155" t="s">
        <v>330</v>
      </c>
      <c r="H155">
        <v>1690205155.5</v>
      </c>
      <c r="I155">
        <f t="shared" si="60"/>
        <v>1.9888038078182575E-3</v>
      </c>
      <c r="J155">
        <f t="shared" si="61"/>
        <v>1.9888038078182577</v>
      </c>
      <c r="K155">
        <f t="shared" si="62"/>
        <v>40.78632401950744</v>
      </c>
      <c r="L155">
        <f t="shared" si="63"/>
        <v>368.4</v>
      </c>
      <c r="M155">
        <f t="shared" si="64"/>
        <v>74.118337464411624</v>
      </c>
      <c r="N155">
        <f t="shared" si="65"/>
        <v>7.3510377354259537</v>
      </c>
      <c r="O155">
        <f t="shared" si="66"/>
        <v>36.537817689599997</v>
      </c>
      <c r="P155">
        <f t="shared" si="67"/>
        <v>0.23554929861721077</v>
      </c>
      <c r="Q155">
        <f t="shared" si="68"/>
        <v>2.1939132864828874</v>
      </c>
      <c r="R155">
        <f t="shared" si="69"/>
        <v>0.22234731318516143</v>
      </c>
      <c r="S155">
        <f t="shared" si="70"/>
        <v>0.14009151892639971</v>
      </c>
      <c r="T155">
        <f t="shared" si="71"/>
        <v>276.11399655000002</v>
      </c>
      <c r="U155">
        <f t="shared" si="72"/>
        <v>27.027204167200743</v>
      </c>
      <c r="V155">
        <f t="shared" si="73"/>
        <v>27.027204167200743</v>
      </c>
      <c r="W155">
        <f t="shared" si="74"/>
        <v>3.5848823494406012</v>
      </c>
      <c r="X155">
        <f t="shared" si="75"/>
        <v>82.847971276619276</v>
      </c>
      <c r="Y155">
        <f t="shared" si="76"/>
        <v>2.7259850177631999</v>
      </c>
      <c r="Z155">
        <f t="shared" si="77"/>
        <v>3.2903461313029236</v>
      </c>
      <c r="AA155">
        <f t="shared" si="78"/>
        <v>0.85889733167740134</v>
      </c>
      <c r="AB155">
        <f t="shared" si="79"/>
        <v>-87.70624792478516</v>
      </c>
      <c r="AC155">
        <f t="shared" si="80"/>
        <v>-171.75234421699105</v>
      </c>
      <c r="AD155">
        <f t="shared" si="81"/>
        <v>-16.777302853740252</v>
      </c>
      <c r="AE155">
        <f t="shared" si="82"/>
        <v>-0.12189844551642182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52627.945237259497</v>
      </c>
      <c r="AK155">
        <f t="shared" si="86"/>
        <v>1800</v>
      </c>
      <c r="AL155">
        <f t="shared" si="87"/>
        <v>1499.1131520000001</v>
      </c>
      <c r="AM155">
        <f t="shared" si="88"/>
        <v>0.83284064000000002</v>
      </c>
      <c r="AN155">
        <f t="shared" si="89"/>
        <v>0.15339666475000002</v>
      </c>
      <c r="AO155">
        <v>31.2</v>
      </c>
      <c r="AP155">
        <v>0.5</v>
      </c>
      <c r="AQ155" t="s">
        <v>331</v>
      </c>
      <c r="AR155">
        <v>2</v>
      </c>
      <c r="AS155">
        <v>1690205155.5</v>
      </c>
      <c r="AT155">
        <v>368.4</v>
      </c>
      <c r="AU155">
        <v>800.01199999999994</v>
      </c>
      <c r="AV155">
        <v>27.485299999999999</v>
      </c>
      <c r="AW155">
        <v>7.3788799999999997</v>
      </c>
      <c r="AX155">
        <v>369.09100000000001</v>
      </c>
      <c r="AY155">
        <v>27.317499999999999</v>
      </c>
      <c r="AZ155">
        <v>300.12900000000002</v>
      </c>
      <c r="BA155">
        <v>99.079700000000003</v>
      </c>
      <c r="BB155">
        <v>0.10004399999999999</v>
      </c>
      <c r="BC155">
        <v>25.575099999999999</v>
      </c>
      <c r="BD155">
        <v>26.9801</v>
      </c>
      <c r="BE155">
        <v>26.801100000000002</v>
      </c>
      <c r="BF155">
        <v>0</v>
      </c>
      <c r="BG155">
        <v>0</v>
      </c>
      <c r="BH155">
        <v>9997.5</v>
      </c>
      <c r="BI155">
        <v>1066.26</v>
      </c>
      <c r="BJ155">
        <v>1.8501799999999999</v>
      </c>
      <c r="BK155">
        <v>-431.61200000000002</v>
      </c>
      <c r="BL155">
        <v>378.81200000000001</v>
      </c>
      <c r="BM155">
        <v>805.95899999999995</v>
      </c>
      <c r="BN155">
        <v>20.106400000000001</v>
      </c>
      <c r="BO155">
        <v>800.01199999999994</v>
      </c>
      <c r="BP155">
        <v>7.3788799999999997</v>
      </c>
      <c r="BQ155">
        <v>2.72323</v>
      </c>
      <c r="BR155">
        <v>0.731097</v>
      </c>
      <c r="BS155">
        <v>22.425999999999998</v>
      </c>
      <c r="BT155">
        <v>2.43546</v>
      </c>
      <c r="BU155">
        <v>1800</v>
      </c>
      <c r="BV155">
        <v>0.91001900000000002</v>
      </c>
      <c r="BW155">
        <v>3.40016E-2</v>
      </c>
      <c r="BX155">
        <v>2.19905E-2</v>
      </c>
      <c r="BY155">
        <v>3.3989100000000001E-2</v>
      </c>
      <c r="BZ155">
        <v>25</v>
      </c>
      <c r="CA155">
        <v>33528.6</v>
      </c>
      <c r="CB155">
        <v>1690203121.0999999</v>
      </c>
      <c r="CC155" t="s">
        <v>332</v>
      </c>
      <c r="CD155">
        <v>1690203121.0999999</v>
      </c>
      <c r="CE155">
        <v>1690203121.0999999</v>
      </c>
      <c r="CF155">
        <v>3</v>
      </c>
      <c r="CG155">
        <v>0.53600000000000003</v>
      </c>
      <c r="CH155">
        <v>-0.01</v>
      </c>
      <c r="CI155">
        <v>-0.996</v>
      </c>
      <c r="CJ155">
        <v>-6.6000000000000003E-2</v>
      </c>
      <c r="CK155">
        <v>800</v>
      </c>
      <c r="CL155">
        <v>9</v>
      </c>
      <c r="CM155">
        <v>0.82</v>
      </c>
      <c r="CN155">
        <v>0.01</v>
      </c>
      <c r="CO155">
        <v>-430.43155000000002</v>
      </c>
      <c r="CP155">
        <v>-5.952652908067722</v>
      </c>
      <c r="CQ155">
        <v>0.57907456126132295</v>
      </c>
      <c r="CR155">
        <v>-1</v>
      </c>
      <c r="CS155">
        <v>20.107702499999998</v>
      </c>
      <c r="CT155">
        <v>-2.133320825519169E-2</v>
      </c>
      <c r="CU155">
        <v>2.4923370057036982E-3</v>
      </c>
      <c r="CV155">
        <v>-1</v>
      </c>
      <c r="CW155">
        <v>0</v>
      </c>
      <c r="CX155">
        <v>0</v>
      </c>
      <c r="CY155" t="s">
        <v>333</v>
      </c>
      <c r="CZ155">
        <v>2.3649200000000001</v>
      </c>
      <c r="DA155">
        <v>2.7138300000000002</v>
      </c>
      <c r="DB155">
        <v>8.4209999999999993E-2</v>
      </c>
      <c r="DC155">
        <v>0.14627899999999999</v>
      </c>
      <c r="DD155">
        <v>0.12546399999999999</v>
      </c>
      <c r="DE155">
        <v>4.6681199999999999E-2</v>
      </c>
      <c r="DF155">
        <v>33423.199999999997</v>
      </c>
      <c r="DG155">
        <v>27471.8</v>
      </c>
      <c r="DH155">
        <v>31155.200000000001</v>
      </c>
      <c r="DI155">
        <v>28037.599999999999</v>
      </c>
      <c r="DJ155">
        <v>36972.400000000001</v>
      </c>
      <c r="DK155">
        <v>37988.9</v>
      </c>
      <c r="DL155">
        <v>44331.1</v>
      </c>
      <c r="DM155">
        <v>42471.1</v>
      </c>
      <c r="DN155">
        <v>1.4847999999999999</v>
      </c>
      <c r="DO155">
        <v>2.0557799999999999</v>
      </c>
      <c r="DP155">
        <v>0.16506399999999999</v>
      </c>
      <c r="DQ155">
        <v>0.156358</v>
      </c>
      <c r="DR155">
        <v>24.2746</v>
      </c>
      <c r="DS155">
        <v>24.2379</v>
      </c>
      <c r="DT155">
        <v>23.9</v>
      </c>
      <c r="DU155">
        <v>27.8</v>
      </c>
      <c r="DV155">
        <v>9.0478299999999994</v>
      </c>
      <c r="DW155">
        <v>61.535499999999999</v>
      </c>
      <c r="DX155">
        <v>37.051299999999998</v>
      </c>
      <c r="DY155">
        <v>1</v>
      </c>
      <c r="DZ155">
        <v>-0.134604</v>
      </c>
      <c r="EA155">
        <v>-7.7641600000000005E-2</v>
      </c>
      <c r="EB155">
        <v>20.191400000000002</v>
      </c>
      <c r="EC155">
        <v>5.2409499999999998</v>
      </c>
      <c r="ED155">
        <v>12.039899999999999</v>
      </c>
      <c r="EE155">
        <v>5.0171000000000001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</v>
      </c>
      <c r="EL155">
        <v>1.8646199999999999</v>
      </c>
      <c r="EM155">
        <v>1.86913</v>
      </c>
      <c r="EN155">
        <v>1.8672200000000001</v>
      </c>
      <c r="EO155">
        <v>1.8633999999999999</v>
      </c>
      <c r="EP155">
        <v>1.8644799999999999</v>
      </c>
      <c r="EQ155">
        <v>1.8701399999999999</v>
      </c>
      <c r="ER155">
        <v>1.86941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-0.69099999999999995</v>
      </c>
      <c r="FG155">
        <v>0.1678</v>
      </c>
      <c r="FH155">
        <v>-0.44422204735670362</v>
      </c>
      <c r="FI155">
        <v>-6.1462078757559423E-4</v>
      </c>
      <c r="FJ155">
        <v>-1.8861989874597051E-7</v>
      </c>
      <c r="FK155">
        <v>1.1980462299894961E-10</v>
      </c>
      <c r="FL155">
        <v>0.16773393518503121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33.9</v>
      </c>
      <c r="FU155">
        <v>33.9</v>
      </c>
      <c r="FV155">
        <v>1.78101</v>
      </c>
      <c r="FW155">
        <v>2.5610400000000002</v>
      </c>
      <c r="FX155">
        <v>1.5490699999999999</v>
      </c>
      <c r="FY155">
        <v>2.33521</v>
      </c>
      <c r="FZ155">
        <v>1.50146</v>
      </c>
      <c r="GA155">
        <v>2.3828100000000001</v>
      </c>
      <c r="GB155">
        <v>32.487499999999997</v>
      </c>
      <c r="GC155">
        <v>23.991199999999999</v>
      </c>
      <c r="GD155">
        <v>19</v>
      </c>
      <c r="GE155">
        <v>284.36900000000003</v>
      </c>
      <c r="GF155">
        <v>593.66600000000005</v>
      </c>
      <c r="GG155">
        <v>23.6267</v>
      </c>
      <c r="GH155">
        <v>25.699200000000001</v>
      </c>
      <c r="GI155">
        <v>29.999500000000001</v>
      </c>
      <c r="GJ155">
        <v>25.862100000000002</v>
      </c>
      <c r="GK155">
        <v>25.848800000000001</v>
      </c>
      <c r="GL155">
        <v>35.599200000000003</v>
      </c>
      <c r="GM155">
        <v>-30</v>
      </c>
      <c r="GN155">
        <v>-30</v>
      </c>
      <c r="GO155">
        <v>23.679400000000001</v>
      </c>
      <c r="GP155">
        <v>800</v>
      </c>
      <c r="GQ155">
        <v>12.5298</v>
      </c>
      <c r="GR155">
        <v>99.675799999999995</v>
      </c>
      <c r="GS155">
        <v>99.377200000000002</v>
      </c>
    </row>
    <row r="156" spans="1:201" x14ac:dyDescent="0.25">
      <c r="A156">
        <v>140</v>
      </c>
      <c r="B156">
        <v>1690205165.5</v>
      </c>
      <c r="C156">
        <v>1725.900000095367</v>
      </c>
      <c r="D156" t="s">
        <v>613</v>
      </c>
      <c r="E156" t="s">
        <v>614</v>
      </c>
      <c r="F156" t="s">
        <v>330</v>
      </c>
      <c r="H156">
        <v>1690205165.5</v>
      </c>
      <c r="I156">
        <f t="shared" si="60"/>
        <v>1.9920499405594702E-3</v>
      </c>
      <c r="J156">
        <f t="shared" si="61"/>
        <v>1.9920499405594703</v>
      </c>
      <c r="K156">
        <f t="shared" si="62"/>
        <v>40.85439015726849</v>
      </c>
      <c r="L156">
        <f t="shared" si="63"/>
        <v>367.625</v>
      </c>
      <c r="M156">
        <f t="shared" si="64"/>
        <v>74.026643927161501</v>
      </c>
      <c r="N156">
        <f t="shared" si="65"/>
        <v>7.3417354605629663</v>
      </c>
      <c r="O156">
        <f t="shared" si="66"/>
        <v>36.459919773549998</v>
      </c>
      <c r="P156">
        <f t="shared" si="67"/>
        <v>0.23653519057613845</v>
      </c>
      <c r="Q156">
        <f t="shared" si="68"/>
        <v>2.1937261411227365</v>
      </c>
      <c r="R156">
        <f t="shared" si="69"/>
        <v>0.22322474498545247</v>
      </c>
      <c r="S156">
        <f t="shared" si="70"/>
        <v>0.14064890136013017</v>
      </c>
      <c r="T156">
        <f t="shared" si="71"/>
        <v>276.11487315000005</v>
      </c>
      <c r="U156">
        <f t="shared" si="72"/>
        <v>27.031413735306952</v>
      </c>
      <c r="V156">
        <f t="shared" si="73"/>
        <v>27.031413735306952</v>
      </c>
      <c r="W156">
        <f t="shared" si="74"/>
        <v>3.5857685855331201</v>
      </c>
      <c r="X156">
        <f t="shared" si="75"/>
        <v>82.910752871650146</v>
      </c>
      <c r="Y156">
        <f t="shared" si="76"/>
        <v>2.72889296575896</v>
      </c>
      <c r="Z156">
        <f t="shared" si="77"/>
        <v>3.2913619418984394</v>
      </c>
      <c r="AA156">
        <f t="shared" si="78"/>
        <v>0.85687561977416005</v>
      </c>
      <c r="AB156">
        <f t="shared" si="79"/>
        <v>-87.849402378672636</v>
      </c>
      <c r="AC156">
        <f t="shared" si="80"/>
        <v>-171.62055682392642</v>
      </c>
      <c r="AD156">
        <f t="shared" si="81"/>
        <v>-16.766650128251886</v>
      </c>
      <c r="AE156">
        <f t="shared" si="82"/>
        <v>-0.12173618085091675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52619.283134600795</v>
      </c>
      <c r="AK156">
        <f t="shared" si="86"/>
        <v>1800</v>
      </c>
      <c r="AL156">
        <f t="shared" si="87"/>
        <v>1499.1127019999999</v>
      </c>
      <c r="AM156">
        <f t="shared" si="88"/>
        <v>0.83284038999999999</v>
      </c>
      <c r="AN156">
        <f t="shared" si="89"/>
        <v>0.15339715175000002</v>
      </c>
      <c r="AO156">
        <v>31.2</v>
      </c>
      <c r="AP156">
        <v>0.5</v>
      </c>
      <c r="AQ156" t="s">
        <v>331</v>
      </c>
      <c r="AR156">
        <v>2</v>
      </c>
      <c r="AS156">
        <v>1690205165.5</v>
      </c>
      <c r="AT156">
        <v>367.625</v>
      </c>
      <c r="AU156">
        <v>800.01300000000003</v>
      </c>
      <c r="AV156">
        <v>27.5154</v>
      </c>
      <c r="AW156">
        <v>7.3734299999999999</v>
      </c>
      <c r="AX156">
        <v>368.315</v>
      </c>
      <c r="AY156">
        <v>27.3477</v>
      </c>
      <c r="AZ156">
        <v>300.07900000000001</v>
      </c>
      <c r="BA156">
        <v>99.076999999999998</v>
      </c>
      <c r="BB156">
        <v>9.9932400000000005E-2</v>
      </c>
      <c r="BC156">
        <v>25.580300000000001</v>
      </c>
      <c r="BD156">
        <v>26.969000000000001</v>
      </c>
      <c r="BE156">
        <v>26.808</v>
      </c>
      <c r="BF156">
        <v>0</v>
      </c>
      <c r="BG156">
        <v>0</v>
      </c>
      <c r="BH156">
        <v>9996.25</v>
      </c>
      <c r="BI156">
        <v>1066.31</v>
      </c>
      <c r="BJ156">
        <v>1.8501799999999999</v>
      </c>
      <c r="BK156">
        <v>-432.38799999999998</v>
      </c>
      <c r="BL156">
        <v>378.02600000000001</v>
      </c>
      <c r="BM156">
        <v>805.95600000000002</v>
      </c>
      <c r="BN156">
        <v>20.141999999999999</v>
      </c>
      <c r="BO156">
        <v>800.01300000000003</v>
      </c>
      <c r="BP156">
        <v>7.3734299999999999</v>
      </c>
      <c r="BQ156">
        <v>2.72614</v>
      </c>
      <c r="BR156">
        <v>0.73053699999999999</v>
      </c>
      <c r="BS156">
        <v>22.4436</v>
      </c>
      <c r="BT156">
        <v>2.4247000000000001</v>
      </c>
      <c r="BU156">
        <v>1800</v>
      </c>
      <c r="BV156">
        <v>0.91000599999999998</v>
      </c>
      <c r="BW156">
        <v>3.4001200000000002E-2</v>
      </c>
      <c r="BX156">
        <v>2.1995500000000001E-2</v>
      </c>
      <c r="BY156">
        <v>3.3997899999999998E-2</v>
      </c>
      <c r="BZ156">
        <v>25</v>
      </c>
      <c r="CA156">
        <v>33528.400000000001</v>
      </c>
      <c r="CB156">
        <v>1690203121.0999999</v>
      </c>
      <c r="CC156" t="s">
        <v>332</v>
      </c>
      <c r="CD156">
        <v>1690203121.0999999</v>
      </c>
      <c r="CE156">
        <v>1690203121.0999999</v>
      </c>
      <c r="CF156">
        <v>3</v>
      </c>
      <c r="CG156">
        <v>0.53600000000000003</v>
      </c>
      <c r="CH156">
        <v>-0.01</v>
      </c>
      <c r="CI156">
        <v>-0.996</v>
      </c>
      <c r="CJ156">
        <v>-6.6000000000000003E-2</v>
      </c>
      <c r="CK156">
        <v>800</v>
      </c>
      <c r="CL156">
        <v>9</v>
      </c>
      <c r="CM156">
        <v>0.82</v>
      </c>
      <c r="CN156">
        <v>0.01</v>
      </c>
      <c r="CO156">
        <v>-431.44170731707322</v>
      </c>
      <c r="CP156">
        <v>-6.189993031358636</v>
      </c>
      <c r="CQ156">
        <v>0.61587471975578301</v>
      </c>
      <c r="CR156">
        <v>-1</v>
      </c>
      <c r="CS156">
        <v>20.113192682926829</v>
      </c>
      <c r="CT156">
        <v>8.4117073170747056E-2</v>
      </c>
      <c r="CU156">
        <v>1.0368700326484711E-2</v>
      </c>
      <c r="CV156">
        <v>-1</v>
      </c>
      <c r="CW156">
        <v>0</v>
      </c>
      <c r="CX156">
        <v>0</v>
      </c>
      <c r="CY156" t="s">
        <v>333</v>
      </c>
      <c r="CZ156">
        <v>2.36477</v>
      </c>
      <c r="DA156">
        <v>2.7137199999999999</v>
      </c>
      <c r="DB156">
        <v>8.4070699999999998E-2</v>
      </c>
      <c r="DC156">
        <v>0.14627599999999999</v>
      </c>
      <c r="DD156">
        <v>0.125557</v>
      </c>
      <c r="DE156">
        <v>4.6652800000000001E-2</v>
      </c>
      <c r="DF156">
        <v>33429.1</v>
      </c>
      <c r="DG156">
        <v>27472.6</v>
      </c>
      <c r="DH156">
        <v>31155.9</v>
      </c>
      <c r="DI156">
        <v>28038.3</v>
      </c>
      <c r="DJ156">
        <v>36969.5</v>
      </c>
      <c r="DK156">
        <v>37990.800000000003</v>
      </c>
      <c r="DL156">
        <v>44332.4</v>
      </c>
      <c r="DM156">
        <v>42472</v>
      </c>
      <c r="DN156">
        <v>1.4844999999999999</v>
      </c>
      <c r="DO156">
        <v>2.0562</v>
      </c>
      <c r="DP156">
        <v>0.16425899999999999</v>
      </c>
      <c r="DQ156">
        <v>0.156779</v>
      </c>
      <c r="DR156">
        <v>24.276599999999998</v>
      </c>
      <c r="DS156">
        <v>24.2379</v>
      </c>
      <c r="DT156">
        <v>23.9</v>
      </c>
      <c r="DU156">
        <v>27.8</v>
      </c>
      <c r="DV156">
        <v>9.0473499999999998</v>
      </c>
      <c r="DW156">
        <v>61.825499999999998</v>
      </c>
      <c r="DX156">
        <v>37.211500000000001</v>
      </c>
      <c r="DY156">
        <v>1</v>
      </c>
      <c r="DZ156">
        <v>-0.13528999999999999</v>
      </c>
      <c r="EA156">
        <v>9.8235299999999998E-2</v>
      </c>
      <c r="EB156">
        <v>20.191299999999998</v>
      </c>
      <c r="EC156">
        <v>5.2411000000000003</v>
      </c>
      <c r="ED156">
        <v>12.039899999999999</v>
      </c>
      <c r="EE156">
        <v>5.0172999999999996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</v>
      </c>
      <c r="EL156">
        <v>1.8646199999999999</v>
      </c>
      <c r="EM156">
        <v>1.8691599999999999</v>
      </c>
      <c r="EN156">
        <v>1.8672200000000001</v>
      </c>
      <c r="EO156">
        <v>1.8633999999999999</v>
      </c>
      <c r="EP156">
        <v>1.8644700000000001</v>
      </c>
      <c r="EQ156">
        <v>1.8701399999999999</v>
      </c>
      <c r="ER156">
        <v>1.8694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-0.69</v>
      </c>
      <c r="FG156">
        <v>0.16769999999999999</v>
      </c>
      <c r="FH156">
        <v>-0.44422204735670362</v>
      </c>
      <c r="FI156">
        <v>-6.1462078757559423E-4</v>
      </c>
      <c r="FJ156">
        <v>-1.8861989874597051E-7</v>
      </c>
      <c r="FK156">
        <v>1.1980462299894961E-10</v>
      </c>
      <c r="FL156">
        <v>0.16773393518503121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34.1</v>
      </c>
      <c r="FU156">
        <v>34.1</v>
      </c>
      <c r="FV156">
        <v>1.77979</v>
      </c>
      <c r="FW156">
        <v>2.5573700000000001</v>
      </c>
      <c r="FX156">
        <v>1.5490699999999999</v>
      </c>
      <c r="FY156">
        <v>2.33521</v>
      </c>
      <c r="FZ156">
        <v>1.50146</v>
      </c>
      <c r="GA156">
        <v>2.4023400000000001</v>
      </c>
      <c r="GB156">
        <v>32.487499999999997</v>
      </c>
      <c r="GC156">
        <v>23.991199999999999</v>
      </c>
      <c r="GD156">
        <v>19</v>
      </c>
      <c r="GE156">
        <v>284.23</v>
      </c>
      <c r="GF156">
        <v>593.98599999999999</v>
      </c>
      <c r="GG156">
        <v>23.704499999999999</v>
      </c>
      <c r="GH156">
        <v>25.697099999999999</v>
      </c>
      <c r="GI156">
        <v>30</v>
      </c>
      <c r="GJ156">
        <v>25.8599</v>
      </c>
      <c r="GK156">
        <v>25.845700000000001</v>
      </c>
      <c r="GL156">
        <v>35.595599999999997</v>
      </c>
      <c r="GM156">
        <v>-30</v>
      </c>
      <c r="GN156">
        <v>-30</v>
      </c>
      <c r="GO156">
        <v>23.6967</v>
      </c>
      <c r="GP156">
        <v>800</v>
      </c>
      <c r="GQ156">
        <v>12.5298</v>
      </c>
      <c r="GR156">
        <v>99.6785</v>
      </c>
      <c r="GS156">
        <v>99.379499999999993</v>
      </c>
    </row>
    <row r="157" spans="1:201" x14ac:dyDescent="0.25">
      <c r="A157">
        <v>141</v>
      </c>
      <c r="B157">
        <v>1690205175.5</v>
      </c>
      <c r="C157">
        <v>1735.900000095367</v>
      </c>
      <c r="D157" t="s">
        <v>615</v>
      </c>
      <c r="E157" t="s">
        <v>616</v>
      </c>
      <c r="F157" t="s">
        <v>330</v>
      </c>
      <c r="H157">
        <v>1690205175.5</v>
      </c>
      <c r="I157">
        <f t="shared" si="60"/>
        <v>1.996441721958364E-3</v>
      </c>
      <c r="J157">
        <f t="shared" si="61"/>
        <v>1.9964417219583639</v>
      </c>
      <c r="K157">
        <f t="shared" si="62"/>
        <v>40.942380009146611</v>
      </c>
      <c r="L157">
        <f t="shared" si="63"/>
        <v>366.75299999999999</v>
      </c>
      <c r="M157">
        <f t="shared" si="64"/>
        <v>73.621197377024274</v>
      </c>
      <c r="N157">
        <f t="shared" si="65"/>
        <v>7.3016158425635398</v>
      </c>
      <c r="O157">
        <f t="shared" si="66"/>
        <v>36.373892445593697</v>
      </c>
      <c r="P157">
        <f t="shared" si="67"/>
        <v>0.23746850697443206</v>
      </c>
      <c r="Q157">
        <f t="shared" si="68"/>
        <v>2.1921259997613154</v>
      </c>
      <c r="R157">
        <f t="shared" si="69"/>
        <v>0.22404681450508024</v>
      </c>
      <c r="S157">
        <f t="shared" si="70"/>
        <v>0.14117189042374412</v>
      </c>
      <c r="T157">
        <f t="shared" si="71"/>
        <v>276.114037338</v>
      </c>
      <c r="U157">
        <f t="shared" si="72"/>
        <v>27.042464036510651</v>
      </c>
      <c r="V157">
        <f t="shared" si="73"/>
        <v>27.042464036510651</v>
      </c>
      <c r="W157">
        <f t="shared" si="74"/>
        <v>3.5880959042087479</v>
      </c>
      <c r="X157">
        <f t="shared" si="75"/>
        <v>82.963124845071547</v>
      </c>
      <c r="Y157">
        <f t="shared" si="76"/>
        <v>2.7324975128370599</v>
      </c>
      <c r="Z157">
        <f t="shared" si="77"/>
        <v>3.2936289682191076</v>
      </c>
      <c r="AA157">
        <f t="shared" si="78"/>
        <v>0.85559839137168803</v>
      </c>
      <c r="AB157">
        <f t="shared" si="79"/>
        <v>-88.04307993836386</v>
      </c>
      <c r="AC157">
        <f t="shared" si="80"/>
        <v>-171.4304094084907</v>
      </c>
      <c r="AD157">
        <f t="shared" si="81"/>
        <v>-16.76220124685754</v>
      </c>
      <c r="AE157">
        <f t="shared" si="82"/>
        <v>-0.12165325571211838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52551.568921894359</v>
      </c>
      <c r="AK157">
        <f t="shared" si="86"/>
        <v>1800</v>
      </c>
      <c r="AL157">
        <f t="shared" si="87"/>
        <v>1499.1110928000001</v>
      </c>
      <c r="AM157">
        <f t="shared" si="88"/>
        <v>0.83283949600000007</v>
      </c>
      <c r="AN157">
        <f t="shared" si="89"/>
        <v>0.15339668741000001</v>
      </c>
      <c r="AO157">
        <v>31.2</v>
      </c>
      <c r="AP157">
        <v>0.5</v>
      </c>
      <c r="AQ157" t="s">
        <v>331</v>
      </c>
      <c r="AR157">
        <v>2</v>
      </c>
      <c r="AS157">
        <v>1690205175.5</v>
      </c>
      <c r="AT157">
        <v>366.75299999999999</v>
      </c>
      <c r="AU157">
        <v>800.01700000000005</v>
      </c>
      <c r="AV157">
        <v>27.551400000000001</v>
      </c>
      <c r="AW157">
        <v>7.3675199999999998</v>
      </c>
      <c r="AX157">
        <v>367.44299999999998</v>
      </c>
      <c r="AY157">
        <v>27.383600000000001</v>
      </c>
      <c r="AZ157">
        <v>300.10500000000002</v>
      </c>
      <c r="BA157">
        <v>99.078199999999995</v>
      </c>
      <c r="BB157">
        <v>9.9972900000000003E-2</v>
      </c>
      <c r="BC157">
        <v>25.591899999999999</v>
      </c>
      <c r="BD157">
        <v>26.964099999999998</v>
      </c>
      <c r="BE157">
        <v>26.7986</v>
      </c>
      <c r="BF157">
        <v>0</v>
      </c>
      <c r="BG157">
        <v>0</v>
      </c>
      <c r="BH157">
        <v>9983.1200000000008</v>
      </c>
      <c r="BI157">
        <v>1066.3900000000001</v>
      </c>
      <c r="BJ157">
        <v>1.8501799999999999</v>
      </c>
      <c r="BK157">
        <v>-433.26400000000001</v>
      </c>
      <c r="BL157">
        <v>377.14400000000001</v>
      </c>
      <c r="BM157">
        <v>805.95500000000004</v>
      </c>
      <c r="BN157">
        <v>20.183900000000001</v>
      </c>
      <c r="BO157">
        <v>800.01700000000005</v>
      </c>
      <c r="BP157">
        <v>7.3675199999999998</v>
      </c>
      <c r="BQ157">
        <v>2.7297400000000001</v>
      </c>
      <c r="BR157">
        <v>0.72996099999999997</v>
      </c>
      <c r="BS157">
        <v>22.465199999999999</v>
      </c>
      <c r="BT157">
        <v>2.4136099999999998</v>
      </c>
      <c r="BU157">
        <v>1800</v>
      </c>
      <c r="BV157">
        <v>0.91000800000000004</v>
      </c>
      <c r="BW157">
        <v>3.4001200000000002E-2</v>
      </c>
      <c r="BX157">
        <v>2.1990300000000001E-2</v>
      </c>
      <c r="BY157">
        <v>3.4000500000000003E-2</v>
      </c>
      <c r="BZ157">
        <v>25</v>
      </c>
      <c r="CA157">
        <v>33528.5</v>
      </c>
      <c r="CB157">
        <v>1690203121.0999999</v>
      </c>
      <c r="CC157" t="s">
        <v>332</v>
      </c>
      <c r="CD157">
        <v>1690203121.0999999</v>
      </c>
      <c r="CE157">
        <v>1690203121.0999999</v>
      </c>
      <c r="CF157">
        <v>3</v>
      </c>
      <c r="CG157">
        <v>0.53600000000000003</v>
      </c>
      <c r="CH157">
        <v>-0.01</v>
      </c>
      <c r="CI157">
        <v>-0.996</v>
      </c>
      <c r="CJ157">
        <v>-6.6000000000000003E-2</v>
      </c>
      <c r="CK157">
        <v>800</v>
      </c>
      <c r="CL157">
        <v>9</v>
      </c>
      <c r="CM157">
        <v>0.82</v>
      </c>
      <c r="CN157">
        <v>0.01</v>
      </c>
      <c r="CO157">
        <v>-432.32114634146342</v>
      </c>
      <c r="CP157">
        <v>-4.7882508710802618</v>
      </c>
      <c r="CQ157">
        <v>0.48025453418844849</v>
      </c>
      <c r="CR157">
        <v>-1</v>
      </c>
      <c r="CS157">
        <v>20.140263414634148</v>
      </c>
      <c r="CT157">
        <v>0.2388250871080298</v>
      </c>
      <c r="CU157">
        <v>2.362019346999062E-2</v>
      </c>
      <c r="CV157">
        <v>-1</v>
      </c>
      <c r="CW157">
        <v>0</v>
      </c>
      <c r="CX157">
        <v>0</v>
      </c>
      <c r="CY157" t="s">
        <v>333</v>
      </c>
      <c r="CZ157">
        <v>2.3648400000000001</v>
      </c>
      <c r="DA157">
        <v>2.7137500000000001</v>
      </c>
      <c r="DB157">
        <v>8.3917199999999997E-2</v>
      </c>
      <c r="DC157">
        <v>0.14627899999999999</v>
      </c>
      <c r="DD157">
        <v>0.12567300000000001</v>
      </c>
      <c r="DE157">
        <v>4.6623900000000003E-2</v>
      </c>
      <c r="DF157">
        <v>33434.6</v>
      </c>
      <c r="DG157">
        <v>27472.6</v>
      </c>
      <c r="DH157">
        <v>31155.8</v>
      </c>
      <c r="DI157">
        <v>28038.400000000001</v>
      </c>
      <c r="DJ157">
        <v>36964.400000000001</v>
      </c>
      <c r="DK157">
        <v>37992</v>
      </c>
      <c r="DL157">
        <v>44332.2</v>
      </c>
      <c r="DM157">
        <v>42472.1</v>
      </c>
      <c r="DN157">
        <v>1.48445</v>
      </c>
      <c r="DO157">
        <v>2.0556000000000001</v>
      </c>
      <c r="DP157">
        <v>0.163961</v>
      </c>
      <c r="DQ157">
        <v>0.15620100000000001</v>
      </c>
      <c r="DR157">
        <v>24.276599999999998</v>
      </c>
      <c r="DS157">
        <v>24.2379</v>
      </c>
      <c r="DT157">
        <v>23.8</v>
      </c>
      <c r="DU157">
        <v>27.8</v>
      </c>
      <c r="DV157">
        <v>9.01023</v>
      </c>
      <c r="DW157">
        <v>61.515500000000003</v>
      </c>
      <c r="DX157">
        <v>36.975200000000001</v>
      </c>
      <c r="DY157">
        <v>1</v>
      </c>
      <c r="DZ157">
        <v>-0.134685</v>
      </c>
      <c r="EA157">
        <v>8.2312099999999999E-2</v>
      </c>
      <c r="EB157">
        <v>20.191500000000001</v>
      </c>
      <c r="EC157">
        <v>5.2409499999999998</v>
      </c>
      <c r="ED157">
        <v>12.039899999999999</v>
      </c>
      <c r="EE157">
        <v>5.0169499999999996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</v>
      </c>
      <c r="EL157">
        <v>1.8646199999999999</v>
      </c>
      <c r="EM157">
        <v>1.8691500000000001</v>
      </c>
      <c r="EN157">
        <v>1.8672200000000001</v>
      </c>
      <c r="EO157">
        <v>1.8633999999999999</v>
      </c>
      <c r="EP157">
        <v>1.8644700000000001</v>
      </c>
      <c r="EQ157">
        <v>1.87012</v>
      </c>
      <c r="ER157">
        <v>1.8694200000000001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-0.69</v>
      </c>
      <c r="FG157">
        <v>0.1678</v>
      </c>
      <c r="FH157">
        <v>-0.44422204735670362</v>
      </c>
      <c r="FI157">
        <v>-6.1462078757559423E-4</v>
      </c>
      <c r="FJ157">
        <v>-1.8861989874597051E-7</v>
      </c>
      <c r="FK157">
        <v>1.1980462299894961E-10</v>
      </c>
      <c r="FL157">
        <v>0.16773393518503121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34.200000000000003</v>
      </c>
      <c r="FU157">
        <v>34.200000000000003</v>
      </c>
      <c r="FV157">
        <v>1.78101</v>
      </c>
      <c r="FW157">
        <v>2.5598100000000001</v>
      </c>
      <c r="FX157">
        <v>1.5490699999999999</v>
      </c>
      <c r="FY157">
        <v>2.33521</v>
      </c>
      <c r="FZ157">
        <v>1.50146</v>
      </c>
      <c r="GA157">
        <v>2.3852500000000001</v>
      </c>
      <c r="GB157">
        <v>32.487499999999997</v>
      </c>
      <c r="GC157">
        <v>23.991199999999999</v>
      </c>
      <c r="GD157">
        <v>19</v>
      </c>
      <c r="GE157">
        <v>284.2</v>
      </c>
      <c r="GF157">
        <v>593.45299999999997</v>
      </c>
      <c r="GG157">
        <v>23.729299999999999</v>
      </c>
      <c r="GH157">
        <v>25.694900000000001</v>
      </c>
      <c r="GI157">
        <v>30.000299999999999</v>
      </c>
      <c r="GJ157">
        <v>25.857700000000001</v>
      </c>
      <c r="GK157">
        <v>25.8431</v>
      </c>
      <c r="GL157">
        <v>35.598300000000002</v>
      </c>
      <c r="GM157">
        <v>-30</v>
      </c>
      <c r="GN157">
        <v>-30</v>
      </c>
      <c r="GO157">
        <v>23.742100000000001</v>
      </c>
      <c r="GP157">
        <v>800</v>
      </c>
      <c r="GQ157">
        <v>12.5298</v>
      </c>
      <c r="GR157">
        <v>99.678200000000004</v>
      </c>
      <c r="GS157">
        <v>99.3797</v>
      </c>
    </row>
    <row r="158" spans="1:201" x14ac:dyDescent="0.25">
      <c r="A158">
        <v>142</v>
      </c>
      <c r="B158">
        <v>1690205185.5</v>
      </c>
      <c r="C158">
        <v>1745.900000095367</v>
      </c>
      <c r="D158" t="s">
        <v>617</v>
      </c>
      <c r="E158" t="s">
        <v>618</v>
      </c>
      <c r="F158" t="s">
        <v>330</v>
      </c>
      <c r="H158">
        <v>1690205185.5</v>
      </c>
      <c r="I158">
        <f t="shared" si="60"/>
        <v>2.0001245950718766E-3</v>
      </c>
      <c r="J158">
        <f t="shared" si="61"/>
        <v>2.0001245950718767</v>
      </c>
      <c r="K158">
        <f t="shared" si="62"/>
        <v>41.004393932291627</v>
      </c>
      <c r="L158">
        <f t="shared" si="63"/>
        <v>366.13799999999998</v>
      </c>
      <c r="M158">
        <f t="shared" si="64"/>
        <v>73.979031418160474</v>
      </c>
      <c r="N158">
        <f t="shared" si="65"/>
        <v>7.3373501135378776</v>
      </c>
      <c r="O158">
        <f t="shared" si="66"/>
        <v>36.314110152178195</v>
      </c>
      <c r="P158">
        <f t="shared" si="67"/>
        <v>0.23868311050484217</v>
      </c>
      <c r="Q158">
        <f t="shared" si="68"/>
        <v>2.191321154406813</v>
      </c>
      <c r="R158">
        <f t="shared" si="69"/>
        <v>0.22512329994533295</v>
      </c>
      <c r="S158">
        <f t="shared" si="70"/>
        <v>0.1418561223127639</v>
      </c>
      <c r="T158">
        <f t="shared" si="71"/>
        <v>276.11474976000005</v>
      </c>
      <c r="U158">
        <f t="shared" si="72"/>
        <v>27.043299988493857</v>
      </c>
      <c r="V158">
        <f t="shared" si="73"/>
        <v>27.043299988493857</v>
      </c>
      <c r="W158">
        <f t="shared" si="74"/>
        <v>3.588272018805398</v>
      </c>
      <c r="X158">
        <f t="shared" si="75"/>
        <v>83.036603694170708</v>
      </c>
      <c r="Y158">
        <f t="shared" si="76"/>
        <v>2.7351773722522501</v>
      </c>
      <c r="Z158">
        <f t="shared" si="77"/>
        <v>3.2939417685314889</v>
      </c>
      <c r="AA158">
        <f t="shared" si="78"/>
        <v>0.85309464655314793</v>
      </c>
      <c r="AB158">
        <f t="shared" si="79"/>
        <v>-88.205494642669763</v>
      </c>
      <c r="AC158">
        <f t="shared" si="80"/>
        <v>-171.27720475021746</v>
      </c>
      <c r="AD158">
        <f t="shared" si="81"/>
        <v>-16.753576594144235</v>
      </c>
      <c r="AE158">
        <f t="shared" si="82"/>
        <v>-0.12152622703140992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52518.332636851461</v>
      </c>
      <c r="AK158">
        <f t="shared" si="86"/>
        <v>1800</v>
      </c>
      <c r="AL158">
        <f t="shared" si="87"/>
        <v>1499.111136</v>
      </c>
      <c r="AM158">
        <f t="shared" si="88"/>
        <v>0.83283952000000006</v>
      </c>
      <c r="AN158">
        <f t="shared" si="89"/>
        <v>0.15339708320000003</v>
      </c>
      <c r="AO158">
        <v>31.2</v>
      </c>
      <c r="AP158">
        <v>0.5</v>
      </c>
      <c r="AQ158" t="s">
        <v>331</v>
      </c>
      <c r="AR158">
        <v>2</v>
      </c>
      <c r="AS158">
        <v>1690205185.5</v>
      </c>
      <c r="AT158">
        <v>366.13799999999998</v>
      </c>
      <c r="AU158">
        <v>799.928</v>
      </c>
      <c r="AV158">
        <v>27.577500000000001</v>
      </c>
      <c r="AW158">
        <v>7.36252</v>
      </c>
      <c r="AX158">
        <v>366.827</v>
      </c>
      <c r="AY158">
        <v>27.409800000000001</v>
      </c>
      <c r="AZ158">
        <v>300.18799999999999</v>
      </c>
      <c r="BA158">
        <v>99.081500000000005</v>
      </c>
      <c r="BB158">
        <v>9.9983900000000001E-2</v>
      </c>
      <c r="BC158">
        <v>25.593499999999999</v>
      </c>
      <c r="BD158">
        <v>26.974699999999999</v>
      </c>
      <c r="BE158">
        <v>26.8154</v>
      </c>
      <c r="BF158">
        <v>0</v>
      </c>
      <c r="BG158">
        <v>0</v>
      </c>
      <c r="BH158">
        <v>9976.25</v>
      </c>
      <c r="BI158">
        <v>1066.31</v>
      </c>
      <c r="BJ158">
        <v>1.8501799999999999</v>
      </c>
      <c r="BK158">
        <v>-433.79</v>
      </c>
      <c r="BL158">
        <v>376.52199999999999</v>
      </c>
      <c r="BM158">
        <v>805.86099999999999</v>
      </c>
      <c r="BN158">
        <v>20.215</v>
      </c>
      <c r="BO158">
        <v>799.928</v>
      </c>
      <c r="BP158">
        <v>7.36252</v>
      </c>
      <c r="BQ158">
        <v>2.7324199999999998</v>
      </c>
      <c r="BR158">
        <v>0.72948900000000005</v>
      </c>
      <c r="BS158">
        <v>22.481400000000001</v>
      </c>
      <c r="BT158">
        <v>2.4045399999999999</v>
      </c>
      <c r="BU158">
        <v>1800</v>
      </c>
      <c r="BV158">
        <v>0.91000199999999998</v>
      </c>
      <c r="BW158">
        <v>3.4000599999999999E-2</v>
      </c>
      <c r="BX158">
        <v>2.1996000000000002E-2</v>
      </c>
      <c r="BY158">
        <v>3.4001200000000002E-2</v>
      </c>
      <c r="BZ158">
        <v>25</v>
      </c>
      <c r="CA158">
        <v>33528.400000000001</v>
      </c>
      <c r="CB158">
        <v>1690203121.0999999</v>
      </c>
      <c r="CC158" t="s">
        <v>332</v>
      </c>
      <c r="CD158">
        <v>1690203121.0999999</v>
      </c>
      <c r="CE158">
        <v>1690203121.0999999</v>
      </c>
      <c r="CF158">
        <v>3</v>
      </c>
      <c r="CG158">
        <v>0.53600000000000003</v>
      </c>
      <c r="CH158">
        <v>-0.01</v>
      </c>
      <c r="CI158">
        <v>-0.996</v>
      </c>
      <c r="CJ158">
        <v>-6.6000000000000003E-2</v>
      </c>
      <c r="CK158">
        <v>800</v>
      </c>
      <c r="CL158">
        <v>9</v>
      </c>
      <c r="CM158">
        <v>0.82</v>
      </c>
      <c r="CN158">
        <v>0.01</v>
      </c>
      <c r="CO158">
        <v>-433.08954999999997</v>
      </c>
      <c r="CP158">
        <v>-4.9342514071296701</v>
      </c>
      <c r="CQ158">
        <v>0.4852193292728576</v>
      </c>
      <c r="CR158">
        <v>-1</v>
      </c>
      <c r="CS158">
        <v>20.17848</v>
      </c>
      <c r="CT158">
        <v>0.22725253283300559</v>
      </c>
      <c r="CU158">
        <v>2.1937424643745242E-2</v>
      </c>
      <c r="CV158">
        <v>-1</v>
      </c>
      <c r="CW158">
        <v>0</v>
      </c>
      <c r="CX158">
        <v>0</v>
      </c>
      <c r="CY158" t="s">
        <v>333</v>
      </c>
      <c r="CZ158">
        <v>2.3651300000000002</v>
      </c>
      <c r="DA158">
        <v>2.7137500000000001</v>
      </c>
      <c r="DB158">
        <v>8.3810999999999997E-2</v>
      </c>
      <c r="DC158">
        <v>0.14627399999999999</v>
      </c>
      <c r="DD158">
        <v>0.12576000000000001</v>
      </c>
      <c r="DE158">
        <v>4.6600599999999999E-2</v>
      </c>
      <c r="DF158">
        <v>33439.1</v>
      </c>
      <c r="DG158">
        <v>27473.1</v>
      </c>
      <c r="DH158">
        <v>31156.400000000001</v>
      </c>
      <c r="DI158">
        <v>28038.799999999999</v>
      </c>
      <c r="DJ158">
        <v>36961.199999999997</v>
      </c>
      <c r="DK158">
        <v>37993.699999999997</v>
      </c>
      <c r="DL158">
        <v>44332.9</v>
      </c>
      <c r="DM158">
        <v>42472.9</v>
      </c>
      <c r="DN158">
        <v>1.4846200000000001</v>
      </c>
      <c r="DO158">
        <v>2.056</v>
      </c>
      <c r="DP158">
        <v>0.16460900000000001</v>
      </c>
      <c r="DQ158">
        <v>0.15714800000000001</v>
      </c>
      <c r="DR158">
        <v>24.276599999999998</v>
      </c>
      <c r="DS158">
        <v>24.2392</v>
      </c>
      <c r="DT158">
        <v>23.8</v>
      </c>
      <c r="DU158">
        <v>27.8</v>
      </c>
      <c r="DV158">
        <v>9.00943</v>
      </c>
      <c r="DW158">
        <v>61.595500000000001</v>
      </c>
      <c r="DX158">
        <v>36.430300000000003</v>
      </c>
      <c r="DY158">
        <v>1</v>
      </c>
      <c r="DZ158">
        <v>-0.135493</v>
      </c>
      <c r="EA158">
        <v>9.6062099999999997E-2</v>
      </c>
      <c r="EB158">
        <v>20.191500000000001</v>
      </c>
      <c r="EC158">
        <v>5.24125</v>
      </c>
      <c r="ED158">
        <v>12.039899999999999</v>
      </c>
      <c r="EE158">
        <v>5.0172999999999996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</v>
      </c>
      <c r="EL158">
        <v>1.8646199999999999</v>
      </c>
      <c r="EM158">
        <v>1.86914</v>
      </c>
      <c r="EN158">
        <v>1.8672200000000001</v>
      </c>
      <c r="EO158">
        <v>1.8633900000000001</v>
      </c>
      <c r="EP158">
        <v>1.8644700000000001</v>
      </c>
      <c r="EQ158">
        <v>1.8701399999999999</v>
      </c>
      <c r="ER158">
        <v>1.8693900000000001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-0.68899999999999995</v>
      </c>
      <c r="FG158">
        <v>0.16769999999999999</v>
      </c>
      <c r="FH158">
        <v>-0.44422204735670362</v>
      </c>
      <c r="FI158">
        <v>-6.1462078757559423E-4</v>
      </c>
      <c r="FJ158">
        <v>-1.8861989874597051E-7</v>
      </c>
      <c r="FK158">
        <v>1.1980462299894961E-10</v>
      </c>
      <c r="FL158">
        <v>0.16773393518503121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34.4</v>
      </c>
      <c r="FU158">
        <v>34.4</v>
      </c>
      <c r="FV158">
        <v>1.78101</v>
      </c>
      <c r="FW158">
        <v>2.5634800000000002</v>
      </c>
      <c r="FX158">
        <v>1.5490699999999999</v>
      </c>
      <c r="FY158">
        <v>2.33521</v>
      </c>
      <c r="FZ158">
        <v>1.50146</v>
      </c>
      <c r="GA158">
        <v>2.33643</v>
      </c>
      <c r="GB158">
        <v>32.487499999999997</v>
      </c>
      <c r="GC158">
        <v>23.982399999999998</v>
      </c>
      <c r="GD158">
        <v>19</v>
      </c>
      <c r="GE158">
        <v>284.26400000000001</v>
      </c>
      <c r="GF158">
        <v>593.75400000000002</v>
      </c>
      <c r="GG158">
        <v>23.759499999999999</v>
      </c>
      <c r="GH158">
        <v>25.692699999999999</v>
      </c>
      <c r="GI158">
        <v>30.0001</v>
      </c>
      <c r="GJ158">
        <v>25.855499999999999</v>
      </c>
      <c r="GK158">
        <v>25.840199999999999</v>
      </c>
      <c r="GL158">
        <v>35.601700000000001</v>
      </c>
      <c r="GM158">
        <v>-30</v>
      </c>
      <c r="GN158">
        <v>-30</v>
      </c>
      <c r="GO158">
        <v>23.7605</v>
      </c>
      <c r="GP158">
        <v>800</v>
      </c>
      <c r="GQ158">
        <v>12.5298</v>
      </c>
      <c r="GR158">
        <v>99.679900000000004</v>
      </c>
      <c r="GS158">
        <v>99.381299999999996</v>
      </c>
    </row>
    <row r="159" spans="1:201" x14ac:dyDescent="0.25">
      <c r="A159">
        <v>143</v>
      </c>
      <c r="B159">
        <v>1690205195.5</v>
      </c>
      <c r="C159">
        <v>1755.900000095367</v>
      </c>
      <c r="D159" t="s">
        <v>619</v>
      </c>
      <c r="E159" t="s">
        <v>620</v>
      </c>
      <c r="F159" t="s">
        <v>330</v>
      </c>
      <c r="H159">
        <v>1690205195.5</v>
      </c>
      <c r="I159">
        <f t="shared" si="60"/>
        <v>2.003970105246099E-3</v>
      </c>
      <c r="J159">
        <f t="shared" si="61"/>
        <v>2.0039701052460992</v>
      </c>
      <c r="K159">
        <f t="shared" si="62"/>
        <v>41.104451282205737</v>
      </c>
      <c r="L159">
        <f t="shared" si="63"/>
        <v>365.387</v>
      </c>
      <c r="M159">
        <f t="shared" si="64"/>
        <v>73.603333221149768</v>
      </c>
      <c r="N159">
        <f t="shared" si="65"/>
        <v>7.2999380334370301</v>
      </c>
      <c r="O159">
        <f t="shared" si="66"/>
        <v>36.238881331763004</v>
      </c>
      <c r="P159">
        <f t="shared" si="67"/>
        <v>0.23958645867271633</v>
      </c>
      <c r="Q159">
        <f t="shared" si="68"/>
        <v>2.1956784919780903</v>
      </c>
      <c r="R159">
        <f t="shared" si="69"/>
        <v>0.22595241793153908</v>
      </c>
      <c r="S159">
        <f t="shared" si="70"/>
        <v>0.14238052970191359</v>
      </c>
      <c r="T159">
        <f t="shared" si="71"/>
        <v>276.11536624199999</v>
      </c>
      <c r="U159">
        <f t="shared" si="72"/>
        <v>27.047964690233748</v>
      </c>
      <c r="V159">
        <f t="shared" si="73"/>
        <v>27.047964690233748</v>
      </c>
      <c r="W159">
        <f t="shared" si="74"/>
        <v>3.5892548956816928</v>
      </c>
      <c r="X159">
        <f t="shared" si="75"/>
        <v>83.070471798958522</v>
      </c>
      <c r="Y159">
        <f t="shared" si="76"/>
        <v>2.7376900025266</v>
      </c>
      <c r="Z159">
        <f t="shared" si="77"/>
        <v>3.2956235148780304</v>
      </c>
      <c r="AA159">
        <f t="shared" si="78"/>
        <v>0.85156489315509276</v>
      </c>
      <c r="AB159">
        <f t="shared" si="79"/>
        <v>-88.375081641352963</v>
      </c>
      <c r="AC159">
        <f t="shared" si="80"/>
        <v>-171.15194659123364</v>
      </c>
      <c r="AD159">
        <f t="shared" si="81"/>
        <v>-16.709211286826193</v>
      </c>
      <c r="AE159">
        <f t="shared" si="82"/>
        <v>-0.12087327741278386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52695.714613024858</v>
      </c>
      <c r="AK159">
        <f t="shared" si="86"/>
        <v>1800</v>
      </c>
      <c r="AL159">
        <f t="shared" si="87"/>
        <v>1499.1111072000001</v>
      </c>
      <c r="AM159">
        <f t="shared" si="88"/>
        <v>0.83283950400000006</v>
      </c>
      <c r="AN159">
        <f t="shared" si="89"/>
        <v>0.15339742569000001</v>
      </c>
      <c r="AO159">
        <v>31.2</v>
      </c>
      <c r="AP159">
        <v>0.5</v>
      </c>
      <c r="AQ159" t="s">
        <v>331</v>
      </c>
      <c r="AR159">
        <v>2</v>
      </c>
      <c r="AS159">
        <v>1690205195.5</v>
      </c>
      <c r="AT159">
        <v>365.387</v>
      </c>
      <c r="AU159">
        <v>800.06100000000004</v>
      </c>
      <c r="AV159">
        <v>27.603400000000001</v>
      </c>
      <c r="AW159">
        <v>7.35731</v>
      </c>
      <c r="AX159">
        <v>366.07499999999999</v>
      </c>
      <c r="AY159">
        <v>27.435700000000001</v>
      </c>
      <c r="AZ159">
        <v>300.29500000000002</v>
      </c>
      <c r="BA159">
        <v>99.079400000000007</v>
      </c>
      <c r="BB159">
        <v>0.100049</v>
      </c>
      <c r="BC159">
        <v>25.6021</v>
      </c>
      <c r="BD159">
        <v>27.032800000000002</v>
      </c>
      <c r="BE159">
        <v>26.819099999999999</v>
      </c>
      <c r="BF159">
        <v>0</v>
      </c>
      <c r="BG159">
        <v>0</v>
      </c>
      <c r="BH159">
        <v>10011.9</v>
      </c>
      <c r="BI159">
        <v>1066.3599999999999</v>
      </c>
      <c r="BJ159">
        <v>1.8501799999999999</v>
      </c>
      <c r="BK159">
        <v>-434.67500000000001</v>
      </c>
      <c r="BL159">
        <v>375.75900000000001</v>
      </c>
      <c r="BM159">
        <v>805.99099999999999</v>
      </c>
      <c r="BN159">
        <v>20.246099999999998</v>
      </c>
      <c r="BO159">
        <v>800.06100000000004</v>
      </c>
      <c r="BP159">
        <v>7.35731</v>
      </c>
      <c r="BQ159">
        <v>2.7349299999999999</v>
      </c>
      <c r="BR159">
        <v>0.72895699999999997</v>
      </c>
      <c r="BS159">
        <v>22.496500000000001</v>
      </c>
      <c r="BT159">
        <v>2.3942999999999999</v>
      </c>
      <c r="BU159">
        <v>1800</v>
      </c>
      <c r="BV159">
        <v>0.90999600000000003</v>
      </c>
      <c r="BW159">
        <v>3.39999E-2</v>
      </c>
      <c r="BX159">
        <v>2.2000700000000002E-2</v>
      </c>
      <c r="BY159">
        <v>3.4003100000000001E-2</v>
      </c>
      <c r="BZ159">
        <v>25</v>
      </c>
      <c r="CA159">
        <v>33528.300000000003</v>
      </c>
      <c r="CB159">
        <v>1690203121.0999999</v>
      </c>
      <c r="CC159" t="s">
        <v>332</v>
      </c>
      <c r="CD159">
        <v>1690203121.0999999</v>
      </c>
      <c r="CE159">
        <v>1690203121.0999999</v>
      </c>
      <c r="CF159">
        <v>3</v>
      </c>
      <c r="CG159">
        <v>0.53600000000000003</v>
      </c>
      <c r="CH159">
        <v>-0.01</v>
      </c>
      <c r="CI159">
        <v>-0.996</v>
      </c>
      <c r="CJ159">
        <v>-6.6000000000000003E-2</v>
      </c>
      <c r="CK159">
        <v>800</v>
      </c>
      <c r="CL159">
        <v>9</v>
      </c>
      <c r="CM159">
        <v>0.82</v>
      </c>
      <c r="CN159">
        <v>0.01</v>
      </c>
      <c r="CO159">
        <v>-433.86214999999999</v>
      </c>
      <c r="CP159">
        <v>-4.3681575984974659</v>
      </c>
      <c r="CQ159">
        <v>0.43072587280078412</v>
      </c>
      <c r="CR159">
        <v>-1</v>
      </c>
      <c r="CS159">
        <v>20.213102500000002</v>
      </c>
      <c r="CT159">
        <v>0.1873992495309002</v>
      </c>
      <c r="CU159">
        <v>1.803942193502877E-2</v>
      </c>
      <c r="CV159">
        <v>-1</v>
      </c>
      <c r="CW159">
        <v>0</v>
      </c>
      <c r="CX159">
        <v>0</v>
      </c>
      <c r="CY159" t="s">
        <v>333</v>
      </c>
      <c r="CZ159">
        <v>2.3654799999999998</v>
      </c>
      <c r="DA159">
        <v>2.7138499999999999</v>
      </c>
      <c r="DB159">
        <v>8.3675899999999998E-2</v>
      </c>
      <c r="DC159">
        <v>0.146288</v>
      </c>
      <c r="DD159">
        <v>0.12584000000000001</v>
      </c>
      <c r="DE159">
        <v>4.6573499999999997E-2</v>
      </c>
      <c r="DF159">
        <v>33443.4</v>
      </c>
      <c r="DG159">
        <v>27472.7</v>
      </c>
      <c r="DH159">
        <v>31155.8</v>
      </c>
      <c r="DI159">
        <v>28038.9</v>
      </c>
      <c r="DJ159">
        <v>36957.199999999997</v>
      </c>
      <c r="DK159">
        <v>37994.800000000003</v>
      </c>
      <c r="DL159">
        <v>44332.2</v>
      </c>
      <c r="DM159">
        <v>42472.9</v>
      </c>
      <c r="DN159">
        <v>1.48485</v>
      </c>
      <c r="DO159">
        <v>2.0556800000000002</v>
      </c>
      <c r="DP159">
        <v>0.16798099999999999</v>
      </c>
      <c r="DQ159">
        <v>0.157218</v>
      </c>
      <c r="DR159">
        <v>24.279599999999999</v>
      </c>
      <c r="DS159">
        <v>24.241800000000001</v>
      </c>
      <c r="DT159">
        <v>23.8</v>
      </c>
      <c r="DU159">
        <v>27.9</v>
      </c>
      <c r="DV159">
        <v>9.0631299999999992</v>
      </c>
      <c r="DW159">
        <v>61.975499999999997</v>
      </c>
      <c r="DX159">
        <v>35.909500000000001</v>
      </c>
      <c r="DY159">
        <v>1</v>
      </c>
      <c r="DZ159">
        <v>-0.13492100000000001</v>
      </c>
      <c r="EA159">
        <v>1.9768500000000001E-2</v>
      </c>
      <c r="EB159">
        <v>20.191600000000001</v>
      </c>
      <c r="EC159">
        <v>5.2415500000000002</v>
      </c>
      <c r="ED159">
        <v>12.039899999999999</v>
      </c>
      <c r="EE159">
        <v>5.0172999999999996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</v>
      </c>
      <c r="EL159">
        <v>1.8646100000000001</v>
      </c>
      <c r="EM159">
        <v>1.86911</v>
      </c>
      <c r="EN159">
        <v>1.8672200000000001</v>
      </c>
      <c r="EO159">
        <v>1.8633999999999999</v>
      </c>
      <c r="EP159">
        <v>1.8644700000000001</v>
      </c>
      <c r="EQ159">
        <v>1.8701300000000001</v>
      </c>
      <c r="ER159">
        <v>1.8693900000000001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-0.68799999999999994</v>
      </c>
      <c r="FG159">
        <v>0.16769999999999999</v>
      </c>
      <c r="FH159">
        <v>-0.44422204735670362</v>
      </c>
      <c r="FI159">
        <v>-6.1462078757559423E-4</v>
      </c>
      <c r="FJ159">
        <v>-1.8861989874597051E-7</v>
      </c>
      <c r="FK159">
        <v>1.1980462299894961E-10</v>
      </c>
      <c r="FL159">
        <v>0.16773393518503121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34.6</v>
      </c>
      <c r="FU159">
        <v>34.6</v>
      </c>
      <c r="FV159">
        <v>1.78101</v>
      </c>
      <c r="FW159">
        <v>2.5634800000000002</v>
      </c>
      <c r="FX159">
        <v>1.5490699999999999</v>
      </c>
      <c r="FY159">
        <v>2.33521</v>
      </c>
      <c r="FZ159">
        <v>1.50146</v>
      </c>
      <c r="GA159">
        <v>2.3120099999999999</v>
      </c>
      <c r="GB159">
        <v>32.487499999999997</v>
      </c>
      <c r="GC159">
        <v>23.982399999999998</v>
      </c>
      <c r="GD159">
        <v>19</v>
      </c>
      <c r="GE159">
        <v>284.351</v>
      </c>
      <c r="GF159">
        <v>593.45699999999999</v>
      </c>
      <c r="GG159">
        <v>23.790299999999998</v>
      </c>
      <c r="GH159">
        <v>25.691199999999998</v>
      </c>
      <c r="GI159">
        <v>30.000399999999999</v>
      </c>
      <c r="GJ159">
        <v>25.853400000000001</v>
      </c>
      <c r="GK159">
        <v>25.838000000000001</v>
      </c>
      <c r="GL159">
        <v>35.599899999999998</v>
      </c>
      <c r="GM159">
        <v>-30</v>
      </c>
      <c r="GN159">
        <v>-30</v>
      </c>
      <c r="GO159">
        <v>23.814499999999999</v>
      </c>
      <c r="GP159">
        <v>800</v>
      </c>
      <c r="GQ159">
        <v>12.5298</v>
      </c>
      <c r="GR159">
        <v>99.678200000000004</v>
      </c>
      <c r="GS159">
        <v>99.381500000000003</v>
      </c>
    </row>
    <row r="160" spans="1:201" x14ac:dyDescent="0.25">
      <c r="A160">
        <v>144</v>
      </c>
      <c r="B160">
        <v>1690205205.5</v>
      </c>
      <c r="C160">
        <v>1765.900000095367</v>
      </c>
      <c r="D160" t="s">
        <v>621</v>
      </c>
      <c r="E160" t="s">
        <v>622</v>
      </c>
      <c r="F160" t="s">
        <v>330</v>
      </c>
      <c r="H160">
        <v>1690205205.5</v>
      </c>
      <c r="I160">
        <f t="shared" si="60"/>
        <v>2.0065727608150861E-3</v>
      </c>
      <c r="J160">
        <f t="shared" si="61"/>
        <v>2.0065727608150863</v>
      </c>
      <c r="K160">
        <f t="shared" si="62"/>
        <v>41.176281864526381</v>
      </c>
      <c r="L160">
        <f t="shared" si="63"/>
        <v>364.524</v>
      </c>
      <c r="M160">
        <f t="shared" si="64"/>
        <v>72.745484275616519</v>
      </c>
      <c r="N160">
        <f t="shared" si="65"/>
        <v>7.2150425923260038</v>
      </c>
      <c r="O160">
        <f t="shared" si="66"/>
        <v>36.154219222190399</v>
      </c>
      <c r="P160">
        <f t="shared" si="67"/>
        <v>0.24003627470137937</v>
      </c>
      <c r="Q160">
        <f t="shared" si="68"/>
        <v>2.1927120816645642</v>
      </c>
      <c r="R160">
        <f t="shared" si="69"/>
        <v>0.22633518251378626</v>
      </c>
      <c r="S160">
        <f t="shared" si="70"/>
        <v>0.14262526587796412</v>
      </c>
      <c r="T160">
        <f t="shared" si="71"/>
        <v>276.11505187199998</v>
      </c>
      <c r="U160">
        <f t="shared" si="72"/>
        <v>27.05744916507313</v>
      </c>
      <c r="V160">
        <f t="shared" si="73"/>
        <v>27.05744916507313</v>
      </c>
      <c r="W160">
        <f t="shared" si="74"/>
        <v>3.5912540484768973</v>
      </c>
      <c r="X160">
        <f t="shared" si="75"/>
        <v>83.098800899613991</v>
      </c>
      <c r="Y160">
        <f t="shared" si="76"/>
        <v>2.74002175734952</v>
      </c>
      <c r="Z160">
        <f t="shared" si="77"/>
        <v>3.2973060112618882</v>
      </c>
      <c r="AA160">
        <f t="shared" si="78"/>
        <v>0.85123229112737731</v>
      </c>
      <c r="AB160">
        <f t="shared" si="79"/>
        <v>-88.489858751945306</v>
      </c>
      <c r="AC160">
        <f t="shared" si="80"/>
        <v>-171.02527337841579</v>
      </c>
      <c r="AD160">
        <f t="shared" si="81"/>
        <v>-16.720948145924176</v>
      </c>
      <c r="AE160">
        <f t="shared" si="82"/>
        <v>-0.12102840428528339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52572.397326416249</v>
      </c>
      <c r="AK160">
        <f t="shared" si="86"/>
        <v>1800</v>
      </c>
      <c r="AL160">
        <f t="shared" si="87"/>
        <v>1499.1091991999999</v>
      </c>
      <c r="AM160">
        <f t="shared" si="88"/>
        <v>0.83283844399999996</v>
      </c>
      <c r="AN160">
        <f t="shared" si="89"/>
        <v>0.15339725103999999</v>
      </c>
      <c r="AO160">
        <v>31.2</v>
      </c>
      <c r="AP160">
        <v>0.5</v>
      </c>
      <c r="AQ160" t="s">
        <v>331</v>
      </c>
      <c r="AR160">
        <v>2</v>
      </c>
      <c r="AS160">
        <v>1690205205.5</v>
      </c>
      <c r="AT160">
        <v>364.524</v>
      </c>
      <c r="AU160">
        <v>800</v>
      </c>
      <c r="AV160">
        <v>27.626200000000001</v>
      </c>
      <c r="AW160">
        <v>7.3513200000000003</v>
      </c>
      <c r="AX160">
        <v>365.21199999999999</v>
      </c>
      <c r="AY160">
        <v>27.458400000000001</v>
      </c>
      <c r="AZ160">
        <v>300.25099999999998</v>
      </c>
      <c r="BA160">
        <v>99.081999999999994</v>
      </c>
      <c r="BB160">
        <v>9.9999599999999994E-2</v>
      </c>
      <c r="BC160">
        <v>25.610700000000001</v>
      </c>
      <c r="BD160">
        <v>27.060300000000002</v>
      </c>
      <c r="BE160">
        <v>26.822500000000002</v>
      </c>
      <c r="BF160">
        <v>0</v>
      </c>
      <c r="BG160">
        <v>0</v>
      </c>
      <c r="BH160">
        <v>9987.5</v>
      </c>
      <c r="BI160">
        <v>1066.3900000000001</v>
      </c>
      <c r="BJ160">
        <v>1.8501799999999999</v>
      </c>
      <c r="BK160">
        <v>-435.476</v>
      </c>
      <c r="BL160">
        <v>374.88099999999997</v>
      </c>
      <c r="BM160">
        <v>805.92499999999995</v>
      </c>
      <c r="BN160">
        <v>20.274899999999999</v>
      </c>
      <c r="BO160">
        <v>800</v>
      </c>
      <c r="BP160">
        <v>7.3513200000000003</v>
      </c>
      <c r="BQ160">
        <v>2.73726</v>
      </c>
      <c r="BR160">
        <v>0.72838400000000003</v>
      </c>
      <c r="BS160">
        <v>22.5105</v>
      </c>
      <c r="BT160">
        <v>2.3832399999999998</v>
      </c>
      <c r="BU160">
        <v>1800</v>
      </c>
      <c r="BV160">
        <v>0.90998800000000002</v>
      </c>
      <c r="BW160">
        <v>3.3999799999999997E-2</v>
      </c>
      <c r="BX160">
        <v>2.1997200000000001E-2</v>
      </c>
      <c r="BY160">
        <v>3.4014799999999998E-2</v>
      </c>
      <c r="BZ160">
        <v>25</v>
      </c>
      <c r="CA160">
        <v>33528.5</v>
      </c>
      <c r="CB160">
        <v>1690203121.0999999</v>
      </c>
      <c r="CC160" t="s">
        <v>332</v>
      </c>
      <c r="CD160">
        <v>1690203121.0999999</v>
      </c>
      <c r="CE160">
        <v>1690203121.0999999</v>
      </c>
      <c r="CF160">
        <v>3</v>
      </c>
      <c r="CG160">
        <v>0.53600000000000003</v>
      </c>
      <c r="CH160">
        <v>-0.01</v>
      </c>
      <c r="CI160">
        <v>-0.996</v>
      </c>
      <c r="CJ160">
        <v>-6.6000000000000003E-2</v>
      </c>
      <c r="CK160">
        <v>800</v>
      </c>
      <c r="CL160">
        <v>9</v>
      </c>
      <c r="CM160">
        <v>0.82</v>
      </c>
      <c r="CN160">
        <v>0.01</v>
      </c>
      <c r="CO160">
        <v>-434.5825000000001</v>
      </c>
      <c r="CP160">
        <v>-4.6234671669793048</v>
      </c>
      <c r="CQ160">
        <v>0.45082890324378888</v>
      </c>
      <c r="CR160">
        <v>-1</v>
      </c>
      <c r="CS160">
        <v>20.2433075</v>
      </c>
      <c r="CT160">
        <v>0.1801564727954611</v>
      </c>
      <c r="CU160">
        <v>1.7360953134836751E-2</v>
      </c>
      <c r="CV160">
        <v>-1</v>
      </c>
      <c r="CW160">
        <v>0</v>
      </c>
      <c r="CX160">
        <v>0</v>
      </c>
      <c r="CY160" t="s">
        <v>333</v>
      </c>
      <c r="CZ160">
        <v>2.3653200000000001</v>
      </c>
      <c r="DA160">
        <v>2.7137799999999999</v>
      </c>
      <c r="DB160">
        <v>8.3524799999999996E-2</v>
      </c>
      <c r="DC160">
        <v>0.146284</v>
      </c>
      <c r="DD160">
        <v>0.125916</v>
      </c>
      <c r="DE160">
        <v>4.6544700000000001E-2</v>
      </c>
      <c r="DF160">
        <v>33450.300000000003</v>
      </c>
      <c r="DG160">
        <v>27473.599999999999</v>
      </c>
      <c r="DH160">
        <v>31157.1</v>
      </c>
      <c r="DI160">
        <v>28039.7</v>
      </c>
      <c r="DJ160">
        <v>36955.599999999999</v>
      </c>
      <c r="DK160">
        <v>37997.1</v>
      </c>
      <c r="DL160">
        <v>44334.2</v>
      </c>
      <c r="DM160">
        <v>42474.1</v>
      </c>
      <c r="DN160">
        <v>1.4839199999999999</v>
      </c>
      <c r="DO160">
        <v>2.0558200000000002</v>
      </c>
      <c r="DP160">
        <v>0.16946700000000001</v>
      </c>
      <c r="DQ160">
        <v>0.15729299999999999</v>
      </c>
      <c r="DR160">
        <v>24.282699999999998</v>
      </c>
      <c r="DS160">
        <v>24.244</v>
      </c>
      <c r="DT160">
        <v>23.8</v>
      </c>
      <c r="DU160">
        <v>27.9</v>
      </c>
      <c r="DV160">
        <v>9.0625800000000005</v>
      </c>
      <c r="DW160">
        <v>61.725499999999997</v>
      </c>
      <c r="DX160">
        <v>35.973599999999998</v>
      </c>
      <c r="DY160">
        <v>1</v>
      </c>
      <c r="DZ160">
        <v>-0.134383</v>
      </c>
      <c r="EA160">
        <v>0.28553400000000001</v>
      </c>
      <c r="EB160">
        <v>20.191099999999999</v>
      </c>
      <c r="EC160">
        <v>5.24125</v>
      </c>
      <c r="ED160">
        <v>12.039899999999999</v>
      </c>
      <c r="EE160">
        <v>5.0172499999999998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</v>
      </c>
      <c r="EL160">
        <v>1.8646199999999999</v>
      </c>
      <c r="EM160">
        <v>1.86914</v>
      </c>
      <c r="EN160">
        <v>1.8672200000000001</v>
      </c>
      <c r="EO160">
        <v>1.8633999999999999</v>
      </c>
      <c r="EP160">
        <v>1.86449</v>
      </c>
      <c r="EQ160">
        <v>1.8701300000000001</v>
      </c>
      <c r="ER160">
        <v>1.86941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-0.68799999999999994</v>
      </c>
      <c r="FG160">
        <v>0.1678</v>
      </c>
      <c r="FH160">
        <v>-0.44422204735670362</v>
      </c>
      <c r="FI160">
        <v>-6.1462078757559423E-4</v>
      </c>
      <c r="FJ160">
        <v>-1.8861989874597051E-7</v>
      </c>
      <c r="FK160">
        <v>1.1980462299894961E-10</v>
      </c>
      <c r="FL160">
        <v>0.16773393518503121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34.700000000000003</v>
      </c>
      <c r="FU160">
        <v>34.700000000000003</v>
      </c>
      <c r="FV160">
        <v>1.78101</v>
      </c>
      <c r="FW160">
        <v>2.5573700000000001</v>
      </c>
      <c r="FX160">
        <v>1.5490699999999999</v>
      </c>
      <c r="FY160">
        <v>2.33521</v>
      </c>
      <c r="FZ160">
        <v>1.50146</v>
      </c>
      <c r="GA160">
        <v>2.2607400000000002</v>
      </c>
      <c r="GB160">
        <v>32.487499999999997</v>
      </c>
      <c r="GC160">
        <v>23.982399999999998</v>
      </c>
      <c r="GD160">
        <v>19</v>
      </c>
      <c r="GE160">
        <v>283.947</v>
      </c>
      <c r="GF160">
        <v>593.55700000000002</v>
      </c>
      <c r="GG160">
        <v>23.751000000000001</v>
      </c>
      <c r="GH160">
        <v>25.689599999999999</v>
      </c>
      <c r="GI160">
        <v>30.000599999999999</v>
      </c>
      <c r="GJ160">
        <v>25.851199999999999</v>
      </c>
      <c r="GK160">
        <v>25.835899999999999</v>
      </c>
      <c r="GL160">
        <v>35.5974</v>
      </c>
      <c r="GM160">
        <v>-30</v>
      </c>
      <c r="GN160">
        <v>-30</v>
      </c>
      <c r="GO160">
        <v>23.751799999999999</v>
      </c>
      <c r="GP160">
        <v>800</v>
      </c>
      <c r="GQ160">
        <v>12.5298</v>
      </c>
      <c r="GR160">
        <v>99.682400000000001</v>
      </c>
      <c r="GS160">
        <v>99.384399999999999</v>
      </c>
    </row>
    <row r="161" spans="1:201" x14ac:dyDescent="0.25">
      <c r="A161">
        <v>145</v>
      </c>
      <c r="B161">
        <v>1690205215.5</v>
      </c>
      <c r="C161">
        <v>1775.900000095367</v>
      </c>
      <c r="D161" t="s">
        <v>623</v>
      </c>
      <c r="E161" t="s">
        <v>624</v>
      </c>
      <c r="F161" t="s">
        <v>330</v>
      </c>
      <c r="H161">
        <v>1690205215.5</v>
      </c>
      <c r="I161">
        <f t="shared" si="60"/>
        <v>2.0082909583574748E-3</v>
      </c>
      <c r="J161">
        <f t="shared" si="61"/>
        <v>2.0082909583574748</v>
      </c>
      <c r="K161">
        <f t="shared" si="62"/>
        <v>41.248294833997342</v>
      </c>
      <c r="L161">
        <f t="shared" si="63"/>
        <v>363.71</v>
      </c>
      <c r="M161">
        <f t="shared" si="64"/>
        <v>72.639760306983476</v>
      </c>
      <c r="N161">
        <f t="shared" si="65"/>
        <v>7.2045639707432656</v>
      </c>
      <c r="O161">
        <f t="shared" si="66"/>
        <v>36.073521590999995</v>
      </c>
      <c r="P161">
        <f t="shared" si="67"/>
        <v>0.24106474682285228</v>
      </c>
      <c r="Q161">
        <f t="shared" si="68"/>
        <v>2.1963256793672663</v>
      </c>
      <c r="R161">
        <f t="shared" si="69"/>
        <v>0.22727095483323201</v>
      </c>
      <c r="S161">
        <f t="shared" si="70"/>
        <v>0.1432178484379435</v>
      </c>
      <c r="T161">
        <f t="shared" si="71"/>
        <v>276.11446086025097</v>
      </c>
      <c r="U161">
        <f t="shared" si="72"/>
        <v>27.049797455833342</v>
      </c>
      <c r="V161">
        <f t="shared" si="73"/>
        <v>27.049797455833342</v>
      </c>
      <c r="W161">
        <f t="shared" si="74"/>
        <v>3.5896411332105282</v>
      </c>
      <c r="X161">
        <f t="shared" si="75"/>
        <v>83.158257379476794</v>
      </c>
      <c r="Y161">
        <f t="shared" si="76"/>
        <v>2.7411849615899997</v>
      </c>
      <c r="Z161">
        <f t="shared" si="77"/>
        <v>3.2963472876555442</v>
      </c>
      <c r="AA161">
        <f t="shared" si="78"/>
        <v>0.84845617162052855</v>
      </c>
      <c r="AB161">
        <f t="shared" si="79"/>
        <v>-88.56563126356464</v>
      </c>
      <c r="AC161">
        <f t="shared" si="80"/>
        <v>-170.98129842713925</v>
      </c>
      <c r="AD161">
        <f t="shared" si="81"/>
        <v>-16.688094930338149</v>
      </c>
      <c r="AE161">
        <f t="shared" si="82"/>
        <v>-0.12056376079104325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52721.729562124987</v>
      </c>
      <c r="AK161">
        <f t="shared" si="86"/>
        <v>1799.99</v>
      </c>
      <c r="AL161">
        <f t="shared" si="87"/>
        <v>1499.10192740969</v>
      </c>
      <c r="AM161">
        <f t="shared" si="88"/>
        <v>0.83283903100000001</v>
      </c>
      <c r="AN161">
        <f t="shared" si="89"/>
        <v>0.15339777491000003</v>
      </c>
      <c r="AO161">
        <v>31.2</v>
      </c>
      <c r="AP161">
        <v>0.5</v>
      </c>
      <c r="AQ161" t="s">
        <v>331</v>
      </c>
      <c r="AR161">
        <v>2</v>
      </c>
      <c r="AS161">
        <v>1690205215.5</v>
      </c>
      <c r="AT161">
        <v>363.71</v>
      </c>
      <c r="AU161">
        <v>799.93399999999997</v>
      </c>
      <c r="AV161">
        <v>27.637899999999998</v>
      </c>
      <c r="AW161">
        <v>7.3454300000000003</v>
      </c>
      <c r="AX161">
        <v>364.39699999999999</v>
      </c>
      <c r="AY161">
        <v>27.470099999999999</v>
      </c>
      <c r="AZ161">
        <v>300.24400000000003</v>
      </c>
      <c r="BA161">
        <v>99.082099999999997</v>
      </c>
      <c r="BB161">
        <v>0.1</v>
      </c>
      <c r="BC161">
        <v>25.605799999999999</v>
      </c>
      <c r="BD161">
        <v>27.0185</v>
      </c>
      <c r="BE161">
        <v>26.825199999999999</v>
      </c>
      <c r="BF161">
        <v>0</v>
      </c>
      <c r="BG161">
        <v>0</v>
      </c>
      <c r="BH161">
        <v>10016.9</v>
      </c>
      <c r="BI161">
        <v>1066.44</v>
      </c>
      <c r="BJ161">
        <v>1.8501799999999999</v>
      </c>
      <c r="BK161">
        <v>-436.22399999999999</v>
      </c>
      <c r="BL161">
        <v>374.04700000000003</v>
      </c>
      <c r="BM161">
        <v>805.85299999999995</v>
      </c>
      <c r="BN161">
        <v>20.292400000000001</v>
      </c>
      <c r="BO161">
        <v>799.93399999999997</v>
      </c>
      <c r="BP161">
        <v>7.3454300000000003</v>
      </c>
      <c r="BQ161">
        <v>2.7384200000000001</v>
      </c>
      <c r="BR161">
        <v>0.72780100000000003</v>
      </c>
      <c r="BS161">
        <v>22.517499999999998</v>
      </c>
      <c r="BT161">
        <v>2.37201</v>
      </c>
      <c r="BU161">
        <v>1799.99</v>
      </c>
      <c r="BV161">
        <v>0.90998500000000004</v>
      </c>
      <c r="BW161">
        <v>3.3999399999999999E-2</v>
      </c>
      <c r="BX161">
        <v>2.2004800000000001E-2</v>
      </c>
      <c r="BY161">
        <v>3.4010499999999999E-2</v>
      </c>
      <c r="BZ161">
        <v>25</v>
      </c>
      <c r="CA161">
        <v>33528.199999999997</v>
      </c>
      <c r="CB161">
        <v>1690203121.0999999</v>
      </c>
      <c r="CC161" t="s">
        <v>332</v>
      </c>
      <c r="CD161">
        <v>1690203121.0999999</v>
      </c>
      <c r="CE161">
        <v>1690203121.0999999</v>
      </c>
      <c r="CF161">
        <v>3</v>
      </c>
      <c r="CG161">
        <v>0.53600000000000003</v>
      </c>
      <c r="CH161">
        <v>-0.01</v>
      </c>
      <c r="CI161">
        <v>-0.996</v>
      </c>
      <c r="CJ161">
        <v>-6.6000000000000003E-2</v>
      </c>
      <c r="CK161">
        <v>800</v>
      </c>
      <c r="CL161">
        <v>9</v>
      </c>
      <c r="CM161">
        <v>0.82</v>
      </c>
      <c r="CN161">
        <v>0.01</v>
      </c>
      <c r="CO161">
        <v>-435.37979999999999</v>
      </c>
      <c r="CP161">
        <v>-4.8712795497176256</v>
      </c>
      <c r="CQ161">
        <v>0.47179133099284548</v>
      </c>
      <c r="CR161">
        <v>-1</v>
      </c>
      <c r="CS161">
        <v>20.270689999999998</v>
      </c>
      <c r="CT161">
        <v>0.14973208255156051</v>
      </c>
      <c r="CU161">
        <v>1.455800123643345E-2</v>
      </c>
      <c r="CV161">
        <v>-1</v>
      </c>
      <c r="CW161">
        <v>0</v>
      </c>
      <c r="CX161">
        <v>0</v>
      </c>
      <c r="CY161" t="s">
        <v>333</v>
      </c>
      <c r="CZ161">
        <v>2.3653300000000002</v>
      </c>
      <c r="DA161">
        <v>2.7138100000000001</v>
      </c>
      <c r="DB161">
        <v>8.3379999999999996E-2</v>
      </c>
      <c r="DC161">
        <v>0.14627699999999999</v>
      </c>
      <c r="DD161">
        <v>0.12595400000000001</v>
      </c>
      <c r="DE161">
        <v>4.6515399999999998E-2</v>
      </c>
      <c r="DF161">
        <v>33455.800000000003</v>
      </c>
      <c r="DG161">
        <v>27474.5</v>
      </c>
      <c r="DH161">
        <v>31157.3</v>
      </c>
      <c r="DI161">
        <v>28040.3</v>
      </c>
      <c r="DJ161">
        <v>36954</v>
      </c>
      <c r="DK161">
        <v>37999.1</v>
      </c>
      <c r="DL161">
        <v>44334.2</v>
      </c>
      <c r="DM161">
        <v>42475.1</v>
      </c>
      <c r="DN161">
        <v>1.4845200000000001</v>
      </c>
      <c r="DO161">
        <v>2.05572</v>
      </c>
      <c r="DP161">
        <v>0.16678499999999999</v>
      </c>
      <c r="DQ161">
        <v>0.15745300000000001</v>
      </c>
      <c r="DR161">
        <v>24.284800000000001</v>
      </c>
      <c r="DS161">
        <v>24.244</v>
      </c>
      <c r="DT161">
        <v>23.8</v>
      </c>
      <c r="DU161">
        <v>27.9</v>
      </c>
      <c r="DV161">
        <v>9.0627399999999998</v>
      </c>
      <c r="DW161">
        <v>61.865499999999997</v>
      </c>
      <c r="DX161">
        <v>36.286099999999998</v>
      </c>
      <c r="DY161">
        <v>1</v>
      </c>
      <c r="DZ161">
        <v>-0.13508899999999999</v>
      </c>
      <c r="EA161">
        <v>0.239118</v>
      </c>
      <c r="EB161">
        <v>20.191199999999998</v>
      </c>
      <c r="EC161">
        <v>5.2418500000000003</v>
      </c>
      <c r="ED161">
        <v>12.039899999999999</v>
      </c>
      <c r="EE161">
        <v>5.0172499999999998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1.8646199999999999</v>
      </c>
      <c r="EM161">
        <v>1.86914</v>
      </c>
      <c r="EN161">
        <v>1.8672200000000001</v>
      </c>
      <c r="EO161">
        <v>1.8633900000000001</v>
      </c>
      <c r="EP161">
        <v>1.8644799999999999</v>
      </c>
      <c r="EQ161">
        <v>1.8701399999999999</v>
      </c>
      <c r="ER161">
        <v>1.86941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-0.68700000000000006</v>
      </c>
      <c r="FG161">
        <v>0.1678</v>
      </c>
      <c r="FH161">
        <v>-0.44422204735670362</v>
      </c>
      <c r="FI161">
        <v>-6.1462078757559423E-4</v>
      </c>
      <c r="FJ161">
        <v>-1.8861989874597051E-7</v>
      </c>
      <c r="FK161">
        <v>1.1980462299894961E-10</v>
      </c>
      <c r="FL161">
        <v>0.16773393518503121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34.9</v>
      </c>
      <c r="FU161">
        <v>34.9</v>
      </c>
      <c r="FV161">
        <v>1.77979</v>
      </c>
      <c r="FW161">
        <v>2.5585900000000001</v>
      </c>
      <c r="FX161">
        <v>1.5490699999999999</v>
      </c>
      <c r="FY161">
        <v>2.33521</v>
      </c>
      <c r="FZ161">
        <v>1.50146</v>
      </c>
      <c r="GA161">
        <v>2.34741</v>
      </c>
      <c r="GB161">
        <v>32.509700000000002</v>
      </c>
      <c r="GC161">
        <v>23.991199999999999</v>
      </c>
      <c r="GD161">
        <v>19</v>
      </c>
      <c r="GE161">
        <v>284.19299999999998</v>
      </c>
      <c r="GF161">
        <v>593.44799999999998</v>
      </c>
      <c r="GG161">
        <v>23.742599999999999</v>
      </c>
      <c r="GH161">
        <v>25.688400000000001</v>
      </c>
      <c r="GI161">
        <v>30.0001</v>
      </c>
      <c r="GJ161">
        <v>25.849</v>
      </c>
      <c r="GK161">
        <v>25.8337</v>
      </c>
      <c r="GL161">
        <v>35.599400000000003</v>
      </c>
      <c r="GM161">
        <v>-30</v>
      </c>
      <c r="GN161">
        <v>-30</v>
      </c>
      <c r="GO161">
        <v>23.714200000000002</v>
      </c>
      <c r="GP161">
        <v>800</v>
      </c>
      <c r="GQ161">
        <v>12.5298</v>
      </c>
      <c r="GR161">
        <v>99.682699999999997</v>
      </c>
      <c r="GS161">
        <v>99.386700000000005</v>
      </c>
    </row>
    <row r="162" spans="1:201" x14ac:dyDescent="0.25">
      <c r="A162">
        <v>146</v>
      </c>
      <c r="B162">
        <v>1690205225.5</v>
      </c>
      <c r="C162">
        <v>1785.900000095367</v>
      </c>
      <c r="D162" t="s">
        <v>625</v>
      </c>
      <c r="E162" t="s">
        <v>626</v>
      </c>
      <c r="F162" t="s">
        <v>330</v>
      </c>
      <c r="H162">
        <v>1690205225.5</v>
      </c>
      <c r="I162">
        <f t="shared" si="60"/>
        <v>2.0101868656486875E-3</v>
      </c>
      <c r="J162">
        <f t="shared" si="61"/>
        <v>2.0101868656486874</v>
      </c>
      <c r="K162">
        <f t="shared" si="62"/>
        <v>41.327340006603087</v>
      </c>
      <c r="L162">
        <f t="shared" si="63"/>
        <v>362.82100000000003</v>
      </c>
      <c r="M162">
        <f t="shared" si="64"/>
        <v>72.695297090732268</v>
      </c>
      <c r="N162">
        <f t="shared" si="65"/>
        <v>7.21007738694881</v>
      </c>
      <c r="O162">
        <f t="shared" si="66"/>
        <v>35.985374464391001</v>
      </c>
      <c r="P162">
        <f t="shared" si="67"/>
        <v>0.24238489809843505</v>
      </c>
      <c r="Q162">
        <f t="shared" si="68"/>
        <v>2.1937893954622236</v>
      </c>
      <c r="R162">
        <f t="shared" si="69"/>
        <v>0.2284291816415833</v>
      </c>
      <c r="S162">
        <f t="shared" si="70"/>
        <v>0.14395510000628359</v>
      </c>
      <c r="T162">
        <f t="shared" si="71"/>
        <v>276.11529051164177</v>
      </c>
      <c r="U162">
        <f t="shared" si="72"/>
        <v>27.041692794689972</v>
      </c>
      <c r="V162">
        <f t="shared" si="73"/>
        <v>27.041692794689972</v>
      </c>
      <c r="W162">
        <f t="shared" si="74"/>
        <v>3.587933429149293</v>
      </c>
      <c r="X162">
        <f t="shared" si="75"/>
        <v>83.257237408774515</v>
      </c>
      <c r="Y162">
        <f t="shared" si="76"/>
        <v>2.7429821211759999</v>
      </c>
      <c r="Z162">
        <f t="shared" si="77"/>
        <v>3.2945870011378924</v>
      </c>
      <c r="AA162">
        <f t="shared" si="78"/>
        <v>0.8449513079732931</v>
      </c>
      <c r="AB162">
        <f t="shared" si="79"/>
        <v>-88.649240775107117</v>
      </c>
      <c r="AC162">
        <f t="shared" si="80"/>
        <v>-170.88974492764393</v>
      </c>
      <c r="AD162">
        <f t="shared" si="81"/>
        <v>-16.697011101496553</v>
      </c>
      <c r="AE162">
        <f t="shared" si="82"/>
        <v>-0.12070629260583132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52619.08390792516</v>
      </c>
      <c r="AK162">
        <f t="shared" si="86"/>
        <v>1799.99</v>
      </c>
      <c r="AL162">
        <f t="shared" si="87"/>
        <v>1499.1029750038699</v>
      </c>
      <c r="AM162">
        <f t="shared" si="88"/>
        <v>0.83283961299999998</v>
      </c>
      <c r="AN162">
        <f t="shared" si="89"/>
        <v>0.15339823583000003</v>
      </c>
      <c r="AO162">
        <v>31.2</v>
      </c>
      <c r="AP162">
        <v>0.5</v>
      </c>
      <c r="AQ162" t="s">
        <v>331</v>
      </c>
      <c r="AR162">
        <v>2</v>
      </c>
      <c r="AS162">
        <v>1690205225.5</v>
      </c>
      <c r="AT162">
        <v>362.82100000000003</v>
      </c>
      <c r="AU162">
        <v>799.95399999999995</v>
      </c>
      <c r="AV162">
        <v>27.655999999999999</v>
      </c>
      <c r="AW162">
        <v>7.3401500000000004</v>
      </c>
      <c r="AX162">
        <v>363.50799999999998</v>
      </c>
      <c r="AY162">
        <v>27.488299999999999</v>
      </c>
      <c r="AZ162">
        <v>300.17599999999999</v>
      </c>
      <c r="BA162">
        <v>99.082099999999997</v>
      </c>
      <c r="BB162">
        <v>0.10007099999999999</v>
      </c>
      <c r="BC162">
        <v>25.596800000000002</v>
      </c>
      <c r="BD162">
        <v>26.9757</v>
      </c>
      <c r="BE162">
        <v>26.810300000000002</v>
      </c>
      <c r="BF162">
        <v>0</v>
      </c>
      <c r="BG162">
        <v>0</v>
      </c>
      <c r="BH162">
        <v>9996.25</v>
      </c>
      <c r="BI162">
        <v>1066.3499999999999</v>
      </c>
      <c r="BJ162">
        <v>1.8501799999999999</v>
      </c>
      <c r="BK162">
        <v>-437.13299999999998</v>
      </c>
      <c r="BL162">
        <v>373.14100000000002</v>
      </c>
      <c r="BM162">
        <v>805.86900000000003</v>
      </c>
      <c r="BN162">
        <v>20.315799999999999</v>
      </c>
      <c r="BO162">
        <v>799.95399999999995</v>
      </c>
      <c r="BP162">
        <v>7.3401500000000004</v>
      </c>
      <c r="BQ162">
        <v>2.7402099999999998</v>
      </c>
      <c r="BR162">
        <v>0.72727699999999995</v>
      </c>
      <c r="BS162">
        <v>22.528300000000002</v>
      </c>
      <c r="BT162">
        <v>2.3618999999999999</v>
      </c>
      <c r="BU162">
        <v>1799.99</v>
      </c>
      <c r="BV162">
        <v>0.90997899999999998</v>
      </c>
      <c r="BW162">
        <v>3.3998500000000001E-2</v>
      </c>
      <c r="BX162">
        <v>2.2009399999999998E-2</v>
      </c>
      <c r="BY162">
        <v>3.4013500000000002E-2</v>
      </c>
      <c r="BZ162">
        <v>25</v>
      </c>
      <c r="CA162">
        <v>33528.1</v>
      </c>
      <c r="CB162">
        <v>1690203121.0999999</v>
      </c>
      <c r="CC162" t="s">
        <v>332</v>
      </c>
      <c r="CD162">
        <v>1690203121.0999999</v>
      </c>
      <c r="CE162">
        <v>1690203121.0999999</v>
      </c>
      <c r="CF162">
        <v>3</v>
      </c>
      <c r="CG162">
        <v>0.53600000000000003</v>
      </c>
      <c r="CH162">
        <v>-0.01</v>
      </c>
      <c r="CI162">
        <v>-0.996</v>
      </c>
      <c r="CJ162">
        <v>-6.6000000000000003E-2</v>
      </c>
      <c r="CK162">
        <v>800</v>
      </c>
      <c r="CL162">
        <v>9</v>
      </c>
      <c r="CM162">
        <v>0.82</v>
      </c>
      <c r="CN162">
        <v>0.01</v>
      </c>
      <c r="CO162">
        <v>-436.17569999999989</v>
      </c>
      <c r="CP162">
        <v>-4.3772983114432158</v>
      </c>
      <c r="CQ162">
        <v>0.42329399948498991</v>
      </c>
      <c r="CR162">
        <v>-1</v>
      </c>
      <c r="CS162">
        <v>20.292877499999999</v>
      </c>
      <c r="CT162">
        <v>0.1165632270168513</v>
      </c>
      <c r="CU162">
        <v>1.12782198839179E-2</v>
      </c>
      <c r="CV162">
        <v>-1</v>
      </c>
      <c r="CW162">
        <v>0</v>
      </c>
      <c r="CX162">
        <v>0</v>
      </c>
      <c r="CY162" t="s">
        <v>333</v>
      </c>
      <c r="CZ162">
        <v>2.3650899999999999</v>
      </c>
      <c r="DA162">
        <v>2.7138599999999999</v>
      </c>
      <c r="DB162">
        <v>8.3222299999999999E-2</v>
      </c>
      <c r="DC162">
        <v>0.14628099999999999</v>
      </c>
      <c r="DD162">
        <v>0.12601200000000001</v>
      </c>
      <c r="DE162">
        <v>4.6489299999999997E-2</v>
      </c>
      <c r="DF162">
        <v>33461.5</v>
      </c>
      <c r="DG162">
        <v>27474.400000000001</v>
      </c>
      <c r="DH162">
        <v>31157.200000000001</v>
      </c>
      <c r="DI162">
        <v>28040.3</v>
      </c>
      <c r="DJ162">
        <v>36951.5</v>
      </c>
      <c r="DK162">
        <v>38000.1</v>
      </c>
      <c r="DL162">
        <v>44334.400000000001</v>
      </c>
      <c r="DM162">
        <v>42475</v>
      </c>
      <c r="DN162">
        <v>1.4843999999999999</v>
      </c>
      <c r="DO162">
        <v>2.0555699999999999</v>
      </c>
      <c r="DP162">
        <v>0.164047</v>
      </c>
      <c r="DQ162">
        <v>0.15654399999999999</v>
      </c>
      <c r="DR162">
        <v>24.286899999999999</v>
      </c>
      <c r="DS162">
        <v>24.244</v>
      </c>
      <c r="DT162">
        <v>23.8</v>
      </c>
      <c r="DU162">
        <v>27.9</v>
      </c>
      <c r="DV162">
        <v>9.06189</v>
      </c>
      <c r="DW162">
        <v>61.435499999999998</v>
      </c>
      <c r="DX162">
        <v>36.682699999999997</v>
      </c>
      <c r="DY162">
        <v>1</v>
      </c>
      <c r="DZ162">
        <v>-0.134936</v>
      </c>
      <c r="EA162">
        <v>0.25312899999999999</v>
      </c>
      <c r="EB162">
        <v>20.191199999999998</v>
      </c>
      <c r="EC162">
        <v>5.2416999999999998</v>
      </c>
      <c r="ED162">
        <v>12.039899999999999</v>
      </c>
      <c r="EE162">
        <v>5.0172499999999998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</v>
      </c>
      <c r="EL162">
        <v>1.8646199999999999</v>
      </c>
      <c r="EM162">
        <v>1.86914</v>
      </c>
      <c r="EN162">
        <v>1.8672200000000001</v>
      </c>
      <c r="EO162">
        <v>1.8633999999999999</v>
      </c>
      <c r="EP162">
        <v>1.8644700000000001</v>
      </c>
      <c r="EQ162">
        <v>1.87012</v>
      </c>
      <c r="ER162">
        <v>1.8694200000000001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-0.68700000000000006</v>
      </c>
      <c r="FG162">
        <v>0.16769999999999999</v>
      </c>
      <c r="FH162">
        <v>-0.44422204735670362</v>
      </c>
      <c r="FI162">
        <v>-6.1462078757559423E-4</v>
      </c>
      <c r="FJ162">
        <v>-1.8861989874597051E-7</v>
      </c>
      <c r="FK162">
        <v>1.1980462299894961E-10</v>
      </c>
      <c r="FL162">
        <v>0.16773393518503121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35.1</v>
      </c>
      <c r="FU162">
        <v>35.1</v>
      </c>
      <c r="FV162">
        <v>1.77979</v>
      </c>
      <c r="FW162">
        <v>2.5561500000000001</v>
      </c>
      <c r="FX162">
        <v>1.5490699999999999</v>
      </c>
      <c r="FY162">
        <v>2.33521</v>
      </c>
      <c r="FZ162">
        <v>1.50024</v>
      </c>
      <c r="GA162">
        <v>2.3913600000000002</v>
      </c>
      <c r="GB162">
        <v>32.509700000000002</v>
      </c>
      <c r="GC162">
        <v>23.991199999999999</v>
      </c>
      <c r="GD162">
        <v>19</v>
      </c>
      <c r="GE162">
        <v>284.12799999999999</v>
      </c>
      <c r="GF162">
        <v>593.28800000000001</v>
      </c>
      <c r="GG162">
        <v>23.695699999999999</v>
      </c>
      <c r="GH162">
        <v>25.686299999999999</v>
      </c>
      <c r="GI162">
        <v>30</v>
      </c>
      <c r="GJ162">
        <v>25.846399999999999</v>
      </c>
      <c r="GK162">
        <v>25.8307</v>
      </c>
      <c r="GL162">
        <v>35.599899999999998</v>
      </c>
      <c r="GM162">
        <v>-30</v>
      </c>
      <c r="GN162">
        <v>-30</v>
      </c>
      <c r="GO162">
        <v>23.698699999999999</v>
      </c>
      <c r="GP162">
        <v>800</v>
      </c>
      <c r="GQ162">
        <v>12.5298</v>
      </c>
      <c r="GR162">
        <v>99.6828</v>
      </c>
      <c r="GS162">
        <v>99.386499999999998</v>
      </c>
    </row>
    <row r="163" spans="1:201" x14ac:dyDescent="0.25">
      <c r="A163">
        <v>147</v>
      </c>
      <c r="B163">
        <v>1690205235.5</v>
      </c>
      <c r="C163">
        <v>1795.900000095367</v>
      </c>
      <c r="D163" t="s">
        <v>627</v>
      </c>
      <c r="E163" t="s">
        <v>628</v>
      </c>
      <c r="F163" t="s">
        <v>330</v>
      </c>
      <c r="H163">
        <v>1690205235.5</v>
      </c>
      <c r="I163">
        <f t="shared" si="60"/>
        <v>2.0114873232460321E-3</v>
      </c>
      <c r="J163">
        <f t="shared" si="61"/>
        <v>2.011487323246032</v>
      </c>
      <c r="K163">
        <f t="shared" si="62"/>
        <v>41.398810325982261</v>
      </c>
      <c r="L163">
        <f t="shared" si="63"/>
        <v>362.197</v>
      </c>
      <c r="M163">
        <f t="shared" si="64"/>
        <v>71.664688996548293</v>
      </c>
      <c r="N163">
        <f t="shared" si="65"/>
        <v>7.1075173831568899</v>
      </c>
      <c r="O163">
        <f t="shared" si="66"/>
        <v>35.921756023405997</v>
      </c>
      <c r="P163">
        <f t="shared" si="67"/>
        <v>0.24248952491986017</v>
      </c>
      <c r="Q163">
        <f t="shared" si="68"/>
        <v>2.1878785037078337</v>
      </c>
      <c r="R163">
        <f t="shared" si="69"/>
        <v>0.22848673416875054</v>
      </c>
      <c r="S163">
        <f t="shared" si="70"/>
        <v>0.14399487556210078</v>
      </c>
      <c r="T163">
        <f t="shared" si="71"/>
        <v>276.11660005200002</v>
      </c>
      <c r="U163">
        <f t="shared" si="72"/>
        <v>27.045716221109473</v>
      </c>
      <c r="V163">
        <f t="shared" si="73"/>
        <v>27.045716221109473</v>
      </c>
      <c r="W163">
        <f t="shared" si="74"/>
        <v>3.5887811022291558</v>
      </c>
      <c r="X163">
        <f t="shared" si="75"/>
        <v>83.269854822507412</v>
      </c>
      <c r="Y163">
        <f t="shared" si="76"/>
        <v>2.7435443608739996</v>
      </c>
      <c r="Z163">
        <f t="shared" si="77"/>
        <v>3.2947629928285087</v>
      </c>
      <c r="AA163">
        <f t="shared" si="78"/>
        <v>0.84523674135515625</v>
      </c>
      <c r="AB163">
        <f t="shared" si="79"/>
        <v>-88.70659095515002</v>
      </c>
      <c r="AC163">
        <f t="shared" si="80"/>
        <v>-170.79772105846561</v>
      </c>
      <c r="AD163">
        <f t="shared" si="81"/>
        <v>-16.733518331241239</v>
      </c>
      <c r="AE163">
        <f t="shared" si="82"/>
        <v>-0.12123029285683629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52376.384744618161</v>
      </c>
      <c r="AK163">
        <f t="shared" si="86"/>
        <v>1800</v>
      </c>
      <c r="AL163">
        <f t="shared" si="87"/>
        <v>1499.1103331999998</v>
      </c>
      <c r="AM163">
        <f t="shared" si="88"/>
        <v>0.8328390739999999</v>
      </c>
      <c r="AN163">
        <f t="shared" si="89"/>
        <v>0.15339811114000002</v>
      </c>
      <c r="AO163">
        <v>31.2</v>
      </c>
      <c r="AP163">
        <v>0.5</v>
      </c>
      <c r="AQ163" t="s">
        <v>331</v>
      </c>
      <c r="AR163">
        <v>2</v>
      </c>
      <c r="AS163">
        <v>1690205235.5</v>
      </c>
      <c r="AT163">
        <v>362.197</v>
      </c>
      <c r="AU163">
        <v>800.03700000000003</v>
      </c>
      <c r="AV163">
        <v>27.663</v>
      </c>
      <c r="AW163">
        <v>7.3354400000000002</v>
      </c>
      <c r="AX163">
        <v>362.88400000000001</v>
      </c>
      <c r="AY163">
        <v>27.4953</v>
      </c>
      <c r="AZ163">
        <v>300.19499999999999</v>
      </c>
      <c r="BA163">
        <v>99.077299999999994</v>
      </c>
      <c r="BB163">
        <v>0.10009800000000001</v>
      </c>
      <c r="BC163">
        <v>25.5977</v>
      </c>
      <c r="BD163">
        <v>26.979900000000001</v>
      </c>
      <c r="BE163">
        <v>26.808399999999999</v>
      </c>
      <c r="BF163">
        <v>0</v>
      </c>
      <c r="BG163">
        <v>0</v>
      </c>
      <c r="BH163">
        <v>9948.75</v>
      </c>
      <c r="BI163">
        <v>1066.3499999999999</v>
      </c>
      <c r="BJ163">
        <v>1.8501799999999999</v>
      </c>
      <c r="BK163">
        <v>-437.839</v>
      </c>
      <c r="BL163">
        <v>372.50200000000001</v>
      </c>
      <c r="BM163">
        <v>805.94899999999996</v>
      </c>
      <c r="BN163">
        <v>20.3276</v>
      </c>
      <c r="BO163">
        <v>800.03700000000003</v>
      </c>
      <c r="BP163">
        <v>7.3354400000000002</v>
      </c>
      <c r="BQ163">
        <v>2.74078</v>
      </c>
      <c r="BR163">
        <v>0.72677599999999998</v>
      </c>
      <c r="BS163">
        <v>22.531700000000001</v>
      </c>
      <c r="BT163">
        <v>2.3522099999999999</v>
      </c>
      <c r="BU163">
        <v>1800</v>
      </c>
      <c r="BV163">
        <v>0.90997899999999998</v>
      </c>
      <c r="BW163">
        <v>3.3998300000000002E-2</v>
      </c>
      <c r="BX163">
        <v>2.20092E-2</v>
      </c>
      <c r="BY163">
        <v>3.40132E-2</v>
      </c>
      <c r="BZ163">
        <v>25</v>
      </c>
      <c r="CA163">
        <v>33528.199999999997</v>
      </c>
      <c r="CB163">
        <v>1690203121.0999999</v>
      </c>
      <c r="CC163" t="s">
        <v>332</v>
      </c>
      <c r="CD163">
        <v>1690203121.0999999</v>
      </c>
      <c r="CE163">
        <v>1690203121.0999999</v>
      </c>
      <c r="CF163">
        <v>3</v>
      </c>
      <c r="CG163">
        <v>0.53600000000000003</v>
      </c>
      <c r="CH163">
        <v>-0.01</v>
      </c>
      <c r="CI163">
        <v>-0.996</v>
      </c>
      <c r="CJ163">
        <v>-6.6000000000000003E-2</v>
      </c>
      <c r="CK163">
        <v>800</v>
      </c>
      <c r="CL163">
        <v>9</v>
      </c>
      <c r="CM163">
        <v>0.82</v>
      </c>
      <c r="CN163">
        <v>0.01</v>
      </c>
      <c r="CO163">
        <v>-436.8974634146341</v>
      </c>
      <c r="CP163">
        <v>-4.847351916375473</v>
      </c>
      <c r="CQ163">
        <v>0.48049974480645991</v>
      </c>
      <c r="CR163">
        <v>-1</v>
      </c>
      <c r="CS163">
        <v>20.31098048780488</v>
      </c>
      <c r="CT163">
        <v>0.1194878048780485</v>
      </c>
      <c r="CU163">
        <v>1.194810362567454E-2</v>
      </c>
      <c r="CV163">
        <v>-1</v>
      </c>
      <c r="CW163">
        <v>0</v>
      </c>
      <c r="CX163">
        <v>0</v>
      </c>
      <c r="CY163" t="s">
        <v>333</v>
      </c>
      <c r="CZ163">
        <v>2.3651499999999999</v>
      </c>
      <c r="DA163">
        <v>2.7138399999999998</v>
      </c>
      <c r="DB163">
        <v>8.3107200000000006E-2</v>
      </c>
      <c r="DC163">
        <v>0.146285</v>
      </c>
      <c r="DD163">
        <v>0.126029</v>
      </c>
      <c r="DE163">
        <v>4.6463499999999998E-2</v>
      </c>
      <c r="DF163">
        <v>33466.199999999997</v>
      </c>
      <c r="DG163">
        <v>27474.400000000001</v>
      </c>
      <c r="DH163">
        <v>31157.7</v>
      </c>
      <c r="DI163">
        <v>28040.5</v>
      </c>
      <c r="DJ163">
        <v>36951.4</v>
      </c>
      <c r="DK163">
        <v>38001.5</v>
      </c>
      <c r="DL163">
        <v>44335.1</v>
      </c>
      <c r="DM163">
        <v>42475.4</v>
      </c>
      <c r="DN163">
        <v>1.4847699999999999</v>
      </c>
      <c r="DO163">
        <v>2.0557300000000001</v>
      </c>
      <c r="DP163">
        <v>0.16418099999999999</v>
      </c>
      <c r="DQ163">
        <v>0.156306</v>
      </c>
      <c r="DR163">
        <v>24.288900000000002</v>
      </c>
      <c r="DS163">
        <v>24.245999999999999</v>
      </c>
      <c r="DT163">
        <v>23.7</v>
      </c>
      <c r="DU163">
        <v>27.9</v>
      </c>
      <c r="DV163">
        <v>9.0247700000000002</v>
      </c>
      <c r="DW163">
        <v>61.9955</v>
      </c>
      <c r="DX163">
        <v>37.067300000000003</v>
      </c>
      <c r="DY163">
        <v>1</v>
      </c>
      <c r="DZ163">
        <v>-0.13561699999999999</v>
      </c>
      <c r="EA163">
        <v>7.0958599999999997E-2</v>
      </c>
      <c r="EB163">
        <v>20.191500000000001</v>
      </c>
      <c r="EC163">
        <v>5.2411000000000003</v>
      </c>
      <c r="ED163">
        <v>12.039899999999999</v>
      </c>
      <c r="EE163">
        <v>5.0171999999999999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</v>
      </c>
      <c r="EL163">
        <v>1.8646199999999999</v>
      </c>
      <c r="EM163">
        <v>1.86917</v>
      </c>
      <c r="EN163">
        <v>1.8672200000000001</v>
      </c>
      <c r="EO163">
        <v>1.8633999999999999</v>
      </c>
      <c r="EP163">
        <v>1.86449</v>
      </c>
      <c r="EQ163">
        <v>1.87012</v>
      </c>
      <c r="ER163">
        <v>1.86941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-0.68700000000000006</v>
      </c>
      <c r="FG163">
        <v>0.16769999999999999</v>
      </c>
      <c r="FH163">
        <v>-0.44422204735670362</v>
      </c>
      <c r="FI163">
        <v>-6.1462078757559423E-4</v>
      </c>
      <c r="FJ163">
        <v>-1.8861989874597051E-7</v>
      </c>
      <c r="FK163">
        <v>1.1980462299894961E-10</v>
      </c>
      <c r="FL163">
        <v>0.16773393518503121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35.200000000000003</v>
      </c>
      <c r="FU163">
        <v>35.200000000000003</v>
      </c>
      <c r="FV163">
        <v>1.77979</v>
      </c>
      <c r="FW163">
        <v>2.5549300000000001</v>
      </c>
      <c r="FX163">
        <v>1.5490699999999999</v>
      </c>
      <c r="FY163">
        <v>2.33521</v>
      </c>
      <c r="FZ163">
        <v>1.50146</v>
      </c>
      <c r="GA163">
        <v>2.3828100000000001</v>
      </c>
      <c r="GB163">
        <v>32.509700000000002</v>
      </c>
      <c r="GC163">
        <v>23.991199999999999</v>
      </c>
      <c r="GD163">
        <v>19</v>
      </c>
      <c r="GE163">
        <v>284.27300000000002</v>
      </c>
      <c r="GF163">
        <v>593.38199999999995</v>
      </c>
      <c r="GG163">
        <v>23.713000000000001</v>
      </c>
      <c r="GH163">
        <v>25.684100000000001</v>
      </c>
      <c r="GI163">
        <v>29.999700000000001</v>
      </c>
      <c r="GJ163">
        <v>25.8431</v>
      </c>
      <c r="GK163">
        <v>25.827999999999999</v>
      </c>
      <c r="GL163">
        <v>35.596299999999999</v>
      </c>
      <c r="GM163">
        <v>-30</v>
      </c>
      <c r="GN163">
        <v>-30</v>
      </c>
      <c r="GO163">
        <v>23.750299999999999</v>
      </c>
      <c r="GP163">
        <v>800</v>
      </c>
      <c r="GQ163">
        <v>12.5298</v>
      </c>
      <c r="GR163">
        <v>99.6845</v>
      </c>
      <c r="GS163">
        <v>99.387299999999996</v>
      </c>
    </row>
    <row r="164" spans="1:201" x14ac:dyDescent="0.25">
      <c r="A164">
        <v>148</v>
      </c>
      <c r="B164">
        <v>1690205245.5</v>
      </c>
      <c r="C164">
        <v>1805.900000095367</v>
      </c>
      <c r="D164" t="s">
        <v>629</v>
      </c>
      <c r="E164" t="s">
        <v>630</v>
      </c>
      <c r="F164" t="s">
        <v>330</v>
      </c>
      <c r="H164">
        <v>1690205245.5</v>
      </c>
      <c r="I164">
        <f t="shared" si="60"/>
        <v>2.0120337367832649E-3</v>
      </c>
      <c r="J164">
        <f t="shared" si="61"/>
        <v>2.0120337367832648</v>
      </c>
      <c r="K164">
        <f t="shared" si="62"/>
        <v>41.448354842730431</v>
      </c>
      <c r="L164">
        <f t="shared" si="63"/>
        <v>361.49200000000002</v>
      </c>
      <c r="M164">
        <f t="shared" si="64"/>
        <v>70.793183610838099</v>
      </c>
      <c r="N164">
        <f t="shared" si="65"/>
        <v>7.021074423196886</v>
      </c>
      <c r="O164">
        <f t="shared" si="66"/>
        <v>35.851788349319598</v>
      </c>
      <c r="P164">
        <f t="shared" si="67"/>
        <v>0.24260258817940852</v>
      </c>
      <c r="Q164">
        <f t="shared" si="68"/>
        <v>2.1937298620446981</v>
      </c>
      <c r="R164">
        <f t="shared" si="69"/>
        <v>0.22862221275564948</v>
      </c>
      <c r="S164">
        <f t="shared" si="70"/>
        <v>0.14407778314903463</v>
      </c>
      <c r="T164">
        <f t="shared" si="71"/>
        <v>276.11671683600002</v>
      </c>
      <c r="U164">
        <f t="shared" si="72"/>
        <v>27.047303809340121</v>
      </c>
      <c r="V164">
        <f t="shared" si="73"/>
        <v>27.047303809340121</v>
      </c>
      <c r="W164">
        <f t="shared" si="74"/>
        <v>3.5891156303587577</v>
      </c>
      <c r="X164">
        <f t="shared" si="75"/>
        <v>83.262212126862906</v>
      </c>
      <c r="Y164">
        <f t="shared" si="76"/>
        <v>2.7441556167079599</v>
      </c>
      <c r="Z164">
        <f t="shared" si="77"/>
        <v>3.2957995549371342</v>
      </c>
      <c r="AA164">
        <f t="shared" si="78"/>
        <v>0.84496001365079776</v>
      </c>
      <c r="AB164">
        <f t="shared" si="79"/>
        <v>-88.730687792141978</v>
      </c>
      <c r="AC164">
        <f t="shared" si="80"/>
        <v>-170.81544911548954</v>
      </c>
      <c r="AD164">
        <f t="shared" si="81"/>
        <v>-16.691192675458918</v>
      </c>
      <c r="AE164">
        <f t="shared" si="82"/>
        <v>-0.12061274709040504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52615.442297802598</v>
      </c>
      <c r="AK164">
        <f t="shared" si="86"/>
        <v>1800</v>
      </c>
      <c r="AL164">
        <f t="shared" si="87"/>
        <v>1499.1111665999999</v>
      </c>
      <c r="AM164">
        <f t="shared" si="88"/>
        <v>0.83283953699999991</v>
      </c>
      <c r="AN164">
        <f t="shared" si="89"/>
        <v>0.15339817602</v>
      </c>
      <c r="AO164">
        <v>31.2</v>
      </c>
      <c r="AP164">
        <v>0.5</v>
      </c>
      <c r="AQ164" t="s">
        <v>331</v>
      </c>
      <c r="AR164">
        <v>2</v>
      </c>
      <c r="AS164">
        <v>1690205245.5</v>
      </c>
      <c r="AT164">
        <v>361.49200000000002</v>
      </c>
      <c r="AU164">
        <v>799.99199999999996</v>
      </c>
      <c r="AV164">
        <v>27.6692</v>
      </c>
      <c r="AW164">
        <v>7.3289299999999997</v>
      </c>
      <c r="AX164">
        <v>362.178</v>
      </c>
      <c r="AY164">
        <v>27.5014</v>
      </c>
      <c r="AZ164">
        <v>300.08699999999999</v>
      </c>
      <c r="BA164">
        <v>99.077299999999994</v>
      </c>
      <c r="BB164">
        <v>9.9966299999999994E-2</v>
      </c>
      <c r="BC164">
        <v>25.603000000000002</v>
      </c>
      <c r="BD164">
        <v>26.976700000000001</v>
      </c>
      <c r="BE164">
        <v>26.832799999999999</v>
      </c>
      <c r="BF164">
        <v>0</v>
      </c>
      <c r="BG164">
        <v>0</v>
      </c>
      <c r="BH164">
        <v>9996.25</v>
      </c>
      <c r="BI164">
        <v>1066.3399999999999</v>
      </c>
      <c r="BJ164">
        <v>1.8501799999999999</v>
      </c>
      <c r="BK164">
        <v>-438.5</v>
      </c>
      <c r="BL164">
        <v>371.779</v>
      </c>
      <c r="BM164">
        <v>805.89800000000002</v>
      </c>
      <c r="BN164">
        <v>20.340199999999999</v>
      </c>
      <c r="BO164">
        <v>799.99199999999996</v>
      </c>
      <c r="BP164">
        <v>7.3289299999999997</v>
      </c>
      <c r="BQ164">
        <v>2.74139</v>
      </c>
      <c r="BR164">
        <v>0.72613099999999997</v>
      </c>
      <c r="BS164">
        <v>22.535299999999999</v>
      </c>
      <c r="BT164">
        <v>2.3397600000000001</v>
      </c>
      <c r="BU164">
        <v>1800</v>
      </c>
      <c r="BV164">
        <v>0.90998000000000001</v>
      </c>
      <c r="BW164">
        <v>3.3998100000000003E-2</v>
      </c>
      <c r="BX164">
        <v>2.20091E-2</v>
      </c>
      <c r="BY164">
        <v>3.4013000000000002E-2</v>
      </c>
      <c r="BZ164">
        <v>25</v>
      </c>
      <c r="CA164">
        <v>33528.199999999997</v>
      </c>
      <c r="CB164">
        <v>1690203121.0999999</v>
      </c>
      <c r="CC164" t="s">
        <v>332</v>
      </c>
      <c r="CD164">
        <v>1690203121.0999999</v>
      </c>
      <c r="CE164">
        <v>1690203121.0999999</v>
      </c>
      <c r="CF164">
        <v>3</v>
      </c>
      <c r="CG164">
        <v>0.53600000000000003</v>
      </c>
      <c r="CH164">
        <v>-0.01</v>
      </c>
      <c r="CI164">
        <v>-0.996</v>
      </c>
      <c r="CJ164">
        <v>-6.6000000000000003E-2</v>
      </c>
      <c r="CK164">
        <v>800</v>
      </c>
      <c r="CL164">
        <v>9</v>
      </c>
      <c r="CM164">
        <v>0.82</v>
      </c>
      <c r="CN164">
        <v>0.01</v>
      </c>
      <c r="CO164">
        <v>-437.73840000000001</v>
      </c>
      <c r="CP164">
        <v>-4.2420562851782044</v>
      </c>
      <c r="CQ164">
        <v>0.40938654105868971</v>
      </c>
      <c r="CR164">
        <v>-1</v>
      </c>
      <c r="CS164">
        <v>20.3278575</v>
      </c>
      <c r="CT164">
        <v>6.9315196998092271E-2</v>
      </c>
      <c r="CU164">
        <v>6.7935589899551403E-3</v>
      </c>
      <c r="CV164">
        <v>-1</v>
      </c>
      <c r="CW164">
        <v>0</v>
      </c>
      <c r="CX164">
        <v>0</v>
      </c>
      <c r="CY164" t="s">
        <v>333</v>
      </c>
      <c r="CZ164">
        <v>2.3648199999999999</v>
      </c>
      <c r="DA164">
        <v>2.7137500000000001</v>
      </c>
      <c r="DB164">
        <v>8.29815E-2</v>
      </c>
      <c r="DC164">
        <v>0.14627999999999999</v>
      </c>
      <c r="DD164">
        <v>0.12605</v>
      </c>
      <c r="DE164">
        <v>4.6431E-2</v>
      </c>
      <c r="DF164">
        <v>33470.9</v>
      </c>
      <c r="DG164">
        <v>27474.5</v>
      </c>
      <c r="DH164">
        <v>31157.7</v>
      </c>
      <c r="DI164">
        <v>28040.400000000001</v>
      </c>
      <c r="DJ164">
        <v>36950.6</v>
      </c>
      <c r="DK164">
        <v>38002.6</v>
      </c>
      <c r="DL164">
        <v>44335.3</v>
      </c>
      <c r="DM164">
        <v>42475.3</v>
      </c>
      <c r="DN164">
        <v>1.4845999999999999</v>
      </c>
      <c r="DO164">
        <v>2.0559500000000002</v>
      </c>
      <c r="DP164">
        <v>0.16380500000000001</v>
      </c>
      <c r="DQ164">
        <v>0.15768399999999999</v>
      </c>
      <c r="DR164">
        <v>24.291799999999999</v>
      </c>
      <c r="DS164">
        <v>24.247900000000001</v>
      </c>
      <c r="DT164">
        <v>23.7</v>
      </c>
      <c r="DU164">
        <v>27.9</v>
      </c>
      <c r="DV164">
        <v>9.0237700000000007</v>
      </c>
      <c r="DW164">
        <v>61.235500000000002</v>
      </c>
      <c r="DX164">
        <v>37.303699999999999</v>
      </c>
      <c r="DY164">
        <v>1</v>
      </c>
      <c r="DZ164">
        <v>-0.13658799999999999</v>
      </c>
      <c r="EA164">
        <v>5.1165599999999999E-2</v>
      </c>
      <c r="EB164">
        <v>20.191500000000001</v>
      </c>
      <c r="EC164">
        <v>5.2416999999999998</v>
      </c>
      <c r="ED164">
        <v>12.039899999999999</v>
      </c>
      <c r="EE164">
        <v>5.01715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</v>
      </c>
      <c r="EL164">
        <v>1.8646199999999999</v>
      </c>
      <c r="EM164">
        <v>1.86913</v>
      </c>
      <c r="EN164">
        <v>1.8672200000000001</v>
      </c>
      <c r="EO164">
        <v>1.8633999999999999</v>
      </c>
      <c r="EP164">
        <v>1.8644700000000001</v>
      </c>
      <c r="EQ164">
        <v>1.87012</v>
      </c>
      <c r="ER164">
        <v>1.86937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-0.68600000000000005</v>
      </c>
      <c r="FG164">
        <v>0.1678</v>
      </c>
      <c r="FH164">
        <v>-0.44422204735670362</v>
      </c>
      <c r="FI164">
        <v>-6.1462078757559423E-4</v>
      </c>
      <c r="FJ164">
        <v>-1.8861989874597051E-7</v>
      </c>
      <c r="FK164">
        <v>1.1980462299894961E-10</v>
      </c>
      <c r="FL164">
        <v>0.16773393518503121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35.4</v>
      </c>
      <c r="FU164">
        <v>35.4</v>
      </c>
      <c r="FV164">
        <v>1.78101</v>
      </c>
      <c r="FW164">
        <v>2.5671400000000002</v>
      </c>
      <c r="FX164">
        <v>1.5490699999999999</v>
      </c>
      <c r="FY164">
        <v>2.33521</v>
      </c>
      <c r="FZ164">
        <v>1.50146</v>
      </c>
      <c r="GA164">
        <v>2.33521</v>
      </c>
      <c r="GB164">
        <v>32.509700000000002</v>
      </c>
      <c r="GC164">
        <v>23.991199999999999</v>
      </c>
      <c r="GD164">
        <v>19</v>
      </c>
      <c r="GE164">
        <v>284.18599999999998</v>
      </c>
      <c r="GF164">
        <v>593.53899999999999</v>
      </c>
      <c r="GG164">
        <v>23.767299999999999</v>
      </c>
      <c r="GH164">
        <v>25.681899999999999</v>
      </c>
      <c r="GI164">
        <v>29.999700000000001</v>
      </c>
      <c r="GJ164">
        <v>25.840399999999999</v>
      </c>
      <c r="GK164">
        <v>25.825299999999999</v>
      </c>
      <c r="GL164">
        <v>35.597700000000003</v>
      </c>
      <c r="GM164">
        <v>-30</v>
      </c>
      <c r="GN164">
        <v>-30</v>
      </c>
      <c r="GO164">
        <v>23.778700000000001</v>
      </c>
      <c r="GP164">
        <v>800</v>
      </c>
      <c r="GQ164">
        <v>12.5298</v>
      </c>
      <c r="GR164">
        <v>99.684700000000007</v>
      </c>
      <c r="GS164">
        <v>99.387</v>
      </c>
    </row>
    <row r="165" spans="1:201" x14ac:dyDescent="0.25">
      <c r="A165">
        <v>149</v>
      </c>
      <c r="B165">
        <v>1690205255.5</v>
      </c>
      <c r="C165">
        <v>1815.900000095367</v>
      </c>
      <c r="D165" t="s">
        <v>631</v>
      </c>
      <c r="E165" t="s">
        <v>632</v>
      </c>
      <c r="F165" t="s">
        <v>330</v>
      </c>
      <c r="H165">
        <v>1690205255.5</v>
      </c>
      <c r="I165">
        <f t="shared" si="60"/>
        <v>2.013849474487764E-3</v>
      </c>
      <c r="J165">
        <f t="shared" si="61"/>
        <v>2.0138494744877642</v>
      </c>
      <c r="K165">
        <f t="shared" si="62"/>
        <v>41.510431548536296</v>
      </c>
      <c r="L165">
        <f t="shared" si="63"/>
        <v>360.755</v>
      </c>
      <c r="M165">
        <f t="shared" si="64"/>
        <v>69.834843641763442</v>
      </c>
      <c r="N165">
        <f t="shared" si="65"/>
        <v>6.926273886459982</v>
      </c>
      <c r="O165">
        <f t="shared" si="66"/>
        <v>35.779960340822996</v>
      </c>
      <c r="P165">
        <f t="shared" si="67"/>
        <v>0.24276976463674216</v>
      </c>
      <c r="Q165">
        <f t="shared" si="68"/>
        <v>2.1952292740676218</v>
      </c>
      <c r="R165">
        <f t="shared" si="69"/>
        <v>0.22877968198455245</v>
      </c>
      <c r="S165">
        <f t="shared" si="70"/>
        <v>0.14417702657238943</v>
      </c>
      <c r="T165">
        <f t="shared" si="71"/>
        <v>276.11494817154363</v>
      </c>
      <c r="U165">
        <f t="shared" si="72"/>
        <v>27.054962279279245</v>
      </c>
      <c r="V165">
        <f t="shared" si="73"/>
        <v>27.054962279279245</v>
      </c>
      <c r="W165">
        <f t="shared" si="74"/>
        <v>3.5907297647144292</v>
      </c>
      <c r="X165">
        <f t="shared" si="75"/>
        <v>83.259709189095091</v>
      </c>
      <c r="Y165">
        <f t="shared" si="76"/>
        <v>2.7455717928644998</v>
      </c>
      <c r="Z165">
        <f t="shared" si="77"/>
        <v>3.2975995467734593</v>
      </c>
      <c r="AA165">
        <f t="shared" si="78"/>
        <v>0.84515797184992936</v>
      </c>
      <c r="AB165">
        <f t="shared" si="79"/>
        <v>-88.810761824910401</v>
      </c>
      <c r="AC165">
        <f t="shared" si="80"/>
        <v>-170.74976244248586</v>
      </c>
      <c r="AD165">
        <f t="shared" si="81"/>
        <v>-16.674786315158052</v>
      </c>
      <c r="AE165">
        <f t="shared" si="82"/>
        <v>-0.12036241101066025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52675.49879600959</v>
      </c>
      <c r="AK165">
        <f t="shared" si="86"/>
        <v>1799.99</v>
      </c>
      <c r="AL165">
        <f t="shared" si="87"/>
        <v>1499.1021578084101</v>
      </c>
      <c r="AM165">
        <f t="shared" si="88"/>
        <v>0.83283915900000005</v>
      </c>
      <c r="AN165">
        <f t="shared" si="89"/>
        <v>0.15339804564000001</v>
      </c>
      <c r="AO165">
        <v>31.2</v>
      </c>
      <c r="AP165">
        <v>0.5</v>
      </c>
      <c r="AQ165" t="s">
        <v>331</v>
      </c>
      <c r="AR165">
        <v>2</v>
      </c>
      <c r="AS165">
        <v>1690205255.5</v>
      </c>
      <c r="AT165">
        <v>360.755</v>
      </c>
      <c r="AU165">
        <v>799.92399999999998</v>
      </c>
      <c r="AV165">
        <v>27.682500000000001</v>
      </c>
      <c r="AW165">
        <v>7.3226599999999999</v>
      </c>
      <c r="AX165">
        <v>361.44099999999997</v>
      </c>
      <c r="AY165">
        <v>27.514700000000001</v>
      </c>
      <c r="AZ165">
        <v>300.065</v>
      </c>
      <c r="BA165">
        <v>99.080799999999996</v>
      </c>
      <c r="BB165">
        <v>9.9974599999999997E-2</v>
      </c>
      <c r="BC165">
        <v>25.612200000000001</v>
      </c>
      <c r="BD165">
        <v>26.935500000000001</v>
      </c>
      <c r="BE165">
        <v>26.8278</v>
      </c>
      <c r="BF165">
        <v>0</v>
      </c>
      <c r="BG165">
        <v>0</v>
      </c>
      <c r="BH165">
        <v>10008.1</v>
      </c>
      <c r="BI165">
        <v>1066.3800000000001</v>
      </c>
      <c r="BJ165">
        <v>1.87401</v>
      </c>
      <c r="BK165">
        <v>-439.16899999999998</v>
      </c>
      <c r="BL165">
        <v>371.02600000000001</v>
      </c>
      <c r="BM165">
        <v>805.82500000000005</v>
      </c>
      <c r="BN165">
        <v>20.3598</v>
      </c>
      <c r="BO165">
        <v>799.92399999999998</v>
      </c>
      <c r="BP165">
        <v>7.3226599999999999</v>
      </c>
      <c r="BQ165">
        <v>2.7427999999999999</v>
      </c>
      <c r="BR165">
        <v>0.72553500000000004</v>
      </c>
      <c r="BS165">
        <v>22.543800000000001</v>
      </c>
      <c r="BT165">
        <v>2.32823</v>
      </c>
      <c r="BU165">
        <v>1799.99</v>
      </c>
      <c r="BV165">
        <v>0.90998100000000004</v>
      </c>
      <c r="BW165">
        <v>3.39975E-2</v>
      </c>
      <c r="BX165">
        <v>2.2008699999999999E-2</v>
      </c>
      <c r="BY165">
        <v>3.4012399999999998E-2</v>
      </c>
      <c r="BZ165">
        <v>25</v>
      </c>
      <c r="CA165">
        <v>33528.1</v>
      </c>
      <c r="CB165">
        <v>1690203121.0999999</v>
      </c>
      <c r="CC165" t="s">
        <v>332</v>
      </c>
      <c r="CD165">
        <v>1690203121.0999999</v>
      </c>
      <c r="CE165">
        <v>1690203121.0999999</v>
      </c>
      <c r="CF165">
        <v>3</v>
      </c>
      <c r="CG165">
        <v>0.53600000000000003</v>
      </c>
      <c r="CH165">
        <v>-0.01</v>
      </c>
      <c r="CI165">
        <v>-0.996</v>
      </c>
      <c r="CJ165">
        <v>-6.6000000000000003E-2</v>
      </c>
      <c r="CK165">
        <v>800</v>
      </c>
      <c r="CL165">
        <v>9</v>
      </c>
      <c r="CM165">
        <v>0.82</v>
      </c>
      <c r="CN165">
        <v>0.01</v>
      </c>
      <c r="CO165">
        <v>-438.39909756097558</v>
      </c>
      <c r="CP165">
        <v>-4.1482787456447561</v>
      </c>
      <c r="CQ165">
        <v>0.40955959719262841</v>
      </c>
      <c r="CR165">
        <v>-1</v>
      </c>
      <c r="CS165">
        <v>20.33889756097561</v>
      </c>
      <c r="CT165">
        <v>8.270174216027365E-2</v>
      </c>
      <c r="CU165">
        <v>8.2315125541546977E-3</v>
      </c>
      <c r="CV165">
        <v>-1</v>
      </c>
      <c r="CW165">
        <v>0</v>
      </c>
      <c r="CX165">
        <v>0</v>
      </c>
      <c r="CY165" t="s">
        <v>333</v>
      </c>
      <c r="CZ165">
        <v>2.3647499999999999</v>
      </c>
      <c r="DA165">
        <v>2.7137699999999998</v>
      </c>
      <c r="DB165">
        <v>8.2852400000000007E-2</v>
      </c>
      <c r="DC165">
        <v>0.14627699999999999</v>
      </c>
      <c r="DD165">
        <v>0.12609600000000001</v>
      </c>
      <c r="DE165">
        <v>4.6400900000000002E-2</v>
      </c>
      <c r="DF165">
        <v>33475.4</v>
      </c>
      <c r="DG165">
        <v>27474.9</v>
      </c>
      <c r="DH165">
        <v>31157.599999999999</v>
      </c>
      <c r="DI165">
        <v>28040.7</v>
      </c>
      <c r="DJ165">
        <v>36948.300000000003</v>
      </c>
      <c r="DK165">
        <v>38004.300000000003</v>
      </c>
      <c r="DL165">
        <v>44334.9</v>
      </c>
      <c r="DM165">
        <v>42475.8</v>
      </c>
      <c r="DN165">
        <v>1.48458</v>
      </c>
      <c r="DO165">
        <v>2.056</v>
      </c>
      <c r="DP165">
        <v>0.161216</v>
      </c>
      <c r="DQ165">
        <v>0.157252</v>
      </c>
      <c r="DR165">
        <v>24.292999999999999</v>
      </c>
      <c r="DS165">
        <v>24.2499</v>
      </c>
      <c r="DT165">
        <v>23.7</v>
      </c>
      <c r="DU165">
        <v>27.9</v>
      </c>
      <c r="DV165">
        <v>9.0250199999999996</v>
      </c>
      <c r="DW165">
        <v>61.645499999999998</v>
      </c>
      <c r="DX165">
        <v>37.079300000000003</v>
      </c>
      <c r="DY165">
        <v>1</v>
      </c>
      <c r="DZ165">
        <v>-0.136771</v>
      </c>
      <c r="EA165">
        <v>0.15872600000000001</v>
      </c>
      <c r="EB165">
        <v>20.191400000000002</v>
      </c>
      <c r="EC165">
        <v>5.2413999999999996</v>
      </c>
      <c r="ED165">
        <v>12.039899999999999</v>
      </c>
      <c r="EE165">
        <v>5.0174500000000002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</v>
      </c>
      <c r="EL165">
        <v>1.8646199999999999</v>
      </c>
      <c r="EM165">
        <v>1.86914</v>
      </c>
      <c r="EN165">
        <v>1.8672200000000001</v>
      </c>
      <c r="EO165">
        <v>1.8633999999999999</v>
      </c>
      <c r="EP165">
        <v>1.8644700000000001</v>
      </c>
      <c r="EQ165">
        <v>1.87012</v>
      </c>
      <c r="ER165">
        <v>1.86938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-0.68600000000000005</v>
      </c>
      <c r="FG165">
        <v>0.1678</v>
      </c>
      <c r="FH165">
        <v>-0.44422204735670362</v>
      </c>
      <c r="FI165">
        <v>-6.1462078757559423E-4</v>
      </c>
      <c r="FJ165">
        <v>-1.8861989874597051E-7</v>
      </c>
      <c r="FK165">
        <v>1.1980462299894961E-10</v>
      </c>
      <c r="FL165">
        <v>0.16773393518503121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35.6</v>
      </c>
      <c r="FU165">
        <v>35.6</v>
      </c>
      <c r="FV165">
        <v>1.78101</v>
      </c>
      <c r="FW165">
        <v>2.5610400000000002</v>
      </c>
      <c r="FX165">
        <v>1.5490699999999999</v>
      </c>
      <c r="FY165">
        <v>2.33521</v>
      </c>
      <c r="FZ165">
        <v>1.50146</v>
      </c>
      <c r="GA165">
        <v>2.36694</v>
      </c>
      <c r="GB165">
        <v>32.509700000000002</v>
      </c>
      <c r="GC165">
        <v>23.991199999999999</v>
      </c>
      <c r="GD165">
        <v>19</v>
      </c>
      <c r="GE165">
        <v>284.16500000000002</v>
      </c>
      <c r="GF165">
        <v>593.553</v>
      </c>
      <c r="GG165">
        <v>23.792200000000001</v>
      </c>
      <c r="GH165">
        <v>25.6798</v>
      </c>
      <c r="GI165">
        <v>30.000299999999999</v>
      </c>
      <c r="GJ165">
        <v>25.838200000000001</v>
      </c>
      <c r="GK165">
        <v>25.823</v>
      </c>
      <c r="GL165">
        <v>35.6023</v>
      </c>
      <c r="GM165">
        <v>-30</v>
      </c>
      <c r="GN165">
        <v>-30</v>
      </c>
      <c r="GO165">
        <v>23.755700000000001</v>
      </c>
      <c r="GP165">
        <v>800</v>
      </c>
      <c r="GQ165">
        <v>12.5298</v>
      </c>
      <c r="GR165">
        <v>99.683899999999994</v>
      </c>
      <c r="GS165">
        <v>99.388199999999998</v>
      </c>
    </row>
    <row r="166" spans="1:201" x14ac:dyDescent="0.25">
      <c r="A166">
        <v>150</v>
      </c>
      <c r="B166">
        <v>1690205265.5</v>
      </c>
      <c r="C166">
        <v>1825.900000095367</v>
      </c>
      <c r="D166" t="s">
        <v>633</v>
      </c>
      <c r="E166" t="s">
        <v>634</v>
      </c>
      <c r="F166" t="s">
        <v>330</v>
      </c>
      <c r="H166">
        <v>1690205265.5</v>
      </c>
      <c r="I166">
        <f t="shared" si="60"/>
        <v>2.0175976078742951E-3</v>
      </c>
      <c r="J166">
        <f t="shared" si="61"/>
        <v>2.0175976078742952</v>
      </c>
      <c r="K166">
        <f t="shared" si="62"/>
        <v>41.565431960202822</v>
      </c>
      <c r="L166">
        <f t="shared" si="63"/>
        <v>360.19900000000001</v>
      </c>
      <c r="M166">
        <f t="shared" si="64"/>
        <v>70.250222131951475</v>
      </c>
      <c r="N166">
        <f t="shared" si="65"/>
        <v>6.9673841750180561</v>
      </c>
      <c r="O166">
        <f t="shared" si="66"/>
        <v>35.724368354927705</v>
      </c>
      <c r="P166">
        <f t="shared" si="67"/>
        <v>0.2439772205977378</v>
      </c>
      <c r="Q166">
        <f t="shared" si="68"/>
        <v>2.1932973162329255</v>
      </c>
      <c r="R166">
        <f t="shared" si="69"/>
        <v>0.22984030498545627</v>
      </c>
      <c r="S166">
        <f t="shared" si="70"/>
        <v>0.14485202844951686</v>
      </c>
      <c r="T166">
        <f t="shared" si="71"/>
        <v>276.11655710400009</v>
      </c>
      <c r="U166">
        <f t="shared" si="72"/>
        <v>27.058554144592101</v>
      </c>
      <c r="V166">
        <f t="shared" si="73"/>
        <v>27.058554144592101</v>
      </c>
      <c r="W166">
        <f t="shared" si="74"/>
        <v>3.591487021032524</v>
      </c>
      <c r="X166">
        <f t="shared" si="75"/>
        <v>83.336008323134209</v>
      </c>
      <c r="Y166">
        <f t="shared" si="76"/>
        <v>2.7486913120218901</v>
      </c>
      <c r="Z166">
        <f t="shared" si="77"/>
        <v>3.2983236986392219</v>
      </c>
      <c r="AA166">
        <f t="shared" si="78"/>
        <v>0.84279570901063394</v>
      </c>
      <c r="AB166">
        <f t="shared" si="79"/>
        <v>-88.976054507256407</v>
      </c>
      <c r="AC166">
        <f t="shared" si="80"/>
        <v>-170.58670412085718</v>
      </c>
      <c r="AD166">
        <f t="shared" si="81"/>
        <v>-16.674145793785566</v>
      </c>
      <c r="AE166">
        <f t="shared" si="82"/>
        <v>-0.1203473178990464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52595.456839974715</v>
      </c>
      <c r="AK166">
        <f t="shared" si="86"/>
        <v>1800</v>
      </c>
      <c r="AL166">
        <f t="shared" si="87"/>
        <v>1499.1121493999999</v>
      </c>
      <c r="AM166">
        <f t="shared" si="88"/>
        <v>0.83284008300000001</v>
      </c>
      <c r="AN166">
        <f t="shared" si="89"/>
        <v>0.15339808728000004</v>
      </c>
      <c r="AO166">
        <v>31.2</v>
      </c>
      <c r="AP166">
        <v>0.5</v>
      </c>
      <c r="AQ166" t="s">
        <v>331</v>
      </c>
      <c r="AR166">
        <v>2</v>
      </c>
      <c r="AS166">
        <v>1690205265.5</v>
      </c>
      <c r="AT166">
        <v>360.19900000000001</v>
      </c>
      <c r="AU166">
        <v>799.95399999999995</v>
      </c>
      <c r="AV166">
        <v>27.714300000000001</v>
      </c>
      <c r="AW166">
        <v>7.3166900000000004</v>
      </c>
      <c r="AX166">
        <v>360.88400000000001</v>
      </c>
      <c r="AY166">
        <v>27.546600000000002</v>
      </c>
      <c r="AZ166">
        <v>300.05700000000002</v>
      </c>
      <c r="BA166">
        <v>99.079599999999999</v>
      </c>
      <c r="BB166">
        <v>9.9932300000000002E-2</v>
      </c>
      <c r="BC166">
        <v>25.6159</v>
      </c>
      <c r="BD166">
        <v>26.982199999999999</v>
      </c>
      <c r="BE166">
        <v>26.8218</v>
      </c>
      <c r="BF166">
        <v>0</v>
      </c>
      <c r="BG166">
        <v>0</v>
      </c>
      <c r="BH166">
        <v>9992.5</v>
      </c>
      <c r="BI166">
        <v>1066.3599999999999</v>
      </c>
      <c r="BJ166">
        <v>1.90625</v>
      </c>
      <c r="BK166">
        <v>-439.755</v>
      </c>
      <c r="BL166">
        <v>370.46600000000001</v>
      </c>
      <c r="BM166">
        <v>805.85</v>
      </c>
      <c r="BN166">
        <v>20.3977</v>
      </c>
      <c r="BO166">
        <v>799.95399999999995</v>
      </c>
      <c r="BP166">
        <v>7.3166900000000004</v>
      </c>
      <c r="BQ166">
        <v>2.7459199999999999</v>
      </c>
      <c r="BR166">
        <v>0.72493399999999997</v>
      </c>
      <c r="BS166">
        <v>22.5626</v>
      </c>
      <c r="BT166">
        <v>2.3166099999999998</v>
      </c>
      <c r="BU166">
        <v>1800</v>
      </c>
      <c r="BV166">
        <v>0.90998500000000004</v>
      </c>
      <c r="BW166">
        <v>3.39963E-2</v>
      </c>
      <c r="BX166">
        <v>2.20079E-2</v>
      </c>
      <c r="BY166">
        <v>3.4011199999999998E-2</v>
      </c>
      <c r="BZ166">
        <v>25</v>
      </c>
      <c r="CA166">
        <v>33528.199999999997</v>
      </c>
      <c r="CB166">
        <v>1690203121.0999999</v>
      </c>
      <c r="CC166" t="s">
        <v>332</v>
      </c>
      <c r="CD166">
        <v>1690203121.0999999</v>
      </c>
      <c r="CE166">
        <v>1690203121.0999999</v>
      </c>
      <c r="CF166">
        <v>3</v>
      </c>
      <c r="CG166">
        <v>0.53600000000000003</v>
      </c>
      <c r="CH166">
        <v>-0.01</v>
      </c>
      <c r="CI166">
        <v>-0.996</v>
      </c>
      <c r="CJ166">
        <v>-6.6000000000000003E-2</v>
      </c>
      <c r="CK166">
        <v>800</v>
      </c>
      <c r="CL166">
        <v>9</v>
      </c>
      <c r="CM166">
        <v>0.82</v>
      </c>
      <c r="CN166">
        <v>0.01</v>
      </c>
      <c r="CO166">
        <v>-439.09287804878051</v>
      </c>
      <c r="CP166">
        <v>-4.1435749128932029</v>
      </c>
      <c r="CQ166">
        <v>0.41106733144529461</v>
      </c>
      <c r="CR166">
        <v>-1</v>
      </c>
      <c r="CS166">
        <v>20.36003170731707</v>
      </c>
      <c r="CT166">
        <v>0.1730634146341562</v>
      </c>
      <c r="CU166">
        <v>1.7460176835698171E-2</v>
      </c>
      <c r="CV166">
        <v>-1</v>
      </c>
      <c r="CW166">
        <v>0</v>
      </c>
      <c r="CX166">
        <v>0</v>
      </c>
      <c r="CY166" t="s">
        <v>333</v>
      </c>
      <c r="CZ166">
        <v>2.3647100000000001</v>
      </c>
      <c r="DA166">
        <v>2.7137199999999999</v>
      </c>
      <c r="DB166">
        <v>8.27518E-2</v>
      </c>
      <c r="DC166">
        <v>0.14627899999999999</v>
      </c>
      <c r="DD166">
        <v>0.126195</v>
      </c>
      <c r="DE166">
        <v>4.6370300000000003E-2</v>
      </c>
      <c r="DF166">
        <v>33478.699999999997</v>
      </c>
      <c r="DG166">
        <v>27474.7</v>
      </c>
      <c r="DH166">
        <v>31157.200000000001</v>
      </c>
      <c r="DI166">
        <v>28040.5</v>
      </c>
      <c r="DJ166">
        <v>36943.699999999997</v>
      </c>
      <c r="DK166">
        <v>38005.300000000003</v>
      </c>
      <c r="DL166">
        <v>44334.5</v>
      </c>
      <c r="DM166">
        <v>42475.5</v>
      </c>
      <c r="DN166">
        <v>1.48407</v>
      </c>
      <c r="DO166">
        <v>2.05585</v>
      </c>
      <c r="DP166">
        <v>0.16394600000000001</v>
      </c>
      <c r="DQ166">
        <v>0.156749</v>
      </c>
      <c r="DR166">
        <v>24.295000000000002</v>
      </c>
      <c r="DS166">
        <v>24.252099999999999</v>
      </c>
      <c r="DT166">
        <v>23.7</v>
      </c>
      <c r="DU166">
        <v>27.9</v>
      </c>
      <c r="DV166">
        <v>9.0248200000000001</v>
      </c>
      <c r="DW166">
        <v>61.605499999999999</v>
      </c>
      <c r="DX166">
        <v>36.7027</v>
      </c>
      <c r="DY166">
        <v>1</v>
      </c>
      <c r="DZ166">
        <v>-0.13583100000000001</v>
      </c>
      <c r="EA166">
        <v>5.6457E-2</v>
      </c>
      <c r="EB166">
        <v>20.191400000000002</v>
      </c>
      <c r="EC166">
        <v>5.24125</v>
      </c>
      <c r="ED166">
        <v>12.039899999999999</v>
      </c>
      <c r="EE166">
        <v>5.0173500000000004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</v>
      </c>
      <c r="EL166">
        <v>1.8646199999999999</v>
      </c>
      <c r="EM166">
        <v>1.8691500000000001</v>
      </c>
      <c r="EN166">
        <v>1.8672200000000001</v>
      </c>
      <c r="EO166">
        <v>1.8633999999999999</v>
      </c>
      <c r="EP166">
        <v>1.8644700000000001</v>
      </c>
      <c r="EQ166">
        <v>1.87012</v>
      </c>
      <c r="ER166">
        <v>1.8693900000000001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-0.68500000000000005</v>
      </c>
      <c r="FG166">
        <v>0.16769999999999999</v>
      </c>
      <c r="FH166">
        <v>-0.44422204735670362</v>
      </c>
      <c r="FI166">
        <v>-6.1462078757559423E-4</v>
      </c>
      <c r="FJ166">
        <v>-1.8861989874597051E-7</v>
      </c>
      <c r="FK166">
        <v>1.1980462299894961E-10</v>
      </c>
      <c r="FL166">
        <v>0.16773393518503121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35.700000000000003</v>
      </c>
      <c r="FU166">
        <v>35.700000000000003</v>
      </c>
      <c r="FV166">
        <v>1.78101</v>
      </c>
      <c r="FW166">
        <v>2.5647000000000002</v>
      </c>
      <c r="FX166">
        <v>1.5490699999999999</v>
      </c>
      <c r="FY166">
        <v>2.3339799999999999</v>
      </c>
      <c r="FZ166">
        <v>1.50146</v>
      </c>
      <c r="GA166">
        <v>2.36328</v>
      </c>
      <c r="GB166">
        <v>32.509700000000002</v>
      </c>
      <c r="GC166">
        <v>23.982399999999998</v>
      </c>
      <c r="GD166">
        <v>19</v>
      </c>
      <c r="GE166">
        <v>283.94799999999998</v>
      </c>
      <c r="GF166">
        <v>593.40300000000002</v>
      </c>
      <c r="GG166">
        <v>23.764800000000001</v>
      </c>
      <c r="GH166">
        <v>25.6782</v>
      </c>
      <c r="GI166">
        <v>30.000599999999999</v>
      </c>
      <c r="GJ166">
        <v>25.837199999999999</v>
      </c>
      <c r="GK166">
        <v>25.820799999999998</v>
      </c>
      <c r="GL166">
        <v>35.599499999999999</v>
      </c>
      <c r="GM166">
        <v>-30</v>
      </c>
      <c r="GN166">
        <v>-30</v>
      </c>
      <c r="GO166">
        <v>23.819900000000001</v>
      </c>
      <c r="GP166">
        <v>800</v>
      </c>
      <c r="GQ166">
        <v>12.5298</v>
      </c>
      <c r="GR166">
        <v>99.683000000000007</v>
      </c>
      <c r="GS166">
        <v>99.387500000000003</v>
      </c>
    </row>
    <row r="167" spans="1:201" x14ac:dyDescent="0.25">
      <c r="A167">
        <v>151</v>
      </c>
      <c r="B167">
        <v>1690205275.5</v>
      </c>
      <c r="C167">
        <v>1835.900000095367</v>
      </c>
      <c r="D167" t="s">
        <v>635</v>
      </c>
      <c r="E167" t="s">
        <v>636</v>
      </c>
      <c r="F167" t="s">
        <v>330</v>
      </c>
      <c r="H167">
        <v>1690205275.5</v>
      </c>
      <c r="I167">
        <f t="shared" si="60"/>
        <v>2.0215224336228117E-3</v>
      </c>
      <c r="J167">
        <f t="shared" si="61"/>
        <v>2.0215224336228115</v>
      </c>
      <c r="K167">
        <f t="shared" si="62"/>
        <v>41.655613842724904</v>
      </c>
      <c r="L167">
        <f t="shared" si="63"/>
        <v>359.55500000000001</v>
      </c>
      <c r="M167">
        <f t="shared" si="64"/>
        <v>69.8306137690452</v>
      </c>
      <c r="N167">
        <f t="shared" si="65"/>
        <v>6.9257481101454177</v>
      </c>
      <c r="O167">
        <f t="shared" si="66"/>
        <v>35.660396312415003</v>
      </c>
      <c r="P167">
        <f t="shared" si="67"/>
        <v>0.24473159591949675</v>
      </c>
      <c r="Q167">
        <f t="shared" si="68"/>
        <v>2.19244604985869</v>
      </c>
      <c r="R167">
        <f t="shared" si="69"/>
        <v>0.2305046801518699</v>
      </c>
      <c r="S167">
        <f t="shared" si="70"/>
        <v>0.14527468921662509</v>
      </c>
      <c r="T167">
        <f t="shared" si="71"/>
        <v>276.11630368200002</v>
      </c>
      <c r="U167">
        <f t="shared" si="72"/>
        <v>27.06421966377566</v>
      </c>
      <c r="V167">
        <f t="shared" si="73"/>
        <v>27.06421966377566</v>
      </c>
      <c r="W167">
        <f t="shared" si="74"/>
        <v>3.5926817395371891</v>
      </c>
      <c r="X167">
        <f t="shared" si="75"/>
        <v>83.364652786640846</v>
      </c>
      <c r="Y167">
        <f t="shared" si="76"/>
        <v>2.7506969102537999</v>
      </c>
      <c r="Z167">
        <f t="shared" si="77"/>
        <v>3.2995961937174867</v>
      </c>
      <c r="AA167">
        <f t="shared" si="78"/>
        <v>0.84198482928338914</v>
      </c>
      <c r="AB167">
        <f t="shared" si="79"/>
        <v>-89.14913932276599</v>
      </c>
      <c r="AC167">
        <f t="shared" si="80"/>
        <v>-170.42186078776285</v>
      </c>
      <c r="AD167">
        <f t="shared" si="81"/>
        <v>-16.665516704602062</v>
      </c>
      <c r="AE167">
        <f t="shared" si="82"/>
        <v>-0.12021313313087489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52559.357831066256</v>
      </c>
      <c r="AK167">
        <f t="shared" si="86"/>
        <v>1800</v>
      </c>
      <c r="AL167">
        <f t="shared" si="87"/>
        <v>1499.1110532</v>
      </c>
      <c r="AM167">
        <f t="shared" si="88"/>
        <v>0.83283947400000002</v>
      </c>
      <c r="AN167">
        <f t="shared" si="89"/>
        <v>0.15339794649000002</v>
      </c>
      <c r="AO167">
        <v>31.2</v>
      </c>
      <c r="AP167">
        <v>0.5</v>
      </c>
      <c r="AQ167" t="s">
        <v>331</v>
      </c>
      <c r="AR167">
        <v>2</v>
      </c>
      <c r="AS167">
        <v>1690205275.5</v>
      </c>
      <c r="AT167">
        <v>359.55500000000001</v>
      </c>
      <c r="AU167">
        <v>799.97</v>
      </c>
      <c r="AV167">
        <v>27.7346</v>
      </c>
      <c r="AW167">
        <v>7.31067</v>
      </c>
      <c r="AX167">
        <v>360.23899999999998</v>
      </c>
      <c r="AY167">
        <v>27.5669</v>
      </c>
      <c r="AZ167">
        <v>300.24700000000001</v>
      </c>
      <c r="BA167">
        <v>99.0792</v>
      </c>
      <c r="BB167">
        <v>0.100053</v>
      </c>
      <c r="BC167">
        <v>25.622399999999999</v>
      </c>
      <c r="BD167">
        <v>26.989599999999999</v>
      </c>
      <c r="BE167">
        <v>26.8215</v>
      </c>
      <c r="BF167">
        <v>0</v>
      </c>
      <c r="BG167">
        <v>0</v>
      </c>
      <c r="BH167">
        <v>9985.6200000000008</v>
      </c>
      <c r="BI167">
        <v>1066.3</v>
      </c>
      <c r="BJ167">
        <v>1.90625</v>
      </c>
      <c r="BK167">
        <v>-440.41500000000002</v>
      </c>
      <c r="BL167">
        <v>369.81099999999998</v>
      </c>
      <c r="BM167">
        <v>805.86099999999999</v>
      </c>
      <c r="BN167">
        <v>20.4239</v>
      </c>
      <c r="BO167">
        <v>799.97</v>
      </c>
      <c r="BP167">
        <v>7.31067</v>
      </c>
      <c r="BQ167">
        <v>2.7479200000000001</v>
      </c>
      <c r="BR167">
        <v>0.72433599999999998</v>
      </c>
      <c r="BS167">
        <v>22.5745</v>
      </c>
      <c r="BT167">
        <v>2.3050099999999998</v>
      </c>
      <c r="BU167">
        <v>1800</v>
      </c>
      <c r="BV167">
        <v>0.90998500000000004</v>
      </c>
      <c r="BW167">
        <v>3.3995999999999998E-2</v>
      </c>
      <c r="BX167">
        <v>2.2007700000000002E-2</v>
      </c>
      <c r="BY167">
        <v>3.4010899999999997E-2</v>
      </c>
      <c r="BZ167">
        <v>25</v>
      </c>
      <c r="CA167">
        <v>33528.199999999997</v>
      </c>
      <c r="CB167">
        <v>1690203121.0999999</v>
      </c>
      <c r="CC167" t="s">
        <v>332</v>
      </c>
      <c r="CD167">
        <v>1690203121.0999999</v>
      </c>
      <c r="CE167">
        <v>1690203121.0999999</v>
      </c>
      <c r="CF167">
        <v>3</v>
      </c>
      <c r="CG167">
        <v>0.53600000000000003</v>
      </c>
      <c r="CH167">
        <v>-0.01</v>
      </c>
      <c r="CI167">
        <v>-0.996</v>
      </c>
      <c r="CJ167">
        <v>-6.6000000000000003E-2</v>
      </c>
      <c r="CK167">
        <v>800</v>
      </c>
      <c r="CL167">
        <v>9</v>
      </c>
      <c r="CM167">
        <v>0.82</v>
      </c>
      <c r="CN167">
        <v>0.01</v>
      </c>
      <c r="CO167">
        <v>-439.70900000000012</v>
      </c>
      <c r="CP167">
        <v>-3.3996585365866481</v>
      </c>
      <c r="CQ167">
        <v>0.33929410222531281</v>
      </c>
      <c r="CR167">
        <v>-1</v>
      </c>
      <c r="CS167">
        <v>20.390899999999998</v>
      </c>
      <c r="CT167">
        <v>0.1998564459930337</v>
      </c>
      <c r="CU167">
        <v>1.9816511962034759E-2</v>
      </c>
      <c r="CV167">
        <v>-1</v>
      </c>
      <c r="CW167">
        <v>0</v>
      </c>
      <c r="CX167">
        <v>0</v>
      </c>
      <c r="CY167" t="s">
        <v>333</v>
      </c>
      <c r="CZ167">
        <v>2.3653400000000002</v>
      </c>
      <c r="DA167">
        <v>2.7138300000000002</v>
      </c>
      <c r="DB167">
        <v>8.2638000000000003E-2</v>
      </c>
      <c r="DC167">
        <v>0.146283</v>
      </c>
      <c r="DD167">
        <v>0.12626200000000001</v>
      </c>
      <c r="DE167">
        <v>4.6340699999999999E-2</v>
      </c>
      <c r="DF167">
        <v>33483.1</v>
      </c>
      <c r="DG167">
        <v>27474.6</v>
      </c>
      <c r="DH167">
        <v>31157.4</v>
      </c>
      <c r="DI167">
        <v>28040.5</v>
      </c>
      <c r="DJ167">
        <v>36941.1</v>
      </c>
      <c r="DK167">
        <v>38006.5</v>
      </c>
      <c r="DL167">
        <v>44334.7</v>
      </c>
      <c r="DM167">
        <v>42475.6</v>
      </c>
      <c r="DN167">
        <v>1.4848699999999999</v>
      </c>
      <c r="DO167">
        <v>2.0558200000000002</v>
      </c>
      <c r="DP167">
        <v>0.16428499999999999</v>
      </c>
      <c r="DQ167">
        <v>0.156611</v>
      </c>
      <c r="DR167">
        <v>24.296900000000001</v>
      </c>
      <c r="DS167">
        <v>24.254200000000001</v>
      </c>
      <c r="DT167">
        <v>23.6</v>
      </c>
      <c r="DU167">
        <v>27.9</v>
      </c>
      <c r="DV167">
        <v>8.9877800000000008</v>
      </c>
      <c r="DW167">
        <v>61.595500000000001</v>
      </c>
      <c r="DX167">
        <v>36.225999999999999</v>
      </c>
      <c r="DY167">
        <v>1</v>
      </c>
      <c r="DZ167">
        <v>-0.13658300000000001</v>
      </c>
      <c r="EA167">
        <v>2.9616E-2</v>
      </c>
      <c r="EB167">
        <v>20.191500000000001</v>
      </c>
      <c r="EC167">
        <v>5.2415500000000002</v>
      </c>
      <c r="ED167">
        <v>12.039899999999999</v>
      </c>
      <c r="EE167">
        <v>5.0171999999999999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</v>
      </c>
      <c r="EL167">
        <v>1.8646199999999999</v>
      </c>
      <c r="EM167">
        <v>1.86914</v>
      </c>
      <c r="EN167">
        <v>1.8672200000000001</v>
      </c>
      <c r="EO167">
        <v>1.8633999999999999</v>
      </c>
      <c r="EP167">
        <v>1.8644700000000001</v>
      </c>
      <c r="EQ167">
        <v>1.87012</v>
      </c>
      <c r="ER167">
        <v>1.8694200000000001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-0.68400000000000005</v>
      </c>
      <c r="FG167">
        <v>0.16769999999999999</v>
      </c>
      <c r="FH167">
        <v>-0.44422204735670362</v>
      </c>
      <c r="FI167">
        <v>-6.1462078757559423E-4</v>
      </c>
      <c r="FJ167">
        <v>-1.8861989874597051E-7</v>
      </c>
      <c r="FK167">
        <v>1.1980462299894961E-10</v>
      </c>
      <c r="FL167">
        <v>0.16773393518503121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35.9</v>
      </c>
      <c r="FU167">
        <v>35.9</v>
      </c>
      <c r="FV167">
        <v>1.78101</v>
      </c>
      <c r="FW167">
        <v>2.5647000000000002</v>
      </c>
      <c r="FX167">
        <v>1.5490699999999999</v>
      </c>
      <c r="FY167">
        <v>2.33521</v>
      </c>
      <c r="FZ167">
        <v>1.50146</v>
      </c>
      <c r="GA167">
        <v>2.32666</v>
      </c>
      <c r="GB167">
        <v>32.509700000000002</v>
      </c>
      <c r="GC167">
        <v>23.982399999999998</v>
      </c>
      <c r="GD167">
        <v>19</v>
      </c>
      <c r="GE167">
        <v>284.27600000000001</v>
      </c>
      <c r="GF167">
        <v>593.35699999999997</v>
      </c>
      <c r="GG167">
        <v>23.835000000000001</v>
      </c>
      <c r="GH167">
        <v>25.677600000000002</v>
      </c>
      <c r="GI167">
        <v>29.9999</v>
      </c>
      <c r="GJ167">
        <v>25.834399999999999</v>
      </c>
      <c r="GK167">
        <v>25.8186</v>
      </c>
      <c r="GL167">
        <v>35.599299999999999</v>
      </c>
      <c r="GM167">
        <v>-30</v>
      </c>
      <c r="GN167">
        <v>-30</v>
      </c>
      <c r="GO167">
        <v>23.8337</v>
      </c>
      <c r="GP167">
        <v>800</v>
      </c>
      <c r="GQ167">
        <v>12.5298</v>
      </c>
      <c r="GR167">
        <v>99.683499999999995</v>
      </c>
      <c r="GS167">
        <v>99.387699999999995</v>
      </c>
    </row>
    <row r="168" spans="1:201" x14ac:dyDescent="0.25">
      <c r="A168">
        <v>152</v>
      </c>
      <c r="B168">
        <v>1690205285.5</v>
      </c>
      <c r="C168">
        <v>1845.900000095367</v>
      </c>
      <c r="D168" t="s">
        <v>637</v>
      </c>
      <c r="E168" t="s">
        <v>638</v>
      </c>
      <c r="F168" t="s">
        <v>330</v>
      </c>
      <c r="H168">
        <v>1690205285.5</v>
      </c>
      <c r="I168">
        <f t="shared" si="60"/>
        <v>2.0241818360196171E-3</v>
      </c>
      <c r="J168">
        <f t="shared" si="61"/>
        <v>2.0241818360196171</v>
      </c>
      <c r="K168">
        <f t="shared" si="62"/>
        <v>41.728939076619604</v>
      </c>
      <c r="L168">
        <f t="shared" si="63"/>
        <v>358.86599999999999</v>
      </c>
      <c r="M168">
        <f t="shared" si="64"/>
        <v>69.932987332623256</v>
      </c>
      <c r="N168">
        <f t="shared" si="65"/>
        <v>6.9357445140844627</v>
      </c>
      <c r="O168">
        <f t="shared" si="66"/>
        <v>35.591256511793993</v>
      </c>
      <c r="P168">
        <f t="shared" si="67"/>
        <v>0.24588981344681568</v>
      </c>
      <c r="Q168">
        <f t="shared" si="68"/>
        <v>2.1920348115228858</v>
      </c>
      <c r="R168">
        <f t="shared" si="69"/>
        <v>0.23152963317040004</v>
      </c>
      <c r="S168">
        <f t="shared" si="70"/>
        <v>0.1459262901394007</v>
      </c>
      <c r="T168">
        <f t="shared" si="71"/>
        <v>276.11486663199662</v>
      </c>
      <c r="U168">
        <f t="shared" si="72"/>
        <v>27.062352099663542</v>
      </c>
      <c r="V168">
        <f t="shared" si="73"/>
        <v>27.062352099663542</v>
      </c>
      <c r="W168">
        <f t="shared" si="74"/>
        <v>3.5922878779235976</v>
      </c>
      <c r="X168">
        <f t="shared" si="75"/>
        <v>83.439042171284783</v>
      </c>
      <c r="Y168">
        <f t="shared" si="76"/>
        <v>2.752955415822</v>
      </c>
      <c r="Z168">
        <f t="shared" si="77"/>
        <v>3.29936123927537</v>
      </c>
      <c r="AA168">
        <f t="shared" si="78"/>
        <v>0.83933246210159762</v>
      </c>
      <c r="AB168">
        <f t="shared" si="79"/>
        <v>-89.266418968465118</v>
      </c>
      <c r="AC168">
        <f t="shared" si="80"/>
        <v>-170.31100395247387</v>
      </c>
      <c r="AD168">
        <f t="shared" si="81"/>
        <v>-16.657544409791292</v>
      </c>
      <c r="AE168">
        <f t="shared" si="82"/>
        <v>-0.12010069873366547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52542.644942918261</v>
      </c>
      <c r="AK168">
        <f t="shared" si="86"/>
        <v>1799.99</v>
      </c>
      <c r="AL168">
        <f t="shared" si="87"/>
        <v>1499.1041287974599</v>
      </c>
      <c r="AM168">
        <f t="shared" si="88"/>
        <v>0.83284025399999995</v>
      </c>
      <c r="AN168">
        <f t="shared" si="89"/>
        <v>0.15339800034000001</v>
      </c>
      <c r="AO168">
        <v>31.2</v>
      </c>
      <c r="AP168">
        <v>0.5</v>
      </c>
      <c r="AQ168" t="s">
        <v>331</v>
      </c>
      <c r="AR168">
        <v>2</v>
      </c>
      <c r="AS168">
        <v>1690205285.5</v>
      </c>
      <c r="AT168">
        <v>358.86599999999999</v>
      </c>
      <c r="AU168">
        <v>800.10599999999999</v>
      </c>
      <c r="AV168">
        <v>27.757999999999999</v>
      </c>
      <c r="AW168">
        <v>7.3045600000000004</v>
      </c>
      <c r="AX168">
        <v>359.55</v>
      </c>
      <c r="AY168">
        <v>27.590199999999999</v>
      </c>
      <c r="AZ168">
        <v>300.20100000000002</v>
      </c>
      <c r="BA168">
        <v>99.076999999999998</v>
      </c>
      <c r="BB168">
        <v>0.100009</v>
      </c>
      <c r="BC168">
        <v>25.621200000000002</v>
      </c>
      <c r="BD168">
        <v>26.997</v>
      </c>
      <c r="BE168">
        <v>26.842500000000001</v>
      </c>
      <c r="BF168">
        <v>0</v>
      </c>
      <c r="BG168">
        <v>0</v>
      </c>
      <c r="BH168">
        <v>9982.5</v>
      </c>
      <c r="BI168">
        <v>1066.33</v>
      </c>
      <c r="BJ168">
        <v>1.90625</v>
      </c>
      <c r="BK168">
        <v>-441.24</v>
      </c>
      <c r="BL168">
        <v>369.11200000000002</v>
      </c>
      <c r="BM168">
        <v>805.99300000000005</v>
      </c>
      <c r="BN168">
        <v>20.453399999999998</v>
      </c>
      <c r="BO168">
        <v>800.10599999999999</v>
      </c>
      <c r="BP168">
        <v>7.3045600000000004</v>
      </c>
      <c r="BQ168">
        <v>2.7501799999999998</v>
      </c>
      <c r="BR168">
        <v>0.72371399999999997</v>
      </c>
      <c r="BS168">
        <v>22.588000000000001</v>
      </c>
      <c r="BT168">
        <v>2.29297</v>
      </c>
      <c r="BU168">
        <v>1799.99</v>
      </c>
      <c r="BV168">
        <v>0.90998800000000002</v>
      </c>
      <c r="BW168">
        <v>3.39951E-2</v>
      </c>
      <c r="BX168">
        <v>2.2007200000000001E-2</v>
      </c>
      <c r="BY168">
        <v>3.4009999999999999E-2</v>
      </c>
      <c r="BZ168">
        <v>25</v>
      </c>
      <c r="CA168">
        <v>33528.199999999997</v>
      </c>
      <c r="CB168">
        <v>1690203121.0999999</v>
      </c>
      <c r="CC168" t="s">
        <v>332</v>
      </c>
      <c r="CD168">
        <v>1690203121.0999999</v>
      </c>
      <c r="CE168">
        <v>1690203121.0999999</v>
      </c>
      <c r="CF168">
        <v>3</v>
      </c>
      <c r="CG168">
        <v>0.53600000000000003</v>
      </c>
      <c r="CH168">
        <v>-0.01</v>
      </c>
      <c r="CI168">
        <v>-0.996</v>
      </c>
      <c r="CJ168">
        <v>-6.6000000000000003E-2</v>
      </c>
      <c r="CK168">
        <v>800</v>
      </c>
      <c r="CL168">
        <v>9</v>
      </c>
      <c r="CM168">
        <v>0.82</v>
      </c>
      <c r="CN168">
        <v>0.01</v>
      </c>
      <c r="CO168">
        <v>-440.37363414634137</v>
      </c>
      <c r="CP168">
        <v>-4.7721324041808852</v>
      </c>
      <c r="CQ168">
        <v>0.47398949026619441</v>
      </c>
      <c r="CR168">
        <v>-1</v>
      </c>
      <c r="CS168">
        <v>20.421295121951221</v>
      </c>
      <c r="CT168">
        <v>0.16818397212545641</v>
      </c>
      <c r="CU168">
        <v>1.6612747841304829E-2</v>
      </c>
      <c r="CV168">
        <v>-1</v>
      </c>
      <c r="CW168">
        <v>0</v>
      </c>
      <c r="CX168">
        <v>0</v>
      </c>
      <c r="CY168" t="s">
        <v>333</v>
      </c>
      <c r="CZ168">
        <v>2.3651900000000001</v>
      </c>
      <c r="DA168">
        <v>2.7137799999999999</v>
      </c>
      <c r="DB168">
        <v>8.2512100000000005E-2</v>
      </c>
      <c r="DC168">
        <v>0.14629600000000001</v>
      </c>
      <c r="DD168">
        <v>0.126332</v>
      </c>
      <c r="DE168">
        <v>4.6308700000000001E-2</v>
      </c>
      <c r="DF168">
        <v>33487.699999999997</v>
      </c>
      <c r="DG168">
        <v>27474.400000000001</v>
      </c>
      <c r="DH168">
        <v>31157.4</v>
      </c>
      <c r="DI168">
        <v>28040.799999999999</v>
      </c>
      <c r="DJ168">
        <v>36938</v>
      </c>
      <c r="DK168">
        <v>38008.1</v>
      </c>
      <c r="DL168">
        <v>44334.6</v>
      </c>
      <c r="DM168">
        <v>42475.9</v>
      </c>
      <c r="DN168">
        <v>1.4845200000000001</v>
      </c>
      <c r="DO168">
        <v>2.0556999999999999</v>
      </c>
      <c r="DP168">
        <v>0.164516</v>
      </c>
      <c r="DQ168">
        <v>0.157587</v>
      </c>
      <c r="DR168">
        <v>24.3005</v>
      </c>
      <c r="DS168">
        <v>24.2591</v>
      </c>
      <c r="DT168">
        <v>23.6</v>
      </c>
      <c r="DU168">
        <v>27.9</v>
      </c>
      <c r="DV168">
        <v>8.9875799999999995</v>
      </c>
      <c r="DW168">
        <v>61.825499999999998</v>
      </c>
      <c r="DX168">
        <v>36.241999999999997</v>
      </c>
      <c r="DY168">
        <v>1</v>
      </c>
      <c r="DZ168">
        <v>-0.136763</v>
      </c>
      <c r="EA168">
        <v>7.51198E-2</v>
      </c>
      <c r="EB168">
        <v>20.191299999999998</v>
      </c>
      <c r="EC168">
        <v>5.24125</v>
      </c>
      <c r="ED168">
        <v>12.039899999999999</v>
      </c>
      <c r="EE168">
        <v>5.0174000000000003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</v>
      </c>
      <c r="EL168">
        <v>1.8646199999999999</v>
      </c>
      <c r="EM168">
        <v>1.8691500000000001</v>
      </c>
      <c r="EN168">
        <v>1.8672200000000001</v>
      </c>
      <c r="EO168">
        <v>1.8633999999999999</v>
      </c>
      <c r="EP168">
        <v>1.86449</v>
      </c>
      <c r="EQ168">
        <v>1.8701300000000001</v>
      </c>
      <c r="ER168">
        <v>1.8694299999999999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-0.68400000000000005</v>
      </c>
      <c r="FG168">
        <v>0.1678</v>
      </c>
      <c r="FH168">
        <v>-0.44422204735670362</v>
      </c>
      <c r="FI168">
        <v>-6.1462078757559423E-4</v>
      </c>
      <c r="FJ168">
        <v>-1.8861989874597051E-7</v>
      </c>
      <c r="FK168">
        <v>1.1980462299894961E-10</v>
      </c>
      <c r="FL168">
        <v>0.16773393518503121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36.1</v>
      </c>
      <c r="FU168">
        <v>36.1</v>
      </c>
      <c r="FV168">
        <v>1.77979</v>
      </c>
      <c r="FW168">
        <v>2.5647000000000002</v>
      </c>
      <c r="FX168">
        <v>1.5490699999999999</v>
      </c>
      <c r="FY168">
        <v>2.3339799999999999</v>
      </c>
      <c r="FZ168">
        <v>1.50146</v>
      </c>
      <c r="GA168">
        <v>2.2790499999999998</v>
      </c>
      <c r="GB168">
        <v>32.509700000000002</v>
      </c>
      <c r="GC168">
        <v>23.973700000000001</v>
      </c>
      <c r="GD168">
        <v>19</v>
      </c>
      <c r="GE168">
        <v>284.12200000000001</v>
      </c>
      <c r="GF168">
        <v>593.22799999999995</v>
      </c>
      <c r="GG168">
        <v>23.8429</v>
      </c>
      <c r="GH168">
        <v>25.6755</v>
      </c>
      <c r="GI168">
        <v>30.0002</v>
      </c>
      <c r="GJ168">
        <v>25.833400000000001</v>
      </c>
      <c r="GK168">
        <v>25.816500000000001</v>
      </c>
      <c r="GL168">
        <v>35.597299999999997</v>
      </c>
      <c r="GM168">
        <v>-30</v>
      </c>
      <c r="GN168">
        <v>-30</v>
      </c>
      <c r="GO168">
        <v>23.843900000000001</v>
      </c>
      <c r="GP168">
        <v>800</v>
      </c>
      <c r="GQ168">
        <v>12.5298</v>
      </c>
      <c r="GR168">
        <v>99.683400000000006</v>
      </c>
      <c r="GS168">
        <v>99.388599999999997</v>
      </c>
    </row>
    <row r="169" spans="1:201" x14ac:dyDescent="0.25">
      <c r="A169">
        <v>153</v>
      </c>
      <c r="B169">
        <v>1690205295.5</v>
      </c>
      <c r="C169">
        <v>1855.900000095367</v>
      </c>
      <c r="D169" t="s">
        <v>639</v>
      </c>
      <c r="E169" t="s">
        <v>640</v>
      </c>
      <c r="F169" t="s">
        <v>330</v>
      </c>
      <c r="H169">
        <v>1690205295.5</v>
      </c>
      <c r="I169">
        <f t="shared" si="60"/>
        <v>2.0259594591653619E-3</v>
      </c>
      <c r="J169">
        <f t="shared" si="61"/>
        <v>2.025959459165362</v>
      </c>
      <c r="K169">
        <f t="shared" si="62"/>
        <v>41.804899308975372</v>
      </c>
      <c r="L169">
        <f t="shared" si="63"/>
        <v>358.07900000000001</v>
      </c>
      <c r="M169">
        <f t="shared" si="64"/>
        <v>68.759026197187168</v>
      </c>
      <c r="N169">
        <f t="shared" si="65"/>
        <v>6.8197353652299952</v>
      </c>
      <c r="O169">
        <f t="shared" si="66"/>
        <v>35.515395649191007</v>
      </c>
      <c r="P169">
        <f t="shared" si="67"/>
        <v>0.24596724263493425</v>
      </c>
      <c r="Q169">
        <f t="shared" si="68"/>
        <v>2.1974788444255378</v>
      </c>
      <c r="R169">
        <f t="shared" si="69"/>
        <v>0.23163167153185182</v>
      </c>
      <c r="S169">
        <f t="shared" si="70"/>
        <v>0.1459881148963299</v>
      </c>
      <c r="T169">
        <f t="shared" si="71"/>
        <v>276.11629232400003</v>
      </c>
      <c r="U169">
        <f t="shared" si="72"/>
        <v>27.068492018123614</v>
      </c>
      <c r="V169">
        <f t="shared" si="73"/>
        <v>27.068492018123614</v>
      </c>
      <c r="W169">
        <f t="shared" si="74"/>
        <v>3.5935829033049509</v>
      </c>
      <c r="X169">
        <f t="shared" si="75"/>
        <v>83.416321772210239</v>
      </c>
      <c r="Y169">
        <f t="shared" si="76"/>
        <v>2.7538394133108004</v>
      </c>
      <c r="Z169">
        <f t="shared" si="77"/>
        <v>3.301319639615456</v>
      </c>
      <c r="AA169">
        <f t="shared" si="78"/>
        <v>0.83974348999415049</v>
      </c>
      <c r="AB169">
        <f t="shared" si="79"/>
        <v>-89.344812149192464</v>
      </c>
      <c r="AC169">
        <f t="shared" si="80"/>
        <v>-170.27667451209797</v>
      </c>
      <c r="AD169">
        <f t="shared" si="81"/>
        <v>-16.614270810302845</v>
      </c>
      <c r="AE169">
        <f t="shared" si="82"/>
        <v>-0.11946514759327442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52764.695430650521</v>
      </c>
      <c r="AK169">
        <f t="shared" si="86"/>
        <v>1800</v>
      </c>
      <c r="AL169">
        <f t="shared" si="87"/>
        <v>1499.1123294000001</v>
      </c>
      <c r="AM169">
        <f t="shared" si="88"/>
        <v>0.83284018300000007</v>
      </c>
      <c r="AN169">
        <f t="shared" si="89"/>
        <v>0.15339794018000003</v>
      </c>
      <c r="AO169">
        <v>31.2</v>
      </c>
      <c r="AP169">
        <v>0.5</v>
      </c>
      <c r="AQ169" t="s">
        <v>331</v>
      </c>
      <c r="AR169">
        <v>2</v>
      </c>
      <c r="AS169">
        <v>1690205295.5</v>
      </c>
      <c r="AT169">
        <v>358.07900000000001</v>
      </c>
      <c r="AU169">
        <v>799.99400000000003</v>
      </c>
      <c r="AV169">
        <v>27.7652</v>
      </c>
      <c r="AW169">
        <v>7.2987900000000003</v>
      </c>
      <c r="AX169">
        <v>358.76299999999998</v>
      </c>
      <c r="AY169">
        <v>27.5974</v>
      </c>
      <c r="AZ169">
        <v>300.27199999999999</v>
      </c>
      <c r="BA169">
        <v>99.083100000000002</v>
      </c>
      <c r="BB169">
        <v>0.10002900000000001</v>
      </c>
      <c r="BC169">
        <v>25.6312</v>
      </c>
      <c r="BD169">
        <v>26.959700000000002</v>
      </c>
      <c r="BE169">
        <v>26.842600000000001</v>
      </c>
      <c r="BF169">
        <v>0</v>
      </c>
      <c r="BG169">
        <v>0</v>
      </c>
      <c r="BH169">
        <v>10026.200000000001</v>
      </c>
      <c r="BI169">
        <v>1066.3599999999999</v>
      </c>
      <c r="BJ169">
        <v>1.90625</v>
      </c>
      <c r="BK169">
        <v>-441.91500000000002</v>
      </c>
      <c r="BL169">
        <v>368.30500000000001</v>
      </c>
      <c r="BM169">
        <v>805.87599999999998</v>
      </c>
      <c r="BN169">
        <v>20.4664</v>
      </c>
      <c r="BO169">
        <v>799.99400000000003</v>
      </c>
      <c r="BP169">
        <v>7.2987900000000003</v>
      </c>
      <c r="BQ169">
        <v>2.7510599999999998</v>
      </c>
      <c r="BR169">
        <v>0.723186</v>
      </c>
      <c r="BS169">
        <v>22.593299999999999</v>
      </c>
      <c r="BT169">
        <v>2.2827299999999999</v>
      </c>
      <c r="BU169">
        <v>1800</v>
      </c>
      <c r="BV169">
        <v>0.90998900000000005</v>
      </c>
      <c r="BW169">
        <v>3.39946E-2</v>
      </c>
      <c r="BX169">
        <v>2.2006899999999999E-2</v>
      </c>
      <c r="BY169">
        <v>3.4009600000000001E-2</v>
      </c>
      <c r="BZ169">
        <v>25</v>
      </c>
      <c r="CA169">
        <v>33528.199999999997</v>
      </c>
      <c r="CB169">
        <v>1690203121.0999999</v>
      </c>
      <c r="CC169" t="s">
        <v>332</v>
      </c>
      <c r="CD169">
        <v>1690203121.0999999</v>
      </c>
      <c r="CE169">
        <v>1690203121.0999999</v>
      </c>
      <c r="CF169">
        <v>3</v>
      </c>
      <c r="CG169">
        <v>0.53600000000000003</v>
      </c>
      <c r="CH169">
        <v>-0.01</v>
      </c>
      <c r="CI169">
        <v>-0.996</v>
      </c>
      <c r="CJ169">
        <v>-6.6000000000000003E-2</v>
      </c>
      <c r="CK169">
        <v>800</v>
      </c>
      <c r="CL169">
        <v>9</v>
      </c>
      <c r="CM169">
        <v>0.82</v>
      </c>
      <c r="CN169">
        <v>0.01</v>
      </c>
      <c r="CO169">
        <v>-441.09792682926832</v>
      </c>
      <c r="CP169">
        <v>-4.2466411149831274</v>
      </c>
      <c r="CQ169">
        <v>0.4258917983647208</v>
      </c>
      <c r="CR169">
        <v>-1</v>
      </c>
      <c r="CS169">
        <v>20.446053658536592</v>
      </c>
      <c r="CT169">
        <v>0.13325435540070929</v>
      </c>
      <c r="CU169">
        <v>1.3478132199630731E-2</v>
      </c>
      <c r="CV169">
        <v>-1</v>
      </c>
      <c r="CW169">
        <v>0</v>
      </c>
      <c r="CX169">
        <v>0</v>
      </c>
      <c r="CY169" t="s">
        <v>333</v>
      </c>
      <c r="CZ169">
        <v>2.3654099999999998</v>
      </c>
      <c r="DA169">
        <v>2.7138499999999999</v>
      </c>
      <c r="DB169">
        <v>8.2376199999999997E-2</v>
      </c>
      <c r="DC169">
        <v>0.14629200000000001</v>
      </c>
      <c r="DD169">
        <v>0.126363</v>
      </c>
      <c r="DE169">
        <v>4.6282499999999997E-2</v>
      </c>
      <c r="DF169">
        <v>33493.1</v>
      </c>
      <c r="DG169">
        <v>27474.9</v>
      </c>
      <c r="DH169">
        <v>31157.9</v>
      </c>
      <c r="DI169">
        <v>28041.200000000001</v>
      </c>
      <c r="DJ169">
        <v>36937.4</v>
      </c>
      <c r="DK169">
        <v>38009.699999999997</v>
      </c>
      <c r="DL169">
        <v>44335.6</v>
      </c>
      <c r="DM169">
        <v>42476.5</v>
      </c>
      <c r="DN169">
        <v>1.4847699999999999</v>
      </c>
      <c r="DO169">
        <v>2.0556800000000002</v>
      </c>
      <c r="DP169">
        <v>0.16211</v>
      </c>
      <c r="DQ169">
        <v>0.15734899999999999</v>
      </c>
      <c r="DR169">
        <v>24.302499999999998</v>
      </c>
      <c r="DS169">
        <v>24.263200000000001</v>
      </c>
      <c r="DT169">
        <v>23.6</v>
      </c>
      <c r="DU169">
        <v>27.9</v>
      </c>
      <c r="DV169">
        <v>8.9862400000000004</v>
      </c>
      <c r="DW169">
        <v>61.485500000000002</v>
      </c>
      <c r="DX169">
        <v>36.181899999999999</v>
      </c>
      <c r="DY169">
        <v>1</v>
      </c>
      <c r="DZ169">
        <v>-0.136298</v>
      </c>
      <c r="EA169">
        <v>0.19236900000000001</v>
      </c>
      <c r="EB169">
        <v>20.191299999999998</v>
      </c>
      <c r="EC169">
        <v>5.2411000000000003</v>
      </c>
      <c r="ED169">
        <v>12.039899999999999</v>
      </c>
      <c r="EE169">
        <v>5.0174000000000003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</v>
      </c>
      <c r="EL169">
        <v>1.8646199999999999</v>
      </c>
      <c r="EM169">
        <v>1.86914</v>
      </c>
      <c r="EN169">
        <v>1.8672200000000001</v>
      </c>
      <c r="EO169">
        <v>1.8633999999999999</v>
      </c>
      <c r="EP169">
        <v>1.8644700000000001</v>
      </c>
      <c r="EQ169">
        <v>1.8701300000000001</v>
      </c>
      <c r="ER169">
        <v>1.8694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-0.68400000000000005</v>
      </c>
      <c r="FG169">
        <v>0.1678</v>
      </c>
      <c r="FH169">
        <v>-0.44422204735670362</v>
      </c>
      <c r="FI169">
        <v>-6.1462078757559423E-4</v>
      </c>
      <c r="FJ169">
        <v>-1.8861989874597051E-7</v>
      </c>
      <c r="FK169">
        <v>1.1980462299894961E-10</v>
      </c>
      <c r="FL169">
        <v>0.16773393518503121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36.200000000000003</v>
      </c>
      <c r="FU169">
        <v>36.200000000000003</v>
      </c>
      <c r="FV169">
        <v>1.78101</v>
      </c>
      <c r="FW169">
        <v>2.5549300000000001</v>
      </c>
      <c r="FX169">
        <v>1.5490699999999999</v>
      </c>
      <c r="FY169">
        <v>2.33521</v>
      </c>
      <c r="FZ169">
        <v>1.50146</v>
      </c>
      <c r="GA169">
        <v>2.4047900000000002</v>
      </c>
      <c r="GB169">
        <v>32.509700000000002</v>
      </c>
      <c r="GC169">
        <v>23.982399999999998</v>
      </c>
      <c r="GD169">
        <v>19</v>
      </c>
      <c r="GE169">
        <v>284.21499999999997</v>
      </c>
      <c r="GF169">
        <v>593.18100000000004</v>
      </c>
      <c r="GG169">
        <v>23.812999999999999</v>
      </c>
      <c r="GH169">
        <v>25.673300000000001</v>
      </c>
      <c r="GI169">
        <v>30.0002</v>
      </c>
      <c r="GJ169">
        <v>25.830100000000002</v>
      </c>
      <c r="GK169">
        <v>25.814299999999999</v>
      </c>
      <c r="GL169">
        <v>35.599600000000002</v>
      </c>
      <c r="GM169">
        <v>-30</v>
      </c>
      <c r="GN169">
        <v>-30</v>
      </c>
      <c r="GO169">
        <v>23.814299999999999</v>
      </c>
      <c r="GP169">
        <v>800</v>
      </c>
      <c r="GQ169">
        <v>12.5298</v>
      </c>
      <c r="GR169">
        <v>99.685199999999995</v>
      </c>
      <c r="GS169">
        <v>99.389899999999997</v>
      </c>
    </row>
    <row r="170" spans="1:201" x14ac:dyDescent="0.25">
      <c r="A170">
        <v>154</v>
      </c>
      <c r="B170">
        <v>1690205305.5</v>
      </c>
      <c r="C170">
        <v>1865.900000095367</v>
      </c>
      <c r="D170" t="s">
        <v>641</v>
      </c>
      <c r="E170" t="s">
        <v>642</v>
      </c>
      <c r="F170" t="s">
        <v>330</v>
      </c>
      <c r="H170">
        <v>1690205305.5</v>
      </c>
      <c r="I170">
        <f t="shared" si="60"/>
        <v>2.0275224249635846E-3</v>
      </c>
      <c r="J170">
        <f t="shared" si="61"/>
        <v>2.0275224249635846</v>
      </c>
      <c r="K170">
        <f t="shared" si="62"/>
        <v>41.839021102028546</v>
      </c>
      <c r="L170">
        <f t="shared" si="63"/>
        <v>357.601</v>
      </c>
      <c r="M170">
        <f t="shared" si="64"/>
        <v>68.685993468605474</v>
      </c>
      <c r="N170">
        <f t="shared" si="65"/>
        <v>6.812471763065755</v>
      </c>
      <c r="O170">
        <f t="shared" si="66"/>
        <v>35.467882051638</v>
      </c>
      <c r="P170">
        <f t="shared" si="67"/>
        <v>0.2465786526328004</v>
      </c>
      <c r="Q170">
        <f t="shared" si="68"/>
        <v>2.1907214033646882</v>
      </c>
      <c r="R170">
        <f t="shared" si="69"/>
        <v>0.23213232538773687</v>
      </c>
      <c r="S170">
        <f t="shared" si="70"/>
        <v>0.14631006824077572</v>
      </c>
      <c r="T170">
        <f t="shared" si="71"/>
        <v>276.11619427800002</v>
      </c>
      <c r="U170">
        <f t="shared" si="72"/>
        <v>27.069003984097407</v>
      </c>
      <c r="V170">
        <f t="shared" si="73"/>
        <v>27.069003984097407</v>
      </c>
      <c r="W170">
        <f t="shared" si="74"/>
        <v>3.5936909050538466</v>
      </c>
      <c r="X170">
        <f t="shared" si="75"/>
        <v>83.469990891430669</v>
      </c>
      <c r="Y170">
        <f t="shared" si="76"/>
        <v>2.7551207105316</v>
      </c>
      <c r="Z170">
        <f t="shared" si="77"/>
        <v>3.3007320129160944</v>
      </c>
      <c r="AA170">
        <f t="shared" si="78"/>
        <v>0.83857019452224657</v>
      </c>
      <c r="AB170">
        <f t="shared" si="79"/>
        <v>-89.413738940894078</v>
      </c>
      <c r="AC170">
        <f t="shared" si="80"/>
        <v>-170.16784359373716</v>
      </c>
      <c r="AD170">
        <f t="shared" si="81"/>
        <v>-16.654659953241001</v>
      </c>
      <c r="AE170">
        <f t="shared" si="82"/>
        <v>-0.12004820987218068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52487.658943169117</v>
      </c>
      <c r="AK170">
        <f t="shared" si="86"/>
        <v>1800</v>
      </c>
      <c r="AL170">
        <f t="shared" si="87"/>
        <v>1499.1119118000001</v>
      </c>
      <c r="AM170">
        <f t="shared" si="88"/>
        <v>0.83283995100000008</v>
      </c>
      <c r="AN170">
        <f t="shared" si="89"/>
        <v>0.15339788571000001</v>
      </c>
      <c r="AO170">
        <v>31.2</v>
      </c>
      <c r="AP170">
        <v>0.5</v>
      </c>
      <c r="AQ170" t="s">
        <v>331</v>
      </c>
      <c r="AR170">
        <v>2</v>
      </c>
      <c r="AS170">
        <v>1690205305.5</v>
      </c>
      <c r="AT170">
        <v>357.601</v>
      </c>
      <c r="AU170">
        <v>799.93700000000001</v>
      </c>
      <c r="AV170">
        <v>27.778199999999998</v>
      </c>
      <c r="AW170">
        <v>7.2930000000000001</v>
      </c>
      <c r="AX170">
        <v>358.28399999999999</v>
      </c>
      <c r="AY170">
        <v>27.610499999999998</v>
      </c>
      <c r="AZ170">
        <v>300.22399999999999</v>
      </c>
      <c r="BA170">
        <v>99.082800000000006</v>
      </c>
      <c r="BB170">
        <v>0.100038</v>
      </c>
      <c r="BC170">
        <v>25.6282</v>
      </c>
      <c r="BD170">
        <v>27.060099999999998</v>
      </c>
      <c r="BE170">
        <v>26.8566</v>
      </c>
      <c r="BF170">
        <v>0</v>
      </c>
      <c r="BG170">
        <v>0</v>
      </c>
      <c r="BH170">
        <v>9971.25</v>
      </c>
      <c r="BI170">
        <v>1066.4000000000001</v>
      </c>
      <c r="BJ170">
        <v>1.90625</v>
      </c>
      <c r="BK170">
        <v>-442.33600000000001</v>
      </c>
      <c r="BL170">
        <v>367.81799999999998</v>
      </c>
      <c r="BM170">
        <v>805.81299999999999</v>
      </c>
      <c r="BN170">
        <v>20.485199999999999</v>
      </c>
      <c r="BO170">
        <v>799.93700000000001</v>
      </c>
      <c r="BP170">
        <v>7.2930000000000001</v>
      </c>
      <c r="BQ170">
        <v>2.7523499999999999</v>
      </c>
      <c r="BR170">
        <v>0.722611</v>
      </c>
      <c r="BS170">
        <v>22.600999999999999</v>
      </c>
      <c r="BT170">
        <v>2.27156</v>
      </c>
      <c r="BU170">
        <v>1800</v>
      </c>
      <c r="BV170">
        <v>0.90998900000000005</v>
      </c>
      <c r="BW170">
        <v>3.3994499999999997E-2</v>
      </c>
      <c r="BX170">
        <v>2.20068E-2</v>
      </c>
      <c r="BY170">
        <v>3.4009499999999998E-2</v>
      </c>
      <c r="BZ170">
        <v>25</v>
      </c>
      <c r="CA170">
        <v>33528.199999999997</v>
      </c>
      <c r="CB170">
        <v>1690203121.0999999</v>
      </c>
      <c r="CC170" t="s">
        <v>332</v>
      </c>
      <c r="CD170">
        <v>1690203121.0999999</v>
      </c>
      <c r="CE170">
        <v>1690203121.0999999</v>
      </c>
      <c r="CF170">
        <v>3</v>
      </c>
      <c r="CG170">
        <v>0.53600000000000003</v>
      </c>
      <c r="CH170">
        <v>-0.01</v>
      </c>
      <c r="CI170">
        <v>-0.996</v>
      </c>
      <c r="CJ170">
        <v>-6.6000000000000003E-2</v>
      </c>
      <c r="CK170">
        <v>800</v>
      </c>
      <c r="CL170">
        <v>9</v>
      </c>
      <c r="CM170">
        <v>0.82</v>
      </c>
      <c r="CN170">
        <v>0.01</v>
      </c>
      <c r="CO170">
        <v>-441.75704878048771</v>
      </c>
      <c r="CP170">
        <v>-3.7214216027876499</v>
      </c>
      <c r="CQ170">
        <v>0.37449888151316391</v>
      </c>
      <c r="CR170">
        <v>-1</v>
      </c>
      <c r="CS170">
        <v>20.46445609756098</v>
      </c>
      <c r="CT170">
        <v>8.5131010452941872E-2</v>
      </c>
      <c r="CU170">
        <v>8.4389066677254248E-3</v>
      </c>
      <c r="CV170">
        <v>-1</v>
      </c>
      <c r="CW170">
        <v>0</v>
      </c>
      <c r="CX170">
        <v>0</v>
      </c>
      <c r="CY170" t="s">
        <v>333</v>
      </c>
      <c r="CZ170">
        <v>2.3652600000000001</v>
      </c>
      <c r="DA170">
        <v>2.7138</v>
      </c>
      <c r="DB170">
        <v>8.2290199999999994E-2</v>
      </c>
      <c r="DC170">
        <v>0.146284</v>
      </c>
      <c r="DD170">
        <v>0.12640399999999999</v>
      </c>
      <c r="DE170">
        <v>4.6253200000000001E-2</v>
      </c>
      <c r="DF170">
        <v>33496.5</v>
      </c>
      <c r="DG170">
        <v>27475.5</v>
      </c>
      <c r="DH170">
        <v>31158.1</v>
      </c>
      <c r="DI170">
        <v>28041.5</v>
      </c>
      <c r="DJ170">
        <v>36935.599999999999</v>
      </c>
      <c r="DK170">
        <v>38011.4</v>
      </c>
      <c r="DL170">
        <v>44335.6</v>
      </c>
      <c r="DM170">
        <v>42477.1</v>
      </c>
      <c r="DN170">
        <v>1.48455</v>
      </c>
      <c r="DO170">
        <v>2.0558000000000001</v>
      </c>
      <c r="DP170">
        <v>0.168096</v>
      </c>
      <c r="DQ170">
        <v>0.15800800000000001</v>
      </c>
      <c r="DR170">
        <v>24.305099999999999</v>
      </c>
      <c r="DS170">
        <v>24.266400000000001</v>
      </c>
      <c r="DT170">
        <v>23.6</v>
      </c>
      <c r="DU170">
        <v>27.9</v>
      </c>
      <c r="DV170">
        <v>8.9867600000000003</v>
      </c>
      <c r="DW170">
        <v>61.805500000000002</v>
      </c>
      <c r="DX170">
        <v>36.165900000000001</v>
      </c>
      <c r="DY170">
        <v>1</v>
      </c>
      <c r="DZ170">
        <v>-0.13723299999999999</v>
      </c>
      <c r="EA170">
        <v>0.10291699999999999</v>
      </c>
      <c r="EB170">
        <v>20.191400000000002</v>
      </c>
      <c r="EC170">
        <v>5.2411000000000003</v>
      </c>
      <c r="ED170">
        <v>12.039899999999999</v>
      </c>
      <c r="EE170">
        <v>5.0171999999999999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</v>
      </c>
      <c r="EL170">
        <v>1.8646199999999999</v>
      </c>
      <c r="EM170">
        <v>1.8691500000000001</v>
      </c>
      <c r="EN170">
        <v>1.8672200000000001</v>
      </c>
      <c r="EO170">
        <v>1.8633999999999999</v>
      </c>
      <c r="EP170">
        <v>1.8644700000000001</v>
      </c>
      <c r="EQ170">
        <v>1.8701300000000001</v>
      </c>
      <c r="ER170">
        <v>1.86937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-0.68300000000000005</v>
      </c>
      <c r="FG170">
        <v>0.16769999999999999</v>
      </c>
      <c r="FH170">
        <v>-0.44422204735670362</v>
      </c>
      <c r="FI170">
        <v>-6.1462078757559423E-4</v>
      </c>
      <c r="FJ170">
        <v>-1.8861989874597051E-7</v>
      </c>
      <c r="FK170">
        <v>1.1980462299894961E-10</v>
      </c>
      <c r="FL170">
        <v>0.16773393518503121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36.4</v>
      </c>
      <c r="FU170">
        <v>36.4</v>
      </c>
      <c r="FV170">
        <v>1.77979</v>
      </c>
      <c r="FW170">
        <v>2.5585900000000001</v>
      </c>
      <c r="FX170">
        <v>1.5490699999999999</v>
      </c>
      <c r="FY170">
        <v>2.3339799999999999</v>
      </c>
      <c r="FZ170">
        <v>1.50146</v>
      </c>
      <c r="GA170">
        <v>2.32178</v>
      </c>
      <c r="GB170">
        <v>32.531799999999997</v>
      </c>
      <c r="GC170">
        <v>23.982399999999998</v>
      </c>
      <c r="GD170">
        <v>19</v>
      </c>
      <c r="GE170">
        <v>284.10899999999998</v>
      </c>
      <c r="GF170">
        <v>593.26099999999997</v>
      </c>
      <c r="GG170">
        <v>23.8246</v>
      </c>
      <c r="GH170">
        <v>25.671099999999999</v>
      </c>
      <c r="GI170">
        <v>29.9998</v>
      </c>
      <c r="GJ170">
        <v>25.827999999999999</v>
      </c>
      <c r="GK170">
        <v>25.812200000000001</v>
      </c>
      <c r="GL170">
        <v>35.599499999999999</v>
      </c>
      <c r="GM170">
        <v>-30</v>
      </c>
      <c r="GN170">
        <v>-30</v>
      </c>
      <c r="GO170">
        <v>23.817399999999999</v>
      </c>
      <c r="GP170">
        <v>800</v>
      </c>
      <c r="GQ170">
        <v>12.5298</v>
      </c>
      <c r="GR170">
        <v>99.685599999999994</v>
      </c>
      <c r="GS170">
        <v>99.391099999999994</v>
      </c>
    </row>
    <row r="171" spans="1:201" x14ac:dyDescent="0.25">
      <c r="A171">
        <v>155</v>
      </c>
      <c r="B171">
        <v>1690205315.5</v>
      </c>
      <c r="C171">
        <v>1875.900000095367</v>
      </c>
      <c r="D171" t="s">
        <v>643</v>
      </c>
      <c r="E171" t="s">
        <v>644</v>
      </c>
      <c r="F171" t="s">
        <v>330</v>
      </c>
      <c r="H171">
        <v>1690205315.5</v>
      </c>
      <c r="I171">
        <f t="shared" si="60"/>
        <v>2.0297525911465585E-3</v>
      </c>
      <c r="J171">
        <f t="shared" si="61"/>
        <v>2.0297525911465586</v>
      </c>
      <c r="K171">
        <f t="shared" si="62"/>
        <v>41.904807580713523</v>
      </c>
      <c r="L171">
        <f t="shared" si="63"/>
        <v>356.89499999999998</v>
      </c>
      <c r="M171">
        <f t="shared" si="64"/>
        <v>68.755405336164557</v>
      </c>
      <c r="N171">
        <f t="shared" si="65"/>
        <v>6.8193759275047743</v>
      </c>
      <c r="O171">
        <f t="shared" si="66"/>
        <v>35.397961218427504</v>
      </c>
      <c r="P171">
        <f t="shared" si="67"/>
        <v>0.24765684924063017</v>
      </c>
      <c r="Q171">
        <f t="shared" si="68"/>
        <v>2.1948782936933151</v>
      </c>
      <c r="R171">
        <f t="shared" si="69"/>
        <v>0.23311376781347776</v>
      </c>
      <c r="S171">
        <f t="shared" si="70"/>
        <v>0.14693152510568197</v>
      </c>
      <c r="T171">
        <f t="shared" si="71"/>
        <v>276.11466942509219</v>
      </c>
      <c r="U171">
        <f t="shared" si="72"/>
        <v>27.066745788504772</v>
      </c>
      <c r="V171">
        <f t="shared" si="73"/>
        <v>27.066745788504772</v>
      </c>
      <c r="W171">
        <f t="shared" si="74"/>
        <v>3.5932145488606904</v>
      </c>
      <c r="X171">
        <f t="shared" si="75"/>
        <v>83.529880318325439</v>
      </c>
      <c r="Y171">
        <f t="shared" si="76"/>
        <v>2.7572611061626504</v>
      </c>
      <c r="Z171">
        <f t="shared" si="77"/>
        <v>3.3009278783292362</v>
      </c>
      <c r="AA171">
        <f t="shared" si="78"/>
        <v>0.83595344269803995</v>
      </c>
      <c r="AB171">
        <f t="shared" si="79"/>
        <v>-89.512089269563234</v>
      </c>
      <c r="AC171">
        <f t="shared" si="80"/>
        <v>-170.10519361031621</v>
      </c>
      <c r="AD171">
        <f t="shared" si="81"/>
        <v>-16.616892351897352</v>
      </c>
      <c r="AE171">
        <f t="shared" si="82"/>
        <v>-0.11950580668462862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52658.129699960227</v>
      </c>
      <c r="AK171">
        <f t="shared" si="86"/>
        <v>1799.99</v>
      </c>
      <c r="AL171">
        <f t="shared" si="87"/>
        <v>1499.1042799966201</v>
      </c>
      <c r="AM171">
        <f t="shared" si="88"/>
        <v>0.83284033800000001</v>
      </c>
      <c r="AN171">
        <f t="shared" si="89"/>
        <v>0.15339789077999999</v>
      </c>
      <c r="AO171">
        <v>31.2</v>
      </c>
      <c r="AP171">
        <v>0.5</v>
      </c>
      <c r="AQ171" t="s">
        <v>331</v>
      </c>
      <c r="AR171">
        <v>2</v>
      </c>
      <c r="AS171">
        <v>1690205315.5</v>
      </c>
      <c r="AT171">
        <v>356.89499999999998</v>
      </c>
      <c r="AU171">
        <v>800.00400000000002</v>
      </c>
      <c r="AV171">
        <v>27.799700000000001</v>
      </c>
      <c r="AW171">
        <v>7.2879800000000001</v>
      </c>
      <c r="AX171">
        <v>357.57799999999997</v>
      </c>
      <c r="AY171">
        <v>27.631900000000002</v>
      </c>
      <c r="AZ171">
        <v>300.15899999999999</v>
      </c>
      <c r="BA171">
        <v>99.083200000000005</v>
      </c>
      <c r="BB171">
        <v>9.9924499999999999E-2</v>
      </c>
      <c r="BC171">
        <v>25.629200000000001</v>
      </c>
      <c r="BD171">
        <v>26.953299999999999</v>
      </c>
      <c r="BE171">
        <v>26.853899999999999</v>
      </c>
      <c r="BF171">
        <v>0</v>
      </c>
      <c r="BG171">
        <v>0</v>
      </c>
      <c r="BH171">
        <v>10005</v>
      </c>
      <c r="BI171">
        <v>1066.3499999999999</v>
      </c>
      <c r="BJ171">
        <v>1.90625</v>
      </c>
      <c r="BK171">
        <v>-443.10899999999998</v>
      </c>
      <c r="BL171">
        <v>367.1</v>
      </c>
      <c r="BM171">
        <v>805.87699999999995</v>
      </c>
      <c r="BN171">
        <v>20.511700000000001</v>
      </c>
      <c r="BO171">
        <v>800.00400000000002</v>
      </c>
      <c r="BP171">
        <v>7.2879800000000001</v>
      </c>
      <c r="BQ171">
        <v>2.75448</v>
      </c>
      <c r="BR171">
        <v>0.72211700000000001</v>
      </c>
      <c r="BS171">
        <v>22.613800000000001</v>
      </c>
      <c r="BT171">
        <v>2.2619600000000002</v>
      </c>
      <c r="BU171">
        <v>1799.99</v>
      </c>
      <c r="BV171">
        <v>0.90999099999999999</v>
      </c>
      <c r="BW171">
        <v>3.3993900000000001E-2</v>
      </c>
      <c r="BX171">
        <v>2.2006399999999999E-2</v>
      </c>
      <c r="BY171">
        <v>3.4008799999999999E-2</v>
      </c>
      <c r="BZ171">
        <v>25</v>
      </c>
      <c r="CA171">
        <v>33528.199999999997</v>
      </c>
      <c r="CB171">
        <v>1690203121.0999999</v>
      </c>
      <c r="CC171" t="s">
        <v>332</v>
      </c>
      <c r="CD171">
        <v>1690203121.0999999</v>
      </c>
      <c r="CE171">
        <v>1690203121.0999999</v>
      </c>
      <c r="CF171">
        <v>3</v>
      </c>
      <c r="CG171">
        <v>0.53600000000000003</v>
      </c>
      <c r="CH171">
        <v>-0.01</v>
      </c>
      <c r="CI171">
        <v>-0.996</v>
      </c>
      <c r="CJ171">
        <v>-6.6000000000000003E-2</v>
      </c>
      <c r="CK171">
        <v>800</v>
      </c>
      <c r="CL171">
        <v>9</v>
      </c>
      <c r="CM171">
        <v>0.82</v>
      </c>
      <c r="CN171">
        <v>0.01</v>
      </c>
      <c r="CO171">
        <v>-442.43869999999998</v>
      </c>
      <c r="CP171">
        <v>-3.7174784240134859</v>
      </c>
      <c r="CQ171">
        <v>0.36865873107794223</v>
      </c>
      <c r="CR171">
        <v>-1</v>
      </c>
      <c r="CS171">
        <v>20.4855175</v>
      </c>
      <c r="CT171">
        <v>0.1486682926828865</v>
      </c>
      <c r="CU171">
        <v>1.4431508713575359E-2</v>
      </c>
      <c r="CV171">
        <v>-1</v>
      </c>
      <c r="CW171">
        <v>0</v>
      </c>
      <c r="CX171">
        <v>0</v>
      </c>
      <c r="CY171" t="s">
        <v>333</v>
      </c>
      <c r="CZ171">
        <v>2.3650600000000002</v>
      </c>
      <c r="DA171">
        <v>2.7137199999999999</v>
      </c>
      <c r="DB171">
        <v>8.2163799999999995E-2</v>
      </c>
      <c r="DC171">
        <v>0.14629400000000001</v>
      </c>
      <c r="DD171">
        <v>0.126473</v>
      </c>
      <c r="DE171">
        <v>4.6228199999999997E-2</v>
      </c>
      <c r="DF171">
        <v>33501.4</v>
      </c>
      <c r="DG171">
        <v>27475</v>
      </c>
      <c r="DH171">
        <v>31158.400000000001</v>
      </c>
      <c r="DI171">
        <v>28041.3</v>
      </c>
      <c r="DJ171">
        <v>36933</v>
      </c>
      <c r="DK171">
        <v>38012</v>
      </c>
      <c r="DL171">
        <v>44335.9</v>
      </c>
      <c r="DM171">
        <v>42476.7</v>
      </c>
      <c r="DN171">
        <v>1.48438</v>
      </c>
      <c r="DO171">
        <v>2.0558800000000002</v>
      </c>
      <c r="DP171">
        <v>0.16150600000000001</v>
      </c>
      <c r="DQ171">
        <v>0.157721</v>
      </c>
      <c r="DR171">
        <v>24.306100000000001</v>
      </c>
      <c r="DS171">
        <v>24.2685</v>
      </c>
      <c r="DT171">
        <v>23.6</v>
      </c>
      <c r="DU171">
        <v>27.9</v>
      </c>
      <c r="DV171">
        <v>8.9846800000000009</v>
      </c>
      <c r="DW171">
        <v>61.555500000000002</v>
      </c>
      <c r="DX171">
        <v>36.394199999999998</v>
      </c>
      <c r="DY171">
        <v>1</v>
      </c>
      <c r="DZ171">
        <v>-0.13635900000000001</v>
      </c>
      <c r="EA171">
        <v>0.335675</v>
      </c>
      <c r="EB171">
        <v>20.1907</v>
      </c>
      <c r="EC171">
        <v>5.2409499999999998</v>
      </c>
      <c r="ED171">
        <v>12.039899999999999</v>
      </c>
      <c r="EE171">
        <v>5.0174500000000002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</v>
      </c>
      <c r="EL171">
        <v>1.8646199999999999</v>
      </c>
      <c r="EM171">
        <v>1.8691599999999999</v>
      </c>
      <c r="EN171">
        <v>1.8672200000000001</v>
      </c>
      <c r="EO171">
        <v>1.8633999999999999</v>
      </c>
      <c r="EP171">
        <v>1.8644700000000001</v>
      </c>
      <c r="EQ171">
        <v>1.87012</v>
      </c>
      <c r="ER171">
        <v>1.86937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-0.68300000000000005</v>
      </c>
      <c r="FG171">
        <v>0.1678</v>
      </c>
      <c r="FH171">
        <v>-0.44422204735670362</v>
      </c>
      <c r="FI171">
        <v>-6.1462078757559423E-4</v>
      </c>
      <c r="FJ171">
        <v>-1.8861989874597051E-7</v>
      </c>
      <c r="FK171">
        <v>1.1980462299894961E-10</v>
      </c>
      <c r="FL171">
        <v>0.16773393518503121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36.6</v>
      </c>
      <c r="FU171">
        <v>36.6</v>
      </c>
      <c r="FV171">
        <v>1.77979</v>
      </c>
      <c r="FW171">
        <v>2.5585900000000001</v>
      </c>
      <c r="FX171">
        <v>1.5490699999999999</v>
      </c>
      <c r="FY171">
        <v>2.33521</v>
      </c>
      <c r="FZ171">
        <v>1.50146</v>
      </c>
      <c r="GA171">
        <v>2.34497</v>
      </c>
      <c r="GB171">
        <v>32.509700000000002</v>
      </c>
      <c r="GC171">
        <v>23.991199999999999</v>
      </c>
      <c r="GD171">
        <v>19</v>
      </c>
      <c r="GE171">
        <v>284.02999999999997</v>
      </c>
      <c r="GF171">
        <v>593.29899999999998</v>
      </c>
      <c r="GG171">
        <v>23.772200000000002</v>
      </c>
      <c r="GH171">
        <v>25.6707</v>
      </c>
      <c r="GI171">
        <v>30.000699999999998</v>
      </c>
      <c r="GJ171">
        <v>25.826899999999998</v>
      </c>
      <c r="GK171">
        <v>25.810099999999998</v>
      </c>
      <c r="GL171">
        <v>35.597900000000003</v>
      </c>
      <c r="GM171">
        <v>-30</v>
      </c>
      <c r="GN171">
        <v>-30</v>
      </c>
      <c r="GO171">
        <v>23.731200000000001</v>
      </c>
      <c r="GP171">
        <v>800</v>
      </c>
      <c r="GQ171">
        <v>12.5298</v>
      </c>
      <c r="GR171">
        <v>99.686400000000006</v>
      </c>
      <c r="GS171">
        <v>99.390299999999996</v>
      </c>
    </row>
    <row r="172" spans="1:201" x14ac:dyDescent="0.25">
      <c r="A172">
        <v>156</v>
      </c>
      <c r="B172">
        <v>1690205325.5</v>
      </c>
      <c r="C172">
        <v>1885.900000095367</v>
      </c>
      <c r="D172" t="s">
        <v>645</v>
      </c>
      <c r="E172" t="s">
        <v>646</v>
      </c>
      <c r="F172" t="s">
        <v>330</v>
      </c>
      <c r="H172">
        <v>1690205325.5</v>
      </c>
      <c r="I172">
        <f t="shared" si="60"/>
        <v>2.0318160015894348E-3</v>
      </c>
      <c r="J172">
        <f t="shared" si="61"/>
        <v>2.0318160015894349</v>
      </c>
      <c r="K172">
        <f t="shared" si="62"/>
        <v>41.960111765556327</v>
      </c>
      <c r="L172">
        <f t="shared" si="63"/>
        <v>356.38799999999998</v>
      </c>
      <c r="M172">
        <f t="shared" si="64"/>
        <v>68.886970282660968</v>
      </c>
      <c r="N172">
        <f t="shared" si="65"/>
        <v>6.8323116102407573</v>
      </c>
      <c r="O172">
        <f t="shared" si="66"/>
        <v>35.347089009129604</v>
      </c>
      <c r="P172">
        <f t="shared" si="67"/>
        <v>0.24859790697919257</v>
      </c>
      <c r="Q172">
        <f t="shared" si="68"/>
        <v>2.1916289885466695</v>
      </c>
      <c r="R172">
        <f t="shared" si="69"/>
        <v>0.23392725618743501</v>
      </c>
      <c r="S172">
        <f t="shared" si="70"/>
        <v>0.14745043540220604</v>
      </c>
      <c r="T172">
        <f t="shared" si="71"/>
        <v>276.11612409599996</v>
      </c>
      <c r="U172">
        <f t="shared" si="72"/>
        <v>27.062005345082039</v>
      </c>
      <c r="V172">
        <f t="shared" si="73"/>
        <v>27.062005345082039</v>
      </c>
      <c r="W172">
        <f t="shared" si="74"/>
        <v>3.5922147529530113</v>
      </c>
      <c r="X172">
        <f t="shared" si="75"/>
        <v>83.592203820709614</v>
      </c>
      <c r="Y172">
        <f t="shared" si="76"/>
        <v>2.7583361180312003</v>
      </c>
      <c r="Z172">
        <f t="shared" si="77"/>
        <v>3.2997528381322971</v>
      </c>
      <c r="AA172">
        <f t="shared" si="78"/>
        <v>0.83387863492181102</v>
      </c>
      <c r="AB172">
        <f t="shared" si="79"/>
        <v>-89.603085670094075</v>
      </c>
      <c r="AC172">
        <f t="shared" si="80"/>
        <v>-170.00219235023732</v>
      </c>
      <c r="AD172">
        <f t="shared" si="81"/>
        <v>-16.630556926088062</v>
      </c>
      <c r="AE172">
        <f t="shared" si="82"/>
        <v>-0.11971085041946594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52525.738091131585</v>
      </c>
      <c r="AK172">
        <f t="shared" si="86"/>
        <v>1800</v>
      </c>
      <c r="AL172">
        <f t="shared" si="87"/>
        <v>1499.1126065999999</v>
      </c>
      <c r="AM172">
        <f t="shared" si="88"/>
        <v>0.83284033699999993</v>
      </c>
      <c r="AN172">
        <f t="shared" si="89"/>
        <v>0.15339784671999998</v>
      </c>
      <c r="AO172">
        <v>31.2</v>
      </c>
      <c r="AP172">
        <v>0.5</v>
      </c>
      <c r="AQ172" t="s">
        <v>331</v>
      </c>
      <c r="AR172">
        <v>2</v>
      </c>
      <c r="AS172">
        <v>1690205325.5</v>
      </c>
      <c r="AT172">
        <v>356.38799999999998</v>
      </c>
      <c r="AU172">
        <v>799.98900000000003</v>
      </c>
      <c r="AV172">
        <v>27.811</v>
      </c>
      <c r="AW172">
        <v>7.2823599999999997</v>
      </c>
      <c r="AX172">
        <v>357.07</v>
      </c>
      <c r="AY172">
        <v>27.6432</v>
      </c>
      <c r="AZ172">
        <v>300.21300000000002</v>
      </c>
      <c r="BA172">
        <v>99.081500000000005</v>
      </c>
      <c r="BB172">
        <v>9.9979200000000004E-2</v>
      </c>
      <c r="BC172">
        <v>25.623200000000001</v>
      </c>
      <c r="BD172">
        <v>27.044699999999999</v>
      </c>
      <c r="BE172">
        <v>26.828600000000002</v>
      </c>
      <c r="BF172">
        <v>0</v>
      </c>
      <c r="BG172">
        <v>0</v>
      </c>
      <c r="BH172">
        <v>9978.75</v>
      </c>
      <c r="BI172">
        <v>1066.3399999999999</v>
      </c>
      <c r="BJ172">
        <v>1.90625</v>
      </c>
      <c r="BK172">
        <v>-443.601</v>
      </c>
      <c r="BL172">
        <v>366.58300000000003</v>
      </c>
      <c r="BM172">
        <v>805.85799999999995</v>
      </c>
      <c r="BN172">
        <v>20.528600000000001</v>
      </c>
      <c r="BO172">
        <v>799.98900000000003</v>
      </c>
      <c r="BP172">
        <v>7.2823599999999997</v>
      </c>
      <c r="BQ172">
        <v>2.7555499999999999</v>
      </c>
      <c r="BR172">
        <v>0.72154700000000005</v>
      </c>
      <c r="BS172">
        <v>22.620200000000001</v>
      </c>
      <c r="BT172">
        <v>2.2509000000000001</v>
      </c>
      <c r="BU172">
        <v>1800</v>
      </c>
      <c r="BV172">
        <v>0.90999200000000002</v>
      </c>
      <c r="BW172">
        <v>3.3993500000000003E-2</v>
      </c>
      <c r="BX172">
        <v>2.2006100000000001E-2</v>
      </c>
      <c r="BY172">
        <v>3.4008400000000001E-2</v>
      </c>
      <c r="BZ172">
        <v>25</v>
      </c>
      <c r="CA172">
        <v>33528.300000000003</v>
      </c>
      <c r="CB172">
        <v>1690203121.0999999</v>
      </c>
      <c r="CC172" t="s">
        <v>332</v>
      </c>
      <c r="CD172">
        <v>1690203121.0999999</v>
      </c>
      <c r="CE172">
        <v>1690203121.0999999</v>
      </c>
      <c r="CF172">
        <v>3</v>
      </c>
      <c r="CG172">
        <v>0.53600000000000003</v>
      </c>
      <c r="CH172">
        <v>-0.01</v>
      </c>
      <c r="CI172">
        <v>-0.996</v>
      </c>
      <c r="CJ172">
        <v>-6.6000000000000003E-2</v>
      </c>
      <c r="CK172">
        <v>800</v>
      </c>
      <c r="CL172">
        <v>9</v>
      </c>
      <c r="CM172">
        <v>0.82</v>
      </c>
      <c r="CN172">
        <v>0.01</v>
      </c>
      <c r="CO172">
        <v>-442.97234146341458</v>
      </c>
      <c r="CP172">
        <v>-3.549637630661143</v>
      </c>
      <c r="CQ172">
        <v>0.36229758754278468</v>
      </c>
      <c r="CR172">
        <v>-1</v>
      </c>
      <c r="CS172">
        <v>20.507390243902439</v>
      </c>
      <c r="CT172">
        <v>0.13959094076654049</v>
      </c>
      <c r="CU172">
        <v>1.387126886555505E-2</v>
      </c>
      <c r="CV172">
        <v>-1</v>
      </c>
      <c r="CW172">
        <v>0</v>
      </c>
      <c r="CX172">
        <v>0</v>
      </c>
      <c r="CY172" t="s">
        <v>333</v>
      </c>
      <c r="CZ172">
        <v>2.3652199999999999</v>
      </c>
      <c r="DA172">
        <v>2.7137500000000001</v>
      </c>
      <c r="DB172">
        <v>8.2072099999999995E-2</v>
      </c>
      <c r="DC172">
        <v>0.146291</v>
      </c>
      <c r="DD172">
        <v>0.12650800000000001</v>
      </c>
      <c r="DE172">
        <v>4.6199499999999998E-2</v>
      </c>
      <c r="DF172">
        <v>33504.800000000003</v>
      </c>
      <c r="DG172">
        <v>27475.3</v>
      </c>
      <c r="DH172">
        <v>31158.3</v>
      </c>
      <c r="DI172">
        <v>28041.5</v>
      </c>
      <c r="DJ172">
        <v>36931.5</v>
      </c>
      <c r="DK172">
        <v>38013.5</v>
      </c>
      <c r="DL172">
        <v>44335.9</v>
      </c>
      <c r="DM172">
        <v>42477</v>
      </c>
      <c r="DN172">
        <v>1.4847699999999999</v>
      </c>
      <c r="DO172">
        <v>2.0555699999999999</v>
      </c>
      <c r="DP172">
        <v>0.16694100000000001</v>
      </c>
      <c r="DQ172">
        <v>0.15593299999999999</v>
      </c>
      <c r="DR172">
        <v>24.308599999999998</v>
      </c>
      <c r="DS172">
        <v>24.272400000000001</v>
      </c>
      <c r="DT172">
        <v>23.6</v>
      </c>
      <c r="DU172">
        <v>27.9</v>
      </c>
      <c r="DV172">
        <v>8.9879599999999993</v>
      </c>
      <c r="DW172">
        <v>61.545499999999997</v>
      </c>
      <c r="DX172">
        <v>36.630600000000001</v>
      </c>
      <c r="DY172">
        <v>1</v>
      </c>
      <c r="DZ172">
        <v>-0.13745199999999999</v>
      </c>
      <c r="EA172">
        <v>0.111152</v>
      </c>
      <c r="EB172">
        <v>20.191199999999998</v>
      </c>
      <c r="EC172">
        <v>5.2409499999999998</v>
      </c>
      <c r="ED172">
        <v>12.039899999999999</v>
      </c>
      <c r="EE172">
        <v>5.0173500000000004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1.8646199999999999</v>
      </c>
      <c r="EM172">
        <v>1.86917</v>
      </c>
      <c r="EN172">
        <v>1.8672200000000001</v>
      </c>
      <c r="EO172">
        <v>1.8633999999999999</v>
      </c>
      <c r="EP172">
        <v>1.8644700000000001</v>
      </c>
      <c r="EQ172">
        <v>1.8701300000000001</v>
      </c>
      <c r="ER172">
        <v>1.86941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-0.68200000000000005</v>
      </c>
      <c r="FG172">
        <v>0.1678</v>
      </c>
      <c r="FH172">
        <v>-0.44422204735670362</v>
      </c>
      <c r="FI172">
        <v>-6.1462078757559423E-4</v>
      </c>
      <c r="FJ172">
        <v>-1.8861989874597051E-7</v>
      </c>
      <c r="FK172">
        <v>1.1980462299894961E-10</v>
      </c>
      <c r="FL172">
        <v>0.16773393518503121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36.700000000000003</v>
      </c>
      <c r="FU172">
        <v>36.700000000000003</v>
      </c>
      <c r="FV172">
        <v>1.78101</v>
      </c>
      <c r="FW172">
        <v>2.5561500000000001</v>
      </c>
      <c r="FX172">
        <v>1.5490699999999999</v>
      </c>
      <c r="FY172">
        <v>2.33521</v>
      </c>
      <c r="FZ172">
        <v>1.50146</v>
      </c>
      <c r="GA172">
        <v>2.3950200000000001</v>
      </c>
      <c r="GB172">
        <v>32.531799999999997</v>
      </c>
      <c r="GC172">
        <v>23.991199999999999</v>
      </c>
      <c r="GD172">
        <v>19</v>
      </c>
      <c r="GE172">
        <v>284.18799999999999</v>
      </c>
      <c r="GF172">
        <v>593.02300000000002</v>
      </c>
      <c r="GG172">
        <v>23.761500000000002</v>
      </c>
      <c r="GH172">
        <v>25.669</v>
      </c>
      <c r="GI172">
        <v>29.999500000000001</v>
      </c>
      <c r="GJ172">
        <v>25.824200000000001</v>
      </c>
      <c r="GK172">
        <v>25.8079</v>
      </c>
      <c r="GL172">
        <v>35.599400000000003</v>
      </c>
      <c r="GM172">
        <v>-30</v>
      </c>
      <c r="GN172">
        <v>-30</v>
      </c>
      <c r="GO172">
        <v>23.764800000000001</v>
      </c>
      <c r="GP172">
        <v>800</v>
      </c>
      <c r="GQ172">
        <v>12.5298</v>
      </c>
      <c r="GR172">
        <v>99.686300000000003</v>
      </c>
      <c r="GS172">
        <v>99.391099999999994</v>
      </c>
    </row>
    <row r="173" spans="1:201" x14ac:dyDescent="0.25">
      <c r="A173">
        <v>157</v>
      </c>
      <c r="B173">
        <v>1690205335.5</v>
      </c>
      <c r="C173">
        <v>1895.900000095367</v>
      </c>
      <c r="D173" t="s">
        <v>647</v>
      </c>
      <c r="E173" t="s">
        <v>648</v>
      </c>
      <c r="F173" t="s">
        <v>330</v>
      </c>
      <c r="H173">
        <v>1690205335.5</v>
      </c>
      <c r="I173">
        <f t="shared" si="60"/>
        <v>2.0329275520604281E-3</v>
      </c>
      <c r="J173">
        <f t="shared" si="61"/>
        <v>2.032927552060428</v>
      </c>
      <c r="K173">
        <f t="shared" si="62"/>
        <v>42.03253876349843</v>
      </c>
      <c r="L173">
        <f t="shared" si="63"/>
        <v>355.67200000000003</v>
      </c>
      <c r="M173">
        <f t="shared" si="64"/>
        <v>68.190110341123429</v>
      </c>
      <c r="N173">
        <f t="shared" si="65"/>
        <v>6.7631098045063451</v>
      </c>
      <c r="O173">
        <f t="shared" si="66"/>
        <v>35.275625429480002</v>
      </c>
      <c r="P173">
        <f t="shared" si="67"/>
        <v>0.24902757659738306</v>
      </c>
      <c r="Q173">
        <f t="shared" si="68"/>
        <v>2.1962162073832996</v>
      </c>
      <c r="R173">
        <f t="shared" si="69"/>
        <v>0.23433657917066272</v>
      </c>
      <c r="S173">
        <f t="shared" si="70"/>
        <v>0.14770801491209953</v>
      </c>
      <c r="T173">
        <f t="shared" si="71"/>
        <v>276.116006196</v>
      </c>
      <c r="U173">
        <f t="shared" si="72"/>
        <v>27.061583875709903</v>
      </c>
      <c r="V173">
        <f t="shared" si="73"/>
        <v>27.061583875709903</v>
      </c>
      <c r="W173">
        <f t="shared" si="74"/>
        <v>3.5921258735828374</v>
      </c>
      <c r="X173">
        <f t="shared" si="75"/>
        <v>83.606897061802584</v>
      </c>
      <c r="Y173">
        <f t="shared" si="76"/>
        <v>2.7592630074505</v>
      </c>
      <c r="Z173">
        <f t="shared" si="77"/>
        <v>3.3002815609947116</v>
      </c>
      <c r="AA173">
        <f t="shared" si="78"/>
        <v>0.8328628661323374</v>
      </c>
      <c r="AB173">
        <f t="shared" si="79"/>
        <v>-89.652105045864886</v>
      </c>
      <c r="AC173">
        <f t="shared" si="80"/>
        <v>-169.98842825840657</v>
      </c>
      <c r="AD173">
        <f t="shared" si="81"/>
        <v>-16.594666205303113</v>
      </c>
      <c r="AE173">
        <f t="shared" si="82"/>
        <v>-0.11919331357455576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52713.638087297761</v>
      </c>
      <c r="AK173">
        <f t="shared" si="86"/>
        <v>1800</v>
      </c>
      <c r="AL173">
        <f t="shared" si="87"/>
        <v>1499.1127595999999</v>
      </c>
      <c r="AM173">
        <f t="shared" si="88"/>
        <v>0.83284042199999997</v>
      </c>
      <c r="AN173">
        <f t="shared" si="89"/>
        <v>0.15339778122</v>
      </c>
      <c r="AO173">
        <v>31.2</v>
      </c>
      <c r="AP173">
        <v>0.5</v>
      </c>
      <c r="AQ173" t="s">
        <v>331</v>
      </c>
      <c r="AR173">
        <v>2</v>
      </c>
      <c r="AS173">
        <v>1690205335.5</v>
      </c>
      <c r="AT173">
        <v>355.67200000000003</v>
      </c>
      <c r="AU173">
        <v>800.10500000000002</v>
      </c>
      <c r="AV173">
        <v>27.820699999999999</v>
      </c>
      <c r="AW173">
        <v>7.2768600000000001</v>
      </c>
      <c r="AX173">
        <v>356.35399999999998</v>
      </c>
      <c r="AY173">
        <v>27.652999999999999</v>
      </c>
      <c r="AZ173">
        <v>300.15199999999999</v>
      </c>
      <c r="BA173">
        <v>99.080200000000005</v>
      </c>
      <c r="BB173">
        <v>0.10001500000000001</v>
      </c>
      <c r="BC173">
        <v>25.625900000000001</v>
      </c>
      <c r="BD173">
        <v>26.977399999999999</v>
      </c>
      <c r="BE173">
        <v>26.834399999999999</v>
      </c>
      <c r="BF173">
        <v>0</v>
      </c>
      <c r="BG173">
        <v>0</v>
      </c>
      <c r="BH173">
        <v>10016.200000000001</v>
      </c>
      <c r="BI173">
        <v>1066.3800000000001</v>
      </c>
      <c r="BJ173">
        <v>1.90625</v>
      </c>
      <c r="BK173">
        <v>-444.43299999999999</v>
      </c>
      <c r="BL173">
        <v>365.85</v>
      </c>
      <c r="BM173">
        <v>805.97</v>
      </c>
      <c r="BN173">
        <v>20.543900000000001</v>
      </c>
      <c r="BO173">
        <v>800.10500000000002</v>
      </c>
      <c r="BP173">
        <v>7.2768600000000001</v>
      </c>
      <c r="BQ173">
        <v>2.7564799999999998</v>
      </c>
      <c r="BR173">
        <v>0.72099199999999997</v>
      </c>
      <c r="BS173">
        <v>22.625800000000002</v>
      </c>
      <c r="BT173">
        <v>2.24011</v>
      </c>
      <c r="BU173">
        <v>1800</v>
      </c>
      <c r="BV173">
        <v>0.90999399999999997</v>
      </c>
      <c r="BW173">
        <v>3.3992700000000001E-2</v>
      </c>
      <c r="BX173">
        <v>2.20056E-2</v>
      </c>
      <c r="BY173">
        <v>3.4007599999999999E-2</v>
      </c>
      <c r="BZ173">
        <v>25</v>
      </c>
      <c r="CA173">
        <v>33528.400000000001</v>
      </c>
      <c r="CB173">
        <v>1690203121.0999999</v>
      </c>
      <c r="CC173" t="s">
        <v>332</v>
      </c>
      <c r="CD173">
        <v>1690203121.0999999</v>
      </c>
      <c r="CE173">
        <v>1690203121.0999999</v>
      </c>
      <c r="CF173">
        <v>3</v>
      </c>
      <c r="CG173">
        <v>0.53600000000000003</v>
      </c>
      <c r="CH173">
        <v>-0.01</v>
      </c>
      <c r="CI173">
        <v>-0.996</v>
      </c>
      <c r="CJ173">
        <v>-6.6000000000000003E-2</v>
      </c>
      <c r="CK173">
        <v>800</v>
      </c>
      <c r="CL173">
        <v>9</v>
      </c>
      <c r="CM173">
        <v>0.82</v>
      </c>
      <c r="CN173">
        <v>0.01</v>
      </c>
      <c r="CO173">
        <v>-443.58124390243898</v>
      </c>
      <c r="CP173">
        <v>-3.9692822299647421</v>
      </c>
      <c r="CQ173">
        <v>0.39637902411139692</v>
      </c>
      <c r="CR173">
        <v>-1</v>
      </c>
      <c r="CS173">
        <v>20.5264512195122</v>
      </c>
      <c r="CT173">
        <v>9.5285017421599588E-2</v>
      </c>
      <c r="CU173">
        <v>9.4525289415496178E-3</v>
      </c>
      <c r="CV173">
        <v>-1</v>
      </c>
      <c r="CW173">
        <v>0</v>
      </c>
      <c r="CX173">
        <v>0</v>
      </c>
      <c r="CY173" t="s">
        <v>333</v>
      </c>
      <c r="CZ173">
        <v>2.36504</v>
      </c>
      <c r="DA173">
        <v>2.7138200000000001</v>
      </c>
      <c r="DB173">
        <v>8.1940899999999997E-2</v>
      </c>
      <c r="DC173">
        <v>0.14630099999999999</v>
      </c>
      <c r="DD173">
        <v>0.12653500000000001</v>
      </c>
      <c r="DE173">
        <v>4.61704E-2</v>
      </c>
      <c r="DF173">
        <v>33509.1</v>
      </c>
      <c r="DG173">
        <v>27475.4</v>
      </c>
      <c r="DH173">
        <v>31157.9</v>
      </c>
      <c r="DI173">
        <v>28041.9</v>
      </c>
      <c r="DJ173">
        <v>36930</v>
      </c>
      <c r="DK173">
        <v>38015.1</v>
      </c>
      <c r="DL173">
        <v>44335.6</v>
      </c>
      <c r="DM173">
        <v>42477.599999999999</v>
      </c>
      <c r="DN173">
        <v>1.48495</v>
      </c>
      <c r="DO173">
        <v>2.0556999999999999</v>
      </c>
      <c r="DP173">
        <v>0.162609</v>
      </c>
      <c r="DQ173">
        <v>0.15610499999999999</v>
      </c>
      <c r="DR173">
        <v>24.312200000000001</v>
      </c>
      <c r="DS173">
        <v>24.275400000000001</v>
      </c>
      <c r="DT173">
        <v>23.6</v>
      </c>
      <c r="DU173">
        <v>27.9</v>
      </c>
      <c r="DV173">
        <v>8.9879200000000008</v>
      </c>
      <c r="DW173">
        <v>61.505499999999998</v>
      </c>
      <c r="DX173">
        <v>36.834899999999998</v>
      </c>
      <c r="DY173">
        <v>1</v>
      </c>
      <c r="DZ173">
        <v>-0.13619400000000001</v>
      </c>
      <c r="EA173">
        <v>0.38551999999999997</v>
      </c>
      <c r="EB173">
        <v>20.1905</v>
      </c>
      <c r="EC173">
        <v>5.2408000000000001</v>
      </c>
      <c r="ED173">
        <v>12.039899999999999</v>
      </c>
      <c r="EE173">
        <v>5.0166000000000004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</v>
      </c>
      <c r="EL173">
        <v>1.8646199999999999</v>
      </c>
      <c r="EM173">
        <v>1.8691500000000001</v>
      </c>
      <c r="EN173">
        <v>1.8672200000000001</v>
      </c>
      <c r="EO173">
        <v>1.8633999999999999</v>
      </c>
      <c r="EP173">
        <v>1.8644700000000001</v>
      </c>
      <c r="EQ173">
        <v>1.8701300000000001</v>
      </c>
      <c r="ER173">
        <v>1.8694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-0.68200000000000005</v>
      </c>
      <c r="FG173">
        <v>0.16769999999999999</v>
      </c>
      <c r="FH173">
        <v>-0.44422204735670362</v>
      </c>
      <c r="FI173">
        <v>-6.1462078757559423E-4</v>
      </c>
      <c r="FJ173">
        <v>-1.8861989874597051E-7</v>
      </c>
      <c r="FK173">
        <v>1.1980462299894961E-10</v>
      </c>
      <c r="FL173">
        <v>0.16773393518503121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36.9</v>
      </c>
      <c r="FU173">
        <v>36.9</v>
      </c>
      <c r="FV173">
        <v>1.77979</v>
      </c>
      <c r="FW173">
        <v>2.5573700000000001</v>
      </c>
      <c r="FX173">
        <v>1.5490699999999999</v>
      </c>
      <c r="FY173">
        <v>2.33521</v>
      </c>
      <c r="FZ173">
        <v>1.50146</v>
      </c>
      <c r="GA173">
        <v>2.3889200000000002</v>
      </c>
      <c r="GB173">
        <v>32.531799999999997</v>
      </c>
      <c r="GC173">
        <v>23.991199999999999</v>
      </c>
      <c r="GD173">
        <v>19</v>
      </c>
      <c r="GE173">
        <v>284.25400000000002</v>
      </c>
      <c r="GF173">
        <v>593.10199999999998</v>
      </c>
      <c r="GG173">
        <v>23.7227</v>
      </c>
      <c r="GH173">
        <v>25.666799999999999</v>
      </c>
      <c r="GI173">
        <v>30.000399999999999</v>
      </c>
      <c r="GJ173">
        <v>25.822099999999999</v>
      </c>
      <c r="GK173">
        <v>25.805700000000002</v>
      </c>
      <c r="GL173">
        <v>35.596699999999998</v>
      </c>
      <c r="GM173">
        <v>-30</v>
      </c>
      <c r="GN173">
        <v>-30</v>
      </c>
      <c r="GO173">
        <v>23.664300000000001</v>
      </c>
      <c r="GP173">
        <v>800</v>
      </c>
      <c r="GQ173">
        <v>12.5298</v>
      </c>
      <c r="GR173">
        <v>99.685400000000001</v>
      </c>
      <c r="GS173">
        <v>99.392399999999995</v>
      </c>
    </row>
    <row r="174" spans="1:201" x14ac:dyDescent="0.25">
      <c r="A174">
        <v>158</v>
      </c>
      <c r="B174">
        <v>1690205345.5</v>
      </c>
      <c r="C174">
        <v>1905.900000095367</v>
      </c>
      <c r="D174" t="s">
        <v>649</v>
      </c>
      <c r="E174" t="s">
        <v>650</v>
      </c>
      <c r="F174" t="s">
        <v>330</v>
      </c>
      <c r="H174">
        <v>1690205345.5</v>
      </c>
      <c r="I174">
        <f t="shared" si="60"/>
        <v>2.0329078045735792E-3</v>
      </c>
      <c r="J174">
        <f t="shared" si="61"/>
        <v>2.0329078045735791</v>
      </c>
      <c r="K174">
        <f t="shared" si="62"/>
        <v>42.07937173637302</v>
      </c>
      <c r="L174">
        <f t="shared" si="63"/>
        <v>355.03</v>
      </c>
      <c r="M174">
        <f t="shared" si="64"/>
        <v>67.971436477452045</v>
      </c>
      <c r="N174">
        <f t="shared" si="65"/>
        <v>6.741779009534099</v>
      </c>
      <c r="O174">
        <f t="shared" si="66"/>
        <v>35.213818124159999</v>
      </c>
      <c r="P174">
        <f t="shared" si="67"/>
        <v>0.24971345134392015</v>
      </c>
      <c r="Q174">
        <f t="shared" si="68"/>
        <v>2.1938303232303156</v>
      </c>
      <c r="R174">
        <f t="shared" si="69"/>
        <v>0.23492895181595239</v>
      </c>
      <c r="S174">
        <f t="shared" si="70"/>
        <v>0.14808592600587725</v>
      </c>
      <c r="T174">
        <f t="shared" si="71"/>
        <v>276.11612298</v>
      </c>
      <c r="U174">
        <f t="shared" si="72"/>
        <v>27.050430848496728</v>
      </c>
      <c r="V174">
        <f t="shared" si="73"/>
        <v>27.050430848496728</v>
      </c>
      <c r="W174">
        <f t="shared" si="74"/>
        <v>3.5897746229908107</v>
      </c>
      <c r="X174">
        <f t="shared" si="75"/>
        <v>83.660334988031991</v>
      </c>
      <c r="Y174">
        <f t="shared" si="76"/>
        <v>2.7589629262463999</v>
      </c>
      <c r="Z174">
        <f t="shared" si="77"/>
        <v>3.2978148206567459</v>
      </c>
      <c r="AA174">
        <f t="shared" si="78"/>
        <v>0.8308116967444108</v>
      </c>
      <c r="AB174">
        <f t="shared" si="79"/>
        <v>-89.651234181694846</v>
      </c>
      <c r="AC174">
        <f t="shared" si="80"/>
        <v>-169.97489836103756</v>
      </c>
      <c r="AD174">
        <f t="shared" si="81"/>
        <v>-16.609414456236518</v>
      </c>
      <c r="AE174">
        <f t="shared" si="82"/>
        <v>-0.11942401896891397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52617.92883820532</v>
      </c>
      <c r="AK174">
        <f t="shared" si="86"/>
        <v>1800</v>
      </c>
      <c r="AL174">
        <f t="shared" si="87"/>
        <v>1499.113593</v>
      </c>
      <c r="AM174">
        <f t="shared" si="88"/>
        <v>0.83284088499999998</v>
      </c>
      <c r="AN174">
        <f t="shared" si="89"/>
        <v>0.15339784610000001</v>
      </c>
      <c r="AO174">
        <v>31.2</v>
      </c>
      <c r="AP174">
        <v>0.5</v>
      </c>
      <c r="AQ174" t="s">
        <v>331</v>
      </c>
      <c r="AR174">
        <v>2</v>
      </c>
      <c r="AS174">
        <v>1690205345.5</v>
      </c>
      <c r="AT174">
        <v>355.03</v>
      </c>
      <c r="AU174">
        <v>799.95100000000002</v>
      </c>
      <c r="AV174">
        <v>27.816199999999998</v>
      </c>
      <c r="AW174">
        <v>7.2717799999999997</v>
      </c>
      <c r="AX174">
        <v>355.71100000000001</v>
      </c>
      <c r="AY174">
        <v>27.648499999999999</v>
      </c>
      <c r="AZ174">
        <v>300.142</v>
      </c>
      <c r="BA174">
        <v>99.085400000000007</v>
      </c>
      <c r="BB174">
        <v>0.10007199999999999</v>
      </c>
      <c r="BC174">
        <v>25.613299999999999</v>
      </c>
      <c r="BD174">
        <v>27.017600000000002</v>
      </c>
      <c r="BE174">
        <v>26.821100000000001</v>
      </c>
      <c r="BF174">
        <v>0</v>
      </c>
      <c r="BG174">
        <v>0</v>
      </c>
      <c r="BH174">
        <v>9996.25</v>
      </c>
      <c r="BI174">
        <v>1066.3499999999999</v>
      </c>
      <c r="BJ174">
        <v>1.90625</v>
      </c>
      <c r="BK174">
        <v>-444.92099999999999</v>
      </c>
      <c r="BL174">
        <v>365.18799999999999</v>
      </c>
      <c r="BM174">
        <v>805.81100000000004</v>
      </c>
      <c r="BN174">
        <v>20.5444</v>
      </c>
      <c r="BO174">
        <v>799.95100000000002</v>
      </c>
      <c r="BP174">
        <v>7.2717799999999997</v>
      </c>
      <c r="BQ174">
        <v>2.7561800000000001</v>
      </c>
      <c r="BR174">
        <v>0.72052700000000003</v>
      </c>
      <c r="BS174">
        <v>22.623999999999999</v>
      </c>
      <c r="BT174">
        <v>2.2310599999999998</v>
      </c>
      <c r="BU174">
        <v>1800</v>
      </c>
      <c r="BV174">
        <v>0.909995</v>
      </c>
      <c r="BW174">
        <v>3.3992500000000002E-2</v>
      </c>
      <c r="BX174">
        <v>2.2005500000000001E-2</v>
      </c>
      <c r="BY174">
        <v>3.40074E-2</v>
      </c>
      <c r="BZ174">
        <v>25</v>
      </c>
      <c r="CA174">
        <v>33528.300000000003</v>
      </c>
      <c r="CB174">
        <v>1690203121.0999999</v>
      </c>
      <c r="CC174" t="s">
        <v>332</v>
      </c>
      <c r="CD174">
        <v>1690203121.0999999</v>
      </c>
      <c r="CE174">
        <v>1690203121.0999999</v>
      </c>
      <c r="CF174">
        <v>3</v>
      </c>
      <c r="CG174">
        <v>0.53600000000000003</v>
      </c>
      <c r="CH174">
        <v>-0.01</v>
      </c>
      <c r="CI174">
        <v>-0.996</v>
      </c>
      <c r="CJ174">
        <v>-6.6000000000000003E-2</v>
      </c>
      <c r="CK174">
        <v>800</v>
      </c>
      <c r="CL174">
        <v>9</v>
      </c>
      <c r="CM174">
        <v>0.82</v>
      </c>
      <c r="CN174">
        <v>0.01</v>
      </c>
      <c r="CO174">
        <v>-444.28729268292682</v>
      </c>
      <c r="CP174">
        <v>-3.4964947735184619</v>
      </c>
      <c r="CQ174">
        <v>0.35760205733451023</v>
      </c>
      <c r="CR174">
        <v>-1</v>
      </c>
      <c r="CS174">
        <v>20.539278048780488</v>
      </c>
      <c r="CT174">
        <v>4.5717073170741668E-2</v>
      </c>
      <c r="CU174">
        <v>5.0821309240639883E-3</v>
      </c>
      <c r="CV174">
        <v>-1</v>
      </c>
      <c r="CW174">
        <v>0</v>
      </c>
      <c r="CX174">
        <v>0</v>
      </c>
      <c r="CY174" t="s">
        <v>333</v>
      </c>
      <c r="CZ174">
        <v>2.3650099999999998</v>
      </c>
      <c r="DA174">
        <v>2.7138599999999999</v>
      </c>
      <c r="DB174">
        <v>8.1829700000000005E-2</v>
      </c>
      <c r="DC174">
        <v>0.14629</v>
      </c>
      <c r="DD174">
        <v>0.126528</v>
      </c>
      <c r="DE174">
        <v>4.6147199999999999E-2</v>
      </c>
      <c r="DF174">
        <v>33513.800000000003</v>
      </c>
      <c r="DG174">
        <v>27476.2</v>
      </c>
      <c r="DH174">
        <v>31158.5</v>
      </c>
      <c r="DI174">
        <v>28042.400000000001</v>
      </c>
      <c r="DJ174">
        <v>36930.800000000003</v>
      </c>
      <c r="DK174">
        <v>38016.800000000003</v>
      </c>
      <c r="DL174">
        <v>44336.3</v>
      </c>
      <c r="DM174">
        <v>42478.400000000001</v>
      </c>
      <c r="DN174">
        <v>1.4846999999999999</v>
      </c>
      <c r="DO174">
        <v>2.0555699999999999</v>
      </c>
      <c r="DP174">
        <v>0.16486600000000001</v>
      </c>
      <c r="DQ174">
        <v>0.15521799999999999</v>
      </c>
      <c r="DR174">
        <v>24.3155</v>
      </c>
      <c r="DS174">
        <v>24.276599999999998</v>
      </c>
      <c r="DT174">
        <v>23.5</v>
      </c>
      <c r="DU174">
        <v>27.9</v>
      </c>
      <c r="DV174">
        <v>8.9483200000000007</v>
      </c>
      <c r="DW174">
        <v>61.735500000000002</v>
      </c>
      <c r="DX174">
        <v>36.991199999999999</v>
      </c>
      <c r="DY174">
        <v>1</v>
      </c>
      <c r="DZ174">
        <v>-0.13711400000000001</v>
      </c>
      <c r="EA174">
        <v>6.1715699999999998E-2</v>
      </c>
      <c r="EB174">
        <v>20.191500000000001</v>
      </c>
      <c r="EC174">
        <v>5.2409499999999998</v>
      </c>
      <c r="ED174">
        <v>12.039899999999999</v>
      </c>
      <c r="EE174">
        <v>5.0170500000000002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</v>
      </c>
      <c r="EL174">
        <v>1.8646199999999999</v>
      </c>
      <c r="EM174">
        <v>1.8691599999999999</v>
      </c>
      <c r="EN174">
        <v>1.8672200000000001</v>
      </c>
      <c r="EO174">
        <v>1.8633999999999999</v>
      </c>
      <c r="EP174">
        <v>1.8644799999999999</v>
      </c>
      <c r="EQ174">
        <v>1.87012</v>
      </c>
      <c r="ER174">
        <v>1.8693900000000001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-0.68100000000000005</v>
      </c>
      <c r="FG174">
        <v>0.16769999999999999</v>
      </c>
      <c r="FH174">
        <v>-0.44422204735670362</v>
      </c>
      <c r="FI174">
        <v>-6.1462078757559423E-4</v>
      </c>
      <c r="FJ174">
        <v>-1.8861989874597051E-7</v>
      </c>
      <c r="FK174">
        <v>1.1980462299894961E-10</v>
      </c>
      <c r="FL174">
        <v>0.16773393518503121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37.1</v>
      </c>
      <c r="FU174">
        <v>37.1</v>
      </c>
      <c r="FV174">
        <v>1.78101</v>
      </c>
      <c r="FW174">
        <v>2.5598100000000001</v>
      </c>
      <c r="FX174">
        <v>1.5490699999999999</v>
      </c>
      <c r="FY174">
        <v>2.33521</v>
      </c>
      <c r="FZ174">
        <v>1.50146</v>
      </c>
      <c r="GA174">
        <v>2.36084</v>
      </c>
      <c r="GB174">
        <v>32.531799999999997</v>
      </c>
      <c r="GC174">
        <v>23.991199999999999</v>
      </c>
      <c r="GD174">
        <v>19</v>
      </c>
      <c r="GE174">
        <v>284.13499999999999</v>
      </c>
      <c r="GF174">
        <v>592.97400000000005</v>
      </c>
      <c r="GG174">
        <v>23.7044</v>
      </c>
      <c r="GH174">
        <v>25.665299999999998</v>
      </c>
      <c r="GI174">
        <v>29.999700000000001</v>
      </c>
      <c r="GJ174">
        <v>25.819299999999998</v>
      </c>
      <c r="GK174">
        <v>25.803599999999999</v>
      </c>
      <c r="GL174">
        <v>35.597900000000003</v>
      </c>
      <c r="GM174">
        <v>-30</v>
      </c>
      <c r="GN174">
        <v>-30</v>
      </c>
      <c r="GO174">
        <v>23.750599999999999</v>
      </c>
      <c r="GP174">
        <v>800</v>
      </c>
      <c r="GQ174">
        <v>12.5298</v>
      </c>
      <c r="GR174">
        <v>99.686999999999998</v>
      </c>
      <c r="GS174">
        <v>99.394199999999998</v>
      </c>
    </row>
    <row r="175" spans="1:201" x14ac:dyDescent="0.25">
      <c r="A175">
        <v>159</v>
      </c>
      <c r="B175">
        <v>1690205355.5999999</v>
      </c>
      <c r="C175">
        <v>1916</v>
      </c>
      <c r="D175" t="s">
        <v>651</v>
      </c>
      <c r="E175" t="s">
        <v>652</v>
      </c>
      <c r="F175" t="s">
        <v>330</v>
      </c>
      <c r="H175">
        <v>1690205355.5999999</v>
      </c>
      <c r="I175">
        <f t="shared" si="60"/>
        <v>2.0344256288071191E-3</v>
      </c>
      <c r="J175">
        <f t="shared" si="61"/>
        <v>2.034425628807119</v>
      </c>
      <c r="K175">
        <f t="shared" si="62"/>
        <v>42.139350127985622</v>
      </c>
      <c r="L175">
        <f t="shared" si="63"/>
        <v>354.52499999999998</v>
      </c>
      <c r="M175">
        <f t="shared" si="64"/>
        <v>67.042220208674095</v>
      </c>
      <c r="N175">
        <f t="shared" si="65"/>
        <v>6.6491461531353382</v>
      </c>
      <c r="O175">
        <f t="shared" si="66"/>
        <v>35.161254096345004</v>
      </c>
      <c r="P175">
        <f t="shared" si="67"/>
        <v>0.24968890266746607</v>
      </c>
      <c r="Q175">
        <f t="shared" si="68"/>
        <v>2.1938221909414</v>
      </c>
      <c r="R175">
        <f t="shared" si="69"/>
        <v>0.2349071662032183</v>
      </c>
      <c r="S175">
        <f t="shared" si="70"/>
        <v>0.14807208187361059</v>
      </c>
      <c r="T175">
        <f t="shared" si="71"/>
        <v>276.11590703399992</v>
      </c>
      <c r="U175">
        <f t="shared" si="72"/>
        <v>27.054811891649464</v>
      </c>
      <c r="V175">
        <f t="shared" si="73"/>
        <v>27.054811891649464</v>
      </c>
      <c r="W175">
        <f t="shared" si="74"/>
        <v>3.5906980622274522</v>
      </c>
      <c r="X175">
        <f t="shared" si="75"/>
        <v>83.644855692060929</v>
      </c>
      <c r="Y175">
        <f t="shared" si="76"/>
        <v>2.7592546825747806</v>
      </c>
      <c r="Z175">
        <f t="shared" si="77"/>
        <v>3.2987739171109274</v>
      </c>
      <c r="AA175">
        <f t="shared" si="78"/>
        <v>0.83144337965267168</v>
      </c>
      <c r="AB175">
        <f t="shared" si="79"/>
        <v>-89.718170230393952</v>
      </c>
      <c r="AC175">
        <f t="shared" si="80"/>
        <v>-169.91288952203323</v>
      </c>
      <c r="AD175">
        <f t="shared" si="81"/>
        <v>-16.604188838678827</v>
      </c>
      <c r="AE175">
        <f t="shared" si="82"/>
        <v>-0.11934155710611094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52616.581974539091</v>
      </c>
      <c r="AK175">
        <f t="shared" si="86"/>
        <v>1800</v>
      </c>
      <c r="AL175">
        <f t="shared" si="87"/>
        <v>1499.1133284</v>
      </c>
      <c r="AM175">
        <f t="shared" si="88"/>
        <v>0.83284073800000002</v>
      </c>
      <c r="AN175">
        <f t="shared" si="89"/>
        <v>0.15339772612999997</v>
      </c>
      <c r="AO175">
        <v>31.2</v>
      </c>
      <c r="AP175">
        <v>0.5</v>
      </c>
      <c r="AQ175" t="s">
        <v>331</v>
      </c>
      <c r="AR175">
        <v>2</v>
      </c>
      <c r="AS175">
        <v>1690205355.5999999</v>
      </c>
      <c r="AT175">
        <v>354.52499999999998</v>
      </c>
      <c r="AU175">
        <v>799.96199999999999</v>
      </c>
      <c r="AV175">
        <v>27.821100000000001</v>
      </c>
      <c r="AW175">
        <v>7.2661699999999998</v>
      </c>
      <c r="AX175">
        <v>355.20600000000002</v>
      </c>
      <c r="AY175">
        <v>27.653400000000001</v>
      </c>
      <c r="AZ175">
        <v>300.21100000000001</v>
      </c>
      <c r="BA175">
        <v>99.078500000000005</v>
      </c>
      <c r="BB175">
        <v>9.9989800000000004E-2</v>
      </c>
      <c r="BC175">
        <v>25.618200000000002</v>
      </c>
      <c r="BD175">
        <v>27.0288</v>
      </c>
      <c r="BE175">
        <v>26.828299999999999</v>
      </c>
      <c r="BF175">
        <v>0</v>
      </c>
      <c r="BG175">
        <v>0</v>
      </c>
      <c r="BH175">
        <v>9996.8799999999992</v>
      </c>
      <c r="BI175">
        <v>1066.4000000000001</v>
      </c>
      <c r="BJ175">
        <v>1.96231</v>
      </c>
      <c r="BK175">
        <v>-445.43700000000001</v>
      </c>
      <c r="BL175">
        <v>364.67</v>
      </c>
      <c r="BM175">
        <v>805.81700000000001</v>
      </c>
      <c r="BN175">
        <v>20.5549</v>
      </c>
      <c r="BO175">
        <v>799.96199999999999</v>
      </c>
      <c r="BP175">
        <v>7.2661699999999998</v>
      </c>
      <c r="BQ175">
        <v>2.7564700000000002</v>
      </c>
      <c r="BR175">
        <v>0.71992199999999995</v>
      </c>
      <c r="BS175">
        <v>22.625699999999998</v>
      </c>
      <c r="BT175">
        <v>2.2192699999999999</v>
      </c>
      <c r="BU175">
        <v>1800</v>
      </c>
      <c r="BV175">
        <v>0.90999699999999994</v>
      </c>
      <c r="BW175">
        <v>3.3991599999999997E-2</v>
      </c>
      <c r="BX175">
        <v>2.2004900000000001E-2</v>
      </c>
      <c r="BY175">
        <v>3.4006500000000002E-2</v>
      </c>
      <c r="BZ175">
        <v>25</v>
      </c>
      <c r="CA175">
        <v>33528.400000000001</v>
      </c>
      <c r="CB175">
        <v>1690203121.0999999</v>
      </c>
      <c r="CC175" t="s">
        <v>332</v>
      </c>
      <c r="CD175">
        <v>1690203121.0999999</v>
      </c>
      <c r="CE175">
        <v>1690203121.0999999</v>
      </c>
      <c r="CF175">
        <v>3</v>
      </c>
      <c r="CG175">
        <v>0.53600000000000003</v>
      </c>
      <c r="CH175">
        <v>-0.01</v>
      </c>
      <c r="CI175">
        <v>-0.996</v>
      </c>
      <c r="CJ175">
        <v>-6.6000000000000003E-2</v>
      </c>
      <c r="CK175">
        <v>800</v>
      </c>
      <c r="CL175">
        <v>9</v>
      </c>
      <c r="CM175">
        <v>0.82</v>
      </c>
      <c r="CN175">
        <v>0.01</v>
      </c>
      <c r="CO175">
        <v>-444.84853658536582</v>
      </c>
      <c r="CP175">
        <v>-3.0077481121038518</v>
      </c>
      <c r="CQ175">
        <v>0.30099154007728501</v>
      </c>
      <c r="CR175">
        <v>-1</v>
      </c>
      <c r="CS175">
        <v>20.545731707317071</v>
      </c>
      <c r="CT175">
        <v>3.1403364510936421E-2</v>
      </c>
      <c r="CU175">
        <v>3.599690977549223E-3</v>
      </c>
      <c r="CV175">
        <v>-1</v>
      </c>
      <c r="CW175">
        <v>0</v>
      </c>
      <c r="CX175">
        <v>0</v>
      </c>
      <c r="CY175" t="s">
        <v>333</v>
      </c>
      <c r="CZ175">
        <v>2.3652199999999999</v>
      </c>
      <c r="DA175">
        <v>2.7137799999999999</v>
      </c>
      <c r="DB175">
        <v>8.1734000000000001E-2</v>
      </c>
      <c r="DC175">
        <v>0.146283</v>
      </c>
      <c r="DD175">
        <v>0.12653600000000001</v>
      </c>
      <c r="DE175">
        <v>4.6116299999999999E-2</v>
      </c>
      <c r="DF175">
        <v>33517.699999999997</v>
      </c>
      <c r="DG175">
        <v>27476.6</v>
      </c>
      <c r="DH175">
        <v>31158.9</v>
      </c>
      <c r="DI175">
        <v>28042.6</v>
      </c>
      <c r="DJ175">
        <v>36931</v>
      </c>
      <c r="DK175">
        <v>38018.400000000001</v>
      </c>
      <c r="DL175">
        <v>44336.9</v>
      </c>
      <c r="DM175">
        <v>42478.9</v>
      </c>
      <c r="DN175">
        <v>1.48465</v>
      </c>
      <c r="DO175">
        <v>2.0558000000000001</v>
      </c>
      <c r="DP175">
        <v>0.165552</v>
      </c>
      <c r="DQ175">
        <v>0.155754</v>
      </c>
      <c r="DR175">
        <v>24.3155</v>
      </c>
      <c r="DS175">
        <v>24.275099999999998</v>
      </c>
      <c r="DT175">
        <v>23.5</v>
      </c>
      <c r="DU175">
        <v>27.9</v>
      </c>
      <c r="DV175">
        <v>8.9478200000000001</v>
      </c>
      <c r="DW175">
        <v>61.3628</v>
      </c>
      <c r="DX175">
        <v>36.057699999999997</v>
      </c>
      <c r="DY175">
        <v>1</v>
      </c>
      <c r="DZ175">
        <v>-0.138567</v>
      </c>
      <c r="EA175">
        <v>0.22495899999999999</v>
      </c>
      <c r="EB175">
        <v>20.191299999999998</v>
      </c>
      <c r="EC175">
        <v>5.24125</v>
      </c>
      <c r="ED175">
        <v>12.039899999999999</v>
      </c>
      <c r="EE175">
        <v>5.0172999999999996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</v>
      </c>
      <c r="EL175">
        <v>1.8646199999999999</v>
      </c>
      <c r="EM175">
        <v>1.8691599999999999</v>
      </c>
      <c r="EN175">
        <v>1.8672200000000001</v>
      </c>
      <c r="EO175">
        <v>1.8633999999999999</v>
      </c>
      <c r="EP175">
        <v>1.8644700000000001</v>
      </c>
      <c r="EQ175">
        <v>1.87012</v>
      </c>
      <c r="ER175">
        <v>1.8693900000000001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-0.68100000000000005</v>
      </c>
      <c r="FG175">
        <v>0.16769999999999999</v>
      </c>
      <c r="FH175">
        <v>-0.44422204735670362</v>
      </c>
      <c r="FI175">
        <v>-6.1462078757559423E-4</v>
      </c>
      <c r="FJ175">
        <v>-1.8861989874597051E-7</v>
      </c>
      <c r="FK175">
        <v>1.1980462299894961E-10</v>
      </c>
      <c r="FL175">
        <v>0.16773393518503121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37.200000000000003</v>
      </c>
      <c r="FU175">
        <v>37.200000000000003</v>
      </c>
      <c r="FV175">
        <v>1.78101</v>
      </c>
      <c r="FW175">
        <v>2.5659200000000002</v>
      </c>
      <c r="FX175">
        <v>1.5490699999999999</v>
      </c>
      <c r="FY175">
        <v>2.3339799999999999</v>
      </c>
      <c r="FZ175">
        <v>1.50024</v>
      </c>
      <c r="GA175">
        <v>2.34741</v>
      </c>
      <c r="GB175">
        <v>32.531799999999997</v>
      </c>
      <c r="GC175">
        <v>23.991199999999999</v>
      </c>
      <c r="GD175">
        <v>19</v>
      </c>
      <c r="GE175">
        <v>284.10599999999999</v>
      </c>
      <c r="GF175">
        <v>593.13599999999997</v>
      </c>
      <c r="GG175">
        <v>23.7347</v>
      </c>
      <c r="GH175">
        <v>25.6647</v>
      </c>
      <c r="GI175">
        <v>29.999600000000001</v>
      </c>
      <c r="GJ175">
        <v>25.817599999999999</v>
      </c>
      <c r="GK175">
        <v>25.801400000000001</v>
      </c>
      <c r="GL175">
        <v>35.599800000000002</v>
      </c>
      <c r="GM175">
        <v>-30</v>
      </c>
      <c r="GN175">
        <v>-30</v>
      </c>
      <c r="GO175">
        <v>23.706399999999999</v>
      </c>
      <c r="GP175">
        <v>800</v>
      </c>
      <c r="GQ175">
        <v>12.5298</v>
      </c>
      <c r="GR175">
        <v>99.688400000000001</v>
      </c>
      <c r="GS175">
        <v>99.395200000000003</v>
      </c>
    </row>
    <row r="176" spans="1:201" x14ac:dyDescent="0.25">
      <c r="A176">
        <v>160</v>
      </c>
      <c r="B176">
        <v>1690205365.5999999</v>
      </c>
      <c r="C176">
        <v>1926</v>
      </c>
      <c r="D176" t="s">
        <v>653</v>
      </c>
      <c r="E176" t="s">
        <v>654</v>
      </c>
      <c r="F176" t="s">
        <v>330</v>
      </c>
      <c r="H176">
        <v>1690205365.5999999</v>
      </c>
      <c r="I176">
        <f t="shared" si="60"/>
        <v>2.0371465816731377E-3</v>
      </c>
      <c r="J176">
        <f t="shared" si="61"/>
        <v>2.0371465816731376</v>
      </c>
      <c r="K176">
        <f t="shared" si="62"/>
        <v>42.207365674749674</v>
      </c>
      <c r="L176">
        <f t="shared" si="63"/>
        <v>354.017</v>
      </c>
      <c r="M176">
        <f t="shared" si="64"/>
        <v>66.932066105842978</v>
      </c>
      <c r="N176">
        <f t="shared" si="65"/>
        <v>6.6384400498817868</v>
      </c>
      <c r="O176">
        <f t="shared" si="66"/>
        <v>35.112028775902999</v>
      </c>
      <c r="P176">
        <f t="shared" si="67"/>
        <v>0.25049341513510082</v>
      </c>
      <c r="Q176">
        <f t="shared" si="68"/>
        <v>2.1907077650851665</v>
      </c>
      <c r="R176">
        <f t="shared" si="69"/>
        <v>0.2355995182299081</v>
      </c>
      <c r="S176">
        <f t="shared" si="70"/>
        <v>0.14851400445140339</v>
      </c>
      <c r="T176">
        <f t="shared" si="71"/>
        <v>276.11580898799997</v>
      </c>
      <c r="U176">
        <f t="shared" si="72"/>
        <v>27.056345851254104</v>
      </c>
      <c r="V176">
        <f t="shared" si="73"/>
        <v>27.056345851254104</v>
      </c>
      <c r="W176">
        <f t="shared" si="74"/>
        <v>3.5910214402773537</v>
      </c>
      <c r="X176">
        <f t="shared" si="75"/>
        <v>83.691536263273875</v>
      </c>
      <c r="Y176">
        <f t="shared" si="76"/>
        <v>2.7608928707553</v>
      </c>
      <c r="Z176">
        <f t="shared" si="77"/>
        <v>3.2988913742366743</v>
      </c>
      <c r="AA176">
        <f t="shared" si="78"/>
        <v>0.83012856952205372</v>
      </c>
      <c r="AB176">
        <f t="shared" si="79"/>
        <v>-89.838164251785372</v>
      </c>
      <c r="AC176">
        <f t="shared" si="80"/>
        <v>-169.78198101485714</v>
      </c>
      <c r="AD176">
        <f t="shared" si="81"/>
        <v>-16.61516122821109</v>
      </c>
      <c r="AE176">
        <f t="shared" si="82"/>
        <v>-0.11949750685363369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52488.728436107529</v>
      </c>
      <c r="AK176">
        <f t="shared" si="86"/>
        <v>1800</v>
      </c>
      <c r="AL176">
        <f t="shared" si="87"/>
        <v>1499.1129107999998</v>
      </c>
      <c r="AM176">
        <f t="shared" si="88"/>
        <v>0.83284050599999992</v>
      </c>
      <c r="AN176">
        <f t="shared" si="89"/>
        <v>0.15339767165999998</v>
      </c>
      <c r="AO176">
        <v>31.2</v>
      </c>
      <c r="AP176">
        <v>0.5</v>
      </c>
      <c r="AQ176" t="s">
        <v>331</v>
      </c>
      <c r="AR176">
        <v>2</v>
      </c>
      <c r="AS176">
        <v>1690205365.5999999</v>
      </c>
      <c r="AT176">
        <v>354.017</v>
      </c>
      <c r="AU176">
        <v>800.01900000000001</v>
      </c>
      <c r="AV176">
        <v>27.8367</v>
      </c>
      <c r="AW176">
        <v>7.26112</v>
      </c>
      <c r="AX176">
        <v>354.69799999999998</v>
      </c>
      <c r="AY176">
        <v>27.668900000000001</v>
      </c>
      <c r="AZ176">
        <v>300.30599999999998</v>
      </c>
      <c r="BA176">
        <v>99.081699999999998</v>
      </c>
      <c r="BB176">
        <v>0.100059</v>
      </c>
      <c r="BC176">
        <v>25.6188</v>
      </c>
      <c r="BD176">
        <v>26.966799999999999</v>
      </c>
      <c r="BE176">
        <v>26.837199999999999</v>
      </c>
      <c r="BF176">
        <v>0</v>
      </c>
      <c r="BG176">
        <v>0</v>
      </c>
      <c r="BH176">
        <v>9971.25</v>
      </c>
      <c r="BI176">
        <v>1066.47</v>
      </c>
      <c r="BJ176">
        <v>1.96231</v>
      </c>
      <c r="BK176">
        <v>-446.00200000000001</v>
      </c>
      <c r="BL176">
        <v>364.154</v>
      </c>
      <c r="BM176">
        <v>805.87</v>
      </c>
      <c r="BN176">
        <v>20.575500000000002</v>
      </c>
      <c r="BO176">
        <v>800.01900000000001</v>
      </c>
      <c r="BP176">
        <v>7.26112</v>
      </c>
      <c r="BQ176">
        <v>2.7581099999999998</v>
      </c>
      <c r="BR176">
        <v>0.71944399999999997</v>
      </c>
      <c r="BS176">
        <v>22.6355</v>
      </c>
      <c r="BT176">
        <v>2.2099700000000002</v>
      </c>
      <c r="BU176">
        <v>1800</v>
      </c>
      <c r="BV176">
        <v>0.90999699999999994</v>
      </c>
      <c r="BW176">
        <v>3.3991500000000001E-2</v>
      </c>
      <c r="BX176">
        <v>2.2004800000000001E-2</v>
      </c>
      <c r="BY176">
        <v>3.4006399999999999E-2</v>
      </c>
      <c r="BZ176">
        <v>25</v>
      </c>
      <c r="CA176">
        <v>33528.400000000001</v>
      </c>
      <c r="CB176">
        <v>1690203121.0999999</v>
      </c>
      <c r="CC176" t="s">
        <v>332</v>
      </c>
      <c r="CD176">
        <v>1690203121.0999999</v>
      </c>
      <c r="CE176">
        <v>1690203121.0999999</v>
      </c>
      <c r="CF176">
        <v>3</v>
      </c>
      <c r="CG176">
        <v>0.53600000000000003</v>
      </c>
      <c r="CH176">
        <v>-0.01</v>
      </c>
      <c r="CI176">
        <v>-0.996</v>
      </c>
      <c r="CJ176">
        <v>-6.6000000000000003E-2</v>
      </c>
      <c r="CK176">
        <v>800</v>
      </c>
      <c r="CL176">
        <v>9</v>
      </c>
      <c r="CM176">
        <v>0.82</v>
      </c>
      <c r="CN176">
        <v>0.01</v>
      </c>
      <c r="CO176">
        <v>-445.35992682926832</v>
      </c>
      <c r="CP176">
        <v>-3.4031093534751382</v>
      </c>
      <c r="CQ176">
        <v>0.32917571779010718</v>
      </c>
      <c r="CR176">
        <v>-1</v>
      </c>
      <c r="CS176">
        <v>20.554241463414641</v>
      </c>
      <c r="CT176">
        <v>8.1761112966828031E-2</v>
      </c>
      <c r="CU176">
        <v>8.0042664114361936E-3</v>
      </c>
      <c r="CV176">
        <v>-1</v>
      </c>
      <c r="CW176">
        <v>0</v>
      </c>
      <c r="CX176">
        <v>0</v>
      </c>
      <c r="CY176" t="s">
        <v>333</v>
      </c>
      <c r="CZ176">
        <v>2.3655300000000001</v>
      </c>
      <c r="DA176">
        <v>2.7138300000000002</v>
      </c>
      <c r="DB176">
        <v>8.1645499999999996E-2</v>
      </c>
      <c r="DC176">
        <v>0.14629600000000001</v>
      </c>
      <c r="DD176">
        <v>0.12659000000000001</v>
      </c>
      <c r="DE176">
        <v>4.6092599999999997E-2</v>
      </c>
      <c r="DF176">
        <v>33521.699999999997</v>
      </c>
      <c r="DG176">
        <v>27476.1</v>
      </c>
      <c r="DH176">
        <v>31159.599999999999</v>
      </c>
      <c r="DI176">
        <v>28042.400000000001</v>
      </c>
      <c r="DJ176">
        <v>36929.5</v>
      </c>
      <c r="DK176">
        <v>38019.300000000003</v>
      </c>
      <c r="DL176">
        <v>44337.9</v>
      </c>
      <c r="DM176">
        <v>42478.8</v>
      </c>
      <c r="DN176">
        <v>1.4849000000000001</v>
      </c>
      <c r="DO176">
        <v>2.0556000000000001</v>
      </c>
      <c r="DP176">
        <v>0.16164000000000001</v>
      </c>
      <c r="DQ176">
        <v>0.15620100000000001</v>
      </c>
      <c r="DR176">
        <v>24.317399999999999</v>
      </c>
      <c r="DS176">
        <v>24.276599999999998</v>
      </c>
      <c r="DT176">
        <v>23.5</v>
      </c>
      <c r="DU176">
        <v>27.9</v>
      </c>
      <c r="DV176">
        <v>8.9500399999999996</v>
      </c>
      <c r="DW176">
        <v>61.622799999999998</v>
      </c>
      <c r="DX176">
        <v>36.009599999999999</v>
      </c>
      <c r="DY176">
        <v>1</v>
      </c>
      <c r="DZ176">
        <v>-0.13714399999999999</v>
      </c>
      <c r="EA176">
        <v>0.21766099999999999</v>
      </c>
      <c r="EB176">
        <v>20.191099999999999</v>
      </c>
      <c r="EC176">
        <v>5.24125</v>
      </c>
      <c r="ED176">
        <v>12.039899999999999</v>
      </c>
      <c r="EE176">
        <v>5.0174500000000002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</v>
      </c>
      <c r="EL176">
        <v>1.8646199999999999</v>
      </c>
      <c r="EM176">
        <v>1.86917</v>
      </c>
      <c r="EN176">
        <v>1.8672299999999999</v>
      </c>
      <c r="EO176">
        <v>1.8633999999999999</v>
      </c>
      <c r="EP176">
        <v>1.8644799999999999</v>
      </c>
      <c r="EQ176">
        <v>1.8701300000000001</v>
      </c>
      <c r="ER176">
        <v>1.86937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-0.68100000000000005</v>
      </c>
      <c r="FG176">
        <v>0.1678</v>
      </c>
      <c r="FH176">
        <v>-0.44422204735670362</v>
      </c>
      <c r="FI176">
        <v>-6.1462078757559423E-4</v>
      </c>
      <c r="FJ176">
        <v>-1.8861989874597051E-7</v>
      </c>
      <c r="FK176">
        <v>1.1980462299894961E-10</v>
      </c>
      <c r="FL176">
        <v>0.16773393518503121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37.4</v>
      </c>
      <c r="FU176">
        <v>37.4</v>
      </c>
      <c r="FV176">
        <v>1.78101</v>
      </c>
      <c r="FW176">
        <v>2.5622600000000002</v>
      </c>
      <c r="FX176">
        <v>1.5490699999999999</v>
      </c>
      <c r="FY176">
        <v>2.33521</v>
      </c>
      <c r="FZ176">
        <v>1.50146</v>
      </c>
      <c r="GA176">
        <v>2.3083499999999999</v>
      </c>
      <c r="GB176">
        <v>32.531799999999997</v>
      </c>
      <c r="GC176">
        <v>23.982399999999998</v>
      </c>
      <c r="GD176">
        <v>19</v>
      </c>
      <c r="GE176">
        <v>284.20699999999999</v>
      </c>
      <c r="GF176">
        <v>592.94399999999996</v>
      </c>
      <c r="GG176">
        <v>23.6952</v>
      </c>
      <c r="GH176">
        <v>25.662500000000001</v>
      </c>
      <c r="GI176">
        <v>30</v>
      </c>
      <c r="GJ176">
        <v>25.816600000000001</v>
      </c>
      <c r="GK176">
        <v>25.799299999999999</v>
      </c>
      <c r="GL176">
        <v>35.600700000000003</v>
      </c>
      <c r="GM176">
        <v>-30</v>
      </c>
      <c r="GN176">
        <v>-30</v>
      </c>
      <c r="GO176">
        <v>23.713699999999999</v>
      </c>
      <c r="GP176">
        <v>800</v>
      </c>
      <c r="GQ176">
        <v>12.5298</v>
      </c>
      <c r="GR176">
        <v>99.690600000000003</v>
      </c>
      <c r="GS176">
        <v>99.394800000000004</v>
      </c>
    </row>
    <row r="177" spans="1:201" x14ac:dyDescent="0.25">
      <c r="A177">
        <v>161</v>
      </c>
      <c r="B177">
        <v>1690205375.5999999</v>
      </c>
      <c r="C177">
        <v>1936</v>
      </c>
      <c r="D177" t="s">
        <v>655</v>
      </c>
      <c r="E177" t="s">
        <v>656</v>
      </c>
      <c r="F177" t="s">
        <v>330</v>
      </c>
      <c r="H177">
        <v>1690205375.5999999</v>
      </c>
      <c r="I177">
        <f t="shared" si="60"/>
        <v>2.0386394756724568E-3</v>
      </c>
      <c r="J177">
        <f t="shared" si="61"/>
        <v>2.0386394756724568</v>
      </c>
      <c r="K177">
        <f t="shared" si="62"/>
        <v>42.252970416209457</v>
      </c>
      <c r="L177">
        <f t="shared" si="63"/>
        <v>353.42599999999999</v>
      </c>
      <c r="M177">
        <f t="shared" si="64"/>
        <v>66.508079849636204</v>
      </c>
      <c r="N177">
        <f t="shared" si="65"/>
        <v>6.5961175529014584</v>
      </c>
      <c r="O177">
        <f t="shared" si="66"/>
        <v>35.051973347032401</v>
      </c>
      <c r="P177">
        <f t="shared" si="67"/>
        <v>0.25090981882778252</v>
      </c>
      <c r="Q177">
        <f t="shared" si="68"/>
        <v>2.1931987471068881</v>
      </c>
      <c r="R177">
        <f t="shared" si="69"/>
        <v>0.23598383561382721</v>
      </c>
      <c r="S177">
        <f t="shared" si="70"/>
        <v>0.14875689008906323</v>
      </c>
      <c r="T177">
        <f t="shared" si="71"/>
        <v>276.11598310199997</v>
      </c>
      <c r="U177">
        <f t="shared" si="72"/>
        <v>27.058146501239055</v>
      </c>
      <c r="V177">
        <f t="shared" si="73"/>
        <v>27.058146501239055</v>
      </c>
      <c r="W177">
        <f t="shared" si="74"/>
        <v>3.5914010724615388</v>
      </c>
      <c r="X177">
        <f t="shared" si="75"/>
        <v>83.708004870571997</v>
      </c>
      <c r="Y177">
        <f t="shared" si="76"/>
        <v>2.7620589230150401</v>
      </c>
      <c r="Z177">
        <f t="shared" si="77"/>
        <v>3.2996353542121715</v>
      </c>
      <c r="AA177">
        <f t="shared" si="78"/>
        <v>0.82934214944649876</v>
      </c>
      <c r="AB177">
        <f t="shared" si="79"/>
        <v>-89.90400087715534</v>
      </c>
      <c r="AC177">
        <f t="shared" si="80"/>
        <v>-169.73863193494549</v>
      </c>
      <c r="AD177">
        <f t="shared" si="81"/>
        <v>-16.592518128264224</v>
      </c>
      <c r="AE177">
        <f t="shared" si="82"/>
        <v>-0.11916783836505829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52590.19082476238</v>
      </c>
      <c r="AK177">
        <f t="shared" si="86"/>
        <v>1800</v>
      </c>
      <c r="AL177">
        <f t="shared" si="87"/>
        <v>1499.1140051999998</v>
      </c>
      <c r="AM177">
        <f t="shared" si="88"/>
        <v>0.83284111399999994</v>
      </c>
      <c r="AN177">
        <f t="shared" si="89"/>
        <v>0.15339776838999999</v>
      </c>
      <c r="AO177">
        <v>31.2</v>
      </c>
      <c r="AP177">
        <v>0.5</v>
      </c>
      <c r="AQ177" t="s">
        <v>331</v>
      </c>
      <c r="AR177">
        <v>2</v>
      </c>
      <c r="AS177">
        <v>1690205375.5999999</v>
      </c>
      <c r="AT177">
        <v>353.42599999999999</v>
      </c>
      <c r="AU177">
        <v>799.98400000000004</v>
      </c>
      <c r="AV177">
        <v>27.849599999999999</v>
      </c>
      <c r="AW177">
        <v>7.2550999999999997</v>
      </c>
      <c r="AX177">
        <v>354.10599999999999</v>
      </c>
      <c r="AY177">
        <v>27.681899999999999</v>
      </c>
      <c r="AZ177">
        <v>300.24599999999998</v>
      </c>
      <c r="BA177">
        <v>99.077799999999996</v>
      </c>
      <c r="BB177">
        <v>9.9887400000000001E-2</v>
      </c>
      <c r="BC177">
        <v>25.622599999999998</v>
      </c>
      <c r="BD177">
        <v>26.934200000000001</v>
      </c>
      <c r="BE177">
        <v>26.804200000000002</v>
      </c>
      <c r="BF177">
        <v>0</v>
      </c>
      <c r="BG177">
        <v>0</v>
      </c>
      <c r="BH177">
        <v>9991.8799999999992</v>
      </c>
      <c r="BI177">
        <v>1066.46</v>
      </c>
      <c r="BJ177">
        <v>1.96231</v>
      </c>
      <c r="BK177">
        <v>-446.55900000000003</v>
      </c>
      <c r="BL177">
        <v>363.55</v>
      </c>
      <c r="BM177">
        <v>805.83100000000002</v>
      </c>
      <c r="BN177">
        <v>20.5945</v>
      </c>
      <c r="BO177">
        <v>799.98400000000004</v>
      </c>
      <c r="BP177">
        <v>7.2550999999999997</v>
      </c>
      <c r="BQ177">
        <v>2.75928</v>
      </c>
      <c r="BR177">
        <v>0.71882000000000001</v>
      </c>
      <c r="BS177">
        <v>22.642499999999998</v>
      </c>
      <c r="BT177">
        <v>2.1977899999999999</v>
      </c>
      <c r="BU177">
        <v>1800</v>
      </c>
      <c r="BV177">
        <v>0.90999799999999997</v>
      </c>
      <c r="BW177">
        <v>3.3991399999999998E-2</v>
      </c>
      <c r="BX177">
        <v>2.2004699999999999E-2</v>
      </c>
      <c r="BY177">
        <v>3.4006300000000003E-2</v>
      </c>
      <c r="BZ177">
        <v>25</v>
      </c>
      <c r="CA177">
        <v>33528.300000000003</v>
      </c>
      <c r="CB177">
        <v>1690203121.0999999</v>
      </c>
      <c r="CC177" t="s">
        <v>332</v>
      </c>
      <c r="CD177">
        <v>1690203121.0999999</v>
      </c>
      <c r="CE177">
        <v>1690203121.0999999</v>
      </c>
      <c r="CF177">
        <v>3</v>
      </c>
      <c r="CG177">
        <v>0.53600000000000003</v>
      </c>
      <c r="CH177">
        <v>-0.01</v>
      </c>
      <c r="CI177">
        <v>-0.996</v>
      </c>
      <c r="CJ177">
        <v>-6.6000000000000003E-2</v>
      </c>
      <c r="CK177">
        <v>800</v>
      </c>
      <c r="CL177">
        <v>9</v>
      </c>
      <c r="CM177">
        <v>0.82</v>
      </c>
      <c r="CN177">
        <v>0.01</v>
      </c>
      <c r="CO177">
        <v>-445.98455000000001</v>
      </c>
      <c r="CP177">
        <v>-3.4083151969982319</v>
      </c>
      <c r="CQ177">
        <v>0.33099380281207941</v>
      </c>
      <c r="CR177">
        <v>-1</v>
      </c>
      <c r="CS177">
        <v>20.573207499999999</v>
      </c>
      <c r="CT177">
        <v>0.1209534709192549</v>
      </c>
      <c r="CU177">
        <v>1.1665684452701389E-2</v>
      </c>
      <c r="CV177">
        <v>-1</v>
      </c>
      <c r="CW177">
        <v>0</v>
      </c>
      <c r="CX177">
        <v>0</v>
      </c>
      <c r="CY177" t="s">
        <v>333</v>
      </c>
      <c r="CZ177">
        <v>2.3653400000000002</v>
      </c>
      <c r="DA177">
        <v>2.71367</v>
      </c>
      <c r="DB177">
        <v>8.1537399999999996E-2</v>
      </c>
      <c r="DC177">
        <v>0.146289</v>
      </c>
      <c r="DD177">
        <v>0.12662899999999999</v>
      </c>
      <c r="DE177">
        <v>4.6061400000000002E-2</v>
      </c>
      <c r="DF177">
        <v>33526.199999999997</v>
      </c>
      <c r="DG177">
        <v>27476.3</v>
      </c>
      <c r="DH177">
        <v>31160.1</v>
      </c>
      <c r="DI177">
        <v>28042.400000000001</v>
      </c>
      <c r="DJ177">
        <v>36928.5</v>
      </c>
      <c r="DK177">
        <v>38020.5</v>
      </c>
      <c r="DL177">
        <v>44338.7</v>
      </c>
      <c r="DM177">
        <v>42478.7</v>
      </c>
      <c r="DN177">
        <v>1.48495</v>
      </c>
      <c r="DO177">
        <v>2.0558200000000002</v>
      </c>
      <c r="DP177">
        <v>0.15951699999999999</v>
      </c>
      <c r="DQ177">
        <v>0.154004</v>
      </c>
      <c r="DR177">
        <v>24.319600000000001</v>
      </c>
      <c r="DS177">
        <v>24.279599999999999</v>
      </c>
      <c r="DT177">
        <v>23.4</v>
      </c>
      <c r="DU177">
        <v>27.9</v>
      </c>
      <c r="DV177">
        <v>8.9095899999999997</v>
      </c>
      <c r="DW177">
        <v>61.972799999999999</v>
      </c>
      <c r="DX177">
        <v>36.117800000000003</v>
      </c>
      <c r="DY177">
        <v>1</v>
      </c>
      <c r="DZ177">
        <v>-0.13758600000000001</v>
      </c>
      <c r="EA177">
        <v>0.15047099999999999</v>
      </c>
      <c r="EB177">
        <v>20.190999999999999</v>
      </c>
      <c r="EC177">
        <v>5.24125</v>
      </c>
      <c r="ED177">
        <v>12.039899999999999</v>
      </c>
      <c r="EE177">
        <v>5.0170000000000003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</v>
      </c>
      <c r="EL177">
        <v>1.8646199999999999</v>
      </c>
      <c r="EM177">
        <v>1.86914</v>
      </c>
      <c r="EN177">
        <v>1.8672200000000001</v>
      </c>
      <c r="EO177">
        <v>1.8633999999999999</v>
      </c>
      <c r="EP177">
        <v>1.8644700000000001</v>
      </c>
      <c r="EQ177">
        <v>1.87012</v>
      </c>
      <c r="ER177">
        <v>1.86937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-0.68</v>
      </c>
      <c r="FG177">
        <v>0.16769999999999999</v>
      </c>
      <c r="FH177">
        <v>-0.44422204735670362</v>
      </c>
      <c r="FI177">
        <v>-6.1462078757559423E-4</v>
      </c>
      <c r="FJ177">
        <v>-1.8861989874597051E-7</v>
      </c>
      <c r="FK177">
        <v>1.1980462299894961E-10</v>
      </c>
      <c r="FL177">
        <v>0.16773393518503121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37.6</v>
      </c>
      <c r="FU177">
        <v>37.6</v>
      </c>
      <c r="FV177">
        <v>1.78101</v>
      </c>
      <c r="FW177">
        <v>2.5683600000000002</v>
      </c>
      <c r="FX177">
        <v>1.5490699999999999</v>
      </c>
      <c r="FY177">
        <v>2.3339799999999999</v>
      </c>
      <c r="FZ177">
        <v>1.50146</v>
      </c>
      <c r="GA177">
        <v>2.2936999999999999</v>
      </c>
      <c r="GB177">
        <v>32.531799999999997</v>
      </c>
      <c r="GC177">
        <v>23.982399999999998</v>
      </c>
      <c r="GD177">
        <v>19</v>
      </c>
      <c r="GE177">
        <v>284.21800000000002</v>
      </c>
      <c r="GF177">
        <v>593.10799999999995</v>
      </c>
      <c r="GG177">
        <v>23.727399999999999</v>
      </c>
      <c r="GH177">
        <v>25.660900000000002</v>
      </c>
      <c r="GI177">
        <v>29.999700000000001</v>
      </c>
      <c r="GJ177">
        <v>25.814399999999999</v>
      </c>
      <c r="GK177">
        <v>25.7972</v>
      </c>
      <c r="GL177">
        <v>35.599899999999998</v>
      </c>
      <c r="GM177">
        <v>-30</v>
      </c>
      <c r="GN177">
        <v>-30</v>
      </c>
      <c r="GO177">
        <v>23.7178</v>
      </c>
      <c r="GP177">
        <v>800</v>
      </c>
      <c r="GQ177">
        <v>12.5298</v>
      </c>
      <c r="GR177">
        <v>99.692400000000006</v>
      </c>
      <c r="GS177">
        <v>99.3947</v>
      </c>
    </row>
    <row r="178" spans="1:201" x14ac:dyDescent="0.25">
      <c r="A178">
        <v>162</v>
      </c>
      <c r="B178">
        <v>1690205385.5999999</v>
      </c>
      <c r="C178">
        <v>1946</v>
      </c>
      <c r="D178" t="s">
        <v>657</v>
      </c>
      <c r="E178" t="s">
        <v>658</v>
      </c>
      <c r="F178" t="s">
        <v>330</v>
      </c>
      <c r="H178">
        <v>1690205385.5999999</v>
      </c>
      <c r="I178">
        <f t="shared" si="60"/>
        <v>2.040579615124616E-3</v>
      </c>
      <c r="J178">
        <f t="shared" si="61"/>
        <v>2.0405796151246158</v>
      </c>
      <c r="K178">
        <f t="shared" si="62"/>
        <v>42.308139972167787</v>
      </c>
      <c r="L178">
        <f t="shared" si="63"/>
        <v>352.96699999999998</v>
      </c>
      <c r="M178">
        <f t="shared" si="64"/>
        <v>66.311161634490759</v>
      </c>
      <c r="N178">
        <f t="shared" si="65"/>
        <v>6.5767124971092912</v>
      </c>
      <c r="O178">
        <f t="shared" si="66"/>
        <v>35.007115284189993</v>
      </c>
      <c r="P178">
        <f t="shared" si="67"/>
        <v>0.25150734007192338</v>
      </c>
      <c r="Q178">
        <f t="shared" si="68"/>
        <v>2.1907581021580982</v>
      </c>
      <c r="R178">
        <f t="shared" si="69"/>
        <v>0.23649682647265838</v>
      </c>
      <c r="S178">
        <f t="shared" si="70"/>
        <v>0.14908444024965289</v>
      </c>
      <c r="T178">
        <f t="shared" si="71"/>
        <v>276.11581748399999</v>
      </c>
      <c r="U178">
        <f t="shared" si="72"/>
        <v>27.057844023165533</v>
      </c>
      <c r="V178">
        <f t="shared" si="73"/>
        <v>27.057844023165533</v>
      </c>
      <c r="W178">
        <f t="shared" si="74"/>
        <v>3.5913372983684377</v>
      </c>
      <c r="X178">
        <f t="shared" si="75"/>
        <v>83.741811303538256</v>
      </c>
      <c r="Y178">
        <f t="shared" si="76"/>
        <v>2.7629940508450002</v>
      </c>
      <c r="Z178">
        <f t="shared" si="77"/>
        <v>3.2994199765156718</v>
      </c>
      <c r="AA178">
        <f t="shared" si="78"/>
        <v>0.82834324752343758</v>
      </c>
      <c r="AB178">
        <f t="shared" si="79"/>
        <v>-89.98956102699556</v>
      </c>
      <c r="AC178">
        <f t="shared" si="80"/>
        <v>-169.64393649380861</v>
      </c>
      <c r="AD178">
        <f t="shared" si="81"/>
        <v>-16.60161958114244</v>
      </c>
      <c r="AE178">
        <f t="shared" si="82"/>
        <v>-0.11929961794658084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52490.271361118226</v>
      </c>
      <c r="AK178">
        <f t="shared" si="86"/>
        <v>1800</v>
      </c>
      <c r="AL178">
        <f t="shared" si="87"/>
        <v>1499.1136164</v>
      </c>
      <c r="AM178">
        <f t="shared" si="88"/>
        <v>0.83284089799999994</v>
      </c>
      <c r="AN178">
        <f t="shared" si="89"/>
        <v>0.15339767637999999</v>
      </c>
      <c r="AO178">
        <v>31.2</v>
      </c>
      <c r="AP178">
        <v>0.5</v>
      </c>
      <c r="AQ178" t="s">
        <v>331</v>
      </c>
      <c r="AR178">
        <v>2</v>
      </c>
      <c r="AS178">
        <v>1690205385.5999999</v>
      </c>
      <c r="AT178">
        <v>352.96699999999998</v>
      </c>
      <c r="AU178">
        <v>799.98699999999997</v>
      </c>
      <c r="AV178">
        <v>27.858499999999999</v>
      </c>
      <c r="AW178">
        <v>7.2496</v>
      </c>
      <c r="AX178">
        <v>353.64699999999999</v>
      </c>
      <c r="AY178">
        <v>27.690799999999999</v>
      </c>
      <c r="AZ178">
        <v>300.31900000000002</v>
      </c>
      <c r="BA178">
        <v>99.079499999999996</v>
      </c>
      <c r="BB178">
        <v>0.10007000000000001</v>
      </c>
      <c r="BC178">
        <v>25.621500000000001</v>
      </c>
      <c r="BD178">
        <v>26.942599999999999</v>
      </c>
      <c r="BE178">
        <v>26.826799999999999</v>
      </c>
      <c r="BF178">
        <v>0</v>
      </c>
      <c r="BG178">
        <v>0</v>
      </c>
      <c r="BH178">
        <v>9971.8799999999992</v>
      </c>
      <c r="BI178">
        <v>1066.42</v>
      </c>
      <c r="BJ178">
        <v>1.96231</v>
      </c>
      <c r="BK178">
        <v>-447.01900000000001</v>
      </c>
      <c r="BL178">
        <v>363.08199999999999</v>
      </c>
      <c r="BM178">
        <v>805.82899999999995</v>
      </c>
      <c r="BN178">
        <v>20.608899999999998</v>
      </c>
      <c r="BO178">
        <v>799.98699999999997</v>
      </c>
      <c r="BP178">
        <v>7.2496</v>
      </c>
      <c r="BQ178">
        <v>2.7602099999999998</v>
      </c>
      <c r="BR178">
        <v>0.71828700000000001</v>
      </c>
      <c r="BS178">
        <v>22.648</v>
      </c>
      <c r="BT178">
        <v>2.1873900000000002</v>
      </c>
      <c r="BU178">
        <v>1800</v>
      </c>
      <c r="BV178">
        <v>0.909999</v>
      </c>
      <c r="BW178">
        <v>3.3990800000000002E-2</v>
      </c>
      <c r="BX178">
        <v>2.20044E-2</v>
      </c>
      <c r="BY178">
        <v>3.4005800000000003E-2</v>
      </c>
      <c r="BZ178">
        <v>25</v>
      </c>
      <c r="CA178">
        <v>33528.400000000001</v>
      </c>
      <c r="CB178">
        <v>1690203121.0999999</v>
      </c>
      <c r="CC178" t="s">
        <v>332</v>
      </c>
      <c r="CD178">
        <v>1690203121.0999999</v>
      </c>
      <c r="CE178">
        <v>1690203121.0999999</v>
      </c>
      <c r="CF178">
        <v>3</v>
      </c>
      <c r="CG178">
        <v>0.53600000000000003</v>
      </c>
      <c r="CH178">
        <v>-0.01</v>
      </c>
      <c r="CI178">
        <v>-0.996</v>
      </c>
      <c r="CJ178">
        <v>-6.6000000000000003E-2</v>
      </c>
      <c r="CK178">
        <v>800</v>
      </c>
      <c r="CL178">
        <v>9</v>
      </c>
      <c r="CM178">
        <v>0.82</v>
      </c>
      <c r="CN178">
        <v>0.01</v>
      </c>
      <c r="CO178">
        <v>-446.49414634146342</v>
      </c>
      <c r="CP178">
        <v>-3.220599303136749</v>
      </c>
      <c r="CQ178">
        <v>0.32446545616246097</v>
      </c>
      <c r="CR178">
        <v>-1</v>
      </c>
      <c r="CS178">
        <v>20.59153902439024</v>
      </c>
      <c r="CT178">
        <v>0.11080348432057451</v>
      </c>
      <c r="CU178">
        <v>1.0965041524478939E-2</v>
      </c>
      <c r="CV178">
        <v>-1</v>
      </c>
      <c r="CW178">
        <v>0</v>
      </c>
      <c r="CX178">
        <v>0</v>
      </c>
      <c r="CY178" t="s">
        <v>333</v>
      </c>
      <c r="CZ178">
        <v>2.3655900000000001</v>
      </c>
      <c r="DA178">
        <v>2.7138399999999998</v>
      </c>
      <c r="DB178">
        <v>8.1456299999999995E-2</v>
      </c>
      <c r="DC178">
        <v>0.14629300000000001</v>
      </c>
      <c r="DD178">
        <v>0.12665999999999999</v>
      </c>
      <c r="DE178">
        <v>4.6034400000000003E-2</v>
      </c>
      <c r="DF178">
        <v>33529.599999999999</v>
      </c>
      <c r="DG178">
        <v>27476.7</v>
      </c>
      <c r="DH178">
        <v>31160.5</v>
      </c>
      <c r="DI178">
        <v>28043</v>
      </c>
      <c r="DJ178">
        <v>36927.5</v>
      </c>
      <c r="DK178">
        <v>38022.5</v>
      </c>
      <c r="DL178">
        <v>44339.199999999997</v>
      </c>
      <c r="DM178">
        <v>42479.7</v>
      </c>
      <c r="DN178">
        <v>1.4849699999999999</v>
      </c>
      <c r="DO178">
        <v>2.0556999999999999</v>
      </c>
      <c r="DP178">
        <v>0.15981500000000001</v>
      </c>
      <c r="DQ178">
        <v>0.15523300000000001</v>
      </c>
      <c r="DR178">
        <v>24.3231</v>
      </c>
      <c r="DS178">
        <v>24.2821</v>
      </c>
      <c r="DT178">
        <v>23.4</v>
      </c>
      <c r="DU178">
        <v>27.9</v>
      </c>
      <c r="DV178">
        <v>8.9102200000000007</v>
      </c>
      <c r="DW178">
        <v>61.512799999999999</v>
      </c>
      <c r="DX178">
        <v>36.358199999999997</v>
      </c>
      <c r="DY178">
        <v>1</v>
      </c>
      <c r="DZ178">
        <v>-0.13763700000000001</v>
      </c>
      <c r="EA178">
        <v>9.63508E-2</v>
      </c>
      <c r="EB178">
        <v>20.191199999999998</v>
      </c>
      <c r="EC178">
        <v>5.2411000000000003</v>
      </c>
      <c r="ED178">
        <v>12.039899999999999</v>
      </c>
      <c r="EE178">
        <v>5.0168499999999998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</v>
      </c>
      <c r="EL178">
        <v>1.8646199999999999</v>
      </c>
      <c r="EM178">
        <v>1.86914</v>
      </c>
      <c r="EN178">
        <v>1.8672200000000001</v>
      </c>
      <c r="EO178">
        <v>1.8633999999999999</v>
      </c>
      <c r="EP178">
        <v>1.8644700000000001</v>
      </c>
      <c r="EQ178">
        <v>1.87015</v>
      </c>
      <c r="ER178">
        <v>1.8694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-0.68</v>
      </c>
      <c r="FG178">
        <v>0.16769999999999999</v>
      </c>
      <c r="FH178">
        <v>-0.44422204735670362</v>
      </c>
      <c r="FI178">
        <v>-6.1462078757559423E-4</v>
      </c>
      <c r="FJ178">
        <v>-1.8861989874597051E-7</v>
      </c>
      <c r="FK178">
        <v>1.1980462299894961E-10</v>
      </c>
      <c r="FL178">
        <v>0.16773393518503121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37.700000000000003</v>
      </c>
      <c r="FU178">
        <v>37.700000000000003</v>
      </c>
      <c r="FV178">
        <v>1.78101</v>
      </c>
      <c r="FW178">
        <v>2.5610400000000002</v>
      </c>
      <c r="FX178">
        <v>1.5490699999999999</v>
      </c>
      <c r="FY178">
        <v>2.3339799999999999</v>
      </c>
      <c r="FZ178">
        <v>1.50146</v>
      </c>
      <c r="GA178">
        <v>2.2741699999999998</v>
      </c>
      <c r="GB178">
        <v>32.553899999999999</v>
      </c>
      <c r="GC178">
        <v>23.982399999999998</v>
      </c>
      <c r="GD178">
        <v>19</v>
      </c>
      <c r="GE178">
        <v>284.21899999999999</v>
      </c>
      <c r="GF178">
        <v>592.98500000000001</v>
      </c>
      <c r="GG178">
        <v>23.723500000000001</v>
      </c>
      <c r="GH178">
        <v>25.660299999999999</v>
      </c>
      <c r="GI178">
        <v>30</v>
      </c>
      <c r="GJ178">
        <v>25.812200000000001</v>
      </c>
      <c r="GK178">
        <v>25.7956</v>
      </c>
      <c r="GL178">
        <v>35.603000000000002</v>
      </c>
      <c r="GM178">
        <v>-30</v>
      </c>
      <c r="GN178">
        <v>-30</v>
      </c>
      <c r="GO178">
        <v>23.767700000000001</v>
      </c>
      <c r="GP178">
        <v>800</v>
      </c>
      <c r="GQ178">
        <v>12.5298</v>
      </c>
      <c r="GR178">
        <v>99.693399999999997</v>
      </c>
      <c r="GS178">
        <v>99.396900000000002</v>
      </c>
    </row>
    <row r="179" spans="1:201" x14ac:dyDescent="0.25">
      <c r="A179">
        <v>163</v>
      </c>
      <c r="B179">
        <v>1690205395.5999999</v>
      </c>
      <c r="C179">
        <v>1956</v>
      </c>
      <c r="D179" t="s">
        <v>659</v>
      </c>
      <c r="E179" t="s">
        <v>660</v>
      </c>
      <c r="F179" t="s">
        <v>330</v>
      </c>
      <c r="H179">
        <v>1690205395.5999999</v>
      </c>
      <c r="I179">
        <f t="shared" si="60"/>
        <v>2.0417482746011022E-3</v>
      </c>
      <c r="J179">
        <f t="shared" si="61"/>
        <v>2.041748274601102</v>
      </c>
      <c r="K179">
        <f t="shared" si="62"/>
        <v>42.335389685736374</v>
      </c>
      <c r="L179">
        <f t="shared" si="63"/>
        <v>352.57499999999999</v>
      </c>
      <c r="M179">
        <f t="shared" si="64"/>
        <v>66.120243206617758</v>
      </c>
      <c r="N179">
        <f t="shared" si="65"/>
        <v>6.5575999484234657</v>
      </c>
      <c r="O179">
        <f t="shared" si="66"/>
        <v>34.967291251342495</v>
      </c>
      <c r="P179">
        <f t="shared" si="67"/>
        <v>0.25183532338555009</v>
      </c>
      <c r="Q179">
        <f t="shared" si="68"/>
        <v>2.1948001475217809</v>
      </c>
      <c r="R179">
        <f t="shared" si="69"/>
        <v>0.23681283138876899</v>
      </c>
      <c r="S179">
        <f t="shared" si="70"/>
        <v>0.1492829978096028</v>
      </c>
      <c r="T179">
        <f t="shared" si="71"/>
        <v>276.11424246746424</v>
      </c>
      <c r="U179">
        <f t="shared" si="72"/>
        <v>27.06041657856797</v>
      </c>
      <c r="V179">
        <f t="shared" si="73"/>
        <v>27.06041657856797</v>
      </c>
      <c r="W179">
        <f t="shared" si="74"/>
        <v>3.5918797242338596</v>
      </c>
      <c r="X179">
        <f t="shared" si="75"/>
        <v>83.751481251032288</v>
      </c>
      <c r="Y179">
        <f t="shared" si="76"/>
        <v>2.7641987134160599</v>
      </c>
      <c r="Z179">
        <f t="shared" si="77"/>
        <v>3.3004774030572617</v>
      </c>
      <c r="AA179">
        <f t="shared" si="78"/>
        <v>0.82768101081779966</v>
      </c>
      <c r="AB179">
        <f t="shared" si="79"/>
        <v>-90.041098909908612</v>
      </c>
      <c r="AC179">
        <f t="shared" si="80"/>
        <v>-169.62237664722454</v>
      </c>
      <c r="AD179">
        <f t="shared" si="81"/>
        <v>-16.569600849040704</v>
      </c>
      <c r="AE179">
        <f t="shared" si="82"/>
        <v>-0.11883393870959935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52655.18708470383</v>
      </c>
      <c r="AK179">
        <f t="shared" si="86"/>
        <v>1799.99</v>
      </c>
      <c r="AL179">
        <f t="shared" si="87"/>
        <v>1499.1038029992699</v>
      </c>
      <c r="AM179">
        <f t="shared" si="88"/>
        <v>0.83284007299999996</v>
      </c>
      <c r="AN179">
        <f t="shared" si="89"/>
        <v>0.15339765358000002</v>
      </c>
      <c r="AO179">
        <v>31.2</v>
      </c>
      <c r="AP179">
        <v>0.5</v>
      </c>
      <c r="AQ179" t="s">
        <v>331</v>
      </c>
      <c r="AR179">
        <v>2</v>
      </c>
      <c r="AS179">
        <v>1690205395.5999999</v>
      </c>
      <c r="AT179">
        <v>352.57499999999999</v>
      </c>
      <c r="AU179">
        <v>800.03200000000004</v>
      </c>
      <c r="AV179">
        <v>27.871400000000001</v>
      </c>
      <c r="AW179">
        <v>7.24369</v>
      </c>
      <c r="AX179">
        <v>353.25400000000002</v>
      </c>
      <c r="AY179">
        <v>27.703600000000002</v>
      </c>
      <c r="AZ179">
        <v>300.21300000000002</v>
      </c>
      <c r="BA179">
        <v>99.076899999999995</v>
      </c>
      <c r="BB179">
        <v>9.9987900000000005E-2</v>
      </c>
      <c r="BC179">
        <v>25.626899999999999</v>
      </c>
      <c r="BD179">
        <v>27.046500000000002</v>
      </c>
      <c r="BE179">
        <v>26.835599999999999</v>
      </c>
      <c r="BF179">
        <v>0</v>
      </c>
      <c r="BG179">
        <v>0</v>
      </c>
      <c r="BH179">
        <v>10005</v>
      </c>
      <c r="BI179">
        <v>1066.4100000000001</v>
      </c>
      <c r="BJ179">
        <v>1.96231</v>
      </c>
      <c r="BK179">
        <v>-447.45800000000003</v>
      </c>
      <c r="BL179">
        <v>362.68299999999999</v>
      </c>
      <c r="BM179">
        <v>805.87</v>
      </c>
      <c r="BN179">
        <v>20.627700000000001</v>
      </c>
      <c r="BO179">
        <v>800.03200000000004</v>
      </c>
      <c r="BP179">
        <v>7.24369</v>
      </c>
      <c r="BQ179">
        <v>2.7614100000000001</v>
      </c>
      <c r="BR179">
        <v>0.71768200000000004</v>
      </c>
      <c r="BS179">
        <v>22.655200000000001</v>
      </c>
      <c r="BT179">
        <v>2.1755800000000001</v>
      </c>
      <c r="BU179">
        <v>1799.99</v>
      </c>
      <c r="BV179">
        <v>0.909995</v>
      </c>
      <c r="BW179">
        <v>3.3995900000000003E-2</v>
      </c>
      <c r="BX179">
        <v>2.20039E-2</v>
      </c>
      <c r="BY179">
        <v>3.4005000000000001E-2</v>
      </c>
      <c r="BZ179">
        <v>25</v>
      </c>
      <c r="CA179">
        <v>33528.199999999997</v>
      </c>
      <c r="CB179">
        <v>1690203121.0999999</v>
      </c>
      <c r="CC179" t="s">
        <v>332</v>
      </c>
      <c r="CD179">
        <v>1690203121.0999999</v>
      </c>
      <c r="CE179">
        <v>1690203121.0999999</v>
      </c>
      <c r="CF179">
        <v>3</v>
      </c>
      <c r="CG179">
        <v>0.53600000000000003</v>
      </c>
      <c r="CH179">
        <v>-0.01</v>
      </c>
      <c r="CI179">
        <v>-0.996</v>
      </c>
      <c r="CJ179">
        <v>-6.6000000000000003E-2</v>
      </c>
      <c r="CK179">
        <v>800</v>
      </c>
      <c r="CL179">
        <v>9</v>
      </c>
      <c r="CM179">
        <v>0.82</v>
      </c>
      <c r="CN179">
        <v>0.01</v>
      </c>
      <c r="CO179">
        <v>-446.982125</v>
      </c>
      <c r="CP179">
        <v>-2.693639774857965</v>
      </c>
      <c r="CQ179">
        <v>0.26330411955569383</v>
      </c>
      <c r="CR179">
        <v>-1</v>
      </c>
      <c r="CS179">
        <v>20.608294999999998</v>
      </c>
      <c r="CT179">
        <v>9.3091181988692193E-2</v>
      </c>
      <c r="CU179">
        <v>8.9880184134209836E-3</v>
      </c>
      <c r="CV179">
        <v>-1</v>
      </c>
      <c r="CW179">
        <v>0</v>
      </c>
      <c r="CX179">
        <v>0</v>
      </c>
      <c r="CY179" t="s">
        <v>333</v>
      </c>
      <c r="CZ179">
        <v>2.3652500000000001</v>
      </c>
      <c r="DA179">
        <v>2.7137799999999999</v>
      </c>
      <c r="DB179">
        <v>8.1382499999999997E-2</v>
      </c>
      <c r="DC179">
        <v>0.14629300000000001</v>
      </c>
      <c r="DD179">
        <v>0.126696</v>
      </c>
      <c r="DE179">
        <v>4.6002800000000003E-2</v>
      </c>
      <c r="DF179">
        <v>33532.199999999997</v>
      </c>
      <c r="DG179">
        <v>27477.3</v>
      </c>
      <c r="DH179">
        <v>31160.400000000001</v>
      </c>
      <c r="DI179">
        <v>28043.599999999999</v>
      </c>
      <c r="DJ179">
        <v>36925.800000000003</v>
      </c>
      <c r="DK179">
        <v>38024.5</v>
      </c>
      <c r="DL179">
        <v>44339</v>
      </c>
      <c r="DM179">
        <v>42480.6</v>
      </c>
      <c r="DN179">
        <v>1.48505</v>
      </c>
      <c r="DO179">
        <v>2.0555500000000002</v>
      </c>
      <c r="DP179">
        <v>0.16592399999999999</v>
      </c>
      <c r="DQ179">
        <v>0.15560499999999999</v>
      </c>
      <c r="DR179">
        <v>24.327100000000002</v>
      </c>
      <c r="DS179">
        <v>24.284800000000001</v>
      </c>
      <c r="DT179">
        <v>23.4</v>
      </c>
      <c r="DU179">
        <v>27.9</v>
      </c>
      <c r="DV179">
        <v>8.9109599999999993</v>
      </c>
      <c r="DW179">
        <v>61.652799999999999</v>
      </c>
      <c r="DX179">
        <v>36.614600000000003</v>
      </c>
      <c r="DY179">
        <v>1</v>
      </c>
      <c r="DZ179">
        <v>-0.13838200000000001</v>
      </c>
      <c r="EA179">
        <v>-3.99973E-2</v>
      </c>
      <c r="EB179">
        <v>20.191500000000001</v>
      </c>
      <c r="EC179">
        <v>5.2416999999999998</v>
      </c>
      <c r="ED179">
        <v>12.039899999999999</v>
      </c>
      <c r="EE179">
        <v>5.0171999999999999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</v>
      </c>
      <c r="EL179">
        <v>1.8646199999999999</v>
      </c>
      <c r="EM179">
        <v>1.86914</v>
      </c>
      <c r="EN179">
        <v>1.8672200000000001</v>
      </c>
      <c r="EO179">
        <v>1.8633999999999999</v>
      </c>
      <c r="EP179">
        <v>1.8644799999999999</v>
      </c>
      <c r="EQ179">
        <v>1.8701300000000001</v>
      </c>
      <c r="ER179">
        <v>1.8693900000000001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-0.67900000000000005</v>
      </c>
      <c r="FG179">
        <v>0.1678</v>
      </c>
      <c r="FH179">
        <v>-0.44422204735670362</v>
      </c>
      <c r="FI179">
        <v>-6.1462078757559423E-4</v>
      </c>
      <c r="FJ179">
        <v>-1.8861989874597051E-7</v>
      </c>
      <c r="FK179">
        <v>1.1980462299894961E-10</v>
      </c>
      <c r="FL179">
        <v>0.16773393518503121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37.9</v>
      </c>
      <c r="FU179">
        <v>37.9</v>
      </c>
      <c r="FV179">
        <v>1.77979</v>
      </c>
      <c r="FW179">
        <v>2.5598100000000001</v>
      </c>
      <c r="FX179">
        <v>1.5490699999999999</v>
      </c>
      <c r="FY179">
        <v>2.3339799999999999</v>
      </c>
      <c r="FZ179">
        <v>1.50146</v>
      </c>
      <c r="GA179">
        <v>2.3290999999999999</v>
      </c>
      <c r="GB179">
        <v>32.531799999999997</v>
      </c>
      <c r="GC179">
        <v>23.982399999999998</v>
      </c>
      <c r="GD179">
        <v>19</v>
      </c>
      <c r="GE179">
        <v>284.24200000000002</v>
      </c>
      <c r="GF179">
        <v>592.84799999999996</v>
      </c>
      <c r="GG179">
        <v>23.8066</v>
      </c>
      <c r="GH179">
        <v>25.658100000000001</v>
      </c>
      <c r="GI179">
        <v>29.9999</v>
      </c>
      <c r="GJ179">
        <v>25.81</v>
      </c>
      <c r="GK179">
        <v>25.794599999999999</v>
      </c>
      <c r="GL179">
        <v>35.599200000000003</v>
      </c>
      <c r="GM179">
        <v>-30</v>
      </c>
      <c r="GN179">
        <v>-30</v>
      </c>
      <c r="GO179">
        <v>23.830200000000001</v>
      </c>
      <c r="GP179">
        <v>800</v>
      </c>
      <c r="GQ179">
        <v>12.5298</v>
      </c>
      <c r="GR179">
        <v>99.693100000000001</v>
      </c>
      <c r="GS179">
        <v>99.399000000000001</v>
      </c>
    </row>
    <row r="180" spans="1:201" x14ac:dyDescent="0.25">
      <c r="A180">
        <v>164</v>
      </c>
      <c r="B180">
        <v>1690205405.5999999</v>
      </c>
      <c r="C180">
        <v>1966</v>
      </c>
      <c r="D180" t="s">
        <v>661</v>
      </c>
      <c r="E180" t="s">
        <v>662</v>
      </c>
      <c r="F180" t="s">
        <v>330</v>
      </c>
      <c r="H180">
        <v>1690205405.5999999</v>
      </c>
      <c r="I180">
        <f t="shared" si="60"/>
        <v>2.0456440679499544E-3</v>
      </c>
      <c r="J180">
        <f t="shared" si="61"/>
        <v>2.0456440679499543</v>
      </c>
      <c r="K180">
        <f t="shared" si="62"/>
        <v>42.394644175055554</v>
      </c>
      <c r="L180">
        <f t="shared" si="63"/>
        <v>351.899</v>
      </c>
      <c r="M180">
        <f t="shared" si="64"/>
        <v>66.026195807656563</v>
      </c>
      <c r="N180">
        <f t="shared" si="65"/>
        <v>6.5484472659699353</v>
      </c>
      <c r="O180">
        <f t="shared" si="66"/>
        <v>34.901178483166994</v>
      </c>
      <c r="P180">
        <f t="shared" si="67"/>
        <v>0.25275360347487147</v>
      </c>
      <c r="Q180">
        <f t="shared" si="68"/>
        <v>2.1933723170523796</v>
      </c>
      <c r="R180">
        <f t="shared" si="69"/>
        <v>0.23761567301976033</v>
      </c>
      <c r="S180">
        <f t="shared" si="70"/>
        <v>0.14979426740106758</v>
      </c>
      <c r="T180">
        <f t="shared" si="71"/>
        <v>276.11432994697822</v>
      </c>
      <c r="U180">
        <f t="shared" si="72"/>
        <v>27.071229117489398</v>
      </c>
      <c r="V180">
        <f t="shared" si="73"/>
        <v>27.071229117489398</v>
      </c>
      <c r="W180">
        <f t="shared" si="74"/>
        <v>3.5941603408429557</v>
      </c>
      <c r="X180">
        <f t="shared" si="75"/>
        <v>83.801480186605588</v>
      </c>
      <c r="Y180">
        <f t="shared" si="76"/>
        <v>2.767704047898</v>
      </c>
      <c r="Z180">
        <f t="shared" si="77"/>
        <v>3.3026911239932679</v>
      </c>
      <c r="AA180">
        <f t="shared" si="78"/>
        <v>0.82645629294495571</v>
      </c>
      <c r="AB180">
        <f t="shared" si="79"/>
        <v>-90.212903396592992</v>
      </c>
      <c r="AC180">
        <f t="shared" si="80"/>
        <v>-169.45438673205413</v>
      </c>
      <c r="AD180">
        <f t="shared" si="81"/>
        <v>-16.565801796725491</v>
      </c>
      <c r="AE180">
        <f t="shared" si="82"/>
        <v>-0.11876197839441716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52594.606643925828</v>
      </c>
      <c r="AK180">
        <f t="shared" si="86"/>
        <v>1799.99</v>
      </c>
      <c r="AL180">
        <f t="shared" si="87"/>
        <v>1499.10156201172</v>
      </c>
      <c r="AM180">
        <f t="shared" si="88"/>
        <v>0.83283882799999998</v>
      </c>
      <c r="AN180">
        <f t="shared" si="89"/>
        <v>0.15339770218000001</v>
      </c>
      <c r="AO180">
        <v>31.2</v>
      </c>
      <c r="AP180">
        <v>0.5</v>
      </c>
      <c r="AQ180" t="s">
        <v>331</v>
      </c>
      <c r="AR180">
        <v>2</v>
      </c>
      <c r="AS180">
        <v>1690205405.5999999</v>
      </c>
      <c r="AT180">
        <v>351.899</v>
      </c>
      <c r="AU180">
        <v>800.01499999999999</v>
      </c>
      <c r="AV180">
        <v>27.905999999999999</v>
      </c>
      <c r="AW180">
        <v>7.2376699999999996</v>
      </c>
      <c r="AX180">
        <v>352.57799999999997</v>
      </c>
      <c r="AY180">
        <v>27.738299999999999</v>
      </c>
      <c r="AZ180">
        <v>300.18400000000003</v>
      </c>
      <c r="BA180">
        <v>99.079499999999996</v>
      </c>
      <c r="BB180">
        <v>0.100033</v>
      </c>
      <c r="BC180">
        <v>25.638200000000001</v>
      </c>
      <c r="BD180">
        <v>26.973700000000001</v>
      </c>
      <c r="BE180">
        <v>26.838100000000001</v>
      </c>
      <c r="BF180">
        <v>0</v>
      </c>
      <c r="BG180">
        <v>0</v>
      </c>
      <c r="BH180">
        <v>9993.1200000000008</v>
      </c>
      <c r="BI180">
        <v>1066.43</v>
      </c>
      <c r="BJ180">
        <v>1.96231</v>
      </c>
      <c r="BK180">
        <v>-448.11599999999999</v>
      </c>
      <c r="BL180">
        <v>362.00099999999998</v>
      </c>
      <c r="BM180">
        <v>805.84799999999996</v>
      </c>
      <c r="BN180">
        <v>20.668299999999999</v>
      </c>
      <c r="BO180">
        <v>800.01499999999999</v>
      </c>
      <c r="BP180">
        <v>7.2376699999999996</v>
      </c>
      <c r="BQ180">
        <v>2.76491</v>
      </c>
      <c r="BR180">
        <v>0.71710499999999999</v>
      </c>
      <c r="BS180">
        <v>22.676100000000002</v>
      </c>
      <c r="BT180">
        <v>2.16431</v>
      </c>
      <c r="BU180">
        <v>1799.99</v>
      </c>
      <c r="BV180">
        <v>0.90998699999999999</v>
      </c>
      <c r="BW180">
        <v>3.4005199999999999E-2</v>
      </c>
      <c r="BX180">
        <v>2.2003399999999999E-2</v>
      </c>
      <c r="BY180">
        <v>3.4004199999999998E-2</v>
      </c>
      <c r="BZ180">
        <v>25</v>
      </c>
      <c r="CA180">
        <v>33528.199999999997</v>
      </c>
      <c r="CB180">
        <v>1690203121.0999999</v>
      </c>
      <c r="CC180" t="s">
        <v>332</v>
      </c>
      <c r="CD180">
        <v>1690203121.0999999</v>
      </c>
      <c r="CE180">
        <v>1690203121.0999999</v>
      </c>
      <c r="CF180">
        <v>3</v>
      </c>
      <c r="CG180">
        <v>0.53600000000000003</v>
      </c>
      <c r="CH180">
        <v>-0.01</v>
      </c>
      <c r="CI180">
        <v>-0.996</v>
      </c>
      <c r="CJ180">
        <v>-6.6000000000000003E-2</v>
      </c>
      <c r="CK180">
        <v>800</v>
      </c>
      <c r="CL180">
        <v>9</v>
      </c>
      <c r="CM180">
        <v>0.82</v>
      </c>
      <c r="CN180">
        <v>0.01</v>
      </c>
      <c r="CO180">
        <v>-447.48609756097568</v>
      </c>
      <c r="CP180">
        <v>-3.3417491289201449</v>
      </c>
      <c r="CQ180">
        <v>0.33383768546697928</v>
      </c>
      <c r="CR180">
        <v>-1</v>
      </c>
      <c r="CS180">
        <v>20.628687804878052</v>
      </c>
      <c r="CT180">
        <v>0.15302299651568549</v>
      </c>
      <c r="CU180">
        <v>1.552702121671668E-2</v>
      </c>
      <c r="CV180">
        <v>-1</v>
      </c>
      <c r="CW180">
        <v>0</v>
      </c>
      <c r="CX180">
        <v>0</v>
      </c>
      <c r="CY180" t="s">
        <v>333</v>
      </c>
      <c r="CZ180">
        <v>2.3651499999999999</v>
      </c>
      <c r="DA180">
        <v>2.7138200000000001</v>
      </c>
      <c r="DB180">
        <v>8.1262699999999993E-2</v>
      </c>
      <c r="DC180">
        <v>0.14629500000000001</v>
      </c>
      <c r="DD180">
        <v>0.12680900000000001</v>
      </c>
      <c r="DE180">
        <v>4.5973899999999998E-2</v>
      </c>
      <c r="DF180">
        <v>33536.1</v>
      </c>
      <c r="DG180">
        <v>27477.4</v>
      </c>
      <c r="DH180">
        <v>31160</v>
      </c>
      <c r="DI180">
        <v>28043.8</v>
      </c>
      <c r="DJ180">
        <v>36920.5</v>
      </c>
      <c r="DK180">
        <v>38025.800000000003</v>
      </c>
      <c r="DL180">
        <v>44338.400000000001</v>
      </c>
      <c r="DM180">
        <v>42480.7</v>
      </c>
      <c r="DN180">
        <v>1.48482</v>
      </c>
      <c r="DO180">
        <v>2.0556199999999998</v>
      </c>
      <c r="DP180">
        <v>0.161193</v>
      </c>
      <c r="DQ180">
        <v>0.15545600000000001</v>
      </c>
      <c r="DR180">
        <v>24.331700000000001</v>
      </c>
      <c r="DS180">
        <v>24.2898</v>
      </c>
      <c r="DT180">
        <v>23.4</v>
      </c>
      <c r="DU180">
        <v>27.9</v>
      </c>
      <c r="DV180">
        <v>8.9107599999999998</v>
      </c>
      <c r="DW180">
        <v>61.762799999999999</v>
      </c>
      <c r="DX180">
        <v>36.750799999999998</v>
      </c>
      <c r="DY180">
        <v>1</v>
      </c>
      <c r="DZ180">
        <v>-0.137543</v>
      </c>
      <c r="EA180">
        <v>0.29904399999999998</v>
      </c>
      <c r="EB180">
        <v>20.190899999999999</v>
      </c>
      <c r="EC180">
        <v>5.2416999999999998</v>
      </c>
      <c r="ED180">
        <v>12.039899999999999</v>
      </c>
      <c r="EE180">
        <v>5.0173500000000004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</v>
      </c>
      <c r="EL180">
        <v>1.8646199999999999</v>
      </c>
      <c r="EM180">
        <v>1.8691500000000001</v>
      </c>
      <c r="EN180">
        <v>1.8672200000000001</v>
      </c>
      <c r="EO180">
        <v>1.8633999999999999</v>
      </c>
      <c r="EP180">
        <v>1.8644799999999999</v>
      </c>
      <c r="EQ180">
        <v>1.8701300000000001</v>
      </c>
      <c r="ER180">
        <v>1.8694200000000001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-0.67900000000000005</v>
      </c>
      <c r="FG180">
        <v>0.16769999999999999</v>
      </c>
      <c r="FH180">
        <v>-0.44422204735670362</v>
      </c>
      <c r="FI180">
        <v>-6.1462078757559423E-4</v>
      </c>
      <c r="FJ180">
        <v>-1.8861989874597051E-7</v>
      </c>
      <c r="FK180">
        <v>1.1980462299894961E-10</v>
      </c>
      <c r="FL180">
        <v>0.16773393518503121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38.1</v>
      </c>
      <c r="FU180">
        <v>38.1</v>
      </c>
      <c r="FV180">
        <v>1.78101</v>
      </c>
      <c r="FW180">
        <v>2.5585900000000001</v>
      </c>
      <c r="FX180">
        <v>1.5490699999999999</v>
      </c>
      <c r="FY180">
        <v>2.33521</v>
      </c>
      <c r="FZ180">
        <v>1.50146</v>
      </c>
      <c r="GA180">
        <v>2.32544</v>
      </c>
      <c r="GB180">
        <v>32.531799999999997</v>
      </c>
      <c r="GC180">
        <v>23.982399999999998</v>
      </c>
      <c r="GD180">
        <v>19</v>
      </c>
      <c r="GE180">
        <v>284.14600000000002</v>
      </c>
      <c r="GF180">
        <v>592.88599999999997</v>
      </c>
      <c r="GG180">
        <v>23.793399999999998</v>
      </c>
      <c r="GH180">
        <v>25.658100000000001</v>
      </c>
      <c r="GI180">
        <v>30.000499999999999</v>
      </c>
      <c r="GJ180">
        <v>25.81</v>
      </c>
      <c r="GK180">
        <v>25.792400000000001</v>
      </c>
      <c r="GL180">
        <v>35.600200000000001</v>
      </c>
      <c r="GM180">
        <v>-30</v>
      </c>
      <c r="GN180">
        <v>-30</v>
      </c>
      <c r="GO180">
        <v>23.7454</v>
      </c>
      <c r="GP180">
        <v>800</v>
      </c>
      <c r="GQ180">
        <v>12.5298</v>
      </c>
      <c r="GR180">
        <v>99.691800000000001</v>
      </c>
      <c r="GS180">
        <v>99.399500000000003</v>
      </c>
    </row>
    <row r="181" spans="1:201" x14ac:dyDescent="0.25">
      <c r="A181">
        <v>165</v>
      </c>
      <c r="B181">
        <v>1690205415.5999999</v>
      </c>
      <c r="C181">
        <v>1976</v>
      </c>
      <c r="D181" t="s">
        <v>663</v>
      </c>
      <c r="E181" t="s">
        <v>664</v>
      </c>
      <c r="F181" t="s">
        <v>330</v>
      </c>
      <c r="H181">
        <v>1690205415.5999999</v>
      </c>
      <c r="I181">
        <f t="shared" si="60"/>
        <v>2.0467231213289723E-3</v>
      </c>
      <c r="J181">
        <f t="shared" si="61"/>
        <v>2.0467231213289723</v>
      </c>
      <c r="K181">
        <f t="shared" si="62"/>
        <v>42.420851844131285</v>
      </c>
      <c r="L181">
        <f t="shared" si="63"/>
        <v>351.46600000000001</v>
      </c>
      <c r="M181">
        <f t="shared" si="64"/>
        <v>65.973529889408425</v>
      </c>
      <c r="N181">
        <f t="shared" si="65"/>
        <v>6.5430340393634596</v>
      </c>
      <c r="O181">
        <f t="shared" si="66"/>
        <v>34.857222366816401</v>
      </c>
      <c r="P181">
        <f t="shared" si="67"/>
        <v>0.25328990237454868</v>
      </c>
      <c r="Q181">
        <f t="shared" si="68"/>
        <v>2.1902601035219806</v>
      </c>
      <c r="R181">
        <f t="shared" si="69"/>
        <v>0.23806953083310281</v>
      </c>
      <c r="S181">
        <f t="shared" si="70"/>
        <v>0.15008467087178817</v>
      </c>
      <c r="T181">
        <f t="shared" si="71"/>
        <v>276.11588266199999</v>
      </c>
      <c r="U181">
        <f t="shared" si="72"/>
        <v>27.0711317046879</v>
      </c>
      <c r="V181">
        <f t="shared" si="73"/>
        <v>27.0711317046879</v>
      </c>
      <c r="W181">
        <f t="shared" si="74"/>
        <v>3.5941397885702955</v>
      </c>
      <c r="X181">
        <f t="shared" si="75"/>
        <v>83.844244153548729</v>
      </c>
      <c r="Y181">
        <f t="shared" si="76"/>
        <v>2.76885353611936</v>
      </c>
      <c r="Z181">
        <f t="shared" si="77"/>
        <v>3.3023775979763155</v>
      </c>
      <c r="AA181">
        <f t="shared" si="78"/>
        <v>0.82528625245093545</v>
      </c>
      <c r="AB181">
        <f t="shared" si="79"/>
        <v>-90.260489650607681</v>
      </c>
      <c r="AC181">
        <f t="shared" si="80"/>
        <v>-169.39137245554383</v>
      </c>
      <c r="AD181">
        <f t="shared" si="81"/>
        <v>-16.583030843671985</v>
      </c>
      <c r="AE181">
        <f t="shared" si="82"/>
        <v>-0.11901028782347112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52467.137968248004</v>
      </c>
      <c r="AK181">
        <f t="shared" si="86"/>
        <v>1800</v>
      </c>
      <c r="AL181">
        <f t="shared" si="87"/>
        <v>1499.1103061999997</v>
      </c>
      <c r="AM181">
        <f t="shared" si="88"/>
        <v>0.83283905899999988</v>
      </c>
      <c r="AN181">
        <f t="shared" si="89"/>
        <v>0.15339771258999998</v>
      </c>
      <c r="AO181">
        <v>31.2</v>
      </c>
      <c r="AP181">
        <v>0.5</v>
      </c>
      <c r="AQ181" t="s">
        <v>331</v>
      </c>
      <c r="AR181">
        <v>2</v>
      </c>
      <c r="AS181">
        <v>1690205415.5999999</v>
      </c>
      <c r="AT181">
        <v>351.46600000000001</v>
      </c>
      <c r="AU181">
        <v>800.01199999999994</v>
      </c>
      <c r="AV181">
        <v>27.918399999999998</v>
      </c>
      <c r="AW181">
        <v>7.2319199999999997</v>
      </c>
      <c r="AX181">
        <v>352.14499999999998</v>
      </c>
      <c r="AY181">
        <v>27.750699999999998</v>
      </c>
      <c r="AZ181">
        <v>300.07499999999999</v>
      </c>
      <c r="BA181">
        <v>99.076700000000002</v>
      </c>
      <c r="BB181">
        <v>9.99554E-2</v>
      </c>
      <c r="BC181">
        <v>25.636600000000001</v>
      </c>
      <c r="BD181">
        <v>26.976700000000001</v>
      </c>
      <c r="BE181">
        <v>26.837</v>
      </c>
      <c r="BF181">
        <v>0</v>
      </c>
      <c r="BG181">
        <v>0</v>
      </c>
      <c r="BH181">
        <v>9968.1200000000008</v>
      </c>
      <c r="BI181">
        <v>1066.31</v>
      </c>
      <c r="BJ181">
        <v>1.96231</v>
      </c>
      <c r="BK181">
        <v>-448.54599999999999</v>
      </c>
      <c r="BL181">
        <v>361.56</v>
      </c>
      <c r="BM181">
        <v>805.84</v>
      </c>
      <c r="BN181">
        <v>20.686499999999999</v>
      </c>
      <c r="BO181">
        <v>800.01199999999994</v>
      </c>
      <c r="BP181">
        <v>7.2319199999999997</v>
      </c>
      <c r="BQ181">
        <v>2.76606</v>
      </c>
      <c r="BR181">
        <v>0.71651500000000001</v>
      </c>
      <c r="BS181">
        <v>22.683</v>
      </c>
      <c r="BT181">
        <v>2.1527699999999999</v>
      </c>
      <c r="BU181">
        <v>1800</v>
      </c>
      <c r="BV181">
        <v>0.90998800000000002</v>
      </c>
      <c r="BW181">
        <v>3.4004899999999998E-2</v>
      </c>
      <c r="BX181">
        <v>2.2003200000000001E-2</v>
      </c>
      <c r="BY181">
        <v>3.4003899999999997E-2</v>
      </c>
      <c r="BZ181">
        <v>25</v>
      </c>
      <c r="CA181">
        <v>33528.300000000003</v>
      </c>
      <c r="CB181">
        <v>1690203121.0999999</v>
      </c>
      <c r="CC181" t="s">
        <v>332</v>
      </c>
      <c r="CD181">
        <v>1690203121.0999999</v>
      </c>
      <c r="CE181">
        <v>1690203121.0999999</v>
      </c>
      <c r="CF181">
        <v>3</v>
      </c>
      <c r="CG181">
        <v>0.53600000000000003</v>
      </c>
      <c r="CH181">
        <v>-0.01</v>
      </c>
      <c r="CI181">
        <v>-0.996</v>
      </c>
      <c r="CJ181">
        <v>-6.6000000000000003E-2</v>
      </c>
      <c r="CK181">
        <v>800</v>
      </c>
      <c r="CL181">
        <v>9</v>
      </c>
      <c r="CM181">
        <v>0.82</v>
      </c>
      <c r="CN181">
        <v>0.01</v>
      </c>
      <c r="CO181">
        <v>-448.00502439024388</v>
      </c>
      <c r="CP181">
        <v>-3.121317073170665</v>
      </c>
      <c r="CQ181">
        <v>0.3148801930742553</v>
      </c>
      <c r="CR181">
        <v>-1</v>
      </c>
      <c r="CS181">
        <v>20.660034146341459</v>
      </c>
      <c r="CT181">
        <v>0.21687386759580951</v>
      </c>
      <c r="CU181">
        <v>2.1797422198855849E-2</v>
      </c>
      <c r="CV181">
        <v>-1</v>
      </c>
      <c r="CW181">
        <v>0</v>
      </c>
      <c r="CX181">
        <v>0</v>
      </c>
      <c r="CY181" t="s">
        <v>333</v>
      </c>
      <c r="CZ181">
        <v>2.3647999999999998</v>
      </c>
      <c r="DA181">
        <v>2.7137199999999999</v>
      </c>
      <c r="DB181">
        <v>8.1181900000000001E-2</v>
      </c>
      <c r="DC181">
        <v>0.14629</v>
      </c>
      <c r="DD181">
        <v>0.12684400000000001</v>
      </c>
      <c r="DE181">
        <v>4.5943299999999999E-2</v>
      </c>
      <c r="DF181">
        <v>33539.599999999999</v>
      </c>
      <c r="DG181">
        <v>27478.1</v>
      </c>
      <c r="DH181">
        <v>31160.5</v>
      </c>
      <c r="DI181">
        <v>28044.400000000001</v>
      </c>
      <c r="DJ181">
        <v>36919.599999999999</v>
      </c>
      <c r="DK181">
        <v>38027.9</v>
      </c>
      <c r="DL181">
        <v>44339.199999999997</v>
      </c>
      <c r="DM181">
        <v>42481.7</v>
      </c>
      <c r="DN181">
        <v>1.4846200000000001</v>
      </c>
      <c r="DO181">
        <v>2.0556999999999999</v>
      </c>
      <c r="DP181">
        <v>0.16115599999999999</v>
      </c>
      <c r="DQ181">
        <v>0.155196</v>
      </c>
      <c r="DR181">
        <v>24.3353</v>
      </c>
      <c r="DS181">
        <v>24.292999999999999</v>
      </c>
      <c r="DT181">
        <v>23.4</v>
      </c>
      <c r="DU181">
        <v>27.9</v>
      </c>
      <c r="DV181">
        <v>8.9121299999999994</v>
      </c>
      <c r="DW181">
        <v>61.782800000000002</v>
      </c>
      <c r="DX181">
        <v>36.923099999999998</v>
      </c>
      <c r="DY181">
        <v>1</v>
      </c>
      <c r="DZ181">
        <v>-0.13777900000000001</v>
      </c>
      <c r="EA181">
        <v>8.5424799999999995E-2</v>
      </c>
      <c r="EB181">
        <v>20.191299999999998</v>
      </c>
      <c r="EC181">
        <v>5.24125</v>
      </c>
      <c r="ED181">
        <v>12.039899999999999</v>
      </c>
      <c r="EE181">
        <v>5.0172999999999996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1.8646199999999999</v>
      </c>
      <c r="EM181">
        <v>1.8691500000000001</v>
      </c>
      <c r="EN181">
        <v>1.8672200000000001</v>
      </c>
      <c r="EO181">
        <v>1.8633999999999999</v>
      </c>
      <c r="EP181">
        <v>1.8644799999999999</v>
      </c>
      <c r="EQ181">
        <v>1.87012</v>
      </c>
      <c r="ER181">
        <v>1.8693900000000001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-0.67900000000000005</v>
      </c>
      <c r="FG181">
        <v>0.16769999999999999</v>
      </c>
      <c r="FH181">
        <v>-0.44422204735670362</v>
      </c>
      <c r="FI181">
        <v>-6.1462078757559423E-4</v>
      </c>
      <c r="FJ181">
        <v>-1.8861989874597051E-7</v>
      </c>
      <c r="FK181">
        <v>1.1980462299894961E-10</v>
      </c>
      <c r="FL181">
        <v>0.16773393518503121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38.200000000000003</v>
      </c>
      <c r="FU181">
        <v>38.200000000000003</v>
      </c>
      <c r="FV181">
        <v>1.77979</v>
      </c>
      <c r="FW181">
        <v>2.5585900000000001</v>
      </c>
      <c r="FX181">
        <v>1.5490699999999999</v>
      </c>
      <c r="FY181">
        <v>2.3339799999999999</v>
      </c>
      <c r="FZ181">
        <v>1.50146</v>
      </c>
      <c r="GA181">
        <v>2.3290999999999999</v>
      </c>
      <c r="GB181">
        <v>32.553899999999999</v>
      </c>
      <c r="GC181">
        <v>23.991199999999999</v>
      </c>
      <c r="GD181">
        <v>19</v>
      </c>
      <c r="GE181">
        <v>284.05099999999999</v>
      </c>
      <c r="GF181">
        <v>592.92700000000002</v>
      </c>
      <c r="GG181">
        <v>23.76</v>
      </c>
      <c r="GH181">
        <v>25.655999999999999</v>
      </c>
      <c r="GI181">
        <v>30</v>
      </c>
      <c r="GJ181">
        <v>25.8079</v>
      </c>
      <c r="GK181">
        <v>25.790700000000001</v>
      </c>
      <c r="GL181">
        <v>35.600299999999997</v>
      </c>
      <c r="GM181">
        <v>-30</v>
      </c>
      <c r="GN181">
        <v>-30</v>
      </c>
      <c r="GO181">
        <v>23.805</v>
      </c>
      <c r="GP181">
        <v>800</v>
      </c>
      <c r="GQ181">
        <v>12.5298</v>
      </c>
      <c r="GR181">
        <v>99.6935</v>
      </c>
      <c r="GS181">
        <v>99.401600000000002</v>
      </c>
    </row>
    <row r="182" spans="1:201" x14ac:dyDescent="0.25">
      <c r="A182">
        <v>166</v>
      </c>
      <c r="B182">
        <v>1690205425.5999999</v>
      </c>
      <c r="C182">
        <v>1986</v>
      </c>
      <c r="D182" t="s">
        <v>665</v>
      </c>
      <c r="E182" t="s">
        <v>666</v>
      </c>
      <c r="F182" t="s">
        <v>330</v>
      </c>
      <c r="H182">
        <v>1690205425.5999999</v>
      </c>
      <c r="I182">
        <f t="shared" si="60"/>
        <v>2.0485886297253279E-3</v>
      </c>
      <c r="J182">
        <f t="shared" si="61"/>
        <v>2.048588629725328</v>
      </c>
      <c r="K182">
        <f t="shared" si="62"/>
        <v>42.455735072774544</v>
      </c>
      <c r="L182">
        <f t="shared" si="63"/>
        <v>351.12700000000001</v>
      </c>
      <c r="M182">
        <f t="shared" si="64"/>
        <v>66.196222855013289</v>
      </c>
      <c r="N182">
        <f t="shared" si="65"/>
        <v>6.5651585487926925</v>
      </c>
      <c r="O182">
        <f t="shared" si="66"/>
        <v>34.823806047226007</v>
      </c>
      <c r="P182">
        <f t="shared" si="67"/>
        <v>0.2539793859152768</v>
      </c>
      <c r="Q182">
        <f t="shared" si="68"/>
        <v>2.1992436100008956</v>
      </c>
      <c r="R182">
        <f t="shared" si="69"/>
        <v>0.23873719956932291</v>
      </c>
      <c r="S182">
        <f t="shared" si="70"/>
        <v>0.15050391294017365</v>
      </c>
      <c r="T182">
        <f t="shared" si="71"/>
        <v>276.11596234799998</v>
      </c>
      <c r="U182">
        <f t="shared" si="72"/>
        <v>27.068352992702913</v>
      </c>
      <c r="V182">
        <f t="shared" si="73"/>
        <v>27.068352992702913</v>
      </c>
      <c r="W182">
        <f t="shared" si="74"/>
        <v>3.5935535756954664</v>
      </c>
      <c r="X182">
        <f t="shared" si="75"/>
        <v>83.857644010597227</v>
      </c>
      <c r="Y182">
        <f t="shared" si="76"/>
        <v>2.7698219028639999</v>
      </c>
      <c r="Z182">
        <f t="shared" si="77"/>
        <v>3.3030046760125682</v>
      </c>
      <c r="AA182">
        <f t="shared" si="78"/>
        <v>0.82373167283146653</v>
      </c>
      <c r="AB182">
        <f t="shared" si="79"/>
        <v>-90.342758570886957</v>
      </c>
      <c r="AC182">
        <f t="shared" si="80"/>
        <v>-169.37727342888894</v>
      </c>
      <c r="AD182">
        <f t="shared" si="81"/>
        <v>-16.513951653826652</v>
      </c>
      <c r="AE182">
        <f t="shared" si="82"/>
        <v>-0.11802130560258206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52835.67487914097</v>
      </c>
      <c r="AK182">
        <f t="shared" si="86"/>
        <v>1800</v>
      </c>
      <c r="AL182">
        <f t="shared" si="87"/>
        <v>1499.1099948000001</v>
      </c>
      <c r="AM182">
        <f t="shared" si="88"/>
        <v>0.832838886</v>
      </c>
      <c r="AN182">
        <f t="shared" si="89"/>
        <v>0.15339775685999998</v>
      </c>
      <c r="AO182">
        <v>31.2</v>
      </c>
      <c r="AP182">
        <v>0.5</v>
      </c>
      <c r="AQ182" t="s">
        <v>331</v>
      </c>
      <c r="AR182">
        <v>2</v>
      </c>
      <c r="AS182">
        <v>1690205425.5999999</v>
      </c>
      <c r="AT182">
        <v>351.12700000000001</v>
      </c>
      <c r="AU182">
        <v>799.96199999999999</v>
      </c>
      <c r="AV182">
        <v>27.928000000000001</v>
      </c>
      <c r="AW182">
        <v>7.2262500000000003</v>
      </c>
      <c r="AX182">
        <v>351.80599999999998</v>
      </c>
      <c r="AY182">
        <v>27.760200000000001</v>
      </c>
      <c r="AZ182">
        <v>300.12400000000002</v>
      </c>
      <c r="BA182">
        <v>99.077200000000005</v>
      </c>
      <c r="BB182">
        <v>0.100038</v>
      </c>
      <c r="BC182">
        <v>25.639800000000001</v>
      </c>
      <c r="BD182">
        <v>27</v>
      </c>
      <c r="BE182">
        <v>26.839099999999998</v>
      </c>
      <c r="BF182">
        <v>0</v>
      </c>
      <c r="BG182">
        <v>0</v>
      </c>
      <c r="BH182">
        <v>10041.200000000001</v>
      </c>
      <c r="BI182">
        <v>1066.3699999999999</v>
      </c>
      <c r="BJ182">
        <v>1.9454899999999999</v>
      </c>
      <c r="BK182">
        <v>-448.83499999999998</v>
      </c>
      <c r="BL182">
        <v>361.21499999999997</v>
      </c>
      <c r="BM182">
        <v>805.78499999999997</v>
      </c>
      <c r="BN182">
        <v>20.701699999999999</v>
      </c>
      <c r="BO182">
        <v>799.96199999999999</v>
      </c>
      <c r="BP182">
        <v>7.2262500000000003</v>
      </c>
      <c r="BQ182">
        <v>2.7670300000000001</v>
      </c>
      <c r="BR182">
        <v>0.71595699999999995</v>
      </c>
      <c r="BS182">
        <v>22.688700000000001</v>
      </c>
      <c r="BT182">
        <v>2.1418599999999999</v>
      </c>
      <c r="BU182">
        <v>1800</v>
      </c>
      <c r="BV182">
        <v>0.90998599999999996</v>
      </c>
      <c r="BW182">
        <v>3.4008299999999998E-2</v>
      </c>
      <c r="BX182">
        <v>2.2002799999999999E-2</v>
      </c>
      <c r="BY182">
        <v>3.4003199999999997E-2</v>
      </c>
      <c r="BZ182">
        <v>25</v>
      </c>
      <c r="CA182">
        <v>33528.199999999997</v>
      </c>
      <c r="CB182">
        <v>1690203121.0999999</v>
      </c>
      <c r="CC182" t="s">
        <v>332</v>
      </c>
      <c r="CD182">
        <v>1690203121.0999999</v>
      </c>
      <c r="CE182">
        <v>1690203121.0999999</v>
      </c>
      <c r="CF182">
        <v>3</v>
      </c>
      <c r="CG182">
        <v>0.53600000000000003</v>
      </c>
      <c r="CH182">
        <v>-0.01</v>
      </c>
      <c r="CI182">
        <v>-0.996</v>
      </c>
      <c r="CJ182">
        <v>-6.6000000000000003E-2</v>
      </c>
      <c r="CK182">
        <v>800</v>
      </c>
      <c r="CL182">
        <v>9</v>
      </c>
      <c r="CM182">
        <v>0.82</v>
      </c>
      <c r="CN182">
        <v>0.01</v>
      </c>
      <c r="CO182">
        <v>-448.47369999999989</v>
      </c>
      <c r="CP182">
        <v>-2.0565253283305189</v>
      </c>
      <c r="CQ182">
        <v>0.20321198291439391</v>
      </c>
      <c r="CR182">
        <v>-1</v>
      </c>
      <c r="CS182">
        <v>20.686800000000002</v>
      </c>
      <c r="CT182">
        <v>7.5921951219481823E-2</v>
      </c>
      <c r="CU182">
        <v>7.6170860570168829E-3</v>
      </c>
      <c r="CV182">
        <v>-1</v>
      </c>
      <c r="CW182">
        <v>0</v>
      </c>
      <c r="CX182">
        <v>0</v>
      </c>
      <c r="CY182" t="s">
        <v>333</v>
      </c>
      <c r="CZ182">
        <v>2.3649399999999998</v>
      </c>
      <c r="DA182">
        <v>2.71387</v>
      </c>
      <c r="DB182">
        <v>8.1121799999999994E-2</v>
      </c>
      <c r="DC182">
        <v>0.146286</v>
      </c>
      <c r="DD182">
        <v>0.12687599999999999</v>
      </c>
      <c r="DE182">
        <v>4.5915200000000003E-2</v>
      </c>
      <c r="DF182">
        <v>33542.1</v>
      </c>
      <c r="DG182">
        <v>27478.6</v>
      </c>
      <c r="DH182">
        <v>31160.7</v>
      </c>
      <c r="DI182">
        <v>28044.7</v>
      </c>
      <c r="DJ182">
        <v>36918.6</v>
      </c>
      <c r="DK182">
        <v>38029.300000000003</v>
      </c>
      <c r="DL182">
        <v>44339.6</v>
      </c>
      <c r="DM182">
        <v>42482</v>
      </c>
      <c r="DN182">
        <v>1.4851700000000001</v>
      </c>
      <c r="DO182">
        <v>2.0556800000000002</v>
      </c>
      <c r="DP182">
        <v>0.16242300000000001</v>
      </c>
      <c r="DQ182">
        <v>0.155196</v>
      </c>
      <c r="DR182">
        <v>24.338000000000001</v>
      </c>
      <c r="DS182">
        <v>24.295000000000002</v>
      </c>
      <c r="DT182">
        <v>23.4</v>
      </c>
      <c r="DU182">
        <v>27.9</v>
      </c>
      <c r="DV182">
        <v>8.9110999999999994</v>
      </c>
      <c r="DW182">
        <v>61.202800000000003</v>
      </c>
      <c r="DX182">
        <v>37.051299999999998</v>
      </c>
      <c r="DY182">
        <v>1</v>
      </c>
      <c r="DZ182">
        <v>-0.13848299999999999</v>
      </c>
      <c r="EA182">
        <v>0.119529</v>
      </c>
      <c r="EB182">
        <v>20.191299999999998</v>
      </c>
      <c r="EC182">
        <v>5.242</v>
      </c>
      <c r="ED182">
        <v>12.039899999999999</v>
      </c>
      <c r="EE182">
        <v>5.0172999999999996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1.8689100000000001</v>
      </c>
      <c r="EL182">
        <v>1.8646199999999999</v>
      </c>
      <c r="EM182">
        <v>1.8691800000000001</v>
      </c>
      <c r="EN182">
        <v>1.8672200000000001</v>
      </c>
      <c r="EO182">
        <v>1.8633999999999999</v>
      </c>
      <c r="EP182">
        <v>1.8644799999999999</v>
      </c>
      <c r="EQ182">
        <v>1.87012</v>
      </c>
      <c r="ER182">
        <v>1.8694200000000001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-0.67900000000000005</v>
      </c>
      <c r="FG182">
        <v>0.1678</v>
      </c>
      <c r="FH182">
        <v>-0.44422204735670362</v>
      </c>
      <c r="FI182">
        <v>-6.1462078757559423E-4</v>
      </c>
      <c r="FJ182">
        <v>-1.8861989874597051E-7</v>
      </c>
      <c r="FK182">
        <v>1.1980462299894961E-10</v>
      </c>
      <c r="FL182">
        <v>0.16773393518503121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38.4</v>
      </c>
      <c r="FU182">
        <v>38.4</v>
      </c>
      <c r="FV182">
        <v>1.78101</v>
      </c>
      <c r="FW182">
        <v>2.5561500000000001</v>
      </c>
      <c r="FX182">
        <v>1.5490699999999999</v>
      </c>
      <c r="FY182">
        <v>2.33521</v>
      </c>
      <c r="FZ182">
        <v>1.50146</v>
      </c>
      <c r="GA182">
        <v>2.3742700000000001</v>
      </c>
      <c r="GB182">
        <v>32.553899999999999</v>
      </c>
      <c r="GC182">
        <v>23.991199999999999</v>
      </c>
      <c r="GD182">
        <v>19</v>
      </c>
      <c r="GE182">
        <v>284.27499999999998</v>
      </c>
      <c r="GF182">
        <v>592.88099999999997</v>
      </c>
      <c r="GG182">
        <v>23.8124</v>
      </c>
      <c r="GH182">
        <v>25.6555</v>
      </c>
      <c r="GI182">
        <v>29.9999</v>
      </c>
      <c r="GJ182">
        <v>25.805700000000002</v>
      </c>
      <c r="GK182">
        <v>25.788499999999999</v>
      </c>
      <c r="GL182">
        <v>35.6006</v>
      </c>
      <c r="GM182">
        <v>-30</v>
      </c>
      <c r="GN182">
        <v>-30</v>
      </c>
      <c r="GO182">
        <v>23.789100000000001</v>
      </c>
      <c r="GP182">
        <v>800</v>
      </c>
      <c r="GQ182">
        <v>12.5298</v>
      </c>
      <c r="GR182">
        <v>99.694400000000002</v>
      </c>
      <c r="GS182">
        <v>99.402600000000007</v>
      </c>
    </row>
    <row r="183" spans="1:201" x14ac:dyDescent="0.25">
      <c r="A183">
        <v>167</v>
      </c>
      <c r="B183">
        <v>1690205435.5999999</v>
      </c>
      <c r="C183">
        <v>1996</v>
      </c>
      <c r="D183" t="s">
        <v>667</v>
      </c>
      <c r="E183" t="s">
        <v>668</v>
      </c>
      <c r="F183" t="s">
        <v>330</v>
      </c>
      <c r="H183">
        <v>1690205435.5999999</v>
      </c>
      <c r="I183">
        <f t="shared" si="60"/>
        <v>2.0501282303622237E-3</v>
      </c>
      <c r="J183">
        <f t="shared" si="61"/>
        <v>2.0501282303622235</v>
      </c>
      <c r="K183">
        <f t="shared" si="62"/>
        <v>42.466489509479551</v>
      </c>
      <c r="L183">
        <f t="shared" si="63"/>
        <v>350.86700000000002</v>
      </c>
      <c r="M183">
        <f t="shared" si="64"/>
        <v>66.270410443490618</v>
      </c>
      <c r="N183">
        <f t="shared" si="65"/>
        <v>6.5724714237250073</v>
      </c>
      <c r="O183">
        <f t="shared" si="66"/>
        <v>34.797782533647101</v>
      </c>
      <c r="P183">
        <f t="shared" si="67"/>
        <v>0.25439155411506381</v>
      </c>
      <c r="Q183">
        <f t="shared" si="68"/>
        <v>2.194563013780451</v>
      </c>
      <c r="R183">
        <f t="shared" si="69"/>
        <v>0.23907095085058655</v>
      </c>
      <c r="S183">
        <f t="shared" si="70"/>
        <v>0.15071889008532097</v>
      </c>
      <c r="T183">
        <f t="shared" si="71"/>
        <v>276.11425101741668</v>
      </c>
      <c r="U183">
        <f t="shared" si="72"/>
        <v>27.073790026278644</v>
      </c>
      <c r="V183">
        <f t="shared" si="73"/>
        <v>27.073790026278644</v>
      </c>
      <c r="W183">
        <f t="shared" si="74"/>
        <v>3.5947006813279967</v>
      </c>
      <c r="X183">
        <f t="shared" si="75"/>
        <v>83.893087292111446</v>
      </c>
      <c r="Y183">
        <f t="shared" si="76"/>
        <v>2.7715187584968897</v>
      </c>
      <c r="Z183">
        <f t="shared" si="77"/>
        <v>3.3036318580654958</v>
      </c>
      <c r="AA183">
        <f t="shared" si="78"/>
        <v>0.82318192283110703</v>
      </c>
      <c r="AB183">
        <f t="shared" si="79"/>
        <v>-90.410654958974064</v>
      </c>
      <c r="AC183">
        <f t="shared" si="80"/>
        <v>-169.28146271573198</v>
      </c>
      <c r="AD183">
        <f t="shared" si="81"/>
        <v>-16.540527691079948</v>
      </c>
      <c r="AE183">
        <f t="shared" si="82"/>
        <v>-0.11839434836932128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52642.599691292657</v>
      </c>
      <c r="AK183">
        <f t="shared" si="86"/>
        <v>1799.99</v>
      </c>
      <c r="AL183">
        <f t="shared" si="87"/>
        <v>1499.1012470134697</v>
      </c>
      <c r="AM183">
        <f t="shared" si="88"/>
        <v>0.83283865299999982</v>
      </c>
      <c r="AN183">
        <f t="shared" si="89"/>
        <v>0.15339765832999999</v>
      </c>
      <c r="AO183">
        <v>31.2</v>
      </c>
      <c r="AP183">
        <v>0.5</v>
      </c>
      <c r="AQ183" t="s">
        <v>331</v>
      </c>
      <c r="AR183">
        <v>2</v>
      </c>
      <c r="AS183">
        <v>1690205435.5999999</v>
      </c>
      <c r="AT183">
        <v>350.86700000000002</v>
      </c>
      <c r="AU183">
        <v>799.971</v>
      </c>
      <c r="AV183">
        <v>27.9453</v>
      </c>
      <c r="AW183">
        <v>7.2211100000000004</v>
      </c>
      <c r="AX183">
        <v>351.54500000000002</v>
      </c>
      <c r="AY183">
        <v>27.7775</v>
      </c>
      <c r="AZ183">
        <v>300.01900000000001</v>
      </c>
      <c r="BA183">
        <v>99.076599999999999</v>
      </c>
      <c r="BB183">
        <v>9.9961300000000003E-2</v>
      </c>
      <c r="BC183">
        <v>25.643000000000001</v>
      </c>
      <c r="BD183">
        <v>27.0502</v>
      </c>
      <c r="BE183">
        <v>26.8386</v>
      </c>
      <c r="BF183">
        <v>0</v>
      </c>
      <c r="BG183">
        <v>0</v>
      </c>
      <c r="BH183">
        <v>10003.1</v>
      </c>
      <c r="BI183">
        <v>1066.3399999999999</v>
      </c>
      <c r="BJ183">
        <v>1.96231</v>
      </c>
      <c r="BK183">
        <v>-449.10399999999998</v>
      </c>
      <c r="BL183">
        <v>360.95400000000001</v>
      </c>
      <c r="BM183">
        <v>805.79</v>
      </c>
      <c r="BN183">
        <v>20.7242</v>
      </c>
      <c r="BO183">
        <v>799.971</v>
      </c>
      <c r="BP183">
        <v>7.2211100000000004</v>
      </c>
      <c r="BQ183">
        <v>2.7687200000000001</v>
      </c>
      <c r="BR183">
        <v>0.71544300000000005</v>
      </c>
      <c r="BS183">
        <v>22.698799999999999</v>
      </c>
      <c r="BT183">
        <v>2.1317900000000001</v>
      </c>
      <c r="BU183">
        <v>1799.99</v>
      </c>
      <c r="BV183">
        <v>0.90998699999999999</v>
      </c>
      <c r="BW183">
        <v>3.4007799999999998E-2</v>
      </c>
      <c r="BX183">
        <v>2.2002399999999998E-2</v>
      </c>
      <c r="BY183">
        <v>3.4002699999999997E-2</v>
      </c>
      <c r="BZ183">
        <v>25</v>
      </c>
      <c r="CA183">
        <v>33528.199999999997</v>
      </c>
      <c r="CB183">
        <v>1690203121.0999999</v>
      </c>
      <c r="CC183" t="s">
        <v>332</v>
      </c>
      <c r="CD183">
        <v>1690203121.0999999</v>
      </c>
      <c r="CE183">
        <v>1690203121.0999999</v>
      </c>
      <c r="CF183">
        <v>3</v>
      </c>
      <c r="CG183">
        <v>0.53600000000000003</v>
      </c>
      <c r="CH183">
        <v>-0.01</v>
      </c>
      <c r="CI183">
        <v>-0.996</v>
      </c>
      <c r="CJ183">
        <v>-6.6000000000000003E-2</v>
      </c>
      <c r="CK183">
        <v>800</v>
      </c>
      <c r="CL183">
        <v>9</v>
      </c>
      <c r="CM183">
        <v>0.82</v>
      </c>
      <c r="CN183">
        <v>0.01</v>
      </c>
      <c r="CO183">
        <v>-448.87914999999998</v>
      </c>
      <c r="CP183">
        <v>-2.4222439024372018</v>
      </c>
      <c r="CQ183">
        <v>0.2438012048780723</v>
      </c>
      <c r="CR183">
        <v>-1</v>
      </c>
      <c r="CS183">
        <v>20.702182499999999</v>
      </c>
      <c r="CT183">
        <v>0.1184341463414316</v>
      </c>
      <c r="CU183">
        <v>1.147004549903787E-2</v>
      </c>
      <c r="CV183">
        <v>-1</v>
      </c>
      <c r="CW183">
        <v>0</v>
      </c>
      <c r="CX183">
        <v>0</v>
      </c>
      <c r="CY183" t="s">
        <v>333</v>
      </c>
      <c r="CZ183">
        <v>2.3645999999999998</v>
      </c>
      <c r="DA183">
        <v>2.7137500000000001</v>
      </c>
      <c r="DB183">
        <v>8.1074900000000005E-2</v>
      </c>
      <c r="DC183">
        <v>0.146288</v>
      </c>
      <c r="DD183">
        <v>0.12693099999999999</v>
      </c>
      <c r="DE183">
        <v>4.5889300000000001E-2</v>
      </c>
      <c r="DF183">
        <v>33543.800000000003</v>
      </c>
      <c r="DG183">
        <v>27478.7</v>
      </c>
      <c r="DH183">
        <v>31160.7</v>
      </c>
      <c r="DI183">
        <v>28044.9</v>
      </c>
      <c r="DJ183">
        <v>36916.300000000003</v>
      </c>
      <c r="DK183">
        <v>38030.699999999997</v>
      </c>
      <c r="DL183">
        <v>44339.7</v>
      </c>
      <c r="DM183">
        <v>42482.400000000001</v>
      </c>
      <c r="DN183">
        <v>1.4847699999999999</v>
      </c>
      <c r="DO183">
        <v>2.0556999999999999</v>
      </c>
      <c r="DP183">
        <v>0.16536600000000001</v>
      </c>
      <c r="DQ183">
        <v>0.15504699999999999</v>
      </c>
      <c r="DR183">
        <v>24.3401</v>
      </c>
      <c r="DS183">
        <v>24.2971</v>
      </c>
      <c r="DT183">
        <v>23.3</v>
      </c>
      <c r="DU183">
        <v>28</v>
      </c>
      <c r="DV183">
        <v>8.9243900000000007</v>
      </c>
      <c r="DW183">
        <v>61.552799999999998</v>
      </c>
      <c r="DX183">
        <v>37.247599999999998</v>
      </c>
      <c r="DY183">
        <v>1</v>
      </c>
      <c r="DZ183">
        <v>-0.138465</v>
      </c>
      <c r="EA183">
        <v>0.142598</v>
      </c>
      <c r="EB183">
        <v>20.191299999999998</v>
      </c>
      <c r="EC183">
        <v>5.2424499999999998</v>
      </c>
      <c r="ED183">
        <v>12.039899999999999</v>
      </c>
      <c r="EE183">
        <v>5.0172999999999996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</v>
      </c>
      <c r="EL183">
        <v>1.8646199999999999</v>
      </c>
      <c r="EM183">
        <v>1.8691500000000001</v>
      </c>
      <c r="EN183">
        <v>1.8672200000000001</v>
      </c>
      <c r="EO183">
        <v>1.8633999999999999</v>
      </c>
      <c r="EP183">
        <v>1.8645</v>
      </c>
      <c r="EQ183">
        <v>1.8701300000000001</v>
      </c>
      <c r="ER183">
        <v>1.86941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-0.67800000000000005</v>
      </c>
      <c r="FG183">
        <v>0.1678</v>
      </c>
      <c r="FH183">
        <v>-0.44422204735670362</v>
      </c>
      <c r="FI183">
        <v>-6.1462078757559423E-4</v>
      </c>
      <c r="FJ183">
        <v>-1.8861989874597051E-7</v>
      </c>
      <c r="FK183">
        <v>1.1980462299894961E-10</v>
      </c>
      <c r="FL183">
        <v>0.16773393518503121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38.6</v>
      </c>
      <c r="FU183">
        <v>38.6</v>
      </c>
      <c r="FV183">
        <v>1.78101</v>
      </c>
      <c r="FW183">
        <v>2.5598100000000001</v>
      </c>
      <c r="FX183">
        <v>1.5490699999999999</v>
      </c>
      <c r="FY183">
        <v>2.33521</v>
      </c>
      <c r="FZ183">
        <v>1.50146</v>
      </c>
      <c r="GA183">
        <v>2.3864700000000001</v>
      </c>
      <c r="GB183">
        <v>32.553899999999999</v>
      </c>
      <c r="GC183">
        <v>23.991199999999999</v>
      </c>
      <c r="GD183">
        <v>19</v>
      </c>
      <c r="GE183">
        <v>284.09699999999998</v>
      </c>
      <c r="GF183">
        <v>592.87699999999995</v>
      </c>
      <c r="GG183">
        <v>23.796500000000002</v>
      </c>
      <c r="GH183">
        <v>25.6538</v>
      </c>
      <c r="GI183">
        <v>30</v>
      </c>
      <c r="GJ183">
        <v>25.804099999999998</v>
      </c>
      <c r="GK183">
        <v>25.7864</v>
      </c>
      <c r="GL183">
        <v>35.603499999999997</v>
      </c>
      <c r="GM183">
        <v>-30</v>
      </c>
      <c r="GN183">
        <v>-30</v>
      </c>
      <c r="GO183">
        <v>23.7988</v>
      </c>
      <c r="GP183">
        <v>800</v>
      </c>
      <c r="GQ183">
        <v>12.5298</v>
      </c>
      <c r="GR183">
        <v>99.694500000000005</v>
      </c>
      <c r="GS183">
        <v>99.403400000000005</v>
      </c>
    </row>
    <row r="184" spans="1:201" x14ac:dyDescent="0.25">
      <c r="A184">
        <v>168</v>
      </c>
      <c r="B184">
        <v>1690205445.5999999</v>
      </c>
      <c r="C184">
        <v>2006</v>
      </c>
      <c r="D184" t="s">
        <v>669</v>
      </c>
      <c r="E184" t="s">
        <v>670</v>
      </c>
      <c r="F184" t="s">
        <v>330</v>
      </c>
      <c r="H184">
        <v>1690205445.5999999</v>
      </c>
      <c r="I184">
        <f t="shared" si="60"/>
        <v>2.052299659134543E-3</v>
      </c>
      <c r="J184">
        <f t="shared" si="61"/>
        <v>2.052299659134543</v>
      </c>
      <c r="K184">
        <f t="shared" si="62"/>
        <v>42.538079516375468</v>
      </c>
      <c r="L184">
        <f t="shared" si="63"/>
        <v>350.25799999999998</v>
      </c>
      <c r="M184">
        <f t="shared" si="64"/>
        <v>65.978727307706436</v>
      </c>
      <c r="N184">
        <f t="shared" si="65"/>
        <v>6.5435136490865524</v>
      </c>
      <c r="O184">
        <f t="shared" si="66"/>
        <v>34.737226636895997</v>
      </c>
      <c r="P184">
        <f t="shared" si="67"/>
        <v>0.2551086684540102</v>
      </c>
      <c r="Q184">
        <f t="shared" si="68"/>
        <v>2.1989360459864495</v>
      </c>
      <c r="R184">
        <f t="shared" si="69"/>
        <v>0.23973302729424115</v>
      </c>
      <c r="S184">
        <f t="shared" si="70"/>
        <v>0.15113729663178024</v>
      </c>
      <c r="T184">
        <f t="shared" si="71"/>
        <v>276.11555943599996</v>
      </c>
      <c r="U184">
        <f t="shared" si="72"/>
        <v>27.072167225209959</v>
      </c>
      <c r="V184">
        <f t="shared" si="73"/>
        <v>27.072167225209959</v>
      </c>
      <c r="W184">
        <f t="shared" si="74"/>
        <v>3.5943582692144993</v>
      </c>
      <c r="X184">
        <f t="shared" si="75"/>
        <v>83.916964800206486</v>
      </c>
      <c r="Y184">
        <f t="shared" si="76"/>
        <v>2.7725872222943999</v>
      </c>
      <c r="Z184">
        <f t="shared" si="77"/>
        <v>3.3039650908436786</v>
      </c>
      <c r="AA184">
        <f t="shared" si="78"/>
        <v>0.82177104692009939</v>
      </c>
      <c r="AB184">
        <f t="shared" si="79"/>
        <v>-90.506414967833351</v>
      </c>
      <c r="AC184">
        <f t="shared" si="80"/>
        <v>-169.22486933886947</v>
      </c>
      <c r="AD184">
        <f t="shared" si="81"/>
        <v>-16.502120675091955</v>
      </c>
      <c r="AE184">
        <f t="shared" si="82"/>
        <v>-0.11784554579477913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52822.121419725154</v>
      </c>
      <c r="AK184">
        <f t="shared" si="86"/>
        <v>1800</v>
      </c>
      <c r="AL184">
        <f t="shared" si="87"/>
        <v>1499.1095915999997</v>
      </c>
      <c r="AM184">
        <f t="shared" si="88"/>
        <v>0.8328386619999999</v>
      </c>
      <c r="AN184">
        <f t="shared" si="89"/>
        <v>0.15339753301999998</v>
      </c>
      <c r="AO184">
        <v>31.2</v>
      </c>
      <c r="AP184">
        <v>0.5</v>
      </c>
      <c r="AQ184" t="s">
        <v>331</v>
      </c>
      <c r="AR184">
        <v>2</v>
      </c>
      <c r="AS184">
        <v>1690205445.5999999</v>
      </c>
      <c r="AT184">
        <v>350.25799999999998</v>
      </c>
      <c r="AU184">
        <v>799.97699999999998</v>
      </c>
      <c r="AV184">
        <v>27.956199999999999</v>
      </c>
      <c r="AW184">
        <v>7.2160299999999999</v>
      </c>
      <c r="AX184">
        <v>350.93599999999998</v>
      </c>
      <c r="AY184">
        <v>27.788499999999999</v>
      </c>
      <c r="AZ184">
        <v>300.10199999999998</v>
      </c>
      <c r="BA184">
        <v>99.076099999999997</v>
      </c>
      <c r="BB184">
        <v>0.100012</v>
      </c>
      <c r="BC184">
        <v>25.6447</v>
      </c>
      <c r="BD184">
        <v>27.027899999999999</v>
      </c>
      <c r="BE184">
        <v>26.848600000000001</v>
      </c>
      <c r="BF184">
        <v>0</v>
      </c>
      <c r="BG184">
        <v>0</v>
      </c>
      <c r="BH184">
        <v>10038.799999999999</v>
      </c>
      <c r="BI184">
        <v>1066.27</v>
      </c>
      <c r="BJ184">
        <v>1.7857099999999999</v>
      </c>
      <c r="BK184">
        <v>-449.71899999999999</v>
      </c>
      <c r="BL184">
        <v>360.33199999999999</v>
      </c>
      <c r="BM184">
        <v>805.79200000000003</v>
      </c>
      <c r="BN184">
        <v>20.740200000000002</v>
      </c>
      <c r="BO184">
        <v>799.97699999999998</v>
      </c>
      <c r="BP184">
        <v>7.2160299999999999</v>
      </c>
      <c r="BQ184">
        <v>2.76979</v>
      </c>
      <c r="BR184">
        <v>0.71493600000000002</v>
      </c>
      <c r="BS184">
        <v>22.705200000000001</v>
      </c>
      <c r="BT184">
        <v>2.1218599999999999</v>
      </c>
      <c r="BU184">
        <v>1800</v>
      </c>
      <c r="BV184">
        <v>0.90998999999999997</v>
      </c>
      <c r="BW184">
        <v>3.4006599999999998E-2</v>
      </c>
      <c r="BX184">
        <v>2.20016E-2</v>
      </c>
      <c r="BY184">
        <v>3.4001400000000001E-2</v>
      </c>
      <c r="BZ184">
        <v>25</v>
      </c>
      <c r="CA184">
        <v>33528.199999999997</v>
      </c>
      <c r="CB184">
        <v>1690203121.0999999</v>
      </c>
      <c r="CC184" t="s">
        <v>332</v>
      </c>
      <c r="CD184">
        <v>1690203121.0999999</v>
      </c>
      <c r="CE184">
        <v>1690203121.0999999</v>
      </c>
      <c r="CF184">
        <v>3</v>
      </c>
      <c r="CG184">
        <v>0.53600000000000003</v>
      </c>
      <c r="CH184">
        <v>-0.01</v>
      </c>
      <c r="CI184">
        <v>-0.996</v>
      </c>
      <c r="CJ184">
        <v>-6.6000000000000003E-2</v>
      </c>
      <c r="CK184">
        <v>800</v>
      </c>
      <c r="CL184">
        <v>9</v>
      </c>
      <c r="CM184">
        <v>0.82</v>
      </c>
      <c r="CN184">
        <v>0.01</v>
      </c>
      <c r="CO184">
        <v>-449.31407500000012</v>
      </c>
      <c r="CP184">
        <v>-2.6286641651034812</v>
      </c>
      <c r="CQ184">
        <v>0.27281563257079439</v>
      </c>
      <c r="CR184">
        <v>-1</v>
      </c>
      <c r="CS184">
        <v>20.7223325</v>
      </c>
      <c r="CT184">
        <v>0.12411669793614449</v>
      </c>
      <c r="CU184">
        <v>1.2011273610654421E-2</v>
      </c>
      <c r="CV184">
        <v>-1</v>
      </c>
      <c r="CW184">
        <v>0</v>
      </c>
      <c r="CX184">
        <v>0</v>
      </c>
      <c r="CY184" t="s">
        <v>333</v>
      </c>
      <c r="CZ184">
        <v>2.3648799999999999</v>
      </c>
      <c r="DA184">
        <v>2.7138399999999998</v>
      </c>
      <c r="DB184">
        <v>8.0964700000000001E-2</v>
      </c>
      <c r="DC184">
        <v>0.146289</v>
      </c>
      <c r="DD184">
        <v>0.126966</v>
      </c>
      <c r="DE184">
        <v>4.5863800000000003E-2</v>
      </c>
      <c r="DF184">
        <v>33547.5</v>
      </c>
      <c r="DG184">
        <v>27478.7</v>
      </c>
      <c r="DH184">
        <v>31160.400000000001</v>
      </c>
      <c r="DI184">
        <v>28044.9</v>
      </c>
      <c r="DJ184">
        <v>36914.400000000001</v>
      </c>
      <c r="DK184">
        <v>38031.800000000003</v>
      </c>
      <c r="DL184">
        <v>44339.3</v>
      </c>
      <c r="DM184">
        <v>42482.5</v>
      </c>
      <c r="DN184">
        <v>1.48515</v>
      </c>
      <c r="DO184">
        <v>2.0555500000000002</v>
      </c>
      <c r="DP184">
        <v>0.16387599999999999</v>
      </c>
      <c r="DQ184">
        <v>0.15556800000000001</v>
      </c>
      <c r="DR184">
        <v>24.342099999999999</v>
      </c>
      <c r="DS184">
        <v>24.298500000000001</v>
      </c>
      <c r="DT184">
        <v>23.3</v>
      </c>
      <c r="DU184">
        <v>28</v>
      </c>
      <c r="DV184">
        <v>8.9244599999999998</v>
      </c>
      <c r="DW184">
        <v>61.122799999999998</v>
      </c>
      <c r="DX184">
        <v>37.151400000000002</v>
      </c>
      <c r="DY184">
        <v>1</v>
      </c>
      <c r="DZ184">
        <v>-0.138516</v>
      </c>
      <c r="EA184">
        <v>0.14693600000000001</v>
      </c>
      <c r="EB184">
        <v>20.191400000000002</v>
      </c>
      <c r="EC184">
        <v>5.2424499999999998</v>
      </c>
      <c r="ED184">
        <v>12.039899999999999</v>
      </c>
      <c r="EE184">
        <v>5.0175000000000001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1.8689100000000001</v>
      </c>
      <c r="EL184">
        <v>1.8646199999999999</v>
      </c>
      <c r="EM184">
        <v>1.8691599999999999</v>
      </c>
      <c r="EN184">
        <v>1.8672200000000001</v>
      </c>
      <c r="EO184">
        <v>1.8633999999999999</v>
      </c>
      <c r="EP184">
        <v>1.86449</v>
      </c>
      <c r="EQ184">
        <v>1.8701300000000001</v>
      </c>
      <c r="ER184">
        <v>1.86938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-0.67800000000000005</v>
      </c>
      <c r="FG184">
        <v>0.16769999999999999</v>
      </c>
      <c r="FH184">
        <v>-0.44422204735670362</v>
      </c>
      <c r="FI184">
        <v>-6.1462078757559423E-4</v>
      </c>
      <c r="FJ184">
        <v>-1.8861989874597051E-7</v>
      </c>
      <c r="FK184">
        <v>1.1980462299894961E-10</v>
      </c>
      <c r="FL184">
        <v>0.16773393518503121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38.700000000000003</v>
      </c>
      <c r="FU184">
        <v>38.700000000000003</v>
      </c>
      <c r="FV184">
        <v>1.78101</v>
      </c>
      <c r="FW184">
        <v>2.5549300000000001</v>
      </c>
      <c r="FX184">
        <v>1.5490699999999999</v>
      </c>
      <c r="FY184">
        <v>2.33521</v>
      </c>
      <c r="FZ184">
        <v>1.50146</v>
      </c>
      <c r="GA184">
        <v>2.3791500000000001</v>
      </c>
      <c r="GB184">
        <v>32.553899999999999</v>
      </c>
      <c r="GC184">
        <v>23.991199999999999</v>
      </c>
      <c r="GD184">
        <v>19</v>
      </c>
      <c r="GE184">
        <v>284.255</v>
      </c>
      <c r="GF184">
        <v>592.72900000000004</v>
      </c>
      <c r="GG184">
        <v>23.7974</v>
      </c>
      <c r="GH184">
        <v>25.652799999999999</v>
      </c>
      <c r="GI184">
        <v>30.0002</v>
      </c>
      <c r="GJ184">
        <v>25.803599999999999</v>
      </c>
      <c r="GK184">
        <v>25.784300000000002</v>
      </c>
      <c r="GL184">
        <v>35.6021</v>
      </c>
      <c r="GM184">
        <v>-30</v>
      </c>
      <c r="GN184">
        <v>-30</v>
      </c>
      <c r="GO184">
        <v>23.7972</v>
      </c>
      <c r="GP184">
        <v>800</v>
      </c>
      <c r="GQ184">
        <v>12.5298</v>
      </c>
      <c r="GR184">
        <v>99.6935</v>
      </c>
      <c r="GS184">
        <v>99.403499999999994</v>
      </c>
    </row>
    <row r="185" spans="1:201" x14ac:dyDescent="0.25">
      <c r="A185">
        <v>169</v>
      </c>
      <c r="B185">
        <v>1690205455.5999999</v>
      </c>
      <c r="C185">
        <v>2016</v>
      </c>
      <c r="D185" t="s">
        <v>671</v>
      </c>
      <c r="E185" t="s">
        <v>672</v>
      </c>
      <c r="F185" t="s">
        <v>330</v>
      </c>
      <c r="H185">
        <v>1690205455.5999999</v>
      </c>
      <c r="I185">
        <f t="shared" si="60"/>
        <v>2.0547151773854348E-3</v>
      </c>
      <c r="J185">
        <f t="shared" si="61"/>
        <v>2.0547151773854346</v>
      </c>
      <c r="K185">
        <f t="shared" si="62"/>
        <v>42.591788666808547</v>
      </c>
      <c r="L185">
        <f t="shared" si="63"/>
        <v>349.75799999999998</v>
      </c>
      <c r="M185">
        <f t="shared" si="64"/>
        <v>66.013105034917686</v>
      </c>
      <c r="N185">
        <f t="shared" si="65"/>
        <v>6.546971089938121</v>
      </c>
      <c r="O185">
        <f t="shared" si="66"/>
        <v>34.687892854961994</v>
      </c>
      <c r="P185">
        <f t="shared" si="67"/>
        <v>0.25598410396386628</v>
      </c>
      <c r="Q185">
        <f t="shared" si="68"/>
        <v>2.1940309574430836</v>
      </c>
      <c r="R185">
        <f t="shared" si="69"/>
        <v>0.24047383672268213</v>
      </c>
      <c r="S185">
        <f t="shared" si="70"/>
        <v>0.15161130659996278</v>
      </c>
      <c r="T185">
        <f t="shared" si="71"/>
        <v>276.11566597799998</v>
      </c>
      <c r="U185">
        <f t="shared" si="72"/>
        <v>27.073656928092035</v>
      </c>
      <c r="V185">
        <f t="shared" si="73"/>
        <v>27.073656928092035</v>
      </c>
      <c r="W185">
        <f t="shared" si="74"/>
        <v>3.594672596449545</v>
      </c>
      <c r="X185">
        <f t="shared" si="75"/>
        <v>83.977002305488199</v>
      </c>
      <c r="Y185">
        <f t="shared" si="76"/>
        <v>2.7744720710250004</v>
      </c>
      <c r="Z185">
        <f t="shared" si="77"/>
        <v>3.303847475922201</v>
      </c>
      <c r="AA185">
        <f t="shared" si="78"/>
        <v>0.82020052542454458</v>
      </c>
      <c r="AB185">
        <f t="shared" si="79"/>
        <v>-90.61293932269767</v>
      </c>
      <c r="AC185">
        <f t="shared" si="80"/>
        <v>-169.09456509600435</v>
      </c>
      <c r="AD185">
        <f t="shared" si="81"/>
        <v>-16.526352468133723</v>
      </c>
      <c r="AE185">
        <f t="shared" si="82"/>
        <v>-0.11819090883577132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52620.555650930721</v>
      </c>
      <c r="AK185">
        <f t="shared" si="86"/>
        <v>1800</v>
      </c>
      <c r="AL185">
        <f t="shared" si="87"/>
        <v>1499.1107148000001</v>
      </c>
      <c r="AM185">
        <f t="shared" si="88"/>
        <v>0.83283928600000001</v>
      </c>
      <c r="AN185">
        <f t="shared" si="89"/>
        <v>0.15339759220999999</v>
      </c>
      <c r="AO185">
        <v>31.2</v>
      </c>
      <c r="AP185">
        <v>0.5</v>
      </c>
      <c r="AQ185" t="s">
        <v>331</v>
      </c>
      <c r="AR185">
        <v>2</v>
      </c>
      <c r="AS185">
        <v>1690205455.5999999</v>
      </c>
      <c r="AT185">
        <v>349.75799999999998</v>
      </c>
      <c r="AU185">
        <v>800.03200000000004</v>
      </c>
      <c r="AV185">
        <v>27.975000000000001</v>
      </c>
      <c r="AW185">
        <v>7.21089</v>
      </c>
      <c r="AX185">
        <v>350.435</v>
      </c>
      <c r="AY185">
        <v>27.807300000000001</v>
      </c>
      <c r="AZ185">
        <v>300.10300000000001</v>
      </c>
      <c r="BA185">
        <v>99.076800000000006</v>
      </c>
      <c r="BB185">
        <v>0.100039</v>
      </c>
      <c r="BC185">
        <v>25.644100000000002</v>
      </c>
      <c r="BD185">
        <v>27.027699999999999</v>
      </c>
      <c r="BE185">
        <v>26.853999999999999</v>
      </c>
      <c r="BF185">
        <v>0</v>
      </c>
      <c r="BG185">
        <v>0</v>
      </c>
      <c r="BH185">
        <v>9998.75</v>
      </c>
      <c r="BI185">
        <v>1066.1600000000001</v>
      </c>
      <c r="BJ185">
        <v>1.90625</v>
      </c>
      <c r="BK185">
        <v>-450.274</v>
      </c>
      <c r="BL185">
        <v>359.82400000000001</v>
      </c>
      <c r="BM185">
        <v>805.84299999999996</v>
      </c>
      <c r="BN185">
        <v>20.764099999999999</v>
      </c>
      <c r="BO185">
        <v>800.03200000000004</v>
      </c>
      <c r="BP185">
        <v>7.21089</v>
      </c>
      <c r="BQ185">
        <v>2.7716699999999999</v>
      </c>
      <c r="BR185">
        <v>0.71443199999999996</v>
      </c>
      <c r="BS185">
        <v>22.7164</v>
      </c>
      <c r="BT185">
        <v>2.1119699999999999</v>
      </c>
      <c r="BU185">
        <v>1800</v>
      </c>
      <c r="BV185">
        <v>0.90999200000000002</v>
      </c>
      <c r="BW185">
        <v>3.4006000000000002E-2</v>
      </c>
      <c r="BX185">
        <v>2.2001300000000001E-2</v>
      </c>
      <c r="BY185">
        <v>3.4000900000000001E-2</v>
      </c>
      <c r="BZ185">
        <v>25</v>
      </c>
      <c r="CA185">
        <v>33528.300000000003</v>
      </c>
      <c r="CB185">
        <v>1690203121.0999999</v>
      </c>
      <c r="CC185" t="s">
        <v>332</v>
      </c>
      <c r="CD185">
        <v>1690203121.0999999</v>
      </c>
      <c r="CE185">
        <v>1690203121.0999999</v>
      </c>
      <c r="CF185">
        <v>3</v>
      </c>
      <c r="CG185">
        <v>0.53600000000000003</v>
      </c>
      <c r="CH185">
        <v>-0.01</v>
      </c>
      <c r="CI185">
        <v>-0.996</v>
      </c>
      <c r="CJ185">
        <v>-6.6000000000000003E-2</v>
      </c>
      <c r="CK185">
        <v>800</v>
      </c>
      <c r="CL185">
        <v>9</v>
      </c>
      <c r="CM185">
        <v>0.82</v>
      </c>
      <c r="CN185">
        <v>0.01</v>
      </c>
      <c r="CO185">
        <v>-449.67567500000013</v>
      </c>
      <c r="CP185">
        <v>-2.914322701687595</v>
      </c>
      <c r="CQ185">
        <v>0.30088979606328031</v>
      </c>
      <c r="CR185">
        <v>-1</v>
      </c>
      <c r="CS185">
        <v>20.738542500000001</v>
      </c>
      <c r="CT185">
        <v>9.1381238273845741E-2</v>
      </c>
      <c r="CU185">
        <v>8.8258112233380679E-3</v>
      </c>
      <c r="CV185">
        <v>-1</v>
      </c>
      <c r="CW185">
        <v>0</v>
      </c>
      <c r="CX185">
        <v>0</v>
      </c>
      <c r="CY185" t="s">
        <v>333</v>
      </c>
      <c r="CZ185">
        <v>2.3648799999999999</v>
      </c>
      <c r="DA185">
        <v>2.7138300000000002</v>
      </c>
      <c r="DB185">
        <v>8.0873899999999999E-2</v>
      </c>
      <c r="DC185">
        <v>0.14629500000000001</v>
      </c>
      <c r="DD185">
        <v>0.127025</v>
      </c>
      <c r="DE185">
        <v>4.5837500000000003E-2</v>
      </c>
      <c r="DF185">
        <v>33550.9</v>
      </c>
      <c r="DG185">
        <v>27478.400000000001</v>
      </c>
      <c r="DH185">
        <v>31160.5</v>
      </c>
      <c r="DI185">
        <v>28044.799999999999</v>
      </c>
      <c r="DJ185">
        <v>36912</v>
      </c>
      <c r="DK185">
        <v>38032.800000000003</v>
      </c>
      <c r="DL185">
        <v>44339.4</v>
      </c>
      <c r="DM185">
        <v>42482.5</v>
      </c>
      <c r="DN185">
        <v>1.4851799999999999</v>
      </c>
      <c r="DO185">
        <v>2.0554000000000001</v>
      </c>
      <c r="DP185">
        <v>0.16365199999999999</v>
      </c>
      <c r="DQ185">
        <v>0.15568000000000001</v>
      </c>
      <c r="DR185">
        <v>24.345600000000001</v>
      </c>
      <c r="DS185">
        <v>24.302099999999999</v>
      </c>
      <c r="DT185">
        <v>23.3</v>
      </c>
      <c r="DU185">
        <v>28</v>
      </c>
      <c r="DV185">
        <v>8.9240300000000001</v>
      </c>
      <c r="DW185">
        <v>61.592799999999997</v>
      </c>
      <c r="DX185">
        <v>37.251600000000003</v>
      </c>
      <c r="DY185">
        <v>1</v>
      </c>
      <c r="DZ185">
        <v>-0.138407</v>
      </c>
      <c r="EA185">
        <v>0.24537900000000001</v>
      </c>
      <c r="EB185">
        <v>20.191099999999999</v>
      </c>
      <c r="EC185">
        <v>5.2421499999999996</v>
      </c>
      <c r="ED185">
        <v>12.039899999999999</v>
      </c>
      <c r="EE185">
        <v>5.0172999999999996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1.8646199999999999</v>
      </c>
      <c r="EM185">
        <v>1.86914</v>
      </c>
      <c r="EN185">
        <v>1.8672200000000001</v>
      </c>
      <c r="EO185">
        <v>1.8633999999999999</v>
      </c>
      <c r="EP185">
        <v>1.8644799999999999</v>
      </c>
      <c r="EQ185">
        <v>1.8701300000000001</v>
      </c>
      <c r="ER185">
        <v>1.8693900000000001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-0.67700000000000005</v>
      </c>
      <c r="FG185">
        <v>0.16769999999999999</v>
      </c>
      <c r="FH185">
        <v>-0.44422204735670362</v>
      </c>
      <c r="FI185">
        <v>-6.1462078757559423E-4</v>
      </c>
      <c r="FJ185">
        <v>-1.8861989874597051E-7</v>
      </c>
      <c r="FK185">
        <v>1.1980462299894961E-10</v>
      </c>
      <c r="FL185">
        <v>0.16773393518503121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38.9</v>
      </c>
      <c r="FU185">
        <v>38.9</v>
      </c>
      <c r="FV185">
        <v>1.78101</v>
      </c>
      <c r="FW185">
        <v>2.5622600000000002</v>
      </c>
      <c r="FX185">
        <v>1.5490699999999999</v>
      </c>
      <c r="FY185">
        <v>2.33521</v>
      </c>
      <c r="FZ185">
        <v>1.50146</v>
      </c>
      <c r="GA185">
        <v>2.3706100000000001</v>
      </c>
      <c r="GB185">
        <v>32.553899999999999</v>
      </c>
      <c r="GC185">
        <v>23.991199999999999</v>
      </c>
      <c r="GD185">
        <v>19</v>
      </c>
      <c r="GE185">
        <v>284.25599999999997</v>
      </c>
      <c r="GF185">
        <v>592.59100000000001</v>
      </c>
      <c r="GG185">
        <v>23.796299999999999</v>
      </c>
      <c r="GH185">
        <v>25.651700000000002</v>
      </c>
      <c r="GI185">
        <v>30.0002</v>
      </c>
      <c r="GJ185">
        <v>25.801400000000001</v>
      </c>
      <c r="GK185">
        <v>25.783200000000001</v>
      </c>
      <c r="GL185">
        <v>35.601500000000001</v>
      </c>
      <c r="GM185">
        <v>-30</v>
      </c>
      <c r="GN185">
        <v>-30</v>
      </c>
      <c r="GO185">
        <v>23.7454</v>
      </c>
      <c r="GP185">
        <v>800</v>
      </c>
      <c r="GQ185">
        <v>12.5298</v>
      </c>
      <c r="GR185">
        <v>99.693799999999996</v>
      </c>
      <c r="GS185">
        <v>99.403400000000005</v>
      </c>
    </row>
    <row r="186" spans="1:201" x14ac:dyDescent="0.25">
      <c r="A186">
        <v>170</v>
      </c>
      <c r="B186">
        <v>1690205465.5999999</v>
      </c>
      <c r="C186">
        <v>2026</v>
      </c>
      <c r="D186" t="s">
        <v>673</v>
      </c>
      <c r="E186" t="s">
        <v>674</v>
      </c>
      <c r="F186" t="s">
        <v>330</v>
      </c>
      <c r="H186">
        <v>1690205465.5999999</v>
      </c>
      <c r="I186">
        <f t="shared" si="60"/>
        <v>2.0572952267269113E-3</v>
      </c>
      <c r="J186">
        <f t="shared" si="61"/>
        <v>2.0572952267269113</v>
      </c>
      <c r="K186">
        <f t="shared" si="62"/>
        <v>42.607921097236762</v>
      </c>
      <c r="L186">
        <f t="shared" si="63"/>
        <v>349.41800000000001</v>
      </c>
      <c r="M186">
        <f t="shared" si="64"/>
        <v>67.297651197839997</v>
      </c>
      <c r="N186">
        <f t="shared" si="65"/>
        <v>6.6742084658154441</v>
      </c>
      <c r="O186">
        <f t="shared" si="66"/>
        <v>34.653342757126602</v>
      </c>
      <c r="P186">
        <f t="shared" si="67"/>
        <v>0.2576255391502365</v>
      </c>
      <c r="Q186">
        <f t="shared" si="68"/>
        <v>2.197985061089752</v>
      </c>
      <c r="R186">
        <f t="shared" si="69"/>
        <v>0.24194867427614827</v>
      </c>
      <c r="S186">
        <f t="shared" si="70"/>
        <v>0.15254686462716835</v>
      </c>
      <c r="T186">
        <f t="shared" si="71"/>
        <v>276.11564400000003</v>
      </c>
      <c r="U186">
        <f t="shared" si="72"/>
        <v>27.067440534016338</v>
      </c>
      <c r="V186">
        <f t="shared" si="73"/>
        <v>27.067440534016338</v>
      </c>
      <c r="W186">
        <f t="shared" si="74"/>
        <v>3.5933610964280174</v>
      </c>
      <c r="X186">
        <f t="shared" si="75"/>
        <v>84.073404131370395</v>
      </c>
      <c r="Y186">
        <f t="shared" si="76"/>
        <v>2.7771626720983598</v>
      </c>
      <c r="Z186">
        <f t="shared" si="77"/>
        <v>3.3032594561757658</v>
      </c>
      <c r="AA186">
        <f t="shared" si="78"/>
        <v>0.81619842432965761</v>
      </c>
      <c r="AB186">
        <f t="shared" si="79"/>
        <v>-90.726719498656792</v>
      </c>
      <c r="AC186">
        <f t="shared" si="80"/>
        <v>-169.0181734165632</v>
      </c>
      <c r="AD186">
        <f t="shared" si="81"/>
        <v>-16.488407546645988</v>
      </c>
      <c r="AE186">
        <f t="shared" si="82"/>
        <v>-0.11765646186594836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52783.583137124049</v>
      </c>
      <c r="AK186">
        <f t="shared" si="86"/>
        <v>1800</v>
      </c>
      <c r="AL186">
        <f t="shared" si="87"/>
        <v>1499.1109740000002</v>
      </c>
      <c r="AM186">
        <f t="shared" si="88"/>
        <v>0.83283943000000005</v>
      </c>
      <c r="AN186">
        <f t="shared" si="89"/>
        <v>0.15339758000000001</v>
      </c>
      <c r="AO186">
        <v>31.2</v>
      </c>
      <c r="AP186">
        <v>0.5</v>
      </c>
      <c r="AQ186" t="s">
        <v>331</v>
      </c>
      <c r="AR186">
        <v>2</v>
      </c>
      <c r="AS186">
        <v>1690205465.5999999</v>
      </c>
      <c r="AT186">
        <v>349.41800000000001</v>
      </c>
      <c r="AU186">
        <v>800.03</v>
      </c>
      <c r="AV186">
        <v>28.002800000000001</v>
      </c>
      <c r="AW186">
        <v>7.2054499999999999</v>
      </c>
      <c r="AX186">
        <v>350.096</v>
      </c>
      <c r="AY186">
        <v>27.835000000000001</v>
      </c>
      <c r="AZ186">
        <v>299.99099999999999</v>
      </c>
      <c r="BA186">
        <v>99.0745</v>
      </c>
      <c r="BB186">
        <v>9.9963700000000003E-2</v>
      </c>
      <c r="BC186">
        <v>25.641100000000002</v>
      </c>
      <c r="BD186">
        <v>27.092600000000001</v>
      </c>
      <c r="BE186">
        <v>26.8504</v>
      </c>
      <c r="BF186">
        <v>0</v>
      </c>
      <c r="BG186">
        <v>0</v>
      </c>
      <c r="BH186">
        <v>10031.200000000001</v>
      </c>
      <c r="BI186">
        <v>1066.1199999999999</v>
      </c>
      <c r="BJ186">
        <v>1.90625</v>
      </c>
      <c r="BK186">
        <v>-450.61200000000002</v>
      </c>
      <c r="BL186">
        <v>359.48500000000001</v>
      </c>
      <c r="BM186">
        <v>805.83699999999999</v>
      </c>
      <c r="BN186">
        <v>20.7973</v>
      </c>
      <c r="BO186">
        <v>800.03</v>
      </c>
      <c r="BP186">
        <v>7.2054499999999999</v>
      </c>
      <c r="BQ186">
        <v>2.7743600000000002</v>
      </c>
      <c r="BR186">
        <v>0.71387599999999996</v>
      </c>
      <c r="BS186">
        <v>22.732299999999999</v>
      </c>
      <c r="BT186">
        <v>2.10107</v>
      </c>
      <c r="BU186">
        <v>1800</v>
      </c>
      <c r="BV186">
        <v>0.90999300000000005</v>
      </c>
      <c r="BW186">
        <v>3.40057E-2</v>
      </c>
      <c r="BX186">
        <v>2.2001E-2</v>
      </c>
      <c r="BY186">
        <v>3.4000599999999999E-2</v>
      </c>
      <c r="BZ186">
        <v>25</v>
      </c>
      <c r="CA186">
        <v>33528.400000000001</v>
      </c>
      <c r="CB186">
        <v>1690203121.0999999</v>
      </c>
      <c r="CC186" t="s">
        <v>332</v>
      </c>
      <c r="CD186">
        <v>1690203121.0999999</v>
      </c>
      <c r="CE186">
        <v>1690203121.0999999</v>
      </c>
      <c r="CF186">
        <v>3</v>
      </c>
      <c r="CG186">
        <v>0.53600000000000003</v>
      </c>
      <c r="CH186">
        <v>-0.01</v>
      </c>
      <c r="CI186">
        <v>-0.996</v>
      </c>
      <c r="CJ186">
        <v>-6.6000000000000003E-2</v>
      </c>
      <c r="CK186">
        <v>800</v>
      </c>
      <c r="CL186">
        <v>9</v>
      </c>
      <c r="CM186">
        <v>0.82</v>
      </c>
      <c r="CN186">
        <v>0.01</v>
      </c>
      <c r="CO186">
        <v>-450.09030000000001</v>
      </c>
      <c r="CP186">
        <v>-2.4915872420251461</v>
      </c>
      <c r="CQ186">
        <v>0.25375019211815208</v>
      </c>
      <c r="CR186">
        <v>-1</v>
      </c>
      <c r="CS186">
        <v>20.762930000000001</v>
      </c>
      <c r="CT186">
        <v>0.191840150093782</v>
      </c>
      <c r="CU186">
        <v>1.8865062947151991E-2</v>
      </c>
      <c r="CV186">
        <v>-1</v>
      </c>
      <c r="CW186">
        <v>0</v>
      </c>
      <c r="CX186">
        <v>0</v>
      </c>
      <c r="CY186" t="s">
        <v>333</v>
      </c>
      <c r="CZ186">
        <v>2.3645200000000002</v>
      </c>
      <c r="DA186">
        <v>2.7137799999999999</v>
      </c>
      <c r="DB186">
        <v>8.0810900000000005E-2</v>
      </c>
      <c r="DC186">
        <v>0.14629200000000001</v>
      </c>
      <c r="DD186">
        <v>0.12711</v>
      </c>
      <c r="DE186">
        <v>4.5809000000000002E-2</v>
      </c>
      <c r="DF186">
        <v>33553.300000000003</v>
      </c>
      <c r="DG186">
        <v>27478.7</v>
      </c>
      <c r="DH186">
        <v>31160.6</v>
      </c>
      <c r="DI186">
        <v>28045</v>
      </c>
      <c r="DJ186">
        <v>36908.5</v>
      </c>
      <c r="DK186">
        <v>38034.1</v>
      </c>
      <c r="DL186">
        <v>44339.5</v>
      </c>
      <c r="DM186">
        <v>42482.6</v>
      </c>
      <c r="DN186">
        <v>1.48465</v>
      </c>
      <c r="DO186">
        <v>2.0556800000000002</v>
      </c>
      <c r="DP186">
        <v>0.167467</v>
      </c>
      <c r="DQ186">
        <v>0.15518100000000001</v>
      </c>
      <c r="DR186">
        <v>24.348099999999999</v>
      </c>
      <c r="DS186">
        <v>24.3066</v>
      </c>
      <c r="DT186">
        <v>23.3</v>
      </c>
      <c r="DU186">
        <v>28</v>
      </c>
      <c r="DV186">
        <v>8.9246400000000001</v>
      </c>
      <c r="DW186">
        <v>61.372799999999998</v>
      </c>
      <c r="DX186">
        <v>37.279600000000002</v>
      </c>
      <c r="DY186">
        <v>1</v>
      </c>
      <c r="DZ186">
        <v>-0.13810700000000001</v>
      </c>
      <c r="EA186">
        <v>0.40906599999999999</v>
      </c>
      <c r="EB186">
        <v>20.1904</v>
      </c>
      <c r="EC186">
        <v>5.2413999999999996</v>
      </c>
      <c r="ED186">
        <v>12.039899999999999</v>
      </c>
      <c r="EE186">
        <v>5.0170500000000002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1.8689100000000001</v>
      </c>
      <c r="EL186">
        <v>1.8646199999999999</v>
      </c>
      <c r="EM186">
        <v>1.8691599999999999</v>
      </c>
      <c r="EN186">
        <v>1.8672200000000001</v>
      </c>
      <c r="EO186">
        <v>1.8633999999999999</v>
      </c>
      <c r="EP186">
        <v>1.8644799999999999</v>
      </c>
      <c r="EQ186">
        <v>1.8701399999999999</v>
      </c>
      <c r="ER186">
        <v>1.86938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-0.67800000000000005</v>
      </c>
      <c r="FG186">
        <v>0.1678</v>
      </c>
      <c r="FH186">
        <v>-0.44422204735670362</v>
      </c>
      <c r="FI186">
        <v>-6.1462078757559423E-4</v>
      </c>
      <c r="FJ186">
        <v>-1.8861989874597051E-7</v>
      </c>
      <c r="FK186">
        <v>1.1980462299894961E-10</v>
      </c>
      <c r="FL186">
        <v>0.16773393518503121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39.1</v>
      </c>
      <c r="FU186">
        <v>39.1</v>
      </c>
      <c r="FV186">
        <v>1.78101</v>
      </c>
      <c r="FW186">
        <v>2.5561500000000001</v>
      </c>
      <c r="FX186">
        <v>1.5490699999999999</v>
      </c>
      <c r="FY186">
        <v>2.3339799999999999</v>
      </c>
      <c r="FZ186">
        <v>1.50146</v>
      </c>
      <c r="GA186">
        <v>2.3938000000000001</v>
      </c>
      <c r="GB186">
        <v>32.553899999999999</v>
      </c>
      <c r="GC186">
        <v>23.991199999999999</v>
      </c>
      <c r="GD186">
        <v>19</v>
      </c>
      <c r="GE186">
        <v>284.02600000000001</v>
      </c>
      <c r="GF186">
        <v>592.80600000000004</v>
      </c>
      <c r="GG186">
        <v>23.714400000000001</v>
      </c>
      <c r="GH186">
        <v>25.650099999999998</v>
      </c>
      <c r="GI186">
        <v>30.0001</v>
      </c>
      <c r="GJ186">
        <v>25.799800000000001</v>
      </c>
      <c r="GK186">
        <v>25.7821</v>
      </c>
      <c r="GL186">
        <v>35.601399999999998</v>
      </c>
      <c r="GM186">
        <v>-30</v>
      </c>
      <c r="GN186">
        <v>-30</v>
      </c>
      <c r="GO186">
        <v>23.663</v>
      </c>
      <c r="GP186">
        <v>800</v>
      </c>
      <c r="GQ186">
        <v>12.5298</v>
      </c>
      <c r="GR186">
        <v>99.694000000000003</v>
      </c>
      <c r="GS186">
        <v>99.403800000000004</v>
      </c>
    </row>
    <row r="187" spans="1:201" x14ac:dyDescent="0.25">
      <c r="A187">
        <v>171</v>
      </c>
      <c r="B187">
        <v>1690205475.5999999</v>
      </c>
      <c r="C187">
        <v>2036</v>
      </c>
      <c r="D187" t="s">
        <v>675</v>
      </c>
      <c r="E187" t="s">
        <v>676</v>
      </c>
      <c r="F187" t="s">
        <v>330</v>
      </c>
      <c r="H187">
        <v>1690205475.5999999</v>
      </c>
      <c r="I187">
        <f t="shared" si="60"/>
        <v>2.057957781972374E-3</v>
      </c>
      <c r="J187">
        <f t="shared" si="61"/>
        <v>2.057957781972374</v>
      </c>
      <c r="K187">
        <f t="shared" si="62"/>
        <v>42.656847704008648</v>
      </c>
      <c r="L187">
        <f t="shared" si="63"/>
        <v>348.89600000000002</v>
      </c>
      <c r="M187">
        <f t="shared" si="64"/>
        <v>67.183223517572429</v>
      </c>
      <c r="N187">
        <f t="shared" si="65"/>
        <v>6.6629371875582359</v>
      </c>
      <c r="O187">
        <f t="shared" si="66"/>
        <v>34.601973696339201</v>
      </c>
      <c r="P187">
        <f t="shared" si="67"/>
        <v>0.25835362918418769</v>
      </c>
      <c r="Q187">
        <f t="shared" si="68"/>
        <v>2.1936325677417701</v>
      </c>
      <c r="R187">
        <f t="shared" si="69"/>
        <v>0.24256171289724637</v>
      </c>
      <c r="S187">
        <f t="shared" si="70"/>
        <v>0.15293940509181581</v>
      </c>
      <c r="T187">
        <f t="shared" si="71"/>
        <v>276.11393479517352</v>
      </c>
      <c r="U187">
        <f t="shared" si="72"/>
        <v>27.058995573664379</v>
      </c>
      <c r="V187">
        <f t="shared" si="73"/>
        <v>27.058995573664379</v>
      </c>
      <c r="W187">
        <f t="shared" si="74"/>
        <v>3.5915800950961154</v>
      </c>
      <c r="X187">
        <f t="shared" si="75"/>
        <v>84.127368517539864</v>
      </c>
      <c r="Y187">
        <f t="shared" si="76"/>
        <v>2.7771650246255</v>
      </c>
      <c r="Z187">
        <f t="shared" si="77"/>
        <v>3.3011433420106133</v>
      </c>
      <c r="AA187">
        <f t="shared" si="78"/>
        <v>0.81441507047061545</v>
      </c>
      <c r="AB187">
        <f t="shared" si="79"/>
        <v>-90.755938184981687</v>
      </c>
      <c r="AC187">
        <f t="shared" si="80"/>
        <v>-168.96199463174918</v>
      </c>
      <c r="AD187">
        <f t="shared" si="81"/>
        <v>-16.514039383552674</v>
      </c>
      <c r="AE187">
        <f t="shared" si="82"/>
        <v>-0.11803740511004435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52606.602254036901</v>
      </c>
      <c r="AK187">
        <f t="shared" si="86"/>
        <v>1799.99</v>
      </c>
      <c r="AL187">
        <f t="shared" si="87"/>
        <v>1499.1025376062998</v>
      </c>
      <c r="AM187">
        <f t="shared" si="88"/>
        <v>0.83283936999999997</v>
      </c>
      <c r="AN187">
        <f t="shared" si="89"/>
        <v>0.15339748265</v>
      </c>
      <c r="AO187">
        <v>31.2</v>
      </c>
      <c r="AP187">
        <v>0.5</v>
      </c>
      <c r="AQ187" t="s">
        <v>331</v>
      </c>
      <c r="AR187">
        <v>2</v>
      </c>
      <c r="AS187">
        <v>1690205475.5999999</v>
      </c>
      <c r="AT187">
        <v>348.89600000000002</v>
      </c>
      <c r="AU187">
        <v>799.97199999999998</v>
      </c>
      <c r="AV187">
        <v>28.002500000000001</v>
      </c>
      <c r="AW187">
        <v>7.2001099999999996</v>
      </c>
      <c r="AX187">
        <v>349.57299999999998</v>
      </c>
      <c r="AY187">
        <v>27.834800000000001</v>
      </c>
      <c r="AZ187">
        <v>300.01499999999999</v>
      </c>
      <c r="BA187">
        <v>99.075699999999998</v>
      </c>
      <c r="BB187">
        <v>9.9910200000000005E-2</v>
      </c>
      <c r="BC187">
        <v>25.630299999999998</v>
      </c>
      <c r="BD187">
        <v>26.979800000000001</v>
      </c>
      <c r="BE187">
        <v>26.8338</v>
      </c>
      <c r="BF187">
        <v>0</v>
      </c>
      <c r="BG187">
        <v>0</v>
      </c>
      <c r="BH187">
        <v>9995.6200000000008</v>
      </c>
      <c r="BI187">
        <v>1066.08</v>
      </c>
      <c r="BJ187">
        <v>1.91045</v>
      </c>
      <c r="BK187">
        <v>-451.07600000000002</v>
      </c>
      <c r="BL187">
        <v>358.947</v>
      </c>
      <c r="BM187">
        <v>805.774</v>
      </c>
      <c r="BN187">
        <v>20.802399999999999</v>
      </c>
      <c r="BO187">
        <v>799.97199999999998</v>
      </c>
      <c r="BP187">
        <v>7.2001099999999996</v>
      </c>
      <c r="BQ187">
        <v>2.7743699999999998</v>
      </c>
      <c r="BR187">
        <v>0.71335599999999999</v>
      </c>
      <c r="BS187">
        <v>22.732399999999998</v>
      </c>
      <c r="BT187">
        <v>2.0908600000000002</v>
      </c>
      <c r="BU187">
        <v>1799.99</v>
      </c>
      <c r="BV187">
        <v>0.909995</v>
      </c>
      <c r="BW187">
        <v>3.4004800000000002E-2</v>
      </c>
      <c r="BX187">
        <v>2.2000499999999999E-2</v>
      </c>
      <c r="BY187">
        <v>3.3999700000000001E-2</v>
      </c>
      <c r="BZ187">
        <v>25</v>
      </c>
      <c r="CA187">
        <v>33528.199999999997</v>
      </c>
      <c r="CB187">
        <v>1690203121.0999999</v>
      </c>
      <c r="CC187" t="s">
        <v>332</v>
      </c>
      <c r="CD187">
        <v>1690203121.0999999</v>
      </c>
      <c r="CE187">
        <v>1690203121.0999999</v>
      </c>
      <c r="CF187">
        <v>3</v>
      </c>
      <c r="CG187">
        <v>0.53600000000000003</v>
      </c>
      <c r="CH187">
        <v>-0.01</v>
      </c>
      <c r="CI187">
        <v>-0.996</v>
      </c>
      <c r="CJ187">
        <v>-6.6000000000000003E-2</v>
      </c>
      <c r="CK187">
        <v>800</v>
      </c>
      <c r="CL187">
        <v>9</v>
      </c>
      <c r="CM187">
        <v>0.82</v>
      </c>
      <c r="CN187">
        <v>0.01</v>
      </c>
      <c r="CO187">
        <v>-450.59652499999987</v>
      </c>
      <c r="CP187">
        <v>-2.901512195121863</v>
      </c>
      <c r="CQ187">
        <v>0.29197405599642079</v>
      </c>
      <c r="CR187">
        <v>-1</v>
      </c>
      <c r="CS187">
        <v>20.792149999999999</v>
      </c>
      <c r="CT187">
        <v>0.10660412757968819</v>
      </c>
      <c r="CU187">
        <v>1.095488475521318E-2</v>
      </c>
      <c r="CV187">
        <v>-1</v>
      </c>
      <c r="CW187">
        <v>0</v>
      </c>
      <c r="CX187">
        <v>0</v>
      </c>
      <c r="CY187" t="s">
        <v>333</v>
      </c>
      <c r="CZ187">
        <v>2.3646099999999999</v>
      </c>
      <c r="DA187">
        <v>2.7136999999999998</v>
      </c>
      <c r="DB187">
        <v>8.07171E-2</v>
      </c>
      <c r="DC187">
        <v>0.146287</v>
      </c>
      <c r="DD187">
        <v>0.127111</v>
      </c>
      <c r="DE187">
        <v>4.5782700000000003E-2</v>
      </c>
      <c r="DF187">
        <v>33556.6</v>
      </c>
      <c r="DG187">
        <v>27478.9</v>
      </c>
      <c r="DH187">
        <v>31160.5</v>
      </c>
      <c r="DI187">
        <v>28045</v>
      </c>
      <c r="DJ187">
        <v>36908.400000000001</v>
      </c>
      <c r="DK187">
        <v>38035.1</v>
      </c>
      <c r="DL187">
        <v>44339.5</v>
      </c>
      <c r="DM187">
        <v>42482.6</v>
      </c>
      <c r="DN187">
        <v>1.4844999999999999</v>
      </c>
      <c r="DO187">
        <v>2.0556999999999999</v>
      </c>
      <c r="DP187">
        <v>0.16043299999999999</v>
      </c>
      <c r="DQ187">
        <v>0.15388099999999999</v>
      </c>
      <c r="DR187">
        <v>24.350300000000001</v>
      </c>
      <c r="DS187">
        <v>24.311399999999999</v>
      </c>
      <c r="DT187">
        <v>23.3</v>
      </c>
      <c r="DU187">
        <v>28</v>
      </c>
      <c r="DV187">
        <v>8.9237000000000002</v>
      </c>
      <c r="DW187">
        <v>61.392800000000001</v>
      </c>
      <c r="DX187">
        <v>37.2316</v>
      </c>
      <c r="DY187">
        <v>1</v>
      </c>
      <c r="DZ187">
        <v>-0.13819600000000001</v>
      </c>
      <c r="EA187">
        <v>0.27440900000000001</v>
      </c>
      <c r="EB187">
        <v>20.190300000000001</v>
      </c>
      <c r="EC187">
        <v>5.24125</v>
      </c>
      <c r="ED187">
        <v>12.039899999999999</v>
      </c>
      <c r="EE187">
        <v>5.0172499999999998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</v>
      </c>
      <c r="EL187">
        <v>1.8646199999999999</v>
      </c>
      <c r="EM187">
        <v>1.86917</v>
      </c>
      <c r="EN187">
        <v>1.8672200000000001</v>
      </c>
      <c r="EO187">
        <v>1.8633999999999999</v>
      </c>
      <c r="EP187">
        <v>1.8644700000000001</v>
      </c>
      <c r="EQ187">
        <v>1.8701399999999999</v>
      </c>
      <c r="ER187">
        <v>1.8693900000000001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-0.67700000000000005</v>
      </c>
      <c r="FG187">
        <v>0.16769999999999999</v>
      </c>
      <c r="FH187">
        <v>-0.44422204735670362</v>
      </c>
      <c r="FI187">
        <v>-6.1462078757559423E-4</v>
      </c>
      <c r="FJ187">
        <v>-1.8861989874597051E-7</v>
      </c>
      <c r="FK187">
        <v>1.1980462299894961E-10</v>
      </c>
      <c r="FL187">
        <v>0.16773393518503121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39.200000000000003</v>
      </c>
      <c r="FU187">
        <v>39.200000000000003</v>
      </c>
      <c r="FV187">
        <v>1.78101</v>
      </c>
      <c r="FW187">
        <v>2.5561500000000001</v>
      </c>
      <c r="FX187">
        <v>1.5490699999999999</v>
      </c>
      <c r="FY187">
        <v>2.33521</v>
      </c>
      <c r="FZ187">
        <v>1.50024</v>
      </c>
      <c r="GA187">
        <v>2.3962400000000001</v>
      </c>
      <c r="GB187">
        <v>32.553899999999999</v>
      </c>
      <c r="GC187">
        <v>23.991199999999999</v>
      </c>
      <c r="GD187">
        <v>19</v>
      </c>
      <c r="GE187">
        <v>283.95699999999999</v>
      </c>
      <c r="GF187">
        <v>592.80200000000002</v>
      </c>
      <c r="GG187">
        <v>23.596399999999999</v>
      </c>
      <c r="GH187">
        <v>25.6495</v>
      </c>
      <c r="GI187">
        <v>30</v>
      </c>
      <c r="GJ187">
        <v>25.7987</v>
      </c>
      <c r="GK187">
        <v>25.779900000000001</v>
      </c>
      <c r="GL187">
        <v>35.600099999999998</v>
      </c>
      <c r="GM187">
        <v>-30</v>
      </c>
      <c r="GN187">
        <v>-30</v>
      </c>
      <c r="GO187">
        <v>23.703800000000001</v>
      </c>
      <c r="GP187">
        <v>800</v>
      </c>
      <c r="GQ187">
        <v>12.5298</v>
      </c>
      <c r="GR187">
        <v>99.693899999999999</v>
      </c>
      <c r="GS187">
        <v>99.403800000000004</v>
      </c>
    </row>
    <row r="188" spans="1:201" x14ac:dyDescent="0.25">
      <c r="A188">
        <v>172</v>
      </c>
      <c r="B188">
        <v>1690205485.5999999</v>
      </c>
      <c r="C188">
        <v>2046</v>
      </c>
      <c r="D188" t="s">
        <v>677</v>
      </c>
      <c r="E188" t="s">
        <v>678</v>
      </c>
      <c r="F188" t="s">
        <v>330</v>
      </c>
      <c r="H188">
        <v>1690205485.5999999</v>
      </c>
      <c r="I188">
        <f t="shared" si="60"/>
        <v>2.0588138559283205E-3</v>
      </c>
      <c r="J188">
        <f t="shared" si="61"/>
        <v>2.0588138559283204</v>
      </c>
      <c r="K188">
        <f t="shared" si="62"/>
        <v>42.713593475546503</v>
      </c>
      <c r="L188">
        <f t="shared" si="63"/>
        <v>348.54300000000001</v>
      </c>
      <c r="M188">
        <f t="shared" si="64"/>
        <v>66.831239969172287</v>
      </c>
      <c r="N188">
        <f t="shared" si="65"/>
        <v>6.6279943456842432</v>
      </c>
      <c r="O188">
        <f t="shared" si="66"/>
        <v>34.566783951538802</v>
      </c>
      <c r="P188">
        <f t="shared" si="67"/>
        <v>0.25868829301098512</v>
      </c>
      <c r="Q188">
        <f t="shared" si="68"/>
        <v>2.1969994374480248</v>
      </c>
      <c r="R188">
        <f t="shared" si="69"/>
        <v>0.24287945315790962</v>
      </c>
      <c r="S188">
        <f t="shared" si="70"/>
        <v>0.15313944505244537</v>
      </c>
      <c r="T188">
        <f t="shared" si="71"/>
        <v>276.1138554876141</v>
      </c>
      <c r="U188">
        <f t="shared" si="72"/>
        <v>27.052813260441607</v>
      </c>
      <c r="V188">
        <f t="shared" si="73"/>
        <v>27.052813260441607</v>
      </c>
      <c r="W188">
        <f t="shared" si="74"/>
        <v>3.5902767636735349</v>
      </c>
      <c r="X188">
        <f t="shared" si="75"/>
        <v>84.129271215503522</v>
      </c>
      <c r="Y188">
        <f t="shared" si="76"/>
        <v>2.7765852045068802</v>
      </c>
      <c r="Z188">
        <f t="shared" si="77"/>
        <v>3.3003794807569964</v>
      </c>
      <c r="AA188">
        <f t="shared" si="78"/>
        <v>0.8136915591666547</v>
      </c>
      <c r="AB188">
        <f t="shared" si="79"/>
        <v>-90.793691046438937</v>
      </c>
      <c r="AC188">
        <f t="shared" si="80"/>
        <v>-168.95099609745827</v>
      </c>
      <c r="AD188">
        <f t="shared" si="81"/>
        <v>-16.486825257871072</v>
      </c>
      <c r="AE188">
        <f t="shared" si="82"/>
        <v>-0.1176569141541961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52745.646320344713</v>
      </c>
      <c r="AK188">
        <f t="shared" si="86"/>
        <v>1799.99</v>
      </c>
      <c r="AL188">
        <f t="shared" si="87"/>
        <v>1499.10253580631</v>
      </c>
      <c r="AM188">
        <f t="shared" si="88"/>
        <v>0.832839369</v>
      </c>
      <c r="AN188">
        <f t="shared" si="89"/>
        <v>0.15339743858999999</v>
      </c>
      <c r="AO188">
        <v>31.2</v>
      </c>
      <c r="AP188">
        <v>0.5</v>
      </c>
      <c r="AQ188" t="s">
        <v>331</v>
      </c>
      <c r="AR188">
        <v>2</v>
      </c>
      <c r="AS188">
        <v>1690205485.5999999</v>
      </c>
      <c r="AT188">
        <v>348.54300000000001</v>
      </c>
      <c r="AU188">
        <v>799.99099999999999</v>
      </c>
      <c r="AV188">
        <v>27.9968</v>
      </c>
      <c r="AW188">
        <v>7.1954799999999999</v>
      </c>
      <c r="AX188">
        <v>349.22</v>
      </c>
      <c r="AY188">
        <v>27.8291</v>
      </c>
      <c r="AZ188">
        <v>300.15699999999998</v>
      </c>
      <c r="BA188">
        <v>99.075100000000006</v>
      </c>
      <c r="BB188">
        <v>9.99916E-2</v>
      </c>
      <c r="BC188">
        <v>25.6264</v>
      </c>
      <c r="BD188">
        <v>26.9377</v>
      </c>
      <c r="BE188">
        <v>26.8215</v>
      </c>
      <c r="BF188">
        <v>0</v>
      </c>
      <c r="BG188">
        <v>0</v>
      </c>
      <c r="BH188">
        <v>10023.1</v>
      </c>
      <c r="BI188">
        <v>1066</v>
      </c>
      <c r="BJ188">
        <v>1.9482999999999999</v>
      </c>
      <c r="BK188">
        <v>-451.44799999999998</v>
      </c>
      <c r="BL188">
        <v>358.58199999999999</v>
      </c>
      <c r="BM188">
        <v>805.78899999999999</v>
      </c>
      <c r="BN188">
        <v>20.801300000000001</v>
      </c>
      <c r="BO188">
        <v>799.99099999999999</v>
      </c>
      <c r="BP188">
        <v>7.1954799999999999</v>
      </c>
      <c r="BQ188">
        <v>2.7737799999999999</v>
      </c>
      <c r="BR188">
        <v>0.71289199999999997</v>
      </c>
      <c r="BS188">
        <v>22.728899999999999</v>
      </c>
      <c r="BT188">
        <v>2.08175</v>
      </c>
      <c r="BU188">
        <v>1799.99</v>
      </c>
      <c r="BV188">
        <v>0.90999600000000003</v>
      </c>
      <c r="BW188">
        <v>3.4004399999999997E-2</v>
      </c>
      <c r="BX188">
        <v>2.2000200000000001E-2</v>
      </c>
      <c r="BY188">
        <v>3.3999300000000003E-2</v>
      </c>
      <c r="BZ188">
        <v>25</v>
      </c>
      <c r="CA188">
        <v>33528.199999999997</v>
      </c>
      <c r="CB188">
        <v>1690203121.0999999</v>
      </c>
      <c r="CC188" t="s">
        <v>332</v>
      </c>
      <c r="CD188">
        <v>1690203121.0999999</v>
      </c>
      <c r="CE188">
        <v>1690203121.0999999</v>
      </c>
      <c r="CF188">
        <v>3</v>
      </c>
      <c r="CG188">
        <v>0.53600000000000003</v>
      </c>
      <c r="CH188">
        <v>-0.01</v>
      </c>
      <c r="CI188">
        <v>-0.996</v>
      </c>
      <c r="CJ188">
        <v>-6.6000000000000003E-2</v>
      </c>
      <c r="CK188">
        <v>800</v>
      </c>
      <c r="CL188">
        <v>9</v>
      </c>
      <c r="CM188">
        <v>0.82</v>
      </c>
      <c r="CN188">
        <v>0.01</v>
      </c>
      <c r="CO188">
        <v>-451.03332499999999</v>
      </c>
      <c r="CP188">
        <v>-2.4939849906172311</v>
      </c>
      <c r="CQ188">
        <v>0.24948671182049079</v>
      </c>
      <c r="CR188">
        <v>-1</v>
      </c>
      <c r="CS188">
        <v>20.7999975</v>
      </c>
      <c r="CT188">
        <v>6.9681050650794525E-4</v>
      </c>
      <c r="CU188">
        <v>2.0911106498701249E-3</v>
      </c>
      <c r="CV188">
        <v>-1</v>
      </c>
      <c r="CW188">
        <v>0</v>
      </c>
      <c r="CX188">
        <v>0</v>
      </c>
      <c r="CY188" t="s">
        <v>333</v>
      </c>
      <c r="CZ188">
        <v>2.3650699999999998</v>
      </c>
      <c r="DA188">
        <v>2.7138</v>
      </c>
      <c r="DB188">
        <v>8.0652799999999997E-2</v>
      </c>
      <c r="DC188">
        <v>0.146289</v>
      </c>
      <c r="DD188">
        <v>0.12709200000000001</v>
      </c>
      <c r="DE188">
        <v>4.5759000000000001E-2</v>
      </c>
      <c r="DF188">
        <v>33559.599999999999</v>
      </c>
      <c r="DG188">
        <v>27479.7</v>
      </c>
      <c r="DH188">
        <v>31161</v>
      </c>
      <c r="DI188">
        <v>28045.9</v>
      </c>
      <c r="DJ188">
        <v>36909.699999999997</v>
      </c>
      <c r="DK188">
        <v>38037.199999999997</v>
      </c>
      <c r="DL188">
        <v>44340.2</v>
      </c>
      <c r="DM188">
        <v>42483.9</v>
      </c>
      <c r="DN188">
        <v>1.4855499999999999</v>
      </c>
      <c r="DO188">
        <v>2.0554299999999999</v>
      </c>
      <c r="DP188">
        <v>0.15773999999999999</v>
      </c>
      <c r="DQ188">
        <v>0.153005</v>
      </c>
      <c r="DR188">
        <v>24.3523</v>
      </c>
      <c r="DS188">
        <v>24.313400000000001</v>
      </c>
      <c r="DT188">
        <v>23.2</v>
      </c>
      <c r="DU188">
        <v>28</v>
      </c>
      <c r="DV188">
        <v>8.8865599999999993</v>
      </c>
      <c r="DW188">
        <v>61.322800000000001</v>
      </c>
      <c r="DX188">
        <v>37.0032</v>
      </c>
      <c r="DY188">
        <v>1</v>
      </c>
      <c r="DZ188">
        <v>-0.13911599999999999</v>
      </c>
      <c r="EA188">
        <v>2.51008E-2</v>
      </c>
      <c r="EB188">
        <v>20.191400000000002</v>
      </c>
      <c r="EC188">
        <v>5.24125</v>
      </c>
      <c r="ED188">
        <v>12.039899999999999</v>
      </c>
      <c r="EE188">
        <v>5.01715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1.8646199999999999</v>
      </c>
      <c r="EM188">
        <v>1.8691500000000001</v>
      </c>
      <c r="EN188">
        <v>1.8672200000000001</v>
      </c>
      <c r="EO188">
        <v>1.8633999999999999</v>
      </c>
      <c r="EP188">
        <v>1.86449</v>
      </c>
      <c r="EQ188">
        <v>1.8701399999999999</v>
      </c>
      <c r="ER188">
        <v>1.86938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-0.67700000000000005</v>
      </c>
      <c r="FG188">
        <v>0.16769999999999999</v>
      </c>
      <c r="FH188">
        <v>-0.44422204735670362</v>
      </c>
      <c r="FI188">
        <v>-6.1462078757559423E-4</v>
      </c>
      <c r="FJ188">
        <v>-1.8861989874597051E-7</v>
      </c>
      <c r="FK188">
        <v>1.1980462299894961E-10</v>
      </c>
      <c r="FL188">
        <v>0.16773393518503121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39.4</v>
      </c>
      <c r="FU188">
        <v>39.4</v>
      </c>
      <c r="FV188">
        <v>1.78101</v>
      </c>
      <c r="FW188">
        <v>2.5573700000000001</v>
      </c>
      <c r="FX188">
        <v>1.5490699999999999</v>
      </c>
      <c r="FY188">
        <v>2.33521</v>
      </c>
      <c r="FZ188">
        <v>1.50146</v>
      </c>
      <c r="GA188">
        <v>2.3901400000000002</v>
      </c>
      <c r="GB188">
        <v>32.553899999999999</v>
      </c>
      <c r="GC188">
        <v>23.991199999999999</v>
      </c>
      <c r="GD188">
        <v>19</v>
      </c>
      <c r="GE188">
        <v>284.39699999999999</v>
      </c>
      <c r="GF188">
        <v>592.55700000000002</v>
      </c>
      <c r="GG188">
        <v>23.713000000000001</v>
      </c>
      <c r="GH188">
        <v>25.6495</v>
      </c>
      <c r="GI188">
        <v>29.999600000000001</v>
      </c>
      <c r="GJ188">
        <v>25.7971</v>
      </c>
      <c r="GK188">
        <v>25.778500000000001</v>
      </c>
      <c r="GL188">
        <v>35.601999999999997</v>
      </c>
      <c r="GM188">
        <v>-30</v>
      </c>
      <c r="GN188">
        <v>-30</v>
      </c>
      <c r="GO188">
        <v>23.749099999999999</v>
      </c>
      <c r="GP188">
        <v>800</v>
      </c>
      <c r="GQ188">
        <v>12.5298</v>
      </c>
      <c r="GR188">
        <v>99.695599999999999</v>
      </c>
      <c r="GS188">
        <v>99.406800000000004</v>
      </c>
    </row>
    <row r="189" spans="1:201" x14ac:dyDescent="0.25">
      <c r="A189">
        <v>173</v>
      </c>
      <c r="B189">
        <v>1690205495.5999999</v>
      </c>
      <c r="C189">
        <v>2056</v>
      </c>
      <c r="D189" t="s">
        <v>679</v>
      </c>
      <c r="E189" t="s">
        <v>680</v>
      </c>
      <c r="F189" t="s">
        <v>330</v>
      </c>
      <c r="H189">
        <v>1690205495.5999999</v>
      </c>
      <c r="I189">
        <f t="shared" si="60"/>
        <v>2.0598412940079657E-3</v>
      </c>
      <c r="J189">
        <f t="shared" si="61"/>
        <v>2.0598412940079656</v>
      </c>
      <c r="K189">
        <f t="shared" si="62"/>
        <v>42.760207185529445</v>
      </c>
      <c r="L189">
        <f t="shared" si="63"/>
        <v>348.05500000000001</v>
      </c>
      <c r="M189">
        <f t="shared" si="64"/>
        <v>65.570913629781899</v>
      </c>
      <c r="N189">
        <f t="shared" si="65"/>
        <v>6.5030982334400136</v>
      </c>
      <c r="O189">
        <f t="shared" si="66"/>
        <v>34.518900688489502</v>
      </c>
      <c r="P189">
        <f t="shared" si="67"/>
        <v>0.25823435914793619</v>
      </c>
      <c r="Q189">
        <f t="shared" si="68"/>
        <v>2.1957174134930231</v>
      </c>
      <c r="R189">
        <f t="shared" si="69"/>
        <v>0.24247054246307095</v>
      </c>
      <c r="S189">
        <f t="shared" si="70"/>
        <v>0.15288014843255152</v>
      </c>
      <c r="T189">
        <f t="shared" si="71"/>
        <v>276.11530903799996</v>
      </c>
      <c r="U189">
        <f t="shared" si="72"/>
        <v>27.064919937723282</v>
      </c>
      <c r="V189">
        <f t="shared" si="73"/>
        <v>27.064919937723282</v>
      </c>
      <c r="W189">
        <f t="shared" si="74"/>
        <v>3.5928294341580704</v>
      </c>
      <c r="X189">
        <f t="shared" si="75"/>
        <v>84.0943595923641</v>
      </c>
      <c r="Y189">
        <f t="shared" si="76"/>
        <v>2.7773604707893802</v>
      </c>
      <c r="Z189">
        <f t="shared" si="77"/>
        <v>3.3026715278554413</v>
      </c>
      <c r="AA189">
        <f t="shared" si="78"/>
        <v>0.81546896336869024</v>
      </c>
      <c r="AB189">
        <f t="shared" si="79"/>
        <v>-90.83900106575129</v>
      </c>
      <c r="AC189">
        <f t="shared" si="80"/>
        <v>-168.90054807389436</v>
      </c>
      <c r="AD189">
        <f t="shared" si="81"/>
        <v>-16.493493228189823</v>
      </c>
      <c r="AE189">
        <f t="shared" si="82"/>
        <v>-0.11773332983551654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52690.900808038634</v>
      </c>
      <c r="AK189">
        <f t="shared" si="86"/>
        <v>1800</v>
      </c>
      <c r="AL189">
        <f t="shared" si="87"/>
        <v>1499.1118488</v>
      </c>
      <c r="AM189">
        <f t="shared" si="88"/>
        <v>0.83283991599999996</v>
      </c>
      <c r="AN189">
        <f t="shared" si="89"/>
        <v>0.15339739390999999</v>
      </c>
      <c r="AO189">
        <v>31.2</v>
      </c>
      <c r="AP189">
        <v>0.5</v>
      </c>
      <c r="AQ189" t="s">
        <v>331</v>
      </c>
      <c r="AR189">
        <v>2</v>
      </c>
      <c r="AS189">
        <v>1690205495.5999999</v>
      </c>
      <c r="AT189">
        <v>348.05500000000001</v>
      </c>
      <c r="AU189">
        <v>800.03200000000004</v>
      </c>
      <c r="AV189">
        <v>28.004200000000001</v>
      </c>
      <c r="AW189">
        <v>7.1902999999999997</v>
      </c>
      <c r="AX189">
        <v>348.73200000000003</v>
      </c>
      <c r="AY189">
        <v>27.836500000000001</v>
      </c>
      <c r="AZ189">
        <v>300.12299999999999</v>
      </c>
      <c r="BA189">
        <v>99.076599999999999</v>
      </c>
      <c r="BB189">
        <v>9.9968899999999999E-2</v>
      </c>
      <c r="BC189">
        <v>25.638100000000001</v>
      </c>
      <c r="BD189">
        <v>26.997499999999999</v>
      </c>
      <c r="BE189">
        <v>26.833200000000001</v>
      </c>
      <c r="BF189">
        <v>0</v>
      </c>
      <c r="BG189">
        <v>0</v>
      </c>
      <c r="BH189">
        <v>10012.5</v>
      </c>
      <c r="BI189">
        <v>1065.93</v>
      </c>
      <c r="BJ189">
        <v>1.96231</v>
      </c>
      <c r="BK189">
        <v>-451.97699999999998</v>
      </c>
      <c r="BL189">
        <v>358.08300000000003</v>
      </c>
      <c r="BM189">
        <v>805.82600000000002</v>
      </c>
      <c r="BN189">
        <v>20.8139</v>
      </c>
      <c r="BO189">
        <v>800.03200000000004</v>
      </c>
      <c r="BP189">
        <v>7.1902999999999997</v>
      </c>
      <c r="BQ189">
        <v>2.7745600000000001</v>
      </c>
      <c r="BR189">
        <v>0.71238999999999997</v>
      </c>
      <c r="BS189">
        <v>22.733499999999999</v>
      </c>
      <c r="BT189">
        <v>2.0718899999999998</v>
      </c>
      <c r="BU189">
        <v>1800</v>
      </c>
      <c r="BV189">
        <v>0.91</v>
      </c>
      <c r="BW189">
        <v>3.4002999999999999E-2</v>
      </c>
      <c r="BX189">
        <v>2.1999299999999999E-2</v>
      </c>
      <c r="BY189">
        <v>3.3997899999999998E-2</v>
      </c>
      <c r="BZ189">
        <v>25</v>
      </c>
      <c r="CA189">
        <v>33528.300000000003</v>
      </c>
      <c r="CB189">
        <v>1690203121.0999999</v>
      </c>
      <c r="CC189" t="s">
        <v>332</v>
      </c>
      <c r="CD189">
        <v>1690203121.0999999</v>
      </c>
      <c r="CE189">
        <v>1690203121.0999999</v>
      </c>
      <c r="CF189">
        <v>3</v>
      </c>
      <c r="CG189">
        <v>0.53600000000000003</v>
      </c>
      <c r="CH189">
        <v>-0.01</v>
      </c>
      <c r="CI189">
        <v>-0.996</v>
      </c>
      <c r="CJ189">
        <v>-6.6000000000000003E-2</v>
      </c>
      <c r="CK189">
        <v>800</v>
      </c>
      <c r="CL189">
        <v>9</v>
      </c>
      <c r="CM189">
        <v>0.82</v>
      </c>
      <c r="CN189">
        <v>0.01</v>
      </c>
      <c r="CO189">
        <v>-451.53122500000001</v>
      </c>
      <c r="CP189">
        <v>-2.7718986866764599</v>
      </c>
      <c r="CQ189">
        <v>0.2741162606906013</v>
      </c>
      <c r="CR189">
        <v>-1</v>
      </c>
      <c r="CS189">
        <v>20.8045425</v>
      </c>
      <c r="CT189">
        <v>5.0223264540297068E-2</v>
      </c>
      <c r="CU189">
        <v>5.6309807094326314E-3</v>
      </c>
      <c r="CV189">
        <v>-1</v>
      </c>
      <c r="CW189">
        <v>0</v>
      </c>
      <c r="CX189">
        <v>0</v>
      </c>
      <c r="CY189" t="s">
        <v>333</v>
      </c>
      <c r="CZ189">
        <v>2.36496</v>
      </c>
      <c r="DA189">
        <v>2.7137699999999998</v>
      </c>
      <c r="DB189">
        <v>8.0565600000000001E-2</v>
      </c>
      <c r="DC189">
        <v>0.14629600000000001</v>
      </c>
      <c r="DD189">
        <v>0.12711800000000001</v>
      </c>
      <c r="DE189">
        <v>4.5733500000000003E-2</v>
      </c>
      <c r="DF189">
        <v>33562.800000000003</v>
      </c>
      <c r="DG189">
        <v>27479.4</v>
      </c>
      <c r="DH189">
        <v>31161.1</v>
      </c>
      <c r="DI189">
        <v>28045.8</v>
      </c>
      <c r="DJ189">
        <v>36908.699999999997</v>
      </c>
      <c r="DK189">
        <v>38038.199999999997</v>
      </c>
      <c r="DL189">
        <v>44340.3</v>
      </c>
      <c r="DM189">
        <v>42483.8</v>
      </c>
      <c r="DN189">
        <v>1.4854700000000001</v>
      </c>
      <c r="DO189">
        <v>2.0552999999999999</v>
      </c>
      <c r="DP189">
        <v>0.161186</v>
      </c>
      <c r="DQ189">
        <v>0.15354200000000001</v>
      </c>
      <c r="DR189">
        <v>24.355799999999999</v>
      </c>
      <c r="DS189">
        <v>24.316299999999998</v>
      </c>
      <c r="DT189">
        <v>23.2</v>
      </c>
      <c r="DU189">
        <v>28</v>
      </c>
      <c r="DV189">
        <v>8.8868600000000004</v>
      </c>
      <c r="DW189">
        <v>61.6128</v>
      </c>
      <c r="DX189">
        <v>37.027200000000001</v>
      </c>
      <c r="DY189">
        <v>1</v>
      </c>
      <c r="DZ189">
        <v>-0.13942299999999999</v>
      </c>
      <c r="EA189">
        <v>-3.8052799999999998E-2</v>
      </c>
      <c r="EB189">
        <v>20.191400000000002</v>
      </c>
      <c r="EC189">
        <v>5.2411000000000003</v>
      </c>
      <c r="ED189">
        <v>12.039899999999999</v>
      </c>
      <c r="EE189">
        <v>5.01715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</v>
      </c>
      <c r="EL189">
        <v>1.8646199999999999</v>
      </c>
      <c r="EM189">
        <v>1.86917</v>
      </c>
      <c r="EN189">
        <v>1.8672200000000001</v>
      </c>
      <c r="EO189">
        <v>1.8633999999999999</v>
      </c>
      <c r="EP189">
        <v>1.8644799999999999</v>
      </c>
      <c r="EQ189">
        <v>1.8701300000000001</v>
      </c>
      <c r="ER189">
        <v>1.8693500000000001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-0.67700000000000005</v>
      </c>
      <c r="FG189">
        <v>0.16769999999999999</v>
      </c>
      <c r="FH189">
        <v>-0.44422204735670362</v>
      </c>
      <c r="FI189">
        <v>-6.1462078757559423E-4</v>
      </c>
      <c r="FJ189">
        <v>-1.8861989874597051E-7</v>
      </c>
      <c r="FK189">
        <v>1.1980462299894961E-10</v>
      </c>
      <c r="FL189">
        <v>0.16773393518503121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39.6</v>
      </c>
      <c r="FU189">
        <v>39.6</v>
      </c>
      <c r="FV189">
        <v>1.78101</v>
      </c>
      <c r="FW189">
        <v>2.5585900000000001</v>
      </c>
      <c r="FX189">
        <v>1.5490699999999999</v>
      </c>
      <c r="FY189">
        <v>2.3339799999999999</v>
      </c>
      <c r="FZ189">
        <v>1.50146</v>
      </c>
      <c r="GA189">
        <v>2.3852500000000001</v>
      </c>
      <c r="GB189">
        <v>32.553899999999999</v>
      </c>
      <c r="GC189">
        <v>23.991199999999999</v>
      </c>
      <c r="GD189">
        <v>19</v>
      </c>
      <c r="GE189">
        <v>284.35399999999998</v>
      </c>
      <c r="GF189">
        <v>592.44299999999998</v>
      </c>
      <c r="GG189">
        <v>23.8005</v>
      </c>
      <c r="GH189">
        <v>25.647400000000001</v>
      </c>
      <c r="GI189">
        <v>30.0001</v>
      </c>
      <c r="GJ189">
        <v>25.794899999999998</v>
      </c>
      <c r="GK189">
        <v>25.777799999999999</v>
      </c>
      <c r="GL189">
        <v>35.601199999999999</v>
      </c>
      <c r="GM189">
        <v>-30</v>
      </c>
      <c r="GN189">
        <v>-30</v>
      </c>
      <c r="GO189">
        <v>23.822600000000001</v>
      </c>
      <c r="GP189">
        <v>800</v>
      </c>
      <c r="GQ189">
        <v>12.5298</v>
      </c>
      <c r="GR189">
        <v>99.695700000000002</v>
      </c>
      <c r="GS189">
        <v>99.406700000000001</v>
      </c>
    </row>
    <row r="190" spans="1:201" x14ac:dyDescent="0.25">
      <c r="A190">
        <v>174</v>
      </c>
      <c r="B190">
        <v>1690205505.5999999</v>
      </c>
      <c r="C190">
        <v>2066</v>
      </c>
      <c r="D190" t="s">
        <v>681</v>
      </c>
      <c r="E190" t="s">
        <v>682</v>
      </c>
      <c r="F190" t="s">
        <v>330</v>
      </c>
      <c r="H190">
        <v>1690205505.5999999</v>
      </c>
      <c r="I190">
        <f t="shared" si="60"/>
        <v>2.062198780062753E-3</v>
      </c>
      <c r="J190">
        <f t="shared" si="61"/>
        <v>2.062198780062753</v>
      </c>
      <c r="K190">
        <f t="shared" si="62"/>
        <v>42.799490453368726</v>
      </c>
      <c r="L190">
        <f t="shared" si="63"/>
        <v>347.73500000000001</v>
      </c>
      <c r="M190">
        <f t="shared" si="64"/>
        <v>64.623080217563469</v>
      </c>
      <c r="N190">
        <f t="shared" si="65"/>
        <v>6.4089655464215616</v>
      </c>
      <c r="O190">
        <f t="shared" si="66"/>
        <v>34.486465621599997</v>
      </c>
      <c r="P190">
        <f t="shared" si="67"/>
        <v>0.25790643555994869</v>
      </c>
      <c r="Q190">
        <f t="shared" si="68"/>
        <v>2.1904632455760948</v>
      </c>
      <c r="R190">
        <f t="shared" si="69"/>
        <v>0.24214607547893252</v>
      </c>
      <c r="S190">
        <f t="shared" si="70"/>
        <v>0.15267697895437429</v>
      </c>
      <c r="T190">
        <f t="shared" si="71"/>
        <v>276.11532777599996</v>
      </c>
      <c r="U190">
        <f t="shared" si="72"/>
        <v>27.080619944959626</v>
      </c>
      <c r="V190">
        <f t="shared" si="73"/>
        <v>27.080619944959626</v>
      </c>
      <c r="W190">
        <f t="shared" si="74"/>
        <v>3.5961421108636111</v>
      </c>
      <c r="X190">
        <f t="shared" si="75"/>
        <v>84.067532616289085</v>
      </c>
      <c r="Y190">
        <f t="shared" si="76"/>
        <v>2.7786827395360003</v>
      </c>
      <c r="Z190">
        <f t="shared" si="77"/>
        <v>3.3052983156039453</v>
      </c>
      <c r="AA190">
        <f t="shared" si="78"/>
        <v>0.81745937132761082</v>
      </c>
      <c r="AB190">
        <f t="shared" si="79"/>
        <v>-90.942966200767401</v>
      </c>
      <c r="AC190">
        <f t="shared" si="80"/>
        <v>-168.76799624476499</v>
      </c>
      <c r="AD190">
        <f t="shared" si="81"/>
        <v>-16.522489723036106</v>
      </c>
      <c r="AE190">
        <f t="shared" si="82"/>
        <v>-0.11812439256854645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52472.799978170522</v>
      </c>
      <c r="AK190">
        <f t="shared" si="86"/>
        <v>1800</v>
      </c>
      <c r="AL190">
        <f t="shared" si="87"/>
        <v>1499.1122645999999</v>
      </c>
      <c r="AM190">
        <f t="shared" si="88"/>
        <v>0.83284014699999998</v>
      </c>
      <c r="AN190">
        <f t="shared" si="89"/>
        <v>0.15339740431999999</v>
      </c>
      <c r="AO190">
        <v>31.2</v>
      </c>
      <c r="AP190">
        <v>0.5</v>
      </c>
      <c r="AQ190" t="s">
        <v>331</v>
      </c>
      <c r="AR190">
        <v>2</v>
      </c>
      <c r="AS190">
        <v>1690205505.5999999</v>
      </c>
      <c r="AT190">
        <v>347.73500000000001</v>
      </c>
      <c r="AU190">
        <v>800.00300000000004</v>
      </c>
      <c r="AV190">
        <v>28.0181</v>
      </c>
      <c r="AW190">
        <v>7.1861600000000001</v>
      </c>
      <c r="AX190">
        <v>348.411</v>
      </c>
      <c r="AY190">
        <v>27.8504</v>
      </c>
      <c r="AZ190">
        <v>300.202</v>
      </c>
      <c r="BA190">
        <v>99.074399999999997</v>
      </c>
      <c r="BB190">
        <v>0.10016</v>
      </c>
      <c r="BC190">
        <v>25.651499999999999</v>
      </c>
      <c r="BD190">
        <v>27.0061</v>
      </c>
      <c r="BE190">
        <v>26.877099999999999</v>
      </c>
      <c r="BF190">
        <v>0</v>
      </c>
      <c r="BG190">
        <v>0</v>
      </c>
      <c r="BH190">
        <v>9970</v>
      </c>
      <c r="BI190">
        <v>1065.99</v>
      </c>
      <c r="BJ190">
        <v>1.96231</v>
      </c>
      <c r="BK190">
        <v>-452.26799999999997</v>
      </c>
      <c r="BL190">
        <v>357.75900000000001</v>
      </c>
      <c r="BM190">
        <v>805.79399999999998</v>
      </c>
      <c r="BN190">
        <v>20.832000000000001</v>
      </c>
      <c r="BO190">
        <v>800.00300000000004</v>
      </c>
      <c r="BP190">
        <v>7.1861600000000001</v>
      </c>
      <c r="BQ190">
        <v>2.7758799999999999</v>
      </c>
      <c r="BR190">
        <v>0.71196400000000004</v>
      </c>
      <c r="BS190">
        <v>22.741299999999999</v>
      </c>
      <c r="BT190">
        <v>2.06351</v>
      </c>
      <c r="BU190">
        <v>1800</v>
      </c>
      <c r="BV190">
        <v>0.91000099999999995</v>
      </c>
      <c r="BW190">
        <v>3.4002699999999997E-2</v>
      </c>
      <c r="BX190">
        <v>2.1999100000000001E-2</v>
      </c>
      <c r="BY190">
        <v>3.3997600000000003E-2</v>
      </c>
      <c r="BZ190">
        <v>25</v>
      </c>
      <c r="CA190">
        <v>33528.400000000001</v>
      </c>
      <c r="CB190">
        <v>1690203121.0999999</v>
      </c>
      <c r="CC190" t="s">
        <v>332</v>
      </c>
      <c r="CD190">
        <v>1690203121.0999999</v>
      </c>
      <c r="CE190">
        <v>1690203121.0999999</v>
      </c>
      <c r="CF190">
        <v>3</v>
      </c>
      <c r="CG190">
        <v>0.53600000000000003</v>
      </c>
      <c r="CH190">
        <v>-0.01</v>
      </c>
      <c r="CI190">
        <v>-0.996</v>
      </c>
      <c r="CJ190">
        <v>-6.6000000000000003E-2</v>
      </c>
      <c r="CK190">
        <v>800</v>
      </c>
      <c r="CL190">
        <v>9</v>
      </c>
      <c r="CM190">
        <v>0.82</v>
      </c>
      <c r="CN190">
        <v>0.01</v>
      </c>
      <c r="CO190">
        <v>-451.92022500000002</v>
      </c>
      <c r="CP190">
        <v>-1.8867579737334339</v>
      </c>
      <c r="CQ190">
        <v>0.19673783158051289</v>
      </c>
      <c r="CR190">
        <v>-1</v>
      </c>
      <c r="CS190">
        <v>20.81579</v>
      </c>
      <c r="CT190">
        <v>7.9978986866750507E-2</v>
      </c>
      <c r="CU190">
        <v>7.8391262268186733E-3</v>
      </c>
      <c r="CV190">
        <v>-1</v>
      </c>
      <c r="CW190">
        <v>0</v>
      </c>
      <c r="CX190">
        <v>0</v>
      </c>
      <c r="CY190" t="s">
        <v>333</v>
      </c>
      <c r="CZ190">
        <v>2.3652099999999998</v>
      </c>
      <c r="DA190">
        <v>2.71393</v>
      </c>
      <c r="DB190">
        <v>8.0505699999999999E-2</v>
      </c>
      <c r="DC190">
        <v>0.14629</v>
      </c>
      <c r="DD190">
        <v>0.12715899999999999</v>
      </c>
      <c r="DE190">
        <v>4.5711700000000001E-2</v>
      </c>
      <c r="DF190">
        <v>33565.300000000003</v>
      </c>
      <c r="DG190">
        <v>27479.5</v>
      </c>
      <c r="DH190">
        <v>31161.3</v>
      </c>
      <c r="DI190">
        <v>28045.8</v>
      </c>
      <c r="DJ190">
        <v>36907.300000000003</v>
      </c>
      <c r="DK190">
        <v>38039.1</v>
      </c>
      <c r="DL190">
        <v>44340.7</v>
      </c>
      <c r="DM190">
        <v>42483.8</v>
      </c>
      <c r="DN190">
        <v>1.4856499999999999</v>
      </c>
      <c r="DO190">
        <v>2.0553699999999999</v>
      </c>
      <c r="DP190">
        <v>0.16142799999999999</v>
      </c>
      <c r="DQ190">
        <v>0.155941</v>
      </c>
      <c r="DR190">
        <v>24.360399999999998</v>
      </c>
      <c r="DS190">
        <v>24.321000000000002</v>
      </c>
      <c r="DT190">
        <v>23.2</v>
      </c>
      <c r="DU190">
        <v>28</v>
      </c>
      <c r="DV190">
        <v>8.8862699999999997</v>
      </c>
      <c r="DW190">
        <v>61.512799999999999</v>
      </c>
      <c r="DX190">
        <v>36.722799999999999</v>
      </c>
      <c r="DY190">
        <v>1</v>
      </c>
      <c r="DZ190">
        <v>-0.13825499999999999</v>
      </c>
      <c r="EA190">
        <v>0.27524500000000002</v>
      </c>
      <c r="EB190">
        <v>20.190899999999999</v>
      </c>
      <c r="EC190">
        <v>5.2415500000000002</v>
      </c>
      <c r="ED190">
        <v>12.039899999999999</v>
      </c>
      <c r="EE190">
        <v>5.0172999999999996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</v>
      </c>
      <c r="EL190">
        <v>1.8646199999999999</v>
      </c>
      <c r="EM190">
        <v>1.86917</v>
      </c>
      <c r="EN190">
        <v>1.8672200000000001</v>
      </c>
      <c r="EO190">
        <v>1.8633999999999999</v>
      </c>
      <c r="EP190">
        <v>1.8644799999999999</v>
      </c>
      <c r="EQ190">
        <v>1.8701399999999999</v>
      </c>
      <c r="ER190">
        <v>1.8693599999999999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-0.67600000000000005</v>
      </c>
      <c r="FG190">
        <v>0.16769999999999999</v>
      </c>
      <c r="FH190">
        <v>-0.44422204735670362</v>
      </c>
      <c r="FI190">
        <v>-6.1462078757559423E-4</v>
      </c>
      <c r="FJ190">
        <v>-1.8861989874597051E-7</v>
      </c>
      <c r="FK190">
        <v>1.1980462299894961E-10</v>
      </c>
      <c r="FL190">
        <v>0.16773393518503121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39.700000000000003</v>
      </c>
      <c r="FU190">
        <v>39.700000000000003</v>
      </c>
      <c r="FV190">
        <v>1.78101</v>
      </c>
      <c r="FW190">
        <v>2.5622600000000002</v>
      </c>
      <c r="FX190">
        <v>1.5490699999999999</v>
      </c>
      <c r="FY190">
        <v>2.3339799999999999</v>
      </c>
      <c r="FZ190">
        <v>1.50146</v>
      </c>
      <c r="GA190">
        <v>2.3767100000000001</v>
      </c>
      <c r="GB190">
        <v>32.553899999999999</v>
      </c>
      <c r="GC190">
        <v>23.991199999999999</v>
      </c>
      <c r="GD190">
        <v>19</v>
      </c>
      <c r="GE190">
        <v>284.42899999999997</v>
      </c>
      <c r="GF190">
        <v>592.48099999999999</v>
      </c>
      <c r="GG190">
        <v>23.785399999999999</v>
      </c>
      <c r="GH190">
        <v>25.647400000000001</v>
      </c>
      <c r="GI190">
        <v>30.000699999999998</v>
      </c>
      <c r="GJ190">
        <v>25.794899999999998</v>
      </c>
      <c r="GK190">
        <v>25.775600000000001</v>
      </c>
      <c r="GL190">
        <v>35.602200000000003</v>
      </c>
      <c r="GM190">
        <v>-30</v>
      </c>
      <c r="GN190">
        <v>-30</v>
      </c>
      <c r="GO190">
        <v>23.762699999999999</v>
      </c>
      <c r="GP190">
        <v>800</v>
      </c>
      <c r="GQ190">
        <v>12.5298</v>
      </c>
      <c r="GR190">
        <v>99.696600000000004</v>
      </c>
      <c r="GS190">
        <v>99.406599999999997</v>
      </c>
    </row>
    <row r="191" spans="1:201" x14ac:dyDescent="0.25">
      <c r="A191">
        <v>175</v>
      </c>
      <c r="B191">
        <v>1690205515.5999999</v>
      </c>
      <c r="C191">
        <v>2076</v>
      </c>
      <c r="D191" t="s">
        <v>683</v>
      </c>
      <c r="E191" t="s">
        <v>684</v>
      </c>
      <c r="F191" t="s">
        <v>330</v>
      </c>
      <c r="H191">
        <v>1690205515.5999999</v>
      </c>
      <c r="I191">
        <f t="shared" si="60"/>
        <v>2.0629244642385771E-3</v>
      </c>
      <c r="J191">
        <f t="shared" si="61"/>
        <v>2.0629244642385771</v>
      </c>
      <c r="K191">
        <f t="shared" si="62"/>
        <v>42.810338943011772</v>
      </c>
      <c r="L191">
        <f t="shared" si="63"/>
        <v>347.536</v>
      </c>
      <c r="M191">
        <f t="shared" si="64"/>
        <v>64.890485487904883</v>
      </c>
      <c r="N191">
        <f t="shared" si="65"/>
        <v>6.4353960636303693</v>
      </c>
      <c r="O191">
        <f t="shared" si="66"/>
        <v>34.466251709377595</v>
      </c>
      <c r="P191">
        <f t="shared" si="67"/>
        <v>0.25841552935944906</v>
      </c>
      <c r="Q191">
        <f t="shared" si="68"/>
        <v>2.1919876874707489</v>
      </c>
      <c r="R191">
        <f t="shared" si="69"/>
        <v>0.24260521555620679</v>
      </c>
      <c r="S191">
        <f t="shared" si="70"/>
        <v>0.15296807862297801</v>
      </c>
      <c r="T191">
        <f t="shared" si="71"/>
        <v>276.11506474200002</v>
      </c>
      <c r="U191">
        <f t="shared" si="72"/>
        <v>27.077467719074541</v>
      </c>
      <c r="V191">
        <f t="shared" si="73"/>
        <v>27.077467719074541</v>
      </c>
      <c r="W191">
        <f t="shared" si="74"/>
        <v>3.5954767823575788</v>
      </c>
      <c r="X191">
        <f t="shared" si="75"/>
        <v>84.095847077000187</v>
      </c>
      <c r="Y191">
        <f t="shared" si="76"/>
        <v>2.7792888151288597</v>
      </c>
      <c r="Z191">
        <f t="shared" si="77"/>
        <v>3.3049061418979178</v>
      </c>
      <c r="AA191">
        <f t="shared" si="78"/>
        <v>0.81618796722871911</v>
      </c>
      <c r="AB191">
        <f t="shared" si="79"/>
        <v>-90.974968872921252</v>
      </c>
      <c r="AC191">
        <f t="shared" si="80"/>
        <v>-168.74928583519059</v>
      </c>
      <c r="AD191">
        <f t="shared" si="81"/>
        <v>-16.508742147881954</v>
      </c>
      <c r="AE191">
        <f t="shared" si="82"/>
        <v>-0.11793211399375991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52535.650976531368</v>
      </c>
      <c r="AK191">
        <f t="shared" si="86"/>
        <v>1800</v>
      </c>
      <c r="AL191">
        <f t="shared" si="87"/>
        <v>1499.1114491999999</v>
      </c>
      <c r="AM191">
        <f t="shared" si="88"/>
        <v>0.83283969399999991</v>
      </c>
      <c r="AN191">
        <f t="shared" si="89"/>
        <v>0.15339725819000002</v>
      </c>
      <c r="AO191">
        <v>31.2</v>
      </c>
      <c r="AP191">
        <v>0.5</v>
      </c>
      <c r="AQ191" t="s">
        <v>331</v>
      </c>
      <c r="AR191">
        <v>2</v>
      </c>
      <c r="AS191">
        <v>1690205515.5999999</v>
      </c>
      <c r="AT191">
        <v>347.536</v>
      </c>
      <c r="AU191">
        <v>799.99800000000005</v>
      </c>
      <c r="AV191">
        <v>28.0246</v>
      </c>
      <c r="AW191">
        <v>7.1816500000000003</v>
      </c>
      <c r="AX191">
        <v>348.21199999999999</v>
      </c>
      <c r="AY191">
        <v>27.8569</v>
      </c>
      <c r="AZ191">
        <v>300.14699999999999</v>
      </c>
      <c r="BA191">
        <v>99.0732</v>
      </c>
      <c r="BB191">
        <v>9.9984100000000006E-2</v>
      </c>
      <c r="BC191">
        <v>25.6495</v>
      </c>
      <c r="BD191">
        <v>27.039100000000001</v>
      </c>
      <c r="BE191">
        <v>26.857199999999999</v>
      </c>
      <c r="BF191">
        <v>0</v>
      </c>
      <c r="BG191">
        <v>0</v>
      </c>
      <c r="BH191">
        <v>9982.5</v>
      </c>
      <c r="BI191">
        <v>1065.9100000000001</v>
      </c>
      <c r="BJ191">
        <v>1.96231</v>
      </c>
      <c r="BK191">
        <v>-452.46199999999999</v>
      </c>
      <c r="BL191">
        <v>357.55700000000002</v>
      </c>
      <c r="BM191">
        <v>805.78499999999997</v>
      </c>
      <c r="BN191">
        <v>20.843</v>
      </c>
      <c r="BO191">
        <v>799.99800000000005</v>
      </c>
      <c r="BP191">
        <v>7.1816500000000003</v>
      </c>
      <c r="BQ191">
        <v>2.7764899999999999</v>
      </c>
      <c r="BR191">
        <v>0.71150800000000003</v>
      </c>
      <c r="BS191">
        <v>22.745000000000001</v>
      </c>
      <c r="BT191">
        <v>2.0545399999999998</v>
      </c>
      <c r="BU191">
        <v>1800</v>
      </c>
      <c r="BV191">
        <v>0.91000199999999998</v>
      </c>
      <c r="BW191">
        <v>3.40021E-2</v>
      </c>
      <c r="BX191">
        <v>2.19987E-2</v>
      </c>
      <c r="BY191">
        <v>3.3996899999999997E-2</v>
      </c>
      <c r="BZ191">
        <v>25</v>
      </c>
      <c r="CA191">
        <v>33528.400000000001</v>
      </c>
      <c r="CB191">
        <v>1690203121.0999999</v>
      </c>
      <c r="CC191" t="s">
        <v>332</v>
      </c>
      <c r="CD191">
        <v>1690203121.0999999</v>
      </c>
      <c r="CE191">
        <v>1690203121.0999999</v>
      </c>
      <c r="CF191">
        <v>3</v>
      </c>
      <c r="CG191">
        <v>0.53600000000000003</v>
      </c>
      <c r="CH191">
        <v>-0.01</v>
      </c>
      <c r="CI191">
        <v>-0.996</v>
      </c>
      <c r="CJ191">
        <v>-6.6000000000000003E-2</v>
      </c>
      <c r="CK191">
        <v>800</v>
      </c>
      <c r="CL191">
        <v>9</v>
      </c>
      <c r="CM191">
        <v>0.82</v>
      </c>
      <c r="CN191">
        <v>0.01</v>
      </c>
      <c r="CO191">
        <v>-452.21145000000001</v>
      </c>
      <c r="CP191">
        <v>-1.6410281425890421</v>
      </c>
      <c r="CQ191">
        <v>0.16890558753339061</v>
      </c>
      <c r="CR191">
        <v>-1</v>
      </c>
      <c r="CS191">
        <v>20.829470000000001</v>
      </c>
      <c r="CT191">
        <v>8.8270919324504593E-2</v>
      </c>
      <c r="CU191">
        <v>8.6038712217234147E-3</v>
      </c>
      <c r="CV191">
        <v>-1</v>
      </c>
      <c r="CW191">
        <v>0</v>
      </c>
      <c r="CX191">
        <v>0</v>
      </c>
      <c r="CY191" t="s">
        <v>333</v>
      </c>
      <c r="CZ191">
        <v>2.3650500000000001</v>
      </c>
      <c r="DA191">
        <v>2.7137600000000002</v>
      </c>
      <c r="DB191">
        <v>8.0468999999999999E-2</v>
      </c>
      <c r="DC191">
        <v>0.146288</v>
      </c>
      <c r="DD191">
        <v>0.12717899999999999</v>
      </c>
      <c r="DE191">
        <v>4.5688199999999998E-2</v>
      </c>
      <c r="DF191">
        <v>33566.699999999997</v>
      </c>
      <c r="DG191">
        <v>27479.7</v>
      </c>
      <c r="DH191">
        <v>31161.5</v>
      </c>
      <c r="DI191">
        <v>28045.8</v>
      </c>
      <c r="DJ191">
        <v>36906.699999999997</v>
      </c>
      <c r="DK191">
        <v>38039.9</v>
      </c>
      <c r="DL191">
        <v>44341</v>
      </c>
      <c r="DM191">
        <v>42483.7</v>
      </c>
      <c r="DN191">
        <v>1.4851700000000001</v>
      </c>
      <c r="DO191">
        <v>2.0557799999999999</v>
      </c>
      <c r="DP191">
        <v>0.16323099999999999</v>
      </c>
      <c r="DQ191">
        <v>0.15435399999999999</v>
      </c>
      <c r="DR191">
        <v>24.363900000000001</v>
      </c>
      <c r="DS191">
        <v>24.327100000000002</v>
      </c>
      <c r="DT191">
        <v>23.2</v>
      </c>
      <c r="DU191">
        <v>28</v>
      </c>
      <c r="DV191">
        <v>8.8867399999999996</v>
      </c>
      <c r="DW191">
        <v>61.652799999999999</v>
      </c>
      <c r="DX191">
        <v>36.714700000000001</v>
      </c>
      <c r="DY191">
        <v>1</v>
      </c>
      <c r="DZ191">
        <v>-0.13825999999999999</v>
      </c>
      <c r="EA191">
        <v>0.29858699999999999</v>
      </c>
      <c r="EB191">
        <v>20.190899999999999</v>
      </c>
      <c r="EC191">
        <v>5.2415500000000002</v>
      </c>
      <c r="ED191">
        <v>12.039899999999999</v>
      </c>
      <c r="EE191">
        <v>5.0174000000000003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</v>
      </c>
      <c r="EL191">
        <v>1.8646199999999999</v>
      </c>
      <c r="EM191">
        <v>1.86917</v>
      </c>
      <c r="EN191">
        <v>1.8672200000000001</v>
      </c>
      <c r="EO191">
        <v>1.8633999999999999</v>
      </c>
      <c r="EP191">
        <v>1.8644700000000001</v>
      </c>
      <c r="EQ191">
        <v>1.8701399999999999</v>
      </c>
      <c r="ER191">
        <v>1.8693900000000001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-0.67600000000000005</v>
      </c>
      <c r="FG191">
        <v>0.16769999999999999</v>
      </c>
      <c r="FH191">
        <v>-0.44422204735670362</v>
      </c>
      <c r="FI191">
        <v>-6.1462078757559423E-4</v>
      </c>
      <c r="FJ191">
        <v>-1.8861989874597051E-7</v>
      </c>
      <c r="FK191">
        <v>1.1980462299894961E-10</v>
      </c>
      <c r="FL191">
        <v>0.16773393518503121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39.9</v>
      </c>
      <c r="FU191">
        <v>39.9</v>
      </c>
      <c r="FV191">
        <v>1.78101</v>
      </c>
      <c r="FW191">
        <v>2.5598100000000001</v>
      </c>
      <c r="FX191">
        <v>1.5490699999999999</v>
      </c>
      <c r="FY191">
        <v>2.3339799999999999</v>
      </c>
      <c r="FZ191">
        <v>1.50146</v>
      </c>
      <c r="GA191">
        <v>2.4084500000000002</v>
      </c>
      <c r="GB191">
        <v>32.576099999999997</v>
      </c>
      <c r="GC191">
        <v>23.991199999999999</v>
      </c>
      <c r="GD191">
        <v>19</v>
      </c>
      <c r="GE191">
        <v>284.21699999999998</v>
      </c>
      <c r="GF191">
        <v>592.81500000000005</v>
      </c>
      <c r="GG191">
        <v>23.745799999999999</v>
      </c>
      <c r="GH191">
        <v>25.647400000000001</v>
      </c>
      <c r="GI191">
        <v>30.0001</v>
      </c>
      <c r="GJ191">
        <v>25.7928</v>
      </c>
      <c r="GK191">
        <v>25.775600000000001</v>
      </c>
      <c r="GL191">
        <v>35.602400000000003</v>
      </c>
      <c r="GM191">
        <v>-30</v>
      </c>
      <c r="GN191">
        <v>-30</v>
      </c>
      <c r="GO191">
        <v>23.72</v>
      </c>
      <c r="GP191">
        <v>800</v>
      </c>
      <c r="GQ191">
        <v>12.5298</v>
      </c>
      <c r="GR191">
        <v>99.697199999999995</v>
      </c>
      <c r="GS191">
        <v>99.406499999999994</v>
      </c>
    </row>
    <row r="192" spans="1:201" x14ac:dyDescent="0.25">
      <c r="A192">
        <v>176</v>
      </c>
      <c r="B192">
        <v>1690205525.5999999</v>
      </c>
      <c r="C192">
        <v>2086</v>
      </c>
      <c r="D192" t="s">
        <v>685</v>
      </c>
      <c r="E192" t="s">
        <v>686</v>
      </c>
      <c r="F192" t="s">
        <v>330</v>
      </c>
      <c r="H192">
        <v>1690205525.5999999</v>
      </c>
      <c r="I192">
        <f t="shared" si="60"/>
        <v>2.0634712775047196E-3</v>
      </c>
      <c r="J192">
        <f t="shared" si="61"/>
        <v>2.0634712775047195</v>
      </c>
      <c r="K192">
        <f t="shared" si="62"/>
        <v>42.847268203803942</v>
      </c>
      <c r="L192">
        <f t="shared" si="63"/>
        <v>347.14</v>
      </c>
      <c r="M192">
        <f t="shared" si="64"/>
        <v>64.896152959795188</v>
      </c>
      <c r="N192">
        <f t="shared" si="65"/>
        <v>6.4361365827945516</v>
      </c>
      <c r="O192">
        <f t="shared" si="66"/>
        <v>34.427933728759996</v>
      </c>
      <c r="P192">
        <f t="shared" si="67"/>
        <v>0.25903204437959387</v>
      </c>
      <c r="Q192">
        <f t="shared" si="68"/>
        <v>2.1924826422719006</v>
      </c>
      <c r="R192">
        <f t="shared" si="69"/>
        <v>0.24315203900967036</v>
      </c>
      <c r="S192">
        <f t="shared" si="70"/>
        <v>0.15331558523259131</v>
      </c>
      <c r="T192">
        <f t="shared" si="71"/>
        <v>276.11508348000001</v>
      </c>
      <c r="U192">
        <f t="shared" si="72"/>
        <v>27.069597470275291</v>
      </c>
      <c r="V192">
        <f t="shared" si="73"/>
        <v>27.069597470275291</v>
      </c>
      <c r="W192">
        <f t="shared" si="74"/>
        <v>3.5938161074380619</v>
      </c>
      <c r="X192">
        <f t="shared" si="75"/>
        <v>84.130606752664477</v>
      </c>
      <c r="Y192">
        <f t="shared" si="76"/>
        <v>2.7792171160754</v>
      </c>
      <c r="Z192">
        <f t="shared" si="77"/>
        <v>3.3034554525988611</v>
      </c>
      <c r="AA192">
        <f t="shared" si="78"/>
        <v>0.8145989913626619</v>
      </c>
      <c r="AB192">
        <f t="shared" si="79"/>
        <v>-90.99908333795814</v>
      </c>
      <c r="AC192">
        <f t="shared" si="80"/>
        <v>-168.73180579370279</v>
      </c>
      <c r="AD192">
        <f t="shared" si="81"/>
        <v>-16.502042847204393</v>
      </c>
      <c r="AE192">
        <f t="shared" si="82"/>
        <v>-0.11784849886532811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52557.321555116519</v>
      </c>
      <c r="AK192">
        <f t="shared" si="86"/>
        <v>1800</v>
      </c>
      <c r="AL192">
        <f t="shared" si="87"/>
        <v>1499.1118650000001</v>
      </c>
      <c r="AM192">
        <f t="shared" si="88"/>
        <v>0.83283992500000004</v>
      </c>
      <c r="AN192">
        <f t="shared" si="89"/>
        <v>0.1533972686</v>
      </c>
      <c r="AO192">
        <v>31.2</v>
      </c>
      <c r="AP192">
        <v>0.5</v>
      </c>
      <c r="AQ192" t="s">
        <v>331</v>
      </c>
      <c r="AR192">
        <v>2</v>
      </c>
      <c r="AS192">
        <v>1690205525.5999999</v>
      </c>
      <c r="AT192">
        <v>347.14</v>
      </c>
      <c r="AU192">
        <v>799.91600000000005</v>
      </c>
      <c r="AV192">
        <v>28.023099999999999</v>
      </c>
      <c r="AW192">
        <v>7.1775099999999998</v>
      </c>
      <c r="AX192">
        <v>347.81599999999997</v>
      </c>
      <c r="AY192">
        <v>27.855399999999999</v>
      </c>
      <c r="AZ192">
        <v>300.18900000000002</v>
      </c>
      <c r="BA192">
        <v>99.075900000000004</v>
      </c>
      <c r="BB192">
        <v>0.100034</v>
      </c>
      <c r="BC192">
        <v>25.642099999999999</v>
      </c>
      <c r="BD192">
        <v>27.0274</v>
      </c>
      <c r="BE192">
        <v>26.840699999999998</v>
      </c>
      <c r="BF192">
        <v>0</v>
      </c>
      <c r="BG192">
        <v>0</v>
      </c>
      <c r="BH192">
        <v>9986.25</v>
      </c>
      <c r="BI192">
        <v>1065.92</v>
      </c>
      <c r="BJ192">
        <v>1.96231</v>
      </c>
      <c r="BK192">
        <v>-452.77600000000001</v>
      </c>
      <c r="BL192">
        <v>357.14800000000002</v>
      </c>
      <c r="BM192">
        <v>805.69899999999996</v>
      </c>
      <c r="BN192">
        <v>20.845600000000001</v>
      </c>
      <c r="BO192">
        <v>799.91600000000005</v>
      </c>
      <c r="BP192">
        <v>7.1775099999999998</v>
      </c>
      <c r="BQ192">
        <v>2.7764199999999999</v>
      </c>
      <c r="BR192">
        <v>0.71111899999999995</v>
      </c>
      <c r="BS192">
        <v>22.744499999999999</v>
      </c>
      <c r="BT192">
        <v>2.0468600000000001</v>
      </c>
      <c r="BU192">
        <v>1800</v>
      </c>
      <c r="BV192">
        <v>0.91000300000000001</v>
      </c>
      <c r="BW192">
        <v>3.4001799999999999E-2</v>
      </c>
      <c r="BX192">
        <v>2.1998500000000001E-2</v>
      </c>
      <c r="BY192">
        <v>3.3996600000000002E-2</v>
      </c>
      <c r="BZ192">
        <v>25</v>
      </c>
      <c r="CA192">
        <v>33528.400000000001</v>
      </c>
      <c r="CB192">
        <v>1690203121.0999999</v>
      </c>
      <c r="CC192" t="s">
        <v>332</v>
      </c>
      <c r="CD192">
        <v>1690203121.0999999</v>
      </c>
      <c r="CE192">
        <v>1690203121.0999999</v>
      </c>
      <c r="CF192">
        <v>3</v>
      </c>
      <c r="CG192">
        <v>0.53600000000000003</v>
      </c>
      <c r="CH192">
        <v>-0.01</v>
      </c>
      <c r="CI192">
        <v>-0.996</v>
      </c>
      <c r="CJ192">
        <v>-6.6000000000000003E-2</v>
      </c>
      <c r="CK192">
        <v>800</v>
      </c>
      <c r="CL192">
        <v>9</v>
      </c>
      <c r="CM192">
        <v>0.82</v>
      </c>
      <c r="CN192">
        <v>0.01</v>
      </c>
      <c r="CO192">
        <v>-452.5213</v>
      </c>
      <c r="CP192">
        <v>-1.8647954971853451</v>
      </c>
      <c r="CQ192">
        <v>0.18581054867794941</v>
      </c>
      <c r="CR192">
        <v>-1</v>
      </c>
      <c r="CS192">
        <v>20.841997500000002</v>
      </c>
      <c r="CT192">
        <v>5.551632270162285E-2</v>
      </c>
      <c r="CU192">
        <v>5.6596151591782329E-3</v>
      </c>
      <c r="CV192">
        <v>-1</v>
      </c>
      <c r="CW192">
        <v>0</v>
      </c>
      <c r="CX192">
        <v>0</v>
      </c>
      <c r="CY192" t="s">
        <v>333</v>
      </c>
      <c r="CZ192">
        <v>2.3651800000000001</v>
      </c>
      <c r="DA192">
        <v>2.7138100000000001</v>
      </c>
      <c r="DB192">
        <v>8.0399100000000001E-2</v>
      </c>
      <c r="DC192">
        <v>0.146282</v>
      </c>
      <c r="DD192">
        <v>0.12717800000000001</v>
      </c>
      <c r="DE192">
        <v>4.56687E-2</v>
      </c>
      <c r="DF192">
        <v>33569.1</v>
      </c>
      <c r="DG192">
        <v>27480.1</v>
      </c>
      <c r="DH192">
        <v>31161.3</v>
      </c>
      <c r="DI192">
        <v>28046.1</v>
      </c>
      <c r="DJ192">
        <v>36906.400000000001</v>
      </c>
      <c r="DK192">
        <v>38041.300000000003</v>
      </c>
      <c r="DL192">
        <v>44340.6</v>
      </c>
      <c r="DM192">
        <v>42484.4</v>
      </c>
      <c r="DN192">
        <v>1.48485</v>
      </c>
      <c r="DO192">
        <v>2.0554999999999999</v>
      </c>
      <c r="DP192">
        <v>0.16220300000000001</v>
      </c>
      <c r="DQ192">
        <v>0.153005</v>
      </c>
      <c r="DR192">
        <v>24.3691</v>
      </c>
      <c r="DS192">
        <v>24.332699999999999</v>
      </c>
      <c r="DT192">
        <v>23.2</v>
      </c>
      <c r="DU192">
        <v>28</v>
      </c>
      <c r="DV192">
        <v>8.8867899999999995</v>
      </c>
      <c r="DW192">
        <v>61.6128</v>
      </c>
      <c r="DX192">
        <v>36.786900000000003</v>
      </c>
      <c r="DY192">
        <v>1</v>
      </c>
      <c r="DZ192">
        <v>-0.13822200000000001</v>
      </c>
      <c r="EA192">
        <v>0.36982799999999999</v>
      </c>
      <c r="EB192">
        <v>20.1906</v>
      </c>
      <c r="EC192">
        <v>5.2409499999999998</v>
      </c>
      <c r="ED192">
        <v>12.039899999999999</v>
      </c>
      <c r="EE192">
        <v>5.0164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</v>
      </c>
      <c r="EL192">
        <v>1.8646199999999999</v>
      </c>
      <c r="EM192">
        <v>1.8691899999999999</v>
      </c>
      <c r="EN192">
        <v>1.8672200000000001</v>
      </c>
      <c r="EO192">
        <v>1.8633999999999999</v>
      </c>
      <c r="EP192">
        <v>1.86449</v>
      </c>
      <c r="EQ192">
        <v>1.8701399999999999</v>
      </c>
      <c r="ER192">
        <v>1.86941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-0.67600000000000005</v>
      </c>
      <c r="FG192">
        <v>0.16769999999999999</v>
      </c>
      <c r="FH192">
        <v>-0.44422204735670362</v>
      </c>
      <c r="FI192">
        <v>-6.1462078757559423E-4</v>
      </c>
      <c r="FJ192">
        <v>-1.8861989874597051E-7</v>
      </c>
      <c r="FK192">
        <v>1.1980462299894961E-10</v>
      </c>
      <c r="FL192">
        <v>0.16773393518503121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40.1</v>
      </c>
      <c r="FU192">
        <v>40.1</v>
      </c>
      <c r="FV192">
        <v>1.78101</v>
      </c>
      <c r="FW192">
        <v>2.5622600000000002</v>
      </c>
      <c r="FX192">
        <v>1.5490699999999999</v>
      </c>
      <c r="FY192">
        <v>2.3339799999999999</v>
      </c>
      <c r="FZ192">
        <v>1.50146</v>
      </c>
      <c r="GA192">
        <v>2.3754900000000001</v>
      </c>
      <c r="GB192">
        <v>32.576099999999997</v>
      </c>
      <c r="GC192">
        <v>23.991199999999999</v>
      </c>
      <c r="GD192">
        <v>19</v>
      </c>
      <c r="GE192">
        <v>284.07400000000001</v>
      </c>
      <c r="GF192">
        <v>592.56100000000004</v>
      </c>
      <c r="GG192">
        <v>23.685199999999998</v>
      </c>
      <c r="GH192">
        <v>25.645800000000001</v>
      </c>
      <c r="GI192">
        <v>30.0002</v>
      </c>
      <c r="GJ192">
        <v>25.791699999999999</v>
      </c>
      <c r="GK192">
        <v>25.773499999999999</v>
      </c>
      <c r="GL192">
        <v>35.603200000000001</v>
      </c>
      <c r="GM192">
        <v>-30</v>
      </c>
      <c r="GN192">
        <v>-30</v>
      </c>
      <c r="GO192">
        <v>23.661000000000001</v>
      </c>
      <c r="GP192">
        <v>800</v>
      </c>
      <c r="GQ192">
        <v>12.5298</v>
      </c>
      <c r="GR192">
        <v>99.6965</v>
      </c>
      <c r="GS192">
        <v>99.407899999999998</v>
      </c>
    </row>
    <row r="193" spans="1:201" x14ac:dyDescent="0.25">
      <c r="A193">
        <v>177</v>
      </c>
      <c r="B193">
        <v>1690205535.5999999</v>
      </c>
      <c r="C193">
        <v>2096</v>
      </c>
      <c r="D193" t="s">
        <v>687</v>
      </c>
      <c r="E193" t="s">
        <v>688</v>
      </c>
      <c r="F193" t="s">
        <v>330</v>
      </c>
      <c r="H193">
        <v>1690205535.5999999</v>
      </c>
      <c r="I193">
        <f t="shared" si="60"/>
        <v>2.0630739083170638E-3</v>
      </c>
      <c r="J193">
        <f t="shared" si="61"/>
        <v>2.0630739083170639</v>
      </c>
      <c r="K193">
        <f t="shared" si="62"/>
        <v>42.892865691612279</v>
      </c>
      <c r="L193">
        <f t="shared" si="63"/>
        <v>346.78</v>
      </c>
      <c r="M193">
        <f t="shared" si="64"/>
        <v>63.790127403062705</v>
      </c>
      <c r="N193">
        <f t="shared" si="65"/>
        <v>6.3262146087066666</v>
      </c>
      <c r="O193">
        <f t="shared" si="66"/>
        <v>34.390975395699996</v>
      </c>
      <c r="P193">
        <f t="shared" si="67"/>
        <v>0.2586004387068403</v>
      </c>
      <c r="Q193">
        <f t="shared" si="68"/>
        <v>2.1906675877463382</v>
      </c>
      <c r="R193">
        <f t="shared" si="69"/>
        <v>0.24275932087920604</v>
      </c>
      <c r="S193">
        <f t="shared" si="70"/>
        <v>0.15306690501959297</v>
      </c>
      <c r="T193">
        <f t="shared" si="71"/>
        <v>276.11348893765046</v>
      </c>
      <c r="U193">
        <f t="shared" si="72"/>
        <v>27.06969977661192</v>
      </c>
      <c r="V193">
        <f t="shared" si="73"/>
        <v>27.06969977661192</v>
      </c>
      <c r="W193">
        <f t="shared" si="74"/>
        <v>3.5938376904606866</v>
      </c>
      <c r="X193">
        <f t="shared" si="75"/>
        <v>84.102404398481923</v>
      </c>
      <c r="Y193">
        <f t="shared" si="76"/>
        <v>2.7781041428635</v>
      </c>
      <c r="Z193">
        <f t="shared" si="77"/>
        <v>3.3032398570921782</v>
      </c>
      <c r="AA193">
        <f t="shared" si="78"/>
        <v>0.81573354759718653</v>
      </c>
      <c r="AB193">
        <f t="shared" si="79"/>
        <v>-90.981559356782512</v>
      </c>
      <c r="AC193">
        <f t="shared" si="80"/>
        <v>-168.73411688137972</v>
      </c>
      <c r="AD193">
        <f t="shared" si="81"/>
        <v>-16.51585924553553</v>
      </c>
      <c r="AE193">
        <f t="shared" si="82"/>
        <v>-0.11804654604728171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52482.976830784115</v>
      </c>
      <c r="AK193">
        <f t="shared" si="86"/>
        <v>1799.99</v>
      </c>
      <c r="AL193">
        <f t="shared" si="87"/>
        <v>1499.10395059845</v>
      </c>
      <c r="AM193">
        <f t="shared" si="88"/>
        <v>0.83284015499999997</v>
      </c>
      <c r="AN193">
        <f t="shared" si="89"/>
        <v>0.15339723494999999</v>
      </c>
      <c r="AO193">
        <v>31.2</v>
      </c>
      <c r="AP193">
        <v>0.5</v>
      </c>
      <c r="AQ193" t="s">
        <v>331</v>
      </c>
      <c r="AR193">
        <v>2</v>
      </c>
      <c r="AS193">
        <v>1690205535.5999999</v>
      </c>
      <c r="AT193">
        <v>346.78</v>
      </c>
      <c r="AU193">
        <v>799.98</v>
      </c>
      <c r="AV193">
        <v>28.012899999999998</v>
      </c>
      <c r="AW193">
        <v>7.1729799999999999</v>
      </c>
      <c r="AX193">
        <v>347.45600000000002</v>
      </c>
      <c r="AY193">
        <v>27.845199999999998</v>
      </c>
      <c r="AZ193">
        <v>300.21600000000001</v>
      </c>
      <c r="BA193">
        <v>99.072199999999995</v>
      </c>
      <c r="BB193">
        <v>0.100115</v>
      </c>
      <c r="BC193">
        <v>25.640999999999998</v>
      </c>
      <c r="BD193">
        <v>26.983799999999999</v>
      </c>
      <c r="BE193">
        <v>26.8308</v>
      </c>
      <c r="BF193">
        <v>0</v>
      </c>
      <c r="BG193">
        <v>0</v>
      </c>
      <c r="BH193">
        <v>9971.8799999999992</v>
      </c>
      <c r="BI193">
        <v>1065.82</v>
      </c>
      <c r="BJ193">
        <v>1.96231</v>
      </c>
      <c r="BK193">
        <v>-453.2</v>
      </c>
      <c r="BL193">
        <v>356.77499999999998</v>
      </c>
      <c r="BM193">
        <v>805.76</v>
      </c>
      <c r="BN193">
        <v>20.84</v>
      </c>
      <c r="BO193">
        <v>799.98</v>
      </c>
      <c r="BP193">
        <v>7.1729799999999999</v>
      </c>
      <c r="BQ193">
        <v>2.7753000000000001</v>
      </c>
      <c r="BR193">
        <v>0.71064300000000002</v>
      </c>
      <c r="BS193">
        <v>22.7379</v>
      </c>
      <c r="BT193">
        <v>2.03749</v>
      </c>
      <c r="BU193">
        <v>1799.99</v>
      </c>
      <c r="BV193">
        <v>0.91000499999999995</v>
      </c>
      <c r="BW193">
        <v>3.4001099999999999E-2</v>
      </c>
      <c r="BX193">
        <v>2.1998E-2</v>
      </c>
      <c r="BY193">
        <v>3.3995900000000003E-2</v>
      </c>
      <c r="BZ193">
        <v>25</v>
      </c>
      <c r="CA193">
        <v>33528.300000000003</v>
      </c>
      <c r="CB193">
        <v>1690203121.0999999</v>
      </c>
      <c r="CC193" t="s">
        <v>332</v>
      </c>
      <c r="CD193">
        <v>1690203121.0999999</v>
      </c>
      <c r="CE193">
        <v>1690203121.0999999</v>
      </c>
      <c r="CF193">
        <v>3</v>
      </c>
      <c r="CG193">
        <v>0.53600000000000003</v>
      </c>
      <c r="CH193">
        <v>-0.01</v>
      </c>
      <c r="CI193">
        <v>-0.996</v>
      </c>
      <c r="CJ193">
        <v>-6.6000000000000003E-2</v>
      </c>
      <c r="CK193">
        <v>800</v>
      </c>
      <c r="CL193">
        <v>9</v>
      </c>
      <c r="CM193">
        <v>0.82</v>
      </c>
      <c r="CN193">
        <v>0.01</v>
      </c>
      <c r="CO193">
        <v>-452.86160975609749</v>
      </c>
      <c r="CP193">
        <v>-2.5170940766563921</v>
      </c>
      <c r="CQ193">
        <v>0.25328532816923249</v>
      </c>
      <c r="CR193">
        <v>-1</v>
      </c>
      <c r="CS193">
        <v>20.845524390243899</v>
      </c>
      <c r="CT193">
        <v>-9.3324041811651843E-3</v>
      </c>
      <c r="CU193">
        <v>2.1365324639848159E-3</v>
      </c>
      <c r="CV193">
        <v>-1</v>
      </c>
      <c r="CW193">
        <v>0</v>
      </c>
      <c r="CX193">
        <v>0</v>
      </c>
      <c r="CY193" t="s">
        <v>333</v>
      </c>
      <c r="CZ193">
        <v>2.3652700000000002</v>
      </c>
      <c r="DA193">
        <v>2.7138800000000001</v>
      </c>
      <c r="DB193">
        <v>8.0330799999999994E-2</v>
      </c>
      <c r="DC193">
        <v>0.146285</v>
      </c>
      <c r="DD193">
        <v>0.127141</v>
      </c>
      <c r="DE193">
        <v>4.5643900000000001E-2</v>
      </c>
      <c r="DF193">
        <v>33571.800000000003</v>
      </c>
      <c r="DG193">
        <v>27479.599999999999</v>
      </c>
      <c r="DH193">
        <v>31161.5</v>
      </c>
      <c r="DI193">
        <v>28045.599999999999</v>
      </c>
      <c r="DJ193">
        <v>36908.300000000003</v>
      </c>
      <c r="DK193">
        <v>38041.800000000003</v>
      </c>
      <c r="DL193">
        <v>44341.1</v>
      </c>
      <c r="DM193">
        <v>42483.9</v>
      </c>
      <c r="DN193">
        <v>1.48522</v>
      </c>
      <c r="DO193">
        <v>2.0553699999999999</v>
      </c>
      <c r="DP193">
        <v>0.159223</v>
      </c>
      <c r="DQ193">
        <v>0.15217800000000001</v>
      </c>
      <c r="DR193">
        <v>24.374199999999998</v>
      </c>
      <c r="DS193">
        <v>24.336300000000001</v>
      </c>
      <c r="DT193">
        <v>23.2</v>
      </c>
      <c r="DU193">
        <v>28</v>
      </c>
      <c r="DV193">
        <v>8.8870799999999992</v>
      </c>
      <c r="DW193">
        <v>61.752800000000001</v>
      </c>
      <c r="DX193">
        <v>36.642600000000002</v>
      </c>
      <c r="DY193">
        <v>1</v>
      </c>
      <c r="DZ193">
        <v>-0.13819899999999999</v>
      </c>
      <c r="EA193">
        <v>0.42530000000000001</v>
      </c>
      <c r="EB193">
        <v>20.1905</v>
      </c>
      <c r="EC193">
        <v>5.2411000000000003</v>
      </c>
      <c r="ED193">
        <v>12.039899999999999</v>
      </c>
      <c r="EE193">
        <v>5.0175000000000001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</v>
      </c>
      <c r="EL193">
        <v>1.8646199999999999</v>
      </c>
      <c r="EM193">
        <v>1.86917</v>
      </c>
      <c r="EN193">
        <v>1.8672200000000001</v>
      </c>
      <c r="EO193">
        <v>1.8633999999999999</v>
      </c>
      <c r="EP193">
        <v>1.8644700000000001</v>
      </c>
      <c r="EQ193">
        <v>1.8701399999999999</v>
      </c>
      <c r="ER193">
        <v>1.8694200000000001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-0.67600000000000005</v>
      </c>
      <c r="FG193">
        <v>0.16769999999999999</v>
      </c>
      <c r="FH193">
        <v>-0.44422204735670362</v>
      </c>
      <c r="FI193">
        <v>-6.1462078757559423E-4</v>
      </c>
      <c r="FJ193">
        <v>-1.8861989874597051E-7</v>
      </c>
      <c r="FK193">
        <v>1.1980462299894961E-10</v>
      </c>
      <c r="FL193">
        <v>0.16773393518503121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40.200000000000003</v>
      </c>
      <c r="FU193">
        <v>40.200000000000003</v>
      </c>
      <c r="FV193">
        <v>1.78101</v>
      </c>
      <c r="FW193">
        <v>2.5647000000000002</v>
      </c>
      <c r="FX193">
        <v>1.5490699999999999</v>
      </c>
      <c r="FY193">
        <v>2.3339799999999999</v>
      </c>
      <c r="FZ193">
        <v>1.50146</v>
      </c>
      <c r="GA193">
        <v>2.3840300000000001</v>
      </c>
      <c r="GB193">
        <v>32.576099999999997</v>
      </c>
      <c r="GC193">
        <v>23.991199999999999</v>
      </c>
      <c r="GD193">
        <v>19</v>
      </c>
      <c r="GE193">
        <v>284.22800000000001</v>
      </c>
      <c r="GF193">
        <v>592.45699999999999</v>
      </c>
      <c r="GG193">
        <v>23.619499999999999</v>
      </c>
      <c r="GH193">
        <v>25.645199999999999</v>
      </c>
      <c r="GI193">
        <v>30.0002</v>
      </c>
      <c r="GJ193">
        <v>25.790600000000001</v>
      </c>
      <c r="GK193">
        <v>25.773499999999999</v>
      </c>
      <c r="GL193">
        <v>35.604399999999998</v>
      </c>
      <c r="GM193">
        <v>-30</v>
      </c>
      <c r="GN193">
        <v>-30</v>
      </c>
      <c r="GO193">
        <v>23.594999999999999</v>
      </c>
      <c r="GP193">
        <v>800</v>
      </c>
      <c r="GQ193">
        <v>12.5298</v>
      </c>
      <c r="GR193">
        <v>99.697299999999998</v>
      </c>
      <c r="GS193">
        <v>99.406499999999994</v>
      </c>
    </row>
    <row r="194" spans="1:201" x14ac:dyDescent="0.25">
      <c r="A194">
        <v>178</v>
      </c>
      <c r="B194">
        <v>1690205545.5999999</v>
      </c>
      <c r="C194">
        <v>2106</v>
      </c>
      <c r="D194" t="s">
        <v>689</v>
      </c>
      <c r="E194" t="s">
        <v>690</v>
      </c>
      <c r="F194" t="s">
        <v>330</v>
      </c>
      <c r="H194">
        <v>1690205545.5999999</v>
      </c>
      <c r="I194">
        <f t="shared" si="60"/>
        <v>2.0618787250550404E-3</v>
      </c>
      <c r="J194">
        <f t="shared" si="61"/>
        <v>2.0618787250550406</v>
      </c>
      <c r="K194">
        <f t="shared" si="62"/>
        <v>42.922627953522429</v>
      </c>
      <c r="L194">
        <f t="shared" si="63"/>
        <v>346.36900000000003</v>
      </c>
      <c r="M194">
        <f t="shared" si="64"/>
        <v>63.6692372881502</v>
      </c>
      <c r="N194">
        <f t="shared" si="65"/>
        <v>6.3141897148657282</v>
      </c>
      <c r="O194">
        <f t="shared" si="66"/>
        <v>34.350020048934503</v>
      </c>
      <c r="P194">
        <f t="shared" si="67"/>
        <v>0.2590487311343283</v>
      </c>
      <c r="Q194">
        <f t="shared" si="68"/>
        <v>2.1928931135538612</v>
      </c>
      <c r="R194">
        <f t="shared" si="69"/>
        <v>0.24316952433544464</v>
      </c>
      <c r="S194">
        <f t="shared" si="70"/>
        <v>0.1533264552353559</v>
      </c>
      <c r="T194">
        <f t="shared" si="71"/>
        <v>276.11359547905863</v>
      </c>
      <c r="U194">
        <f t="shared" si="72"/>
        <v>27.055701951965457</v>
      </c>
      <c r="V194">
        <f t="shared" si="73"/>
        <v>27.055701951965457</v>
      </c>
      <c r="W194">
        <f t="shared" si="74"/>
        <v>3.5908856950827452</v>
      </c>
      <c r="X194">
        <f t="shared" si="75"/>
        <v>84.133972325657993</v>
      </c>
      <c r="Y194">
        <f t="shared" si="76"/>
        <v>2.7769875231509</v>
      </c>
      <c r="Z194">
        <f t="shared" si="77"/>
        <v>3.3006732552719535</v>
      </c>
      <c r="AA194">
        <f t="shared" si="78"/>
        <v>0.81389817193184522</v>
      </c>
      <c r="AB194">
        <f t="shared" si="79"/>
        <v>-90.928851774927281</v>
      </c>
      <c r="AC194">
        <f t="shared" si="80"/>
        <v>-168.7993921691432</v>
      </c>
      <c r="AD194">
        <f t="shared" si="81"/>
        <v>-16.503239199154219</v>
      </c>
      <c r="AE194">
        <f t="shared" si="82"/>
        <v>-0.11788766416609064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52576.580729353256</v>
      </c>
      <c r="AK194">
        <f t="shared" si="86"/>
        <v>1799.99</v>
      </c>
      <c r="AL194">
        <f t="shared" si="87"/>
        <v>1499.1050737922099</v>
      </c>
      <c r="AM194">
        <f t="shared" si="88"/>
        <v>0.83284077899999998</v>
      </c>
      <c r="AN194">
        <f t="shared" si="89"/>
        <v>0.15339729414</v>
      </c>
      <c r="AO194">
        <v>31.2</v>
      </c>
      <c r="AP194">
        <v>0.5</v>
      </c>
      <c r="AQ194" t="s">
        <v>331</v>
      </c>
      <c r="AR194">
        <v>2</v>
      </c>
      <c r="AS194">
        <v>1690205545.5999999</v>
      </c>
      <c r="AT194">
        <v>346.36900000000003</v>
      </c>
      <c r="AU194">
        <v>799.97699999999998</v>
      </c>
      <c r="AV194">
        <v>28.001799999999999</v>
      </c>
      <c r="AW194">
        <v>7.1685800000000004</v>
      </c>
      <c r="AX194">
        <v>347.04399999999998</v>
      </c>
      <c r="AY194">
        <v>27.834099999999999</v>
      </c>
      <c r="AZ194">
        <v>300.142</v>
      </c>
      <c r="BA194">
        <v>99.071799999999996</v>
      </c>
      <c r="BB194">
        <v>9.9950499999999998E-2</v>
      </c>
      <c r="BC194">
        <v>25.6279</v>
      </c>
      <c r="BD194">
        <v>27.047699999999999</v>
      </c>
      <c r="BE194">
        <v>26.821200000000001</v>
      </c>
      <c r="BF194">
        <v>0</v>
      </c>
      <c r="BG194">
        <v>0</v>
      </c>
      <c r="BH194">
        <v>9990</v>
      </c>
      <c r="BI194">
        <v>1065.73</v>
      </c>
      <c r="BJ194">
        <v>1.9903500000000001</v>
      </c>
      <c r="BK194">
        <v>-453.60700000000003</v>
      </c>
      <c r="BL194">
        <v>356.34800000000001</v>
      </c>
      <c r="BM194">
        <v>805.75300000000004</v>
      </c>
      <c r="BN194">
        <v>20.833300000000001</v>
      </c>
      <c r="BO194">
        <v>799.97699999999998</v>
      </c>
      <c r="BP194">
        <v>7.1685800000000004</v>
      </c>
      <c r="BQ194">
        <v>2.7741899999999999</v>
      </c>
      <c r="BR194">
        <v>0.71020499999999998</v>
      </c>
      <c r="BS194">
        <v>22.731300000000001</v>
      </c>
      <c r="BT194">
        <v>2.0288499999999998</v>
      </c>
      <c r="BU194">
        <v>1799.99</v>
      </c>
      <c r="BV194">
        <v>0.91000700000000001</v>
      </c>
      <c r="BW194">
        <v>3.4000500000000003E-2</v>
      </c>
      <c r="BX194">
        <v>2.1997699999999999E-2</v>
      </c>
      <c r="BY194">
        <v>3.3995400000000002E-2</v>
      </c>
      <c r="BZ194">
        <v>25</v>
      </c>
      <c r="CA194">
        <v>33528.300000000003</v>
      </c>
      <c r="CB194">
        <v>1690203121.0999999</v>
      </c>
      <c r="CC194" t="s">
        <v>332</v>
      </c>
      <c r="CD194">
        <v>1690203121.0999999</v>
      </c>
      <c r="CE194">
        <v>1690203121.0999999</v>
      </c>
      <c r="CF194">
        <v>3</v>
      </c>
      <c r="CG194">
        <v>0.53600000000000003</v>
      </c>
      <c r="CH194">
        <v>-0.01</v>
      </c>
      <c r="CI194">
        <v>-0.996</v>
      </c>
      <c r="CJ194">
        <v>-6.6000000000000003E-2</v>
      </c>
      <c r="CK194">
        <v>800</v>
      </c>
      <c r="CL194">
        <v>9</v>
      </c>
      <c r="CM194">
        <v>0.82</v>
      </c>
      <c r="CN194">
        <v>0.01</v>
      </c>
      <c r="CO194">
        <v>-453.20757500000002</v>
      </c>
      <c r="CP194">
        <v>-2.0952157598489278</v>
      </c>
      <c r="CQ194">
        <v>0.2115531715077765</v>
      </c>
      <c r="CR194">
        <v>-1</v>
      </c>
      <c r="CS194">
        <v>20.840319999999998</v>
      </c>
      <c r="CT194">
        <v>-4.6583864915613088E-2</v>
      </c>
      <c r="CU194">
        <v>4.6237538861839704E-3</v>
      </c>
      <c r="CV194">
        <v>-1</v>
      </c>
      <c r="CW194">
        <v>0</v>
      </c>
      <c r="CX194">
        <v>0</v>
      </c>
      <c r="CY194" t="s">
        <v>333</v>
      </c>
      <c r="CZ194">
        <v>2.3650199999999999</v>
      </c>
      <c r="DA194">
        <v>2.71373</v>
      </c>
      <c r="DB194">
        <v>8.0255900000000005E-2</v>
      </c>
      <c r="DC194">
        <v>0.146284</v>
      </c>
      <c r="DD194">
        <v>0.127107</v>
      </c>
      <c r="DE194">
        <v>4.5621599999999998E-2</v>
      </c>
      <c r="DF194">
        <v>33575.1</v>
      </c>
      <c r="DG194">
        <v>27479.8</v>
      </c>
      <c r="DH194">
        <v>31162</v>
      </c>
      <c r="DI194">
        <v>28045.8</v>
      </c>
      <c r="DJ194">
        <v>36910.199999999997</v>
      </c>
      <c r="DK194">
        <v>38042.9</v>
      </c>
      <c r="DL194">
        <v>44341.599999999999</v>
      </c>
      <c r="DM194">
        <v>42484.1</v>
      </c>
      <c r="DN194">
        <v>1.4852799999999999</v>
      </c>
      <c r="DO194">
        <v>2.0554999999999999</v>
      </c>
      <c r="DP194">
        <v>0.16294800000000001</v>
      </c>
      <c r="DQ194">
        <v>0.151362</v>
      </c>
      <c r="DR194">
        <v>24.377300000000002</v>
      </c>
      <c r="DS194">
        <v>24.3401</v>
      </c>
      <c r="DT194">
        <v>23.1</v>
      </c>
      <c r="DU194">
        <v>28</v>
      </c>
      <c r="DV194">
        <v>8.8490400000000005</v>
      </c>
      <c r="DW194">
        <v>61.892800000000001</v>
      </c>
      <c r="DX194">
        <v>36.626600000000003</v>
      </c>
      <c r="DY194">
        <v>1</v>
      </c>
      <c r="DZ194">
        <v>-0.13970299999999999</v>
      </c>
      <c r="EA194">
        <v>0.110833</v>
      </c>
      <c r="EB194">
        <v>20.190899999999999</v>
      </c>
      <c r="EC194">
        <v>5.2409499999999998</v>
      </c>
      <c r="ED194">
        <v>12.039899999999999</v>
      </c>
      <c r="EE194">
        <v>5.0171000000000001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</v>
      </c>
      <c r="EL194">
        <v>1.8646199999999999</v>
      </c>
      <c r="EM194">
        <v>1.8691500000000001</v>
      </c>
      <c r="EN194">
        <v>1.8672200000000001</v>
      </c>
      <c r="EO194">
        <v>1.8633999999999999</v>
      </c>
      <c r="EP194">
        <v>1.8644799999999999</v>
      </c>
      <c r="EQ194">
        <v>1.87015</v>
      </c>
      <c r="ER194">
        <v>1.86937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-0.67500000000000004</v>
      </c>
      <c r="FG194">
        <v>0.16769999999999999</v>
      </c>
      <c r="FH194">
        <v>-0.44422204735670362</v>
      </c>
      <c r="FI194">
        <v>-6.1462078757559423E-4</v>
      </c>
      <c r="FJ194">
        <v>-1.8861989874597051E-7</v>
      </c>
      <c r="FK194">
        <v>1.1980462299894961E-10</v>
      </c>
      <c r="FL194">
        <v>0.16773393518503121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40.4</v>
      </c>
      <c r="FU194">
        <v>40.4</v>
      </c>
      <c r="FV194">
        <v>1.78101</v>
      </c>
      <c r="FW194">
        <v>2.5647000000000002</v>
      </c>
      <c r="FX194">
        <v>1.5490699999999999</v>
      </c>
      <c r="FY194">
        <v>2.33521</v>
      </c>
      <c r="FZ194">
        <v>1.50146</v>
      </c>
      <c r="GA194">
        <v>2.3584000000000001</v>
      </c>
      <c r="GB194">
        <v>32.576099999999997</v>
      </c>
      <c r="GC194">
        <v>23.991199999999999</v>
      </c>
      <c r="GD194">
        <v>19</v>
      </c>
      <c r="GE194">
        <v>284.24</v>
      </c>
      <c r="GF194">
        <v>592.53499999999997</v>
      </c>
      <c r="GG194">
        <v>23.657399999999999</v>
      </c>
      <c r="GH194">
        <v>25.645199999999999</v>
      </c>
      <c r="GI194">
        <v>29.998999999999999</v>
      </c>
      <c r="GJ194">
        <v>25.788399999999999</v>
      </c>
      <c r="GK194">
        <v>25.7713</v>
      </c>
      <c r="GL194">
        <v>35.602699999999999</v>
      </c>
      <c r="GM194">
        <v>-30</v>
      </c>
      <c r="GN194">
        <v>-30</v>
      </c>
      <c r="GO194">
        <v>23.658200000000001</v>
      </c>
      <c r="GP194">
        <v>800</v>
      </c>
      <c r="GQ194">
        <v>12.5298</v>
      </c>
      <c r="GR194">
        <v>99.698700000000002</v>
      </c>
      <c r="GS194">
        <v>99.4071</v>
      </c>
    </row>
    <row r="195" spans="1:201" x14ac:dyDescent="0.25">
      <c r="A195">
        <v>179</v>
      </c>
      <c r="B195">
        <v>1690205555.5999999</v>
      </c>
      <c r="C195">
        <v>2116</v>
      </c>
      <c r="D195" t="s">
        <v>691</v>
      </c>
      <c r="E195" t="s">
        <v>692</v>
      </c>
      <c r="F195" t="s">
        <v>330</v>
      </c>
      <c r="H195">
        <v>1690205555.5999999</v>
      </c>
      <c r="I195">
        <f t="shared" si="60"/>
        <v>2.0639128758152764E-3</v>
      </c>
      <c r="J195">
        <f t="shared" si="61"/>
        <v>2.0639128758152765</v>
      </c>
      <c r="K195">
        <f t="shared" si="62"/>
        <v>42.951708326829213</v>
      </c>
      <c r="L195">
        <f t="shared" si="63"/>
        <v>346.09699999999998</v>
      </c>
      <c r="M195">
        <f t="shared" si="64"/>
        <v>64.028207864759111</v>
      </c>
      <c r="N195">
        <f t="shared" si="65"/>
        <v>6.3497679290425451</v>
      </c>
      <c r="O195">
        <f t="shared" si="66"/>
        <v>34.3229289749871</v>
      </c>
      <c r="P195">
        <f t="shared" si="67"/>
        <v>0.25982839138931196</v>
      </c>
      <c r="Q195">
        <f t="shared" si="68"/>
        <v>2.1958149590959937</v>
      </c>
      <c r="R195">
        <f t="shared" si="69"/>
        <v>0.24387647160401421</v>
      </c>
      <c r="S195">
        <f t="shared" si="70"/>
        <v>0.15377433053507344</v>
      </c>
      <c r="T195">
        <f t="shared" si="71"/>
        <v>276.11491350599999</v>
      </c>
      <c r="U195">
        <f t="shared" si="72"/>
        <v>27.057284238299708</v>
      </c>
      <c r="V195">
        <f t="shared" si="73"/>
        <v>27.057284238299708</v>
      </c>
      <c r="W195">
        <f t="shared" si="74"/>
        <v>3.5912192766453677</v>
      </c>
      <c r="X195">
        <f t="shared" si="75"/>
        <v>84.17169493616943</v>
      </c>
      <c r="Y195">
        <f t="shared" si="76"/>
        <v>2.7788921172417305</v>
      </c>
      <c r="Z195">
        <f t="shared" si="77"/>
        <v>3.3014567656610327</v>
      </c>
      <c r="AA195">
        <f t="shared" si="78"/>
        <v>0.8123271594036372</v>
      </c>
      <c r="AB195">
        <f t="shared" si="79"/>
        <v>-91.018557823453691</v>
      </c>
      <c r="AC195">
        <f t="shared" si="80"/>
        <v>-168.73809233468299</v>
      </c>
      <c r="AD195">
        <f t="shared" si="81"/>
        <v>-16.475754617746723</v>
      </c>
      <c r="AE195">
        <f t="shared" si="82"/>
        <v>-0.11749126988340208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52695.894855292383</v>
      </c>
      <c r="AK195">
        <f t="shared" si="86"/>
        <v>1800</v>
      </c>
      <c r="AL195">
        <f t="shared" si="87"/>
        <v>1499.1131375999998</v>
      </c>
      <c r="AM195">
        <f t="shared" si="88"/>
        <v>0.83284063199999991</v>
      </c>
      <c r="AN195">
        <f t="shared" si="89"/>
        <v>0.15339717416999998</v>
      </c>
      <c r="AO195">
        <v>31.2</v>
      </c>
      <c r="AP195">
        <v>0.5</v>
      </c>
      <c r="AQ195" t="s">
        <v>331</v>
      </c>
      <c r="AR195">
        <v>2</v>
      </c>
      <c r="AS195">
        <v>1690205555.5999999</v>
      </c>
      <c r="AT195">
        <v>346.09699999999998</v>
      </c>
      <c r="AU195">
        <v>800.09500000000003</v>
      </c>
      <c r="AV195">
        <v>28.021100000000001</v>
      </c>
      <c r="AW195">
        <v>7.16378</v>
      </c>
      <c r="AX195">
        <v>346.77199999999999</v>
      </c>
      <c r="AY195">
        <v>27.853300000000001</v>
      </c>
      <c r="AZ195">
        <v>300.08499999999998</v>
      </c>
      <c r="BA195">
        <v>99.071600000000004</v>
      </c>
      <c r="BB195">
        <v>9.9814299999999995E-2</v>
      </c>
      <c r="BC195">
        <v>25.631900000000002</v>
      </c>
      <c r="BD195">
        <v>27.0289</v>
      </c>
      <c r="BE195">
        <v>26.828199999999999</v>
      </c>
      <c r="BF195">
        <v>0</v>
      </c>
      <c r="BG195">
        <v>0</v>
      </c>
      <c r="BH195">
        <v>10013.799999999999</v>
      </c>
      <c r="BI195">
        <v>1065.7</v>
      </c>
      <c r="BJ195">
        <v>2.0183800000000001</v>
      </c>
      <c r="BK195">
        <v>-453.99799999999999</v>
      </c>
      <c r="BL195">
        <v>356.07400000000001</v>
      </c>
      <c r="BM195">
        <v>805.86800000000005</v>
      </c>
      <c r="BN195">
        <v>20.857299999999999</v>
      </c>
      <c r="BO195">
        <v>800.09500000000003</v>
      </c>
      <c r="BP195">
        <v>7.16378</v>
      </c>
      <c r="BQ195">
        <v>2.7760899999999999</v>
      </c>
      <c r="BR195">
        <v>0.709727</v>
      </c>
      <c r="BS195">
        <v>22.742599999999999</v>
      </c>
      <c r="BT195">
        <v>2.0194299999999998</v>
      </c>
      <c r="BU195">
        <v>1800</v>
      </c>
      <c r="BV195">
        <v>0.91000899999999996</v>
      </c>
      <c r="BW195">
        <v>3.3999599999999998E-2</v>
      </c>
      <c r="BX195">
        <v>2.1997099999999999E-2</v>
      </c>
      <c r="BY195">
        <v>3.3994499999999997E-2</v>
      </c>
      <c r="BZ195">
        <v>25</v>
      </c>
      <c r="CA195">
        <v>33528.5</v>
      </c>
      <c r="CB195">
        <v>1690203121.0999999</v>
      </c>
      <c r="CC195" t="s">
        <v>332</v>
      </c>
      <c r="CD195">
        <v>1690203121.0999999</v>
      </c>
      <c r="CE195">
        <v>1690203121.0999999</v>
      </c>
      <c r="CF195">
        <v>3</v>
      </c>
      <c r="CG195">
        <v>0.53600000000000003</v>
      </c>
      <c r="CH195">
        <v>-0.01</v>
      </c>
      <c r="CI195">
        <v>-0.996</v>
      </c>
      <c r="CJ195">
        <v>-6.6000000000000003E-2</v>
      </c>
      <c r="CK195">
        <v>800</v>
      </c>
      <c r="CL195">
        <v>9</v>
      </c>
      <c r="CM195">
        <v>0.82</v>
      </c>
      <c r="CN195">
        <v>0.01</v>
      </c>
      <c r="CO195">
        <v>-453.53947499999992</v>
      </c>
      <c r="CP195">
        <v>-2.278187617260631</v>
      </c>
      <c r="CQ195">
        <v>0.22255325065026399</v>
      </c>
      <c r="CR195">
        <v>-1</v>
      </c>
      <c r="CS195">
        <v>20.839300000000001</v>
      </c>
      <c r="CT195">
        <v>4.2218386491536739E-2</v>
      </c>
      <c r="CU195">
        <v>6.3723229673328819E-3</v>
      </c>
      <c r="CV195">
        <v>-1</v>
      </c>
      <c r="CW195">
        <v>0</v>
      </c>
      <c r="CX195">
        <v>0</v>
      </c>
      <c r="CY195" t="s">
        <v>333</v>
      </c>
      <c r="CZ195">
        <v>2.3648500000000001</v>
      </c>
      <c r="DA195">
        <v>2.7136200000000001</v>
      </c>
      <c r="DB195">
        <v>8.0206100000000002E-2</v>
      </c>
      <c r="DC195">
        <v>0.14629900000000001</v>
      </c>
      <c r="DD195">
        <v>0.127167</v>
      </c>
      <c r="DE195">
        <v>4.5597100000000002E-2</v>
      </c>
      <c r="DF195">
        <v>33576.400000000001</v>
      </c>
      <c r="DG195">
        <v>27479.4</v>
      </c>
      <c r="DH195">
        <v>31161.5</v>
      </c>
      <c r="DI195">
        <v>28045.9</v>
      </c>
      <c r="DJ195">
        <v>36907.300000000003</v>
      </c>
      <c r="DK195">
        <v>38044</v>
      </c>
      <c r="DL195">
        <v>44341.1</v>
      </c>
      <c r="DM195">
        <v>42484.2</v>
      </c>
      <c r="DN195">
        <v>1.4843999999999999</v>
      </c>
      <c r="DO195">
        <v>2.0554299999999999</v>
      </c>
      <c r="DP195">
        <v>0.161607</v>
      </c>
      <c r="DQ195">
        <v>0.15166399999999999</v>
      </c>
      <c r="DR195">
        <v>24.380400000000002</v>
      </c>
      <c r="DS195">
        <v>24.342099999999999</v>
      </c>
      <c r="DT195">
        <v>23.1</v>
      </c>
      <c r="DU195">
        <v>28</v>
      </c>
      <c r="DV195">
        <v>8.84755</v>
      </c>
      <c r="DW195">
        <v>61.402799999999999</v>
      </c>
      <c r="DX195">
        <v>36.578499999999998</v>
      </c>
      <c r="DY195">
        <v>1</v>
      </c>
      <c r="DZ195">
        <v>-0.13875000000000001</v>
      </c>
      <c r="EA195">
        <v>0.47231800000000002</v>
      </c>
      <c r="EB195">
        <v>20.190100000000001</v>
      </c>
      <c r="EC195">
        <v>5.2406499999999996</v>
      </c>
      <c r="ED195">
        <v>12.039899999999999</v>
      </c>
      <c r="EE195">
        <v>5.0167999999999999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</v>
      </c>
      <c r="EL195">
        <v>1.8646199999999999</v>
      </c>
      <c r="EM195">
        <v>1.8691599999999999</v>
      </c>
      <c r="EN195">
        <v>1.8672200000000001</v>
      </c>
      <c r="EO195">
        <v>1.8633999999999999</v>
      </c>
      <c r="EP195">
        <v>1.8644799999999999</v>
      </c>
      <c r="EQ195">
        <v>1.8701399999999999</v>
      </c>
      <c r="ER195">
        <v>1.86937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-0.67500000000000004</v>
      </c>
      <c r="FG195">
        <v>0.1678</v>
      </c>
      <c r="FH195">
        <v>-0.44422204735670362</v>
      </c>
      <c r="FI195">
        <v>-6.1462078757559423E-4</v>
      </c>
      <c r="FJ195">
        <v>-1.8861989874597051E-7</v>
      </c>
      <c r="FK195">
        <v>1.1980462299894961E-10</v>
      </c>
      <c r="FL195">
        <v>0.16773393518503121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40.6</v>
      </c>
      <c r="FU195">
        <v>40.6</v>
      </c>
      <c r="FV195">
        <v>1.78101</v>
      </c>
      <c r="FW195">
        <v>2.5671400000000002</v>
      </c>
      <c r="FX195">
        <v>1.5490699999999999</v>
      </c>
      <c r="FY195">
        <v>2.3339799999999999</v>
      </c>
      <c r="FZ195">
        <v>1.50146</v>
      </c>
      <c r="GA195">
        <v>2.3767100000000001</v>
      </c>
      <c r="GB195">
        <v>32.576099999999997</v>
      </c>
      <c r="GC195">
        <v>23.991199999999999</v>
      </c>
      <c r="GD195">
        <v>19</v>
      </c>
      <c r="GE195">
        <v>283.86700000000002</v>
      </c>
      <c r="GF195">
        <v>592.47299999999996</v>
      </c>
      <c r="GG195">
        <v>23.607399999999998</v>
      </c>
      <c r="GH195">
        <v>25.645199999999999</v>
      </c>
      <c r="GI195">
        <v>30.000499999999999</v>
      </c>
      <c r="GJ195">
        <v>25.788399999999999</v>
      </c>
      <c r="GK195">
        <v>25.7713</v>
      </c>
      <c r="GL195">
        <v>35.602899999999998</v>
      </c>
      <c r="GM195">
        <v>-30</v>
      </c>
      <c r="GN195">
        <v>-30</v>
      </c>
      <c r="GO195">
        <v>23.5627</v>
      </c>
      <c r="GP195">
        <v>800</v>
      </c>
      <c r="GQ195">
        <v>12.5298</v>
      </c>
      <c r="GR195">
        <v>99.697500000000005</v>
      </c>
      <c r="GS195">
        <v>99.407399999999996</v>
      </c>
    </row>
    <row r="196" spans="1:201" x14ac:dyDescent="0.25">
      <c r="A196">
        <v>180</v>
      </c>
      <c r="B196">
        <v>1690205565.5999999</v>
      </c>
      <c r="C196">
        <v>2126</v>
      </c>
      <c r="D196" t="s">
        <v>693</v>
      </c>
      <c r="E196" t="s">
        <v>694</v>
      </c>
      <c r="F196" t="s">
        <v>330</v>
      </c>
      <c r="H196">
        <v>1690205565.5999999</v>
      </c>
      <c r="I196">
        <f t="shared" si="60"/>
        <v>2.0648578957395561E-3</v>
      </c>
      <c r="J196">
        <f t="shared" si="61"/>
        <v>2.0648578957395562</v>
      </c>
      <c r="K196">
        <f t="shared" si="62"/>
        <v>42.984346083005278</v>
      </c>
      <c r="L196">
        <f t="shared" si="63"/>
        <v>345.74599999999998</v>
      </c>
      <c r="M196">
        <f t="shared" si="64"/>
        <v>64.218855825050198</v>
      </c>
      <c r="N196">
        <f t="shared" si="65"/>
        <v>6.3688524183626614</v>
      </c>
      <c r="O196">
        <f t="shared" si="66"/>
        <v>34.289076314876802</v>
      </c>
      <c r="P196">
        <f t="shared" si="67"/>
        <v>0.26057278740326517</v>
      </c>
      <c r="Q196">
        <f t="shared" si="68"/>
        <v>2.194385805514703</v>
      </c>
      <c r="R196">
        <f t="shared" si="69"/>
        <v>0.24452260443776741</v>
      </c>
      <c r="S196">
        <f t="shared" si="70"/>
        <v>0.15418621815306546</v>
      </c>
      <c r="T196">
        <f t="shared" si="71"/>
        <v>276.11475812999993</v>
      </c>
      <c r="U196">
        <f t="shared" si="72"/>
        <v>27.050117900947548</v>
      </c>
      <c r="V196">
        <f t="shared" si="73"/>
        <v>27.050117900947548</v>
      </c>
      <c r="W196">
        <f t="shared" si="74"/>
        <v>3.5897086676284937</v>
      </c>
      <c r="X196">
        <f t="shared" si="75"/>
        <v>84.217319986407261</v>
      </c>
      <c r="Y196">
        <f t="shared" si="76"/>
        <v>2.7791283163041602</v>
      </c>
      <c r="Z196">
        <f t="shared" si="77"/>
        <v>3.2999486527862842</v>
      </c>
      <c r="AA196">
        <f t="shared" si="78"/>
        <v>0.81058035132433348</v>
      </c>
      <c r="AB196">
        <f t="shared" si="79"/>
        <v>-91.060233202114418</v>
      </c>
      <c r="AC196">
        <f t="shared" si="80"/>
        <v>-168.69140285795882</v>
      </c>
      <c r="AD196">
        <f t="shared" si="81"/>
        <v>-16.480695419836177</v>
      </c>
      <c r="AE196">
        <f t="shared" si="82"/>
        <v>-0.11757334990952018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52638.58164220411</v>
      </c>
      <c r="AK196">
        <f t="shared" si="86"/>
        <v>1800</v>
      </c>
      <c r="AL196">
        <f t="shared" si="87"/>
        <v>1499.1124589999999</v>
      </c>
      <c r="AM196">
        <f t="shared" si="88"/>
        <v>0.83284025500000003</v>
      </c>
      <c r="AN196">
        <f t="shared" si="89"/>
        <v>0.15339708784999997</v>
      </c>
      <c r="AO196">
        <v>31.2</v>
      </c>
      <c r="AP196">
        <v>0.5</v>
      </c>
      <c r="AQ196" t="s">
        <v>331</v>
      </c>
      <c r="AR196">
        <v>2</v>
      </c>
      <c r="AS196">
        <v>1690205565.5999999</v>
      </c>
      <c r="AT196">
        <v>345.74599999999998</v>
      </c>
      <c r="AU196">
        <v>800.00199999999995</v>
      </c>
      <c r="AV196">
        <v>28.0227</v>
      </c>
      <c r="AW196">
        <v>7.1594100000000003</v>
      </c>
      <c r="AX196">
        <v>346.42099999999999</v>
      </c>
      <c r="AY196">
        <v>27.855</v>
      </c>
      <c r="AZ196">
        <v>300.13600000000002</v>
      </c>
      <c r="BA196">
        <v>99.074200000000005</v>
      </c>
      <c r="BB196">
        <v>9.9980799999999995E-2</v>
      </c>
      <c r="BC196">
        <v>25.624199999999998</v>
      </c>
      <c r="BD196">
        <v>26.936599999999999</v>
      </c>
      <c r="BE196">
        <v>26.807200000000002</v>
      </c>
      <c r="BF196">
        <v>0</v>
      </c>
      <c r="BG196">
        <v>0</v>
      </c>
      <c r="BH196">
        <v>10001.9</v>
      </c>
      <c r="BI196">
        <v>1065.57</v>
      </c>
      <c r="BJ196">
        <v>2.0183800000000001</v>
      </c>
      <c r="BK196">
        <v>-454.25599999999997</v>
      </c>
      <c r="BL196">
        <v>355.714</v>
      </c>
      <c r="BM196">
        <v>805.77099999999996</v>
      </c>
      <c r="BN196">
        <v>20.863299999999999</v>
      </c>
      <c r="BO196">
        <v>800.00199999999995</v>
      </c>
      <c r="BP196">
        <v>7.1594100000000003</v>
      </c>
      <c r="BQ196">
        <v>2.7763300000000002</v>
      </c>
      <c r="BR196">
        <v>0.70931299999999997</v>
      </c>
      <c r="BS196">
        <v>22.744</v>
      </c>
      <c r="BT196">
        <v>2.01126</v>
      </c>
      <c r="BU196">
        <v>1800</v>
      </c>
      <c r="BV196">
        <v>0.91000899999999996</v>
      </c>
      <c r="BW196">
        <v>3.3999399999999999E-2</v>
      </c>
      <c r="BX196">
        <v>2.1996999999999999E-2</v>
      </c>
      <c r="BY196">
        <v>3.3994299999999998E-2</v>
      </c>
      <c r="BZ196">
        <v>25</v>
      </c>
      <c r="CA196">
        <v>33528.400000000001</v>
      </c>
      <c r="CB196">
        <v>1690203121.0999999</v>
      </c>
      <c r="CC196" t="s">
        <v>332</v>
      </c>
      <c r="CD196">
        <v>1690203121.0999999</v>
      </c>
      <c r="CE196">
        <v>1690203121.0999999</v>
      </c>
      <c r="CF196">
        <v>3</v>
      </c>
      <c r="CG196">
        <v>0.53600000000000003</v>
      </c>
      <c r="CH196">
        <v>-0.01</v>
      </c>
      <c r="CI196">
        <v>-0.996</v>
      </c>
      <c r="CJ196">
        <v>-6.6000000000000003E-2</v>
      </c>
      <c r="CK196">
        <v>800</v>
      </c>
      <c r="CL196">
        <v>9</v>
      </c>
      <c r="CM196">
        <v>0.82</v>
      </c>
      <c r="CN196">
        <v>0.01</v>
      </c>
      <c r="CO196">
        <v>-453.89354999999989</v>
      </c>
      <c r="CP196">
        <v>-2.0545440900538692</v>
      </c>
      <c r="CQ196">
        <v>0.20195704369988729</v>
      </c>
      <c r="CR196">
        <v>-1</v>
      </c>
      <c r="CS196">
        <v>20.850570000000001</v>
      </c>
      <c r="CT196">
        <v>9.5509193245725599E-2</v>
      </c>
      <c r="CU196">
        <v>9.6886325144468679E-3</v>
      </c>
      <c r="CV196">
        <v>-1</v>
      </c>
      <c r="CW196">
        <v>0</v>
      </c>
      <c r="CX196">
        <v>0</v>
      </c>
      <c r="CY196" t="s">
        <v>333</v>
      </c>
      <c r="CZ196">
        <v>2.3649900000000001</v>
      </c>
      <c r="DA196">
        <v>2.7137699999999998</v>
      </c>
      <c r="DB196">
        <v>8.0144099999999996E-2</v>
      </c>
      <c r="DC196">
        <v>0.146291</v>
      </c>
      <c r="DD196">
        <v>0.12717500000000001</v>
      </c>
      <c r="DE196">
        <v>4.55763E-2</v>
      </c>
      <c r="DF196">
        <v>33578.199999999997</v>
      </c>
      <c r="DG196">
        <v>27479.1</v>
      </c>
      <c r="DH196">
        <v>31161.1</v>
      </c>
      <c r="DI196">
        <v>28045.3</v>
      </c>
      <c r="DJ196">
        <v>36906.199999999997</v>
      </c>
      <c r="DK196">
        <v>38044.300000000003</v>
      </c>
      <c r="DL196">
        <v>44340.3</v>
      </c>
      <c r="DM196">
        <v>42483.6</v>
      </c>
      <c r="DN196">
        <v>1.4847999999999999</v>
      </c>
      <c r="DO196">
        <v>2.0555300000000001</v>
      </c>
      <c r="DP196">
        <v>0.15590000000000001</v>
      </c>
      <c r="DQ196">
        <v>0.150256</v>
      </c>
      <c r="DR196">
        <v>24.381399999999999</v>
      </c>
      <c r="DS196">
        <v>24.344100000000001</v>
      </c>
      <c r="DT196">
        <v>23.1</v>
      </c>
      <c r="DU196">
        <v>28</v>
      </c>
      <c r="DV196">
        <v>8.8481299999999994</v>
      </c>
      <c r="DW196">
        <v>61.782800000000002</v>
      </c>
      <c r="DX196">
        <v>36.410299999999999</v>
      </c>
      <c r="DY196">
        <v>1</v>
      </c>
      <c r="DZ196">
        <v>-0.138793</v>
      </c>
      <c r="EA196">
        <v>0.27596399999999999</v>
      </c>
      <c r="EB196">
        <v>20.1907</v>
      </c>
      <c r="EC196">
        <v>5.2411000000000003</v>
      </c>
      <c r="ED196">
        <v>12.039899999999999</v>
      </c>
      <c r="EE196">
        <v>5.0172999999999996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1.8646199999999999</v>
      </c>
      <c r="EM196">
        <v>1.86917</v>
      </c>
      <c r="EN196">
        <v>1.8672200000000001</v>
      </c>
      <c r="EO196">
        <v>1.8633999999999999</v>
      </c>
      <c r="EP196">
        <v>1.86449</v>
      </c>
      <c r="EQ196">
        <v>1.8701399999999999</v>
      </c>
      <c r="ER196">
        <v>1.86938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-0.67500000000000004</v>
      </c>
      <c r="FG196">
        <v>0.16769999999999999</v>
      </c>
      <c r="FH196">
        <v>-0.44422204735670362</v>
      </c>
      <c r="FI196">
        <v>-6.1462078757559423E-4</v>
      </c>
      <c r="FJ196">
        <v>-1.8861989874597051E-7</v>
      </c>
      <c r="FK196">
        <v>1.1980462299894961E-10</v>
      </c>
      <c r="FL196">
        <v>0.16773393518503121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40.700000000000003</v>
      </c>
      <c r="FU196">
        <v>40.700000000000003</v>
      </c>
      <c r="FV196">
        <v>1.78101</v>
      </c>
      <c r="FW196">
        <v>2.5647000000000002</v>
      </c>
      <c r="FX196">
        <v>1.5490699999999999</v>
      </c>
      <c r="FY196">
        <v>2.3339799999999999</v>
      </c>
      <c r="FZ196">
        <v>1.50146</v>
      </c>
      <c r="GA196">
        <v>2.34253</v>
      </c>
      <c r="GB196">
        <v>32.576099999999997</v>
      </c>
      <c r="GC196">
        <v>23.991199999999999</v>
      </c>
      <c r="GD196">
        <v>19</v>
      </c>
      <c r="GE196">
        <v>284.03800000000001</v>
      </c>
      <c r="GF196">
        <v>592.53099999999995</v>
      </c>
      <c r="GG196">
        <v>23.5472</v>
      </c>
      <c r="GH196">
        <v>25.645199999999999</v>
      </c>
      <c r="GI196">
        <v>30.0002</v>
      </c>
      <c r="GJ196">
        <v>25.788399999999999</v>
      </c>
      <c r="GK196">
        <v>25.769100000000002</v>
      </c>
      <c r="GL196">
        <v>35.6036</v>
      </c>
      <c r="GM196">
        <v>-30</v>
      </c>
      <c r="GN196">
        <v>-30</v>
      </c>
      <c r="GO196">
        <v>23.603400000000001</v>
      </c>
      <c r="GP196">
        <v>800</v>
      </c>
      <c r="GQ196">
        <v>12.5298</v>
      </c>
      <c r="GR196">
        <v>99.695800000000006</v>
      </c>
      <c r="GS196">
        <v>99.405699999999996</v>
      </c>
    </row>
    <row r="197" spans="1:201" x14ac:dyDescent="0.25">
      <c r="A197">
        <v>181</v>
      </c>
      <c r="B197">
        <v>1690205575.5999999</v>
      </c>
      <c r="C197">
        <v>2136</v>
      </c>
      <c r="D197" t="s">
        <v>695</v>
      </c>
      <c r="E197" t="s">
        <v>696</v>
      </c>
      <c r="F197" t="s">
        <v>330</v>
      </c>
      <c r="H197">
        <v>1690205575.5999999</v>
      </c>
      <c r="I197">
        <f t="shared" si="60"/>
        <v>2.0665498448416025E-3</v>
      </c>
      <c r="J197">
        <f t="shared" si="61"/>
        <v>2.0665498448416026</v>
      </c>
      <c r="K197">
        <f t="shared" si="62"/>
        <v>43.020913303169941</v>
      </c>
      <c r="L197">
        <f t="shared" si="63"/>
        <v>345.392</v>
      </c>
      <c r="M197">
        <f t="shared" si="64"/>
        <v>64.482032232331107</v>
      </c>
      <c r="N197">
        <f t="shared" si="65"/>
        <v>6.3948477977977847</v>
      </c>
      <c r="O197">
        <f t="shared" si="66"/>
        <v>34.253406633011195</v>
      </c>
      <c r="P197">
        <f t="shared" si="67"/>
        <v>0.26142029087420543</v>
      </c>
      <c r="Q197">
        <f t="shared" si="68"/>
        <v>2.1930580155310246</v>
      </c>
      <c r="R197">
        <f t="shared" si="69"/>
        <v>0.245259874196088</v>
      </c>
      <c r="S197">
        <f t="shared" si="70"/>
        <v>0.15465604943559183</v>
      </c>
      <c r="T197">
        <f t="shared" si="71"/>
        <v>276.11463699000006</v>
      </c>
      <c r="U197">
        <f t="shared" si="72"/>
        <v>27.046633345882338</v>
      </c>
      <c r="V197">
        <f t="shared" si="73"/>
        <v>27.046633345882338</v>
      </c>
      <c r="W197">
        <f t="shared" si="74"/>
        <v>3.5889743505525407</v>
      </c>
      <c r="X197">
        <f t="shared" si="75"/>
        <v>84.267796718881286</v>
      </c>
      <c r="Y197">
        <f t="shared" si="76"/>
        <v>2.7801835331116798</v>
      </c>
      <c r="Z197">
        <f t="shared" si="77"/>
        <v>3.2992241892670062</v>
      </c>
      <c r="AA197">
        <f t="shared" si="78"/>
        <v>0.8087908174408609</v>
      </c>
      <c r="AB197">
        <f t="shared" si="79"/>
        <v>-91.134848157514668</v>
      </c>
      <c r="AC197">
        <f t="shared" si="80"/>
        <v>-168.61480273322491</v>
      </c>
      <c r="AD197">
        <f t="shared" si="81"/>
        <v>-16.482592127452499</v>
      </c>
      <c r="AE197">
        <f t="shared" si="82"/>
        <v>-0.11760602819202859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52584.672691191045</v>
      </c>
      <c r="AK197">
        <f t="shared" si="86"/>
        <v>1800</v>
      </c>
      <c r="AL197">
        <f t="shared" si="87"/>
        <v>1499.1132870000001</v>
      </c>
      <c r="AM197">
        <f t="shared" si="88"/>
        <v>0.83284071500000001</v>
      </c>
      <c r="AN197">
        <f t="shared" si="89"/>
        <v>0.15339702055000004</v>
      </c>
      <c r="AO197">
        <v>31.2</v>
      </c>
      <c r="AP197">
        <v>0.5</v>
      </c>
      <c r="AQ197" t="s">
        <v>331</v>
      </c>
      <c r="AR197">
        <v>2</v>
      </c>
      <c r="AS197">
        <v>1690205575.5999999</v>
      </c>
      <c r="AT197">
        <v>345.392</v>
      </c>
      <c r="AU197">
        <v>800.01599999999996</v>
      </c>
      <c r="AV197">
        <v>28.033799999999999</v>
      </c>
      <c r="AW197">
        <v>7.1541399999999999</v>
      </c>
      <c r="AX197">
        <v>346.06599999999997</v>
      </c>
      <c r="AY197">
        <v>27.866</v>
      </c>
      <c r="AZ197">
        <v>300.14299999999997</v>
      </c>
      <c r="BA197">
        <v>99.072699999999998</v>
      </c>
      <c r="BB197">
        <v>9.9853600000000001E-2</v>
      </c>
      <c r="BC197">
        <v>25.6205</v>
      </c>
      <c r="BD197">
        <v>26.896799999999999</v>
      </c>
      <c r="BE197">
        <v>26.804200000000002</v>
      </c>
      <c r="BF197">
        <v>0</v>
      </c>
      <c r="BG197">
        <v>0</v>
      </c>
      <c r="BH197">
        <v>9991.25</v>
      </c>
      <c r="BI197">
        <v>1065.53</v>
      </c>
      <c r="BJ197">
        <v>2.0183800000000001</v>
      </c>
      <c r="BK197">
        <v>-454.62400000000002</v>
      </c>
      <c r="BL197">
        <v>355.35300000000001</v>
      </c>
      <c r="BM197">
        <v>805.78099999999995</v>
      </c>
      <c r="BN197">
        <v>20.8796</v>
      </c>
      <c r="BO197">
        <v>800.01599999999996</v>
      </c>
      <c r="BP197">
        <v>7.1541399999999999</v>
      </c>
      <c r="BQ197">
        <v>2.77738</v>
      </c>
      <c r="BR197">
        <v>0.70877999999999997</v>
      </c>
      <c r="BS197">
        <v>22.750299999999999</v>
      </c>
      <c r="BT197">
        <v>2.00074</v>
      </c>
      <c r="BU197">
        <v>1800</v>
      </c>
      <c r="BV197">
        <v>0.91001299999999996</v>
      </c>
      <c r="BW197">
        <v>3.3998E-2</v>
      </c>
      <c r="BX197">
        <v>2.1996000000000002E-2</v>
      </c>
      <c r="BY197">
        <v>3.39929E-2</v>
      </c>
      <c r="BZ197">
        <v>25</v>
      </c>
      <c r="CA197">
        <v>33528.5</v>
      </c>
      <c r="CB197">
        <v>1690203121.0999999</v>
      </c>
      <c r="CC197" t="s">
        <v>332</v>
      </c>
      <c r="CD197">
        <v>1690203121.0999999</v>
      </c>
      <c r="CE197">
        <v>1690203121.0999999</v>
      </c>
      <c r="CF197">
        <v>3</v>
      </c>
      <c r="CG197">
        <v>0.53600000000000003</v>
      </c>
      <c r="CH197">
        <v>-0.01</v>
      </c>
      <c r="CI197">
        <v>-0.996</v>
      </c>
      <c r="CJ197">
        <v>-6.6000000000000003E-2</v>
      </c>
      <c r="CK197">
        <v>800</v>
      </c>
      <c r="CL197">
        <v>9</v>
      </c>
      <c r="CM197">
        <v>0.82</v>
      </c>
      <c r="CN197">
        <v>0.01</v>
      </c>
      <c r="CO197">
        <v>-454.23892499999999</v>
      </c>
      <c r="CP197">
        <v>-2.005024390242951</v>
      </c>
      <c r="CQ197">
        <v>0.19548521523378601</v>
      </c>
      <c r="CR197">
        <v>-1</v>
      </c>
      <c r="CS197">
        <v>20.863130000000002</v>
      </c>
      <c r="CT197">
        <v>5.5494934333904122E-2</v>
      </c>
      <c r="CU197">
        <v>5.6414182613949253E-3</v>
      </c>
      <c r="CV197">
        <v>-1</v>
      </c>
      <c r="CW197">
        <v>0</v>
      </c>
      <c r="CX197">
        <v>0</v>
      </c>
      <c r="CY197" t="s">
        <v>333</v>
      </c>
      <c r="CZ197">
        <v>2.36503</v>
      </c>
      <c r="DA197">
        <v>2.7136399999999998</v>
      </c>
      <c r="DB197">
        <v>8.0078700000000003E-2</v>
      </c>
      <c r="DC197">
        <v>0.146291</v>
      </c>
      <c r="DD197">
        <v>0.12720899999999999</v>
      </c>
      <c r="DE197">
        <v>4.5548699999999998E-2</v>
      </c>
      <c r="DF197">
        <v>33580.6</v>
      </c>
      <c r="DG197">
        <v>27479.200000000001</v>
      </c>
      <c r="DH197">
        <v>31161.1</v>
      </c>
      <c r="DI197">
        <v>28045.4</v>
      </c>
      <c r="DJ197">
        <v>36904.9</v>
      </c>
      <c r="DK197">
        <v>38045.300000000003</v>
      </c>
      <c r="DL197">
        <v>44340.4</v>
      </c>
      <c r="DM197">
        <v>42483.6</v>
      </c>
      <c r="DN197">
        <v>1.4855499999999999</v>
      </c>
      <c r="DO197">
        <v>2.0557500000000002</v>
      </c>
      <c r="DP197">
        <v>0.15348600000000001</v>
      </c>
      <c r="DQ197">
        <v>0.15007699999999999</v>
      </c>
      <c r="DR197">
        <v>24.381</v>
      </c>
      <c r="DS197">
        <v>24.344100000000001</v>
      </c>
      <c r="DT197">
        <v>23.1</v>
      </c>
      <c r="DU197">
        <v>28</v>
      </c>
      <c r="DV197">
        <v>8.8490199999999994</v>
      </c>
      <c r="DW197">
        <v>61.772799999999997</v>
      </c>
      <c r="DX197">
        <v>36.510399999999997</v>
      </c>
      <c r="DY197">
        <v>1</v>
      </c>
      <c r="DZ197">
        <v>-0.13969300000000001</v>
      </c>
      <c r="EA197">
        <v>2.5326800000000002E-4</v>
      </c>
      <c r="EB197">
        <v>20.190999999999999</v>
      </c>
      <c r="EC197">
        <v>5.2411000000000003</v>
      </c>
      <c r="ED197">
        <v>12.039899999999999</v>
      </c>
      <c r="EE197">
        <v>5.0163500000000001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</v>
      </c>
      <c r="EL197">
        <v>1.8646199999999999</v>
      </c>
      <c r="EM197">
        <v>1.8691800000000001</v>
      </c>
      <c r="EN197">
        <v>1.8672200000000001</v>
      </c>
      <c r="EO197">
        <v>1.8633999999999999</v>
      </c>
      <c r="EP197">
        <v>1.86449</v>
      </c>
      <c r="EQ197">
        <v>1.8701399999999999</v>
      </c>
      <c r="ER197">
        <v>1.86937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-0.67400000000000004</v>
      </c>
      <c r="FG197">
        <v>0.1678</v>
      </c>
      <c r="FH197">
        <v>-0.44422204735670362</v>
      </c>
      <c r="FI197">
        <v>-6.1462078757559423E-4</v>
      </c>
      <c r="FJ197">
        <v>-1.8861989874597051E-7</v>
      </c>
      <c r="FK197">
        <v>1.1980462299894961E-10</v>
      </c>
      <c r="FL197">
        <v>0.16773393518503121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40.9</v>
      </c>
      <c r="FU197">
        <v>40.9</v>
      </c>
      <c r="FV197">
        <v>1.78101</v>
      </c>
      <c r="FW197">
        <v>2.5659200000000002</v>
      </c>
      <c r="FX197">
        <v>1.5490699999999999</v>
      </c>
      <c r="FY197">
        <v>2.33521</v>
      </c>
      <c r="FZ197">
        <v>1.50146</v>
      </c>
      <c r="GA197">
        <v>2.3535200000000001</v>
      </c>
      <c r="GB197">
        <v>32.598199999999999</v>
      </c>
      <c r="GC197">
        <v>23.982399999999998</v>
      </c>
      <c r="GD197">
        <v>19</v>
      </c>
      <c r="GE197">
        <v>284.34800000000001</v>
      </c>
      <c r="GF197">
        <v>592.71900000000005</v>
      </c>
      <c r="GG197">
        <v>23.648499999999999</v>
      </c>
      <c r="GH197">
        <v>25.6431</v>
      </c>
      <c r="GI197">
        <v>29.9998</v>
      </c>
      <c r="GJ197">
        <v>25.786300000000001</v>
      </c>
      <c r="GK197">
        <v>25.769100000000002</v>
      </c>
      <c r="GL197">
        <v>35.601399999999998</v>
      </c>
      <c r="GM197">
        <v>-30</v>
      </c>
      <c r="GN197">
        <v>-30</v>
      </c>
      <c r="GO197">
        <v>23.702200000000001</v>
      </c>
      <c r="GP197">
        <v>800</v>
      </c>
      <c r="GQ197">
        <v>12.5298</v>
      </c>
      <c r="GR197">
        <v>99.695899999999995</v>
      </c>
      <c r="GS197">
        <v>99.405799999999999</v>
      </c>
    </row>
    <row r="198" spans="1:201" x14ac:dyDescent="0.25">
      <c r="A198">
        <v>182</v>
      </c>
      <c r="B198">
        <v>1690205585.5999999</v>
      </c>
      <c r="C198">
        <v>2146</v>
      </c>
      <c r="D198" t="s">
        <v>697</v>
      </c>
      <c r="E198" t="s">
        <v>698</v>
      </c>
      <c r="F198" t="s">
        <v>330</v>
      </c>
      <c r="H198">
        <v>1690205585.5999999</v>
      </c>
      <c r="I198">
        <f t="shared" si="60"/>
        <v>2.0691314168506969E-3</v>
      </c>
      <c r="J198">
        <f t="shared" si="61"/>
        <v>2.0691314168506967</v>
      </c>
      <c r="K198">
        <f t="shared" si="62"/>
        <v>43.063223888128647</v>
      </c>
      <c r="L198">
        <f t="shared" si="63"/>
        <v>345.02600000000001</v>
      </c>
      <c r="M198">
        <f t="shared" si="64"/>
        <v>64.39715031099351</v>
      </c>
      <c r="N198">
        <f t="shared" si="65"/>
        <v>6.3862291600647456</v>
      </c>
      <c r="O198">
        <f t="shared" si="66"/>
        <v>34.216034273869802</v>
      </c>
      <c r="P198">
        <f t="shared" si="67"/>
        <v>0.26193435884853389</v>
      </c>
      <c r="Q198">
        <f t="shared" si="68"/>
        <v>2.1978494794204222</v>
      </c>
      <c r="R198">
        <f t="shared" si="69"/>
        <v>0.24574545816587598</v>
      </c>
      <c r="S198">
        <f t="shared" si="70"/>
        <v>0.1549619687636109</v>
      </c>
      <c r="T198">
        <f t="shared" si="71"/>
        <v>276.114598398</v>
      </c>
      <c r="U198">
        <f t="shared" si="72"/>
        <v>27.052410521952645</v>
      </c>
      <c r="V198">
        <f t="shared" si="73"/>
        <v>27.052410521952645</v>
      </c>
      <c r="W198">
        <f t="shared" si="74"/>
        <v>3.5901918742240291</v>
      </c>
      <c r="X198">
        <f t="shared" si="75"/>
        <v>84.276240420319468</v>
      </c>
      <c r="Y198">
        <f t="shared" si="76"/>
        <v>2.7820299754080904</v>
      </c>
      <c r="Z198">
        <f t="shared" si="77"/>
        <v>3.3010845779700055</v>
      </c>
      <c r="AA198">
        <f t="shared" si="78"/>
        <v>0.8081618988159387</v>
      </c>
      <c r="AB198">
        <f t="shared" si="79"/>
        <v>-91.248695483115725</v>
      </c>
      <c r="AC198">
        <f t="shared" si="80"/>
        <v>-168.54207866875345</v>
      </c>
      <c r="AD198">
        <f t="shared" si="81"/>
        <v>-16.440823531138271</v>
      </c>
      <c r="AE198">
        <f t="shared" si="82"/>
        <v>-0.11699928500746637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52779.855415625985</v>
      </c>
      <c r="AK198">
        <f t="shared" si="86"/>
        <v>1800</v>
      </c>
      <c r="AL198">
        <f t="shared" si="87"/>
        <v>1499.1134418000001</v>
      </c>
      <c r="AM198">
        <f t="shared" si="88"/>
        <v>0.83284080100000002</v>
      </c>
      <c r="AN198">
        <f t="shared" si="89"/>
        <v>0.15339699910999999</v>
      </c>
      <c r="AO198">
        <v>31.2</v>
      </c>
      <c r="AP198">
        <v>0.5</v>
      </c>
      <c r="AQ198" t="s">
        <v>331</v>
      </c>
      <c r="AR198">
        <v>2</v>
      </c>
      <c r="AS198">
        <v>1690205585.5999999</v>
      </c>
      <c r="AT198">
        <v>345.02600000000001</v>
      </c>
      <c r="AU198">
        <v>800.02300000000002</v>
      </c>
      <c r="AV198">
        <v>28.0533</v>
      </c>
      <c r="AW198">
        <v>7.1511100000000001</v>
      </c>
      <c r="AX198">
        <v>345.70100000000002</v>
      </c>
      <c r="AY198">
        <v>27.8856</v>
      </c>
      <c r="AZ198">
        <v>300.18799999999999</v>
      </c>
      <c r="BA198">
        <v>99.069500000000005</v>
      </c>
      <c r="BB198">
        <v>9.9937300000000007E-2</v>
      </c>
      <c r="BC198">
        <v>25.63</v>
      </c>
      <c r="BD198">
        <v>27.0091</v>
      </c>
      <c r="BE198">
        <v>26.8109</v>
      </c>
      <c r="BF198">
        <v>0</v>
      </c>
      <c r="BG198">
        <v>0</v>
      </c>
      <c r="BH198">
        <v>10030.6</v>
      </c>
      <c r="BI198">
        <v>1065.49</v>
      </c>
      <c r="BJ198">
        <v>2.0183800000000001</v>
      </c>
      <c r="BK198">
        <v>-454.99700000000001</v>
      </c>
      <c r="BL198">
        <v>354.98500000000001</v>
      </c>
      <c r="BM198">
        <v>805.78499999999997</v>
      </c>
      <c r="BN198">
        <v>20.902200000000001</v>
      </c>
      <c r="BO198">
        <v>800.02300000000002</v>
      </c>
      <c r="BP198">
        <v>7.1511100000000001</v>
      </c>
      <c r="BQ198">
        <v>2.7792300000000001</v>
      </c>
      <c r="BR198">
        <v>0.708457</v>
      </c>
      <c r="BS198">
        <v>22.761199999999999</v>
      </c>
      <c r="BT198">
        <v>1.99437</v>
      </c>
      <c r="BU198">
        <v>1800</v>
      </c>
      <c r="BV198">
        <v>0.91001399999999999</v>
      </c>
      <c r="BW198">
        <v>3.3997600000000003E-2</v>
      </c>
      <c r="BX198">
        <v>2.1995799999999999E-2</v>
      </c>
      <c r="BY198">
        <v>3.3992500000000002E-2</v>
      </c>
      <c r="BZ198">
        <v>25</v>
      </c>
      <c r="CA198">
        <v>33528.5</v>
      </c>
      <c r="CB198">
        <v>1690203121.0999999</v>
      </c>
      <c r="CC198" t="s">
        <v>332</v>
      </c>
      <c r="CD198">
        <v>1690203121.0999999</v>
      </c>
      <c r="CE198">
        <v>1690203121.0999999</v>
      </c>
      <c r="CF198">
        <v>3</v>
      </c>
      <c r="CG198">
        <v>0.53600000000000003</v>
      </c>
      <c r="CH198">
        <v>-0.01</v>
      </c>
      <c r="CI198">
        <v>-0.996</v>
      </c>
      <c r="CJ198">
        <v>-6.6000000000000003E-2</v>
      </c>
      <c r="CK198">
        <v>800</v>
      </c>
      <c r="CL198">
        <v>9</v>
      </c>
      <c r="CM198">
        <v>0.82</v>
      </c>
      <c r="CN198">
        <v>0.01</v>
      </c>
      <c r="CO198">
        <v>-454.5798999999999</v>
      </c>
      <c r="CP198">
        <v>-2.1475272045011971</v>
      </c>
      <c r="CQ198">
        <v>0.21086320210031709</v>
      </c>
      <c r="CR198">
        <v>-1</v>
      </c>
      <c r="CS198">
        <v>20.87791</v>
      </c>
      <c r="CT198">
        <v>0.1206641651031729</v>
      </c>
      <c r="CU198">
        <v>1.1711763317280291E-2</v>
      </c>
      <c r="CV198">
        <v>-1</v>
      </c>
      <c r="CW198">
        <v>0</v>
      </c>
      <c r="CX198">
        <v>0</v>
      </c>
      <c r="CY198" t="s">
        <v>333</v>
      </c>
      <c r="CZ198">
        <v>2.3651599999999999</v>
      </c>
      <c r="DA198">
        <v>2.7137600000000002</v>
      </c>
      <c r="DB198">
        <v>8.00096E-2</v>
      </c>
      <c r="DC198">
        <v>0.146288</v>
      </c>
      <c r="DD198">
        <v>0.12726599999999999</v>
      </c>
      <c r="DE198">
        <v>4.5532099999999999E-2</v>
      </c>
      <c r="DF198">
        <v>33582.6</v>
      </c>
      <c r="DG198">
        <v>27479.200000000001</v>
      </c>
      <c r="DH198">
        <v>31160.6</v>
      </c>
      <c r="DI198">
        <v>28045.3</v>
      </c>
      <c r="DJ198">
        <v>36901.9</v>
      </c>
      <c r="DK198">
        <v>38046.1</v>
      </c>
      <c r="DL198">
        <v>44339.8</v>
      </c>
      <c r="DM198">
        <v>42483.6</v>
      </c>
      <c r="DN198">
        <v>1.4855</v>
      </c>
      <c r="DO198">
        <v>2.0553300000000001</v>
      </c>
      <c r="DP198">
        <v>0.16047800000000001</v>
      </c>
      <c r="DQ198">
        <v>0.15048700000000001</v>
      </c>
      <c r="DR198">
        <v>24.379000000000001</v>
      </c>
      <c r="DS198">
        <v>24.344100000000001</v>
      </c>
      <c r="DT198">
        <v>23.1</v>
      </c>
      <c r="DU198">
        <v>28</v>
      </c>
      <c r="DV198">
        <v>8.8476400000000002</v>
      </c>
      <c r="DW198">
        <v>61.252800000000001</v>
      </c>
      <c r="DX198">
        <v>36.318100000000001</v>
      </c>
      <c r="DY198">
        <v>1</v>
      </c>
      <c r="DZ198">
        <v>-0.139431</v>
      </c>
      <c r="EA198">
        <v>-1.0021800000000001E-3</v>
      </c>
      <c r="EB198">
        <v>20.191299999999998</v>
      </c>
      <c r="EC198">
        <v>5.24125</v>
      </c>
      <c r="ED198">
        <v>12.039899999999999</v>
      </c>
      <c r="EE198">
        <v>5.0175000000000001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</v>
      </c>
      <c r="EL198">
        <v>1.8646199999999999</v>
      </c>
      <c r="EM198">
        <v>1.86917</v>
      </c>
      <c r="EN198">
        <v>1.8672200000000001</v>
      </c>
      <c r="EO198">
        <v>1.8633999999999999</v>
      </c>
      <c r="EP198">
        <v>1.8645</v>
      </c>
      <c r="EQ198">
        <v>1.8701399999999999</v>
      </c>
      <c r="ER198">
        <v>1.86938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-0.67500000000000004</v>
      </c>
      <c r="FG198">
        <v>0.16769999999999999</v>
      </c>
      <c r="FH198">
        <v>-0.44422204735670362</v>
      </c>
      <c r="FI198">
        <v>-6.1462078757559423E-4</v>
      </c>
      <c r="FJ198">
        <v>-1.8861989874597051E-7</v>
      </c>
      <c r="FK198">
        <v>1.1980462299894961E-10</v>
      </c>
      <c r="FL198">
        <v>0.16773393518503121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41.1</v>
      </c>
      <c r="FU198">
        <v>41.1</v>
      </c>
      <c r="FV198">
        <v>1.78101</v>
      </c>
      <c r="FW198">
        <v>2.5634800000000002</v>
      </c>
      <c r="FX198">
        <v>1.5490699999999999</v>
      </c>
      <c r="FY198">
        <v>2.3339799999999999</v>
      </c>
      <c r="FZ198">
        <v>1.50146</v>
      </c>
      <c r="GA198">
        <v>2.3315399999999999</v>
      </c>
      <c r="GB198">
        <v>32.576099999999997</v>
      </c>
      <c r="GC198">
        <v>23.991199999999999</v>
      </c>
      <c r="GD198">
        <v>19</v>
      </c>
      <c r="GE198">
        <v>284.32600000000002</v>
      </c>
      <c r="GF198">
        <v>592.33900000000006</v>
      </c>
      <c r="GG198">
        <v>23.763200000000001</v>
      </c>
      <c r="GH198">
        <v>25.6431</v>
      </c>
      <c r="GI198">
        <v>30</v>
      </c>
      <c r="GJ198">
        <v>25.786300000000001</v>
      </c>
      <c r="GK198">
        <v>25.766999999999999</v>
      </c>
      <c r="GL198">
        <v>35.602699999999999</v>
      </c>
      <c r="GM198">
        <v>-30</v>
      </c>
      <c r="GN198">
        <v>-30</v>
      </c>
      <c r="GO198">
        <v>23.760899999999999</v>
      </c>
      <c r="GP198">
        <v>800</v>
      </c>
      <c r="GQ198">
        <v>12.5298</v>
      </c>
      <c r="GR198">
        <v>99.694500000000005</v>
      </c>
      <c r="GS198">
        <v>99.405699999999996</v>
      </c>
    </row>
    <row r="199" spans="1:201" x14ac:dyDescent="0.25">
      <c r="A199">
        <v>183</v>
      </c>
      <c r="B199">
        <v>1690205595.5999999</v>
      </c>
      <c r="C199">
        <v>2156</v>
      </c>
      <c r="D199" t="s">
        <v>699</v>
      </c>
      <c r="E199" t="s">
        <v>700</v>
      </c>
      <c r="F199" t="s">
        <v>330</v>
      </c>
      <c r="H199">
        <v>1690205595.5999999</v>
      </c>
      <c r="I199">
        <f t="shared" si="60"/>
        <v>2.0707057559655726E-3</v>
      </c>
      <c r="J199">
        <f t="shared" si="61"/>
        <v>2.0707057559655726</v>
      </c>
      <c r="K199">
        <f t="shared" si="62"/>
        <v>43.068415605313703</v>
      </c>
      <c r="L199">
        <f t="shared" si="63"/>
        <v>345.05099999999999</v>
      </c>
      <c r="M199">
        <f t="shared" si="64"/>
        <v>63.334105548500233</v>
      </c>
      <c r="N199">
        <f t="shared" si="65"/>
        <v>6.280729435857098</v>
      </c>
      <c r="O199">
        <f t="shared" si="66"/>
        <v>34.218087613353006</v>
      </c>
      <c r="P199">
        <f t="shared" si="67"/>
        <v>0.26091269117857313</v>
      </c>
      <c r="Q199">
        <f t="shared" si="68"/>
        <v>2.1950729678994731</v>
      </c>
      <c r="R199">
        <f t="shared" si="69"/>
        <v>0.2448266987086013</v>
      </c>
      <c r="S199">
        <f t="shared" si="70"/>
        <v>0.15437923374934859</v>
      </c>
      <c r="T199">
        <f t="shared" si="71"/>
        <v>276.11446176000004</v>
      </c>
      <c r="U199">
        <f t="shared" si="72"/>
        <v>27.073489497689117</v>
      </c>
      <c r="V199">
        <f t="shared" si="73"/>
        <v>27.073489497689117</v>
      </c>
      <c r="W199">
        <f t="shared" si="74"/>
        <v>3.5946372674459686</v>
      </c>
      <c r="X199">
        <f t="shared" si="75"/>
        <v>84.201349219220774</v>
      </c>
      <c r="Y199">
        <f t="shared" si="76"/>
        <v>2.7828581125860001</v>
      </c>
      <c r="Z199">
        <f t="shared" si="77"/>
        <v>3.3050041815134632</v>
      </c>
      <c r="AA199">
        <f t="shared" si="78"/>
        <v>0.81177915485996843</v>
      </c>
      <c r="AB199">
        <f t="shared" si="79"/>
        <v>-91.318123838081746</v>
      </c>
      <c r="AC199">
        <f t="shared" si="80"/>
        <v>-168.45684871732487</v>
      </c>
      <c r="AD199">
        <f t="shared" si="81"/>
        <v>-16.456682010485242</v>
      </c>
      <c r="AE199">
        <f t="shared" si="82"/>
        <v>-0.11719280589181835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52662.133841813455</v>
      </c>
      <c r="AK199">
        <f t="shared" si="86"/>
        <v>1800</v>
      </c>
      <c r="AL199">
        <f t="shared" si="87"/>
        <v>1499.1131789999999</v>
      </c>
      <c r="AM199">
        <f t="shared" si="88"/>
        <v>0.83284065499999993</v>
      </c>
      <c r="AN199">
        <f t="shared" si="89"/>
        <v>0.15339692320000001</v>
      </c>
      <c r="AO199">
        <v>31.2</v>
      </c>
      <c r="AP199">
        <v>0.5</v>
      </c>
      <c r="AQ199" t="s">
        <v>331</v>
      </c>
      <c r="AR199">
        <v>2</v>
      </c>
      <c r="AS199">
        <v>1690205595.5999999</v>
      </c>
      <c r="AT199">
        <v>345.05099999999999</v>
      </c>
      <c r="AU199">
        <v>800.04600000000005</v>
      </c>
      <c r="AV199">
        <v>28.062000000000001</v>
      </c>
      <c r="AW199">
        <v>7.1469500000000004</v>
      </c>
      <c r="AX199">
        <v>345.72500000000002</v>
      </c>
      <c r="AY199">
        <v>27.894300000000001</v>
      </c>
      <c r="AZ199">
        <v>300.22899999999998</v>
      </c>
      <c r="BA199">
        <v>99.068200000000004</v>
      </c>
      <c r="BB199">
        <v>0.10000299999999999</v>
      </c>
      <c r="BC199">
        <v>25.65</v>
      </c>
      <c r="BD199">
        <v>27.0473</v>
      </c>
      <c r="BE199">
        <v>26.854500000000002</v>
      </c>
      <c r="BF199">
        <v>0</v>
      </c>
      <c r="BG199">
        <v>0</v>
      </c>
      <c r="BH199">
        <v>10008.1</v>
      </c>
      <c r="BI199">
        <v>1065.56</v>
      </c>
      <c r="BJ199">
        <v>1.9763299999999999</v>
      </c>
      <c r="BK199">
        <v>-454.995</v>
      </c>
      <c r="BL199">
        <v>355.01299999999998</v>
      </c>
      <c r="BM199">
        <v>805.80499999999995</v>
      </c>
      <c r="BN199">
        <v>20.915099999999999</v>
      </c>
      <c r="BO199">
        <v>800.04600000000005</v>
      </c>
      <c r="BP199">
        <v>7.1469500000000004</v>
      </c>
      <c r="BQ199">
        <v>2.7800500000000001</v>
      </c>
      <c r="BR199">
        <v>0.708036</v>
      </c>
      <c r="BS199">
        <v>22.766100000000002</v>
      </c>
      <c r="BT199">
        <v>1.98604</v>
      </c>
      <c r="BU199">
        <v>1800</v>
      </c>
      <c r="BV199">
        <v>0.91001500000000002</v>
      </c>
      <c r="BW199">
        <v>3.3997100000000002E-2</v>
      </c>
      <c r="BX199">
        <v>2.1995500000000001E-2</v>
      </c>
      <c r="BY199">
        <v>3.3992000000000001E-2</v>
      </c>
      <c r="BZ199">
        <v>25</v>
      </c>
      <c r="CA199">
        <v>33528.5</v>
      </c>
      <c r="CB199">
        <v>1690203121.0999999</v>
      </c>
      <c r="CC199" t="s">
        <v>332</v>
      </c>
      <c r="CD199">
        <v>1690203121.0999999</v>
      </c>
      <c r="CE199">
        <v>1690203121.0999999</v>
      </c>
      <c r="CF199">
        <v>3</v>
      </c>
      <c r="CG199">
        <v>0.53600000000000003</v>
      </c>
      <c r="CH199">
        <v>-0.01</v>
      </c>
      <c r="CI199">
        <v>-0.996</v>
      </c>
      <c r="CJ199">
        <v>-6.6000000000000003E-2</v>
      </c>
      <c r="CK199">
        <v>800</v>
      </c>
      <c r="CL199">
        <v>9</v>
      </c>
      <c r="CM199">
        <v>0.82</v>
      </c>
      <c r="CN199">
        <v>0.01</v>
      </c>
      <c r="CO199">
        <v>-454.85919999999999</v>
      </c>
      <c r="CP199">
        <v>-1.300637898686027</v>
      </c>
      <c r="CQ199">
        <v>0.1494272732803508</v>
      </c>
      <c r="CR199">
        <v>-1</v>
      </c>
      <c r="CS199">
        <v>20.89845</v>
      </c>
      <c r="CT199">
        <v>0.1206393996247386</v>
      </c>
      <c r="CU199">
        <v>1.1674330815939819E-2</v>
      </c>
      <c r="CV199">
        <v>-1</v>
      </c>
      <c r="CW199">
        <v>0</v>
      </c>
      <c r="CX199">
        <v>0</v>
      </c>
      <c r="CY199" t="s">
        <v>333</v>
      </c>
      <c r="CZ199">
        <v>2.36531</v>
      </c>
      <c r="DA199">
        <v>2.7138</v>
      </c>
      <c r="DB199">
        <v>8.0013200000000007E-2</v>
      </c>
      <c r="DC199">
        <v>0.146289</v>
      </c>
      <c r="DD199">
        <v>0.12729199999999999</v>
      </c>
      <c r="DE199">
        <v>4.5510399999999999E-2</v>
      </c>
      <c r="DF199">
        <v>33582.699999999997</v>
      </c>
      <c r="DG199">
        <v>27479.599999999999</v>
      </c>
      <c r="DH199">
        <v>31160.799999999999</v>
      </c>
      <c r="DI199">
        <v>28045.8</v>
      </c>
      <c r="DJ199">
        <v>36901.1</v>
      </c>
      <c r="DK199">
        <v>38047.599999999999</v>
      </c>
      <c r="DL199">
        <v>44340.2</v>
      </c>
      <c r="DM199">
        <v>42484.3</v>
      </c>
      <c r="DN199">
        <v>1.48505</v>
      </c>
      <c r="DO199">
        <v>2.05525</v>
      </c>
      <c r="DP199">
        <v>0.16281799999999999</v>
      </c>
      <c r="DQ199">
        <v>0.15315000000000001</v>
      </c>
      <c r="DR199">
        <v>24.379000000000001</v>
      </c>
      <c r="DS199">
        <v>24.344100000000001</v>
      </c>
      <c r="DT199">
        <v>23</v>
      </c>
      <c r="DU199">
        <v>28</v>
      </c>
      <c r="DV199">
        <v>8.8097799999999999</v>
      </c>
      <c r="DW199">
        <v>61.3628</v>
      </c>
      <c r="DX199">
        <v>36.189900000000002</v>
      </c>
      <c r="DY199">
        <v>1</v>
      </c>
      <c r="DZ199">
        <v>-0.13828799999999999</v>
      </c>
      <c r="EA199">
        <v>0.47864899999999999</v>
      </c>
      <c r="EB199">
        <v>20.1905</v>
      </c>
      <c r="EC199">
        <v>5.2411000000000003</v>
      </c>
      <c r="ED199">
        <v>12.039899999999999</v>
      </c>
      <c r="EE199">
        <v>5.0174000000000003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</v>
      </c>
      <c r="EL199">
        <v>1.8646199999999999</v>
      </c>
      <c r="EM199">
        <v>1.86917</v>
      </c>
      <c r="EN199">
        <v>1.8672200000000001</v>
      </c>
      <c r="EO199">
        <v>1.8633999999999999</v>
      </c>
      <c r="EP199">
        <v>1.86449</v>
      </c>
      <c r="EQ199">
        <v>1.8701300000000001</v>
      </c>
      <c r="ER199">
        <v>1.86938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-0.67400000000000004</v>
      </c>
      <c r="FG199">
        <v>0.16769999999999999</v>
      </c>
      <c r="FH199">
        <v>-0.44422204735670362</v>
      </c>
      <c r="FI199">
        <v>-6.1462078757559423E-4</v>
      </c>
      <c r="FJ199">
        <v>-1.8861989874597051E-7</v>
      </c>
      <c r="FK199">
        <v>1.1980462299894961E-10</v>
      </c>
      <c r="FL199">
        <v>0.16773393518503121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41.2</v>
      </c>
      <c r="FU199">
        <v>41.2</v>
      </c>
      <c r="FV199">
        <v>1.78101</v>
      </c>
      <c r="FW199">
        <v>2.5659200000000002</v>
      </c>
      <c r="FX199">
        <v>1.5490699999999999</v>
      </c>
      <c r="FY199">
        <v>2.3339799999999999</v>
      </c>
      <c r="FZ199">
        <v>1.50146</v>
      </c>
      <c r="GA199">
        <v>2.34375</v>
      </c>
      <c r="GB199">
        <v>32.598199999999999</v>
      </c>
      <c r="GC199">
        <v>23.991199999999999</v>
      </c>
      <c r="GD199">
        <v>19</v>
      </c>
      <c r="GE199">
        <v>284.13400000000001</v>
      </c>
      <c r="GF199">
        <v>592.27700000000004</v>
      </c>
      <c r="GG199">
        <v>23.7104</v>
      </c>
      <c r="GH199">
        <v>25.6431</v>
      </c>
      <c r="GI199">
        <v>30.000499999999999</v>
      </c>
      <c r="GJ199">
        <v>25.786300000000001</v>
      </c>
      <c r="GK199">
        <v>25.766999999999999</v>
      </c>
      <c r="GL199">
        <v>35.601900000000001</v>
      </c>
      <c r="GM199">
        <v>-30</v>
      </c>
      <c r="GN199">
        <v>-30</v>
      </c>
      <c r="GO199">
        <v>23.631399999999999</v>
      </c>
      <c r="GP199">
        <v>800</v>
      </c>
      <c r="GQ199">
        <v>12.5298</v>
      </c>
      <c r="GR199">
        <v>99.6952</v>
      </c>
      <c r="GS199">
        <v>99.407300000000006</v>
      </c>
    </row>
    <row r="200" spans="1:201" x14ac:dyDescent="0.25">
      <c r="A200">
        <v>184</v>
      </c>
      <c r="B200">
        <v>1690205605.5999999</v>
      </c>
      <c r="C200">
        <v>2166</v>
      </c>
      <c r="D200" t="s">
        <v>701</v>
      </c>
      <c r="E200" t="s">
        <v>702</v>
      </c>
      <c r="F200" t="s">
        <v>330</v>
      </c>
      <c r="H200">
        <v>1690205605.5999999</v>
      </c>
      <c r="I200">
        <f t="shared" si="60"/>
        <v>2.070137269293676E-3</v>
      </c>
      <c r="J200">
        <f t="shared" si="61"/>
        <v>2.0701372692936761</v>
      </c>
      <c r="K200">
        <f t="shared" si="62"/>
        <v>43.102560834452895</v>
      </c>
      <c r="L200">
        <f t="shared" si="63"/>
        <v>344.66899999999998</v>
      </c>
      <c r="M200">
        <f t="shared" si="64"/>
        <v>63.057544191705688</v>
      </c>
      <c r="N200">
        <f t="shared" si="65"/>
        <v>6.253219438716239</v>
      </c>
      <c r="O200">
        <f t="shared" si="66"/>
        <v>34.179746743235597</v>
      </c>
      <c r="P200">
        <f t="shared" si="67"/>
        <v>0.26123758239243933</v>
      </c>
      <c r="Q200">
        <f t="shared" si="68"/>
        <v>2.1935234159793477</v>
      </c>
      <c r="R200">
        <f t="shared" si="69"/>
        <v>0.24510219621224413</v>
      </c>
      <c r="S200">
        <f t="shared" si="70"/>
        <v>0.15455545182610694</v>
      </c>
      <c r="T200">
        <f t="shared" si="71"/>
        <v>276.11457854400004</v>
      </c>
      <c r="U200">
        <f t="shared" si="72"/>
        <v>27.062915065748832</v>
      </c>
      <c r="V200">
        <f t="shared" si="73"/>
        <v>27.062915065748832</v>
      </c>
      <c r="W200">
        <f t="shared" si="74"/>
        <v>3.5924066011941038</v>
      </c>
      <c r="X200">
        <f t="shared" si="75"/>
        <v>84.22656185759287</v>
      </c>
      <c r="Y200">
        <f t="shared" si="76"/>
        <v>2.78175968775412</v>
      </c>
      <c r="Z200">
        <f t="shared" si="77"/>
        <v>3.3027107202326689</v>
      </c>
      <c r="AA200">
        <f t="shared" si="78"/>
        <v>0.81064691343998385</v>
      </c>
      <c r="AB200">
        <f t="shared" si="79"/>
        <v>-91.293053575851118</v>
      </c>
      <c r="AC200">
        <f t="shared" si="80"/>
        <v>-168.47103776327711</v>
      </c>
      <c r="AD200">
        <f t="shared" si="81"/>
        <v>-16.467856527761892</v>
      </c>
      <c r="AE200">
        <f t="shared" si="82"/>
        <v>-0.1173693228900845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52600.520570384317</v>
      </c>
      <c r="AK200">
        <f t="shared" si="86"/>
        <v>1800</v>
      </c>
      <c r="AL200">
        <f t="shared" si="87"/>
        <v>1499.1140124000001</v>
      </c>
      <c r="AM200">
        <f t="shared" si="88"/>
        <v>0.83284111800000005</v>
      </c>
      <c r="AN200">
        <f t="shared" si="89"/>
        <v>0.15339698808000002</v>
      </c>
      <c r="AO200">
        <v>31.2</v>
      </c>
      <c r="AP200">
        <v>0.5</v>
      </c>
      <c r="AQ200" t="s">
        <v>331</v>
      </c>
      <c r="AR200">
        <v>2</v>
      </c>
      <c r="AS200">
        <v>1690205605.5999999</v>
      </c>
      <c r="AT200">
        <v>344.66899999999998</v>
      </c>
      <c r="AU200">
        <v>800.00099999999998</v>
      </c>
      <c r="AV200">
        <v>28.051300000000001</v>
      </c>
      <c r="AW200">
        <v>7.1421099999999997</v>
      </c>
      <c r="AX200">
        <v>345.34300000000002</v>
      </c>
      <c r="AY200">
        <v>27.883500000000002</v>
      </c>
      <c r="AZ200">
        <v>300.23399999999998</v>
      </c>
      <c r="BA200">
        <v>99.066900000000004</v>
      </c>
      <c r="BB200">
        <v>9.9972400000000003E-2</v>
      </c>
      <c r="BC200">
        <v>25.638300000000001</v>
      </c>
      <c r="BD200">
        <v>26.980799999999999</v>
      </c>
      <c r="BE200">
        <v>26.822700000000001</v>
      </c>
      <c r="BF200">
        <v>0</v>
      </c>
      <c r="BG200">
        <v>0</v>
      </c>
      <c r="BH200">
        <v>9995.6200000000008</v>
      </c>
      <c r="BI200">
        <v>1065.6300000000001</v>
      </c>
      <c r="BJ200">
        <v>1.45211</v>
      </c>
      <c r="BK200">
        <v>-455.33199999999999</v>
      </c>
      <c r="BL200">
        <v>354.61700000000002</v>
      </c>
      <c r="BM200">
        <v>805.75599999999997</v>
      </c>
      <c r="BN200">
        <v>20.909199999999998</v>
      </c>
      <c r="BO200">
        <v>800.00099999999998</v>
      </c>
      <c r="BP200">
        <v>7.1421099999999997</v>
      </c>
      <c r="BQ200">
        <v>2.77895</v>
      </c>
      <c r="BR200">
        <v>0.70754600000000001</v>
      </c>
      <c r="BS200">
        <v>22.759599999999999</v>
      </c>
      <c r="BT200">
        <v>1.9763599999999999</v>
      </c>
      <c r="BU200">
        <v>1800</v>
      </c>
      <c r="BV200">
        <v>0.91001600000000005</v>
      </c>
      <c r="BW200">
        <v>3.3996899999999997E-2</v>
      </c>
      <c r="BX200">
        <v>2.1995399999999998E-2</v>
      </c>
      <c r="BY200">
        <v>3.3991800000000003E-2</v>
      </c>
      <c r="BZ200">
        <v>25</v>
      </c>
      <c r="CA200">
        <v>33528.6</v>
      </c>
      <c r="CB200">
        <v>1690203121.0999999</v>
      </c>
      <c r="CC200" t="s">
        <v>332</v>
      </c>
      <c r="CD200">
        <v>1690203121.0999999</v>
      </c>
      <c r="CE200">
        <v>1690203121.0999999</v>
      </c>
      <c r="CF200">
        <v>3</v>
      </c>
      <c r="CG200">
        <v>0.53600000000000003</v>
      </c>
      <c r="CH200">
        <v>-0.01</v>
      </c>
      <c r="CI200">
        <v>-0.996</v>
      </c>
      <c r="CJ200">
        <v>-6.6000000000000003E-2</v>
      </c>
      <c r="CK200">
        <v>800</v>
      </c>
      <c r="CL200">
        <v>9</v>
      </c>
      <c r="CM200">
        <v>0.82</v>
      </c>
      <c r="CN200">
        <v>0.01</v>
      </c>
      <c r="CO200">
        <v>-455.06642499999998</v>
      </c>
      <c r="CP200">
        <v>-1.1873583489671999</v>
      </c>
      <c r="CQ200">
        <v>0.13262991508328689</v>
      </c>
      <c r="CR200">
        <v>-1</v>
      </c>
      <c r="CS200">
        <v>20.911470000000001</v>
      </c>
      <c r="CT200">
        <v>1.7284052532779318E-2</v>
      </c>
      <c r="CU200">
        <v>3.476003452242307E-3</v>
      </c>
      <c r="CV200">
        <v>-1</v>
      </c>
      <c r="CW200">
        <v>0</v>
      </c>
      <c r="CX200">
        <v>0</v>
      </c>
      <c r="CY200" t="s">
        <v>333</v>
      </c>
      <c r="CZ200">
        <v>2.3653200000000001</v>
      </c>
      <c r="DA200">
        <v>2.7137600000000002</v>
      </c>
      <c r="DB200">
        <v>7.9942700000000005E-2</v>
      </c>
      <c r="DC200">
        <v>0.14628099999999999</v>
      </c>
      <c r="DD200">
        <v>0.12725700000000001</v>
      </c>
      <c r="DE200">
        <v>4.5485100000000001E-2</v>
      </c>
      <c r="DF200">
        <v>33585.300000000003</v>
      </c>
      <c r="DG200">
        <v>27479.9</v>
      </c>
      <c r="DH200">
        <v>31160.9</v>
      </c>
      <c r="DI200">
        <v>28045.8</v>
      </c>
      <c r="DJ200">
        <v>36902.6</v>
      </c>
      <c r="DK200">
        <v>38048.6</v>
      </c>
      <c r="DL200">
        <v>44340.2</v>
      </c>
      <c r="DM200">
        <v>42484.4</v>
      </c>
      <c r="DN200">
        <v>1.4845999999999999</v>
      </c>
      <c r="DO200">
        <v>2.0551499999999998</v>
      </c>
      <c r="DP200">
        <v>0.15875300000000001</v>
      </c>
      <c r="DQ200">
        <v>0.151083</v>
      </c>
      <c r="DR200">
        <v>24.379000000000001</v>
      </c>
      <c r="DS200">
        <v>24.3462</v>
      </c>
      <c r="DT200">
        <v>23</v>
      </c>
      <c r="DU200">
        <v>28</v>
      </c>
      <c r="DV200">
        <v>8.8100400000000008</v>
      </c>
      <c r="DW200">
        <v>61.562800000000003</v>
      </c>
      <c r="DX200">
        <v>36.265999999999998</v>
      </c>
      <c r="DY200">
        <v>1</v>
      </c>
      <c r="DZ200">
        <v>-0.13894100000000001</v>
      </c>
      <c r="EA200">
        <v>0.51716799999999996</v>
      </c>
      <c r="EB200">
        <v>20.190000000000001</v>
      </c>
      <c r="EC200">
        <v>5.2409499999999998</v>
      </c>
      <c r="ED200">
        <v>12.039899999999999</v>
      </c>
      <c r="EE200">
        <v>5.0172499999999998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</v>
      </c>
      <c r="EL200">
        <v>1.8646199999999999</v>
      </c>
      <c r="EM200">
        <v>1.8691599999999999</v>
      </c>
      <c r="EN200">
        <v>1.8672200000000001</v>
      </c>
      <c r="EO200">
        <v>1.8633999999999999</v>
      </c>
      <c r="EP200">
        <v>1.8644799999999999</v>
      </c>
      <c r="EQ200">
        <v>1.87012</v>
      </c>
      <c r="ER200">
        <v>1.86937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-0.67400000000000004</v>
      </c>
      <c r="FG200">
        <v>0.1678</v>
      </c>
      <c r="FH200">
        <v>-0.44422204735670362</v>
      </c>
      <c r="FI200">
        <v>-6.1462078757559423E-4</v>
      </c>
      <c r="FJ200">
        <v>-1.8861989874597051E-7</v>
      </c>
      <c r="FK200">
        <v>1.1980462299894961E-10</v>
      </c>
      <c r="FL200">
        <v>0.16773393518503121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41.4</v>
      </c>
      <c r="FU200">
        <v>41.4</v>
      </c>
      <c r="FV200">
        <v>1.78101</v>
      </c>
      <c r="FW200">
        <v>2.5622600000000002</v>
      </c>
      <c r="FX200">
        <v>1.5490699999999999</v>
      </c>
      <c r="FY200">
        <v>2.3339799999999999</v>
      </c>
      <c r="FZ200">
        <v>1.50146</v>
      </c>
      <c r="GA200">
        <v>2.34009</v>
      </c>
      <c r="GB200">
        <v>32.598199999999999</v>
      </c>
      <c r="GC200">
        <v>23.991199999999999</v>
      </c>
      <c r="GD200">
        <v>19</v>
      </c>
      <c r="GE200">
        <v>283.93299999999999</v>
      </c>
      <c r="GF200">
        <v>592.19399999999996</v>
      </c>
      <c r="GG200">
        <v>23.577000000000002</v>
      </c>
      <c r="GH200">
        <v>25.6431</v>
      </c>
      <c r="GI200">
        <v>30</v>
      </c>
      <c r="GJ200">
        <v>25.784099999999999</v>
      </c>
      <c r="GK200">
        <v>25.766999999999999</v>
      </c>
      <c r="GL200">
        <v>35.602600000000002</v>
      </c>
      <c r="GM200">
        <v>-30</v>
      </c>
      <c r="GN200">
        <v>-30</v>
      </c>
      <c r="GO200">
        <v>23.558399999999999</v>
      </c>
      <c r="GP200">
        <v>800</v>
      </c>
      <c r="GQ200">
        <v>12.5298</v>
      </c>
      <c r="GR200">
        <v>99.695400000000006</v>
      </c>
      <c r="GS200">
        <v>99.407499999999999</v>
      </c>
    </row>
    <row r="201" spans="1:201" x14ac:dyDescent="0.25">
      <c r="A201">
        <v>185</v>
      </c>
      <c r="B201">
        <v>1690205615.5999999</v>
      </c>
      <c r="C201">
        <v>2176</v>
      </c>
      <c r="D201" t="s">
        <v>703</v>
      </c>
      <c r="E201" t="s">
        <v>704</v>
      </c>
      <c r="F201" t="s">
        <v>330</v>
      </c>
      <c r="H201">
        <v>1690205615.5999999</v>
      </c>
      <c r="I201">
        <f t="shared" si="60"/>
        <v>2.0693534967821847E-3</v>
      </c>
      <c r="J201">
        <f t="shared" si="61"/>
        <v>2.0693534967821847</v>
      </c>
      <c r="K201">
        <f t="shared" si="62"/>
        <v>43.140834786023987</v>
      </c>
      <c r="L201">
        <f t="shared" si="63"/>
        <v>344.24700000000001</v>
      </c>
      <c r="M201">
        <f t="shared" si="64"/>
        <v>62.429102851486377</v>
      </c>
      <c r="N201">
        <f t="shared" si="65"/>
        <v>6.1910775860696488</v>
      </c>
      <c r="O201">
        <f t="shared" si="66"/>
        <v>34.138883764545007</v>
      </c>
      <c r="P201">
        <f t="shared" si="67"/>
        <v>0.2612749222608951</v>
      </c>
      <c r="Q201">
        <f t="shared" si="68"/>
        <v>2.1927908069904909</v>
      </c>
      <c r="R201">
        <f t="shared" si="69"/>
        <v>0.24513004120506851</v>
      </c>
      <c r="S201">
        <f t="shared" si="70"/>
        <v>0.15457362195423108</v>
      </c>
      <c r="T201">
        <f t="shared" si="71"/>
        <v>276.11300274235168</v>
      </c>
      <c r="U201">
        <f t="shared" si="72"/>
        <v>27.056112766509138</v>
      </c>
      <c r="V201">
        <f t="shared" si="73"/>
        <v>27.056112766509138</v>
      </c>
      <c r="W201">
        <f t="shared" si="74"/>
        <v>3.5909723014326969</v>
      </c>
      <c r="X201">
        <f t="shared" si="75"/>
        <v>84.231638319341428</v>
      </c>
      <c r="Y201">
        <f t="shared" si="76"/>
        <v>2.7806896184795002</v>
      </c>
      <c r="Z201">
        <f t="shared" si="77"/>
        <v>3.3012412841090293</v>
      </c>
      <c r="AA201">
        <f t="shared" si="78"/>
        <v>0.81028268295319661</v>
      </c>
      <c r="AB201">
        <f t="shared" si="79"/>
        <v>-91.258489208094346</v>
      </c>
      <c r="AC201">
        <f t="shared" si="80"/>
        <v>-168.49725117994979</v>
      </c>
      <c r="AD201">
        <f t="shared" si="81"/>
        <v>-16.474740959148367</v>
      </c>
      <c r="AE201">
        <f t="shared" si="82"/>
        <v>-0.11747860484084072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52571.825356502028</v>
      </c>
      <c r="AK201">
        <f t="shared" si="86"/>
        <v>1799.99</v>
      </c>
      <c r="AL201">
        <f t="shared" si="87"/>
        <v>1499.1065137842099</v>
      </c>
      <c r="AM201">
        <f t="shared" si="88"/>
        <v>0.832841579</v>
      </c>
      <c r="AN201">
        <f t="shared" si="89"/>
        <v>0.15339696484000004</v>
      </c>
      <c r="AO201">
        <v>31.2</v>
      </c>
      <c r="AP201">
        <v>0.5</v>
      </c>
      <c r="AQ201" t="s">
        <v>331</v>
      </c>
      <c r="AR201">
        <v>2</v>
      </c>
      <c r="AS201">
        <v>1690205615.5999999</v>
      </c>
      <c r="AT201">
        <v>344.24700000000001</v>
      </c>
      <c r="AU201">
        <v>799.97699999999998</v>
      </c>
      <c r="AV201">
        <v>28.0397</v>
      </c>
      <c r="AW201">
        <v>7.1376200000000001</v>
      </c>
      <c r="AX201">
        <v>344.92099999999999</v>
      </c>
      <c r="AY201">
        <v>27.8719</v>
      </c>
      <c r="AZ201">
        <v>300.226</v>
      </c>
      <c r="BA201">
        <v>99.069699999999997</v>
      </c>
      <c r="BB201">
        <v>0.100035</v>
      </c>
      <c r="BC201">
        <v>25.630800000000001</v>
      </c>
      <c r="BD201">
        <v>27.0154</v>
      </c>
      <c r="BE201">
        <v>26.798999999999999</v>
      </c>
      <c r="BF201">
        <v>0</v>
      </c>
      <c r="BG201">
        <v>0</v>
      </c>
      <c r="BH201">
        <v>9989.3799999999992</v>
      </c>
      <c r="BI201">
        <v>1065.46</v>
      </c>
      <c r="BJ201">
        <v>1.28952</v>
      </c>
      <c r="BK201">
        <v>-455.72899999999998</v>
      </c>
      <c r="BL201">
        <v>354.178</v>
      </c>
      <c r="BM201">
        <v>805.72799999999995</v>
      </c>
      <c r="BN201">
        <v>20.902000000000001</v>
      </c>
      <c r="BO201">
        <v>799.97699999999998</v>
      </c>
      <c r="BP201">
        <v>7.1376200000000001</v>
      </c>
      <c r="BQ201">
        <v>2.7778800000000001</v>
      </c>
      <c r="BR201">
        <v>0.70712200000000003</v>
      </c>
      <c r="BS201">
        <v>22.7532</v>
      </c>
      <c r="BT201">
        <v>1.96797</v>
      </c>
      <c r="BU201">
        <v>1799.99</v>
      </c>
      <c r="BV201">
        <v>0.91001900000000002</v>
      </c>
      <c r="BW201">
        <v>3.3995900000000003E-2</v>
      </c>
      <c r="BX201">
        <v>2.1994699999999999E-2</v>
      </c>
      <c r="BY201">
        <v>3.3990800000000002E-2</v>
      </c>
      <c r="BZ201">
        <v>25</v>
      </c>
      <c r="CA201">
        <v>33528.300000000003</v>
      </c>
      <c r="CB201">
        <v>1690203121.0999999</v>
      </c>
      <c r="CC201" t="s">
        <v>332</v>
      </c>
      <c r="CD201">
        <v>1690203121.0999999</v>
      </c>
      <c r="CE201">
        <v>1690203121.0999999</v>
      </c>
      <c r="CF201">
        <v>3</v>
      </c>
      <c r="CG201">
        <v>0.53600000000000003</v>
      </c>
      <c r="CH201">
        <v>-0.01</v>
      </c>
      <c r="CI201">
        <v>-0.996</v>
      </c>
      <c r="CJ201">
        <v>-6.6000000000000003E-2</v>
      </c>
      <c r="CK201">
        <v>800</v>
      </c>
      <c r="CL201">
        <v>9</v>
      </c>
      <c r="CM201">
        <v>0.82</v>
      </c>
      <c r="CN201">
        <v>0.01</v>
      </c>
      <c r="CO201">
        <v>-455.30647499999998</v>
      </c>
      <c r="CP201">
        <v>-1.808206378985999</v>
      </c>
      <c r="CQ201">
        <v>0.17767427887851381</v>
      </c>
      <c r="CR201">
        <v>-1</v>
      </c>
      <c r="CS201">
        <v>20.909324999999999</v>
      </c>
      <c r="CT201">
        <v>-4.3031144465276713E-2</v>
      </c>
      <c r="CU201">
        <v>4.1616553197015328E-3</v>
      </c>
      <c r="CV201">
        <v>-1</v>
      </c>
      <c r="CW201">
        <v>0</v>
      </c>
      <c r="CX201">
        <v>0</v>
      </c>
      <c r="CY201" t="s">
        <v>333</v>
      </c>
      <c r="CZ201">
        <v>2.36531</v>
      </c>
      <c r="DA201">
        <v>2.7138200000000001</v>
      </c>
      <c r="DB201">
        <v>7.98677E-2</v>
      </c>
      <c r="DC201">
        <v>0.146283</v>
      </c>
      <c r="DD201">
        <v>0.127224</v>
      </c>
      <c r="DE201">
        <v>4.5463700000000003E-2</v>
      </c>
      <c r="DF201">
        <v>33587.800000000003</v>
      </c>
      <c r="DG201">
        <v>27479.9</v>
      </c>
      <c r="DH201">
        <v>31160.6</v>
      </c>
      <c r="DI201">
        <v>28045.9</v>
      </c>
      <c r="DJ201">
        <v>36903.800000000003</v>
      </c>
      <c r="DK201">
        <v>38049.4</v>
      </c>
      <c r="DL201">
        <v>44340</v>
      </c>
      <c r="DM201">
        <v>42484.3</v>
      </c>
      <c r="DN201">
        <v>1.4851000000000001</v>
      </c>
      <c r="DO201">
        <v>2.0551499999999998</v>
      </c>
      <c r="DP201">
        <v>0.16073899999999999</v>
      </c>
      <c r="DQ201">
        <v>0.14951100000000001</v>
      </c>
      <c r="DR201">
        <v>24.381</v>
      </c>
      <c r="DS201">
        <v>24.348199999999999</v>
      </c>
      <c r="DT201">
        <v>23</v>
      </c>
      <c r="DU201">
        <v>28</v>
      </c>
      <c r="DV201">
        <v>8.8103800000000003</v>
      </c>
      <c r="DW201">
        <v>61.6128</v>
      </c>
      <c r="DX201">
        <v>36.246000000000002</v>
      </c>
      <c r="DY201">
        <v>1</v>
      </c>
      <c r="DZ201">
        <v>-0.139372</v>
      </c>
      <c r="EA201">
        <v>0.20239699999999999</v>
      </c>
      <c r="EB201">
        <v>20.191099999999999</v>
      </c>
      <c r="EC201">
        <v>5.24125</v>
      </c>
      <c r="ED201">
        <v>12.039899999999999</v>
      </c>
      <c r="EE201">
        <v>5.01675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</v>
      </c>
      <c r="EL201">
        <v>1.8646199999999999</v>
      </c>
      <c r="EM201">
        <v>1.8691899999999999</v>
      </c>
      <c r="EN201">
        <v>1.8672200000000001</v>
      </c>
      <c r="EO201">
        <v>1.8633999999999999</v>
      </c>
      <c r="EP201">
        <v>1.8644700000000001</v>
      </c>
      <c r="EQ201">
        <v>1.8701300000000001</v>
      </c>
      <c r="ER201">
        <v>1.86937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-0.67400000000000004</v>
      </c>
      <c r="FG201">
        <v>0.1678</v>
      </c>
      <c r="FH201">
        <v>-0.44422204735670362</v>
      </c>
      <c r="FI201">
        <v>-6.1462078757559423E-4</v>
      </c>
      <c r="FJ201">
        <v>-1.8861989874597051E-7</v>
      </c>
      <c r="FK201">
        <v>1.1980462299894961E-10</v>
      </c>
      <c r="FL201">
        <v>0.16773393518503121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41.6</v>
      </c>
      <c r="FU201">
        <v>41.6</v>
      </c>
      <c r="FV201">
        <v>1.78101</v>
      </c>
      <c r="FW201">
        <v>2.5683600000000002</v>
      </c>
      <c r="FX201">
        <v>1.5490699999999999</v>
      </c>
      <c r="FY201">
        <v>2.3339799999999999</v>
      </c>
      <c r="FZ201">
        <v>1.50146</v>
      </c>
      <c r="GA201">
        <v>2.3168899999999999</v>
      </c>
      <c r="GB201">
        <v>32.598199999999999</v>
      </c>
      <c r="GC201">
        <v>23.991199999999999</v>
      </c>
      <c r="GD201">
        <v>19</v>
      </c>
      <c r="GE201">
        <v>284.14499999999998</v>
      </c>
      <c r="GF201">
        <v>592.17100000000005</v>
      </c>
      <c r="GG201">
        <v>23.596699999999998</v>
      </c>
      <c r="GH201">
        <v>25.6431</v>
      </c>
      <c r="GI201">
        <v>29.999700000000001</v>
      </c>
      <c r="GJ201">
        <v>25.784099999999999</v>
      </c>
      <c r="GK201">
        <v>25.765000000000001</v>
      </c>
      <c r="GL201">
        <v>35.601999999999997</v>
      </c>
      <c r="GM201">
        <v>-30</v>
      </c>
      <c r="GN201">
        <v>-30</v>
      </c>
      <c r="GO201">
        <v>23.600100000000001</v>
      </c>
      <c r="GP201">
        <v>800</v>
      </c>
      <c r="GQ201">
        <v>12.5298</v>
      </c>
      <c r="GR201">
        <v>99.694699999999997</v>
      </c>
      <c r="GS201">
        <v>99.407499999999999</v>
      </c>
    </row>
    <row r="202" spans="1:201" x14ac:dyDescent="0.25">
      <c r="A202">
        <v>186</v>
      </c>
      <c r="B202">
        <v>1690205625.5999999</v>
      </c>
      <c r="C202">
        <v>2186</v>
      </c>
      <c r="D202" t="s">
        <v>705</v>
      </c>
      <c r="E202" t="s">
        <v>706</v>
      </c>
      <c r="F202" t="s">
        <v>330</v>
      </c>
      <c r="H202">
        <v>1690205625.5999999</v>
      </c>
      <c r="I202">
        <f t="shared" si="60"/>
        <v>2.0712603346939875E-3</v>
      </c>
      <c r="J202">
        <f t="shared" si="61"/>
        <v>2.0712603346939873</v>
      </c>
      <c r="K202">
        <f t="shared" si="62"/>
        <v>43.144938517397506</v>
      </c>
      <c r="L202">
        <f t="shared" si="63"/>
        <v>344.27600000000001</v>
      </c>
      <c r="M202">
        <f t="shared" si="64"/>
        <v>63.393462304847759</v>
      </c>
      <c r="N202">
        <f t="shared" si="65"/>
        <v>6.2865488586172589</v>
      </c>
      <c r="O202">
        <f t="shared" si="66"/>
        <v>34.140869044847996</v>
      </c>
      <c r="P202">
        <f t="shared" si="67"/>
        <v>0.26221641575896171</v>
      </c>
      <c r="Q202">
        <f t="shared" si="68"/>
        <v>2.1946798187546235</v>
      </c>
      <c r="R202">
        <f t="shared" si="69"/>
        <v>0.24597191726506271</v>
      </c>
      <c r="S202">
        <f t="shared" si="70"/>
        <v>0.15510801656937062</v>
      </c>
      <c r="T202">
        <f t="shared" si="71"/>
        <v>276.114400074</v>
      </c>
      <c r="U202">
        <f t="shared" si="72"/>
        <v>27.051960362431153</v>
      </c>
      <c r="V202">
        <f t="shared" si="73"/>
        <v>27.051960362431153</v>
      </c>
      <c r="W202">
        <f t="shared" si="74"/>
        <v>3.5900969914157397</v>
      </c>
      <c r="X202">
        <f t="shared" si="75"/>
        <v>84.279292012882308</v>
      </c>
      <c r="Y202">
        <f t="shared" si="76"/>
        <v>2.7818665858403997</v>
      </c>
      <c r="Z202">
        <f t="shared" si="77"/>
        <v>3.3007711851864916</v>
      </c>
      <c r="AA202">
        <f t="shared" si="78"/>
        <v>0.80823040557533998</v>
      </c>
      <c r="AB202">
        <f t="shared" si="79"/>
        <v>-91.34258076000485</v>
      </c>
      <c r="AC202">
        <f t="shared" si="80"/>
        <v>-168.43506189371806</v>
      </c>
      <c r="AD202">
        <f t="shared" si="81"/>
        <v>-16.453944987054385</v>
      </c>
      <c r="AE202">
        <f t="shared" si="82"/>
        <v>-0.1171875667773179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52649.767485189499</v>
      </c>
      <c r="AK202">
        <f t="shared" si="86"/>
        <v>1800</v>
      </c>
      <c r="AL202">
        <f t="shared" si="87"/>
        <v>1499.1145793999999</v>
      </c>
      <c r="AM202">
        <f t="shared" si="88"/>
        <v>0.83284143299999991</v>
      </c>
      <c r="AN202">
        <f t="shared" si="89"/>
        <v>0.15339688893</v>
      </c>
      <c r="AO202">
        <v>31.2</v>
      </c>
      <c r="AP202">
        <v>0.5</v>
      </c>
      <c r="AQ202" t="s">
        <v>331</v>
      </c>
      <c r="AR202">
        <v>2</v>
      </c>
      <c r="AS202">
        <v>1690205625.5999999</v>
      </c>
      <c r="AT202">
        <v>344.27600000000001</v>
      </c>
      <c r="AU202">
        <v>800.00599999999997</v>
      </c>
      <c r="AV202">
        <v>28.052299999999999</v>
      </c>
      <c r="AW202">
        <v>7.1335300000000004</v>
      </c>
      <c r="AX202">
        <v>344.95</v>
      </c>
      <c r="AY202">
        <v>27.884599999999999</v>
      </c>
      <c r="AZ202">
        <v>300.25900000000001</v>
      </c>
      <c r="BA202">
        <v>99.0672</v>
      </c>
      <c r="BB202">
        <v>9.9947999999999995E-2</v>
      </c>
      <c r="BC202">
        <v>25.628399999999999</v>
      </c>
      <c r="BD202">
        <v>27.0564</v>
      </c>
      <c r="BE202">
        <v>26.813400000000001</v>
      </c>
      <c r="BF202">
        <v>0</v>
      </c>
      <c r="BG202">
        <v>0</v>
      </c>
      <c r="BH202">
        <v>10005</v>
      </c>
      <c r="BI202">
        <v>1065.27</v>
      </c>
      <c r="BJ202">
        <v>1.4016500000000001</v>
      </c>
      <c r="BK202">
        <v>-455.73</v>
      </c>
      <c r="BL202">
        <v>354.21199999999999</v>
      </c>
      <c r="BM202">
        <v>805.75300000000004</v>
      </c>
      <c r="BN202">
        <v>20.918800000000001</v>
      </c>
      <c r="BO202">
        <v>800.00599999999997</v>
      </c>
      <c r="BP202">
        <v>7.1335300000000004</v>
      </c>
      <c r="BQ202">
        <v>2.7790699999999999</v>
      </c>
      <c r="BR202">
        <v>0.70669899999999997</v>
      </c>
      <c r="BS202">
        <v>22.760300000000001</v>
      </c>
      <c r="BT202">
        <v>1.9595899999999999</v>
      </c>
      <c r="BU202">
        <v>1800</v>
      </c>
      <c r="BV202">
        <v>0.91002000000000005</v>
      </c>
      <c r="BW202">
        <v>3.3995400000000002E-2</v>
      </c>
      <c r="BX202">
        <v>2.1994400000000001E-2</v>
      </c>
      <c r="BY202">
        <v>3.3990300000000001E-2</v>
      </c>
      <c r="BZ202">
        <v>25</v>
      </c>
      <c r="CA202">
        <v>33528.6</v>
      </c>
      <c r="CB202">
        <v>1690203121.0999999</v>
      </c>
      <c r="CC202" t="s">
        <v>332</v>
      </c>
      <c r="CD202">
        <v>1690203121.0999999</v>
      </c>
      <c r="CE202">
        <v>1690203121.0999999</v>
      </c>
      <c r="CF202">
        <v>3</v>
      </c>
      <c r="CG202">
        <v>0.53600000000000003</v>
      </c>
      <c r="CH202">
        <v>-0.01</v>
      </c>
      <c r="CI202">
        <v>-0.996</v>
      </c>
      <c r="CJ202">
        <v>-6.6000000000000003E-2</v>
      </c>
      <c r="CK202">
        <v>800</v>
      </c>
      <c r="CL202">
        <v>9</v>
      </c>
      <c r="CM202">
        <v>0.82</v>
      </c>
      <c r="CN202">
        <v>0.01</v>
      </c>
      <c r="CO202">
        <v>-455.61277499999989</v>
      </c>
      <c r="CP202">
        <v>-1.7790056285178899</v>
      </c>
      <c r="CQ202">
        <v>0.18462021659341599</v>
      </c>
      <c r="CR202">
        <v>-1</v>
      </c>
      <c r="CS202">
        <v>20.906907499999999</v>
      </c>
      <c r="CT202">
        <v>1.870581613507603E-2</v>
      </c>
      <c r="CU202">
        <v>4.2264280131098543E-3</v>
      </c>
      <c r="CV202">
        <v>-1</v>
      </c>
      <c r="CW202">
        <v>0</v>
      </c>
      <c r="CX202">
        <v>0</v>
      </c>
      <c r="CY202" t="s">
        <v>333</v>
      </c>
      <c r="CZ202">
        <v>2.3654099999999998</v>
      </c>
      <c r="DA202">
        <v>2.71374</v>
      </c>
      <c r="DB202">
        <v>7.9870999999999998E-2</v>
      </c>
      <c r="DC202">
        <v>0.146283</v>
      </c>
      <c r="DD202">
        <v>0.12726100000000001</v>
      </c>
      <c r="DE202">
        <v>4.5441799999999997E-2</v>
      </c>
      <c r="DF202">
        <v>33588.300000000003</v>
      </c>
      <c r="DG202">
        <v>27479.200000000001</v>
      </c>
      <c r="DH202">
        <v>31161.200000000001</v>
      </c>
      <c r="DI202">
        <v>28045.200000000001</v>
      </c>
      <c r="DJ202">
        <v>36902.9</v>
      </c>
      <c r="DK202">
        <v>38049.5</v>
      </c>
      <c r="DL202">
        <v>44340.7</v>
      </c>
      <c r="DM202">
        <v>42483.4</v>
      </c>
      <c r="DN202">
        <v>1.48505</v>
      </c>
      <c r="DO202">
        <v>2.0550700000000002</v>
      </c>
      <c r="DP202">
        <v>0.16312299999999999</v>
      </c>
      <c r="DQ202">
        <v>0.15026300000000001</v>
      </c>
      <c r="DR202">
        <v>24.383099999999999</v>
      </c>
      <c r="DS202">
        <v>24.350300000000001</v>
      </c>
      <c r="DT202">
        <v>23</v>
      </c>
      <c r="DU202">
        <v>28</v>
      </c>
      <c r="DV202">
        <v>8.8104700000000005</v>
      </c>
      <c r="DW202">
        <v>61.602800000000002</v>
      </c>
      <c r="DX202">
        <v>36.209899999999998</v>
      </c>
      <c r="DY202">
        <v>1</v>
      </c>
      <c r="DZ202">
        <v>-0.13863300000000001</v>
      </c>
      <c r="EA202">
        <v>0.49676199999999998</v>
      </c>
      <c r="EB202">
        <v>20.190200000000001</v>
      </c>
      <c r="EC202">
        <v>5.2413999999999996</v>
      </c>
      <c r="ED202">
        <v>12.039899999999999</v>
      </c>
      <c r="EE202">
        <v>5.0169499999999996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</v>
      </c>
      <c r="EL202">
        <v>1.8646199999999999</v>
      </c>
      <c r="EM202">
        <v>1.8691800000000001</v>
      </c>
      <c r="EN202">
        <v>1.8672299999999999</v>
      </c>
      <c r="EO202">
        <v>1.8633999999999999</v>
      </c>
      <c r="EP202">
        <v>1.8644799999999999</v>
      </c>
      <c r="EQ202">
        <v>1.8701300000000001</v>
      </c>
      <c r="ER202">
        <v>1.86938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-0.67400000000000004</v>
      </c>
      <c r="FG202">
        <v>0.16769999999999999</v>
      </c>
      <c r="FH202">
        <v>-0.44422204735670362</v>
      </c>
      <c r="FI202">
        <v>-6.1462078757559423E-4</v>
      </c>
      <c r="FJ202">
        <v>-1.8861989874597051E-7</v>
      </c>
      <c r="FK202">
        <v>1.1980462299894961E-10</v>
      </c>
      <c r="FL202">
        <v>0.16773393518503121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41.7</v>
      </c>
      <c r="FU202">
        <v>41.7</v>
      </c>
      <c r="FV202">
        <v>1.78101</v>
      </c>
      <c r="FW202">
        <v>2.5647000000000002</v>
      </c>
      <c r="FX202">
        <v>1.5490699999999999</v>
      </c>
      <c r="FY202">
        <v>2.3339799999999999</v>
      </c>
      <c r="FZ202">
        <v>1.50146</v>
      </c>
      <c r="GA202">
        <v>2.32666</v>
      </c>
      <c r="GB202">
        <v>32.598199999999999</v>
      </c>
      <c r="GC202">
        <v>23.982399999999998</v>
      </c>
      <c r="GD202">
        <v>19</v>
      </c>
      <c r="GE202">
        <v>284.125</v>
      </c>
      <c r="GF202">
        <v>592.10599999999999</v>
      </c>
      <c r="GG202">
        <v>23.5747</v>
      </c>
      <c r="GH202">
        <v>25.6431</v>
      </c>
      <c r="GI202">
        <v>30.000299999999999</v>
      </c>
      <c r="GJ202">
        <v>25.784099999999999</v>
      </c>
      <c r="GK202">
        <v>25.764900000000001</v>
      </c>
      <c r="GL202">
        <v>35.600900000000003</v>
      </c>
      <c r="GM202">
        <v>-30</v>
      </c>
      <c r="GN202">
        <v>-30</v>
      </c>
      <c r="GO202">
        <v>23.492100000000001</v>
      </c>
      <c r="GP202">
        <v>800</v>
      </c>
      <c r="GQ202">
        <v>12.5298</v>
      </c>
      <c r="GR202">
        <v>99.696399999999997</v>
      </c>
      <c r="GS202">
        <v>99.405199999999994</v>
      </c>
    </row>
    <row r="203" spans="1:201" x14ac:dyDescent="0.25">
      <c r="A203">
        <v>187</v>
      </c>
      <c r="B203">
        <v>1690205635.5999999</v>
      </c>
      <c r="C203">
        <v>2196</v>
      </c>
      <c r="D203" t="s">
        <v>707</v>
      </c>
      <c r="E203" t="s">
        <v>708</v>
      </c>
      <c r="F203" t="s">
        <v>330</v>
      </c>
      <c r="H203">
        <v>1690205635.5999999</v>
      </c>
      <c r="I203">
        <f t="shared" si="60"/>
        <v>2.0720404853628049E-3</v>
      </c>
      <c r="J203">
        <f t="shared" si="61"/>
        <v>2.0720404853628049</v>
      </c>
      <c r="K203">
        <f t="shared" si="62"/>
        <v>43.18560886952568</v>
      </c>
      <c r="L203">
        <f t="shared" si="63"/>
        <v>343.85899999999998</v>
      </c>
      <c r="M203">
        <f t="shared" si="64"/>
        <v>63.455280563097517</v>
      </c>
      <c r="N203">
        <f t="shared" si="65"/>
        <v>6.2928589043367698</v>
      </c>
      <c r="O203">
        <f t="shared" si="66"/>
        <v>34.100490152820001</v>
      </c>
      <c r="P203">
        <f t="shared" si="67"/>
        <v>0.26296885114995489</v>
      </c>
      <c r="Q203">
        <f t="shared" si="68"/>
        <v>2.1914851440707674</v>
      </c>
      <c r="R203">
        <f t="shared" si="69"/>
        <v>0.24661188322265337</v>
      </c>
      <c r="S203">
        <f t="shared" si="70"/>
        <v>0.15551717643722274</v>
      </c>
      <c r="T203">
        <f t="shared" si="71"/>
        <v>276.11266889820632</v>
      </c>
      <c r="U203">
        <f t="shared" si="72"/>
        <v>27.045183727253885</v>
      </c>
      <c r="V203">
        <f t="shared" si="73"/>
        <v>27.045183727253885</v>
      </c>
      <c r="W203">
        <f t="shared" si="74"/>
        <v>3.5886689040578723</v>
      </c>
      <c r="X203">
        <f t="shared" si="75"/>
        <v>84.331535666486275</v>
      </c>
      <c r="Y203">
        <f t="shared" si="76"/>
        <v>2.7822038719020004</v>
      </c>
      <c r="Z203">
        <f t="shared" si="77"/>
        <v>3.2991262994486892</v>
      </c>
      <c r="AA203">
        <f t="shared" si="78"/>
        <v>0.80646503215587195</v>
      </c>
      <c r="AB203">
        <f t="shared" si="79"/>
        <v>-91.376985404499692</v>
      </c>
      <c r="AC203">
        <f t="shared" si="80"/>
        <v>-168.38167648681312</v>
      </c>
      <c r="AD203">
        <f t="shared" si="81"/>
        <v>-16.471455825230581</v>
      </c>
      <c r="AE203">
        <f t="shared" si="82"/>
        <v>-0.117448818337067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52520.151420460221</v>
      </c>
      <c r="AK203">
        <f t="shared" si="86"/>
        <v>1799.99</v>
      </c>
      <c r="AL203">
        <f t="shared" si="87"/>
        <v>1499.1064021848299</v>
      </c>
      <c r="AM203">
        <f t="shared" si="88"/>
        <v>0.83284151699999998</v>
      </c>
      <c r="AN203">
        <f t="shared" si="89"/>
        <v>0.15339677937000001</v>
      </c>
      <c r="AO203">
        <v>31.2</v>
      </c>
      <c r="AP203">
        <v>0.5</v>
      </c>
      <c r="AQ203" t="s">
        <v>331</v>
      </c>
      <c r="AR203">
        <v>2</v>
      </c>
      <c r="AS203">
        <v>1690205635.5999999</v>
      </c>
      <c r="AT203">
        <v>343.85899999999998</v>
      </c>
      <c r="AU203">
        <v>799.97199999999998</v>
      </c>
      <c r="AV203">
        <v>28.0549</v>
      </c>
      <c r="AW203">
        <v>7.1298399999999997</v>
      </c>
      <c r="AX203">
        <v>344.53199999999998</v>
      </c>
      <c r="AY203">
        <v>27.8871</v>
      </c>
      <c r="AZ203">
        <v>300.28100000000001</v>
      </c>
      <c r="BA203">
        <v>99.069900000000004</v>
      </c>
      <c r="BB203">
        <v>0.10008</v>
      </c>
      <c r="BC203">
        <v>25.62</v>
      </c>
      <c r="BD203">
        <v>26.899799999999999</v>
      </c>
      <c r="BE203">
        <v>26.7988</v>
      </c>
      <c r="BF203">
        <v>0</v>
      </c>
      <c r="BG203">
        <v>0</v>
      </c>
      <c r="BH203">
        <v>9978.75</v>
      </c>
      <c r="BI203">
        <v>1065.07</v>
      </c>
      <c r="BJ203">
        <v>1.3455900000000001</v>
      </c>
      <c r="BK203">
        <v>-456.113</v>
      </c>
      <c r="BL203">
        <v>353.78399999999999</v>
      </c>
      <c r="BM203">
        <v>805.71699999999998</v>
      </c>
      <c r="BN203">
        <v>20.925000000000001</v>
      </c>
      <c r="BO203">
        <v>799.97199999999998</v>
      </c>
      <c r="BP203">
        <v>7.1298399999999997</v>
      </c>
      <c r="BQ203">
        <v>2.7793899999999998</v>
      </c>
      <c r="BR203">
        <v>0.70635300000000001</v>
      </c>
      <c r="BS203">
        <v>22.7622</v>
      </c>
      <c r="BT203">
        <v>1.9527399999999999</v>
      </c>
      <c r="BU203">
        <v>1799.99</v>
      </c>
      <c r="BV203">
        <v>0.91002300000000003</v>
      </c>
      <c r="BW203">
        <v>3.3994200000000002E-2</v>
      </c>
      <c r="BX203">
        <v>2.1993599999999999E-2</v>
      </c>
      <c r="BY203">
        <v>3.3989100000000001E-2</v>
      </c>
      <c r="BZ203">
        <v>25</v>
      </c>
      <c r="CA203">
        <v>33528.300000000003</v>
      </c>
      <c r="CB203">
        <v>1690203121.0999999</v>
      </c>
      <c r="CC203" t="s">
        <v>332</v>
      </c>
      <c r="CD203">
        <v>1690203121.0999999</v>
      </c>
      <c r="CE203">
        <v>1690203121.0999999</v>
      </c>
      <c r="CF203">
        <v>3</v>
      </c>
      <c r="CG203">
        <v>0.53600000000000003</v>
      </c>
      <c r="CH203">
        <v>-0.01</v>
      </c>
      <c r="CI203">
        <v>-0.996</v>
      </c>
      <c r="CJ203">
        <v>-6.6000000000000003E-2</v>
      </c>
      <c r="CK203">
        <v>800</v>
      </c>
      <c r="CL203">
        <v>9</v>
      </c>
      <c r="CM203">
        <v>0.82</v>
      </c>
      <c r="CN203">
        <v>0.01</v>
      </c>
      <c r="CO203">
        <v>-455.84285365853663</v>
      </c>
      <c r="CP203">
        <v>-1.040655052265427</v>
      </c>
      <c r="CQ203">
        <v>0.12367454555535019</v>
      </c>
      <c r="CR203">
        <v>-1</v>
      </c>
      <c r="CS203">
        <v>20.914951219512201</v>
      </c>
      <c r="CT203">
        <v>8.7489198606300708E-2</v>
      </c>
      <c r="CU203">
        <v>8.9561022105305987E-3</v>
      </c>
      <c r="CV203">
        <v>-1</v>
      </c>
      <c r="CW203">
        <v>0</v>
      </c>
      <c r="CX203">
        <v>0</v>
      </c>
      <c r="CY203" t="s">
        <v>333</v>
      </c>
      <c r="CZ203">
        <v>2.3654700000000002</v>
      </c>
      <c r="DA203">
        <v>2.7138499999999999</v>
      </c>
      <c r="DB203">
        <v>7.9796900000000004E-2</v>
      </c>
      <c r="DC203">
        <v>0.146282</v>
      </c>
      <c r="DD203">
        <v>0.127272</v>
      </c>
      <c r="DE203">
        <v>4.5424199999999998E-2</v>
      </c>
      <c r="DF203">
        <v>33590.9</v>
      </c>
      <c r="DG203">
        <v>27479.599999999999</v>
      </c>
      <c r="DH203">
        <v>31161.1</v>
      </c>
      <c r="DI203">
        <v>28045.599999999999</v>
      </c>
      <c r="DJ203">
        <v>36902</v>
      </c>
      <c r="DK203">
        <v>38050.9</v>
      </c>
      <c r="DL203">
        <v>44340.3</v>
      </c>
      <c r="DM203">
        <v>42484.2</v>
      </c>
      <c r="DN203">
        <v>1.48525</v>
      </c>
      <c r="DO203">
        <v>2.0551499999999998</v>
      </c>
      <c r="DP203">
        <v>0.15334</v>
      </c>
      <c r="DQ203">
        <v>0.14919399999999999</v>
      </c>
      <c r="DR203">
        <v>24.386500000000002</v>
      </c>
      <c r="DS203">
        <v>24.353200000000001</v>
      </c>
      <c r="DT203">
        <v>23</v>
      </c>
      <c r="DU203">
        <v>28</v>
      </c>
      <c r="DV203">
        <v>8.8102400000000003</v>
      </c>
      <c r="DW203">
        <v>61.652799999999999</v>
      </c>
      <c r="DX203">
        <v>36.173900000000003</v>
      </c>
      <c r="DY203">
        <v>1</v>
      </c>
      <c r="DZ203">
        <v>-0.13877300000000001</v>
      </c>
      <c r="EA203">
        <v>0.38772299999999998</v>
      </c>
      <c r="EB203">
        <v>20.190000000000001</v>
      </c>
      <c r="EC203">
        <v>5.2413999999999996</v>
      </c>
      <c r="ED203">
        <v>12.039899999999999</v>
      </c>
      <c r="EE203">
        <v>5.0168499999999998</v>
      </c>
      <c r="EF203">
        <v>3.2879700000000001</v>
      </c>
      <c r="EG203">
        <v>9999</v>
      </c>
      <c r="EH203">
        <v>9999</v>
      </c>
      <c r="EI203">
        <v>9999</v>
      </c>
      <c r="EJ203">
        <v>999.9</v>
      </c>
      <c r="EK203">
        <v>1.8689100000000001</v>
      </c>
      <c r="EL203">
        <v>1.8646199999999999</v>
      </c>
      <c r="EM203">
        <v>1.8691899999999999</v>
      </c>
      <c r="EN203">
        <v>1.8672200000000001</v>
      </c>
      <c r="EO203">
        <v>1.8633999999999999</v>
      </c>
      <c r="EP203">
        <v>1.8645</v>
      </c>
      <c r="EQ203">
        <v>1.8701399999999999</v>
      </c>
      <c r="ER203">
        <v>1.86938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-0.67300000000000004</v>
      </c>
      <c r="FG203">
        <v>0.1678</v>
      </c>
      <c r="FH203">
        <v>-0.44422204735670362</v>
      </c>
      <c r="FI203">
        <v>-6.1462078757559423E-4</v>
      </c>
      <c r="FJ203">
        <v>-1.8861989874597051E-7</v>
      </c>
      <c r="FK203">
        <v>1.1980462299894961E-10</v>
      </c>
      <c r="FL203">
        <v>0.16773393518503121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41.9</v>
      </c>
      <c r="FU203">
        <v>41.9</v>
      </c>
      <c r="FV203">
        <v>1.78101</v>
      </c>
      <c r="FW203">
        <v>2.5659200000000002</v>
      </c>
      <c r="FX203">
        <v>1.5490699999999999</v>
      </c>
      <c r="FY203">
        <v>2.3339799999999999</v>
      </c>
      <c r="FZ203">
        <v>1.50146</v>
      </c>
      <c r="GA203">
        <v>2.3156699999999999</v>
      </c>
      <c r="GB203">
        <v>32.620399999999997</v>
      </c>
      <c r="GC203">
        <v>23.982399999999998</v>
      </c>
      <c r="GD203">
        <v>19</v>
      </c>
      <c r="GE203">
        <v>284.20800000000003</v>
      </c>
      <c r="GF203">
        <v>592.16899999999998</v>
      </c>
      <c r="GG203">
        <v>23.449300000000001</v>
      </c>
      <c r="GH203">
        <v>25.6431</v>
      </c>
      <c r="GI203">
        <v>30.0001</v>
      </c>
      <c r="GJ203">
        <v>25.7836</v>
      </c>
      <c r="GK203">
        <v>25.764900000000001</v>
      </c>
      <c r="GL203">
        <v>35.603900000000003</v>
      </c>
      <c r="GM203">
        <v>-30</v>
      </c>
      <c r="GN203">
        <v>-30</v>
      </c>
      <c r="GO203">
        <v>23.529800000000002</v>
      </c>
      <c r="GP203">
        <v>800</v>
      </c>
      <c r="GQ203">
        <v>12.5298</v>
      </c>
      <c r="GR203">
        <v>99.695700000000002</v>
      </c>
      <c r="GS203">
        <v>99.406899999999993</v>
      </c>
    </row>
    <row r="204" spans="1:201" x14ac:dyDescent="0.25">
      <c r="A204">
        <v>188</v>
      </c>
      <c r="B204">
        <v>1690205645.5999999</v>
      </c>
      <c r="C204">
        <v>2206</v>
      </c>
      <c r="D204" t="s">
        <v>709</v>
      </c>
      <c r="E204" t="s">
        <v>710</v>
      </c>
      <c r="F204" t="s">
        <v>330</v>
      </c>
      <c r="H204">
        <v>1690205645.5999999</v>
      </c>
      <c r="I204">
        <f t="shared" si="60"/>
        <v>2.0728410846779662E-3</v>
      </c>
      <c r="J204">
        <f t="shared" si="61"/>
        <v>2.0728410846779664</v>
      </c>
      <c r="K204">
        <f t="shared" si="62"/>
        <v>43.208793291488298</v>
      </c>
      <c r="L204">
        <f t="shared" si="63"/>
        <v>343.57299999999998</v>
      </c>
      <c r="M204">
        <f t="shared" si="64"/>
        <v>63.960507846689595</v>
      </c>
      <c r="N204">
        <f t="shared" si="65"/>
        <v>6.3427821455717499</v>
      </c>
      <c r="O204">
        <f t="shared" si="66"/>
        <v>34.071159899542799</v>
      </c>
      <c r="P204">
        <f t="shared" si="67"/>
        <v>0.26388090335774639</v>
      </c>
      <c r="Q204">
        <f t="shared" si="68"/>
        <v>2.1951465219297832</v>
      </c>
      <c r="R204">
        <f t="shared" si="69"/>
        <v>0.24743971820942356</v>
      </c>
      <c r="S204">
        <f t="shared" si="70"/>
        <v>0.15604155971253703</v>
      </c>
      <c r="T204">
        <f t="shared" si="71"/>
        <v>276.11405661599997</v>
      </c>
      <c r="U204">
        <f t="shared" si="72"/>
        <v>27.037661889414714</v>
      </c>
      <c r="V204">
        <f t="shared" si="73"/>
        <v>27.037661889414714</v>
      </c>
      <c r="W204">
        <f t="shared" si="74"/>
        <v>3.5870843556579528</v>
      </c>
      <c r="X204">
        <f t="shared" si="75"/>
        <v>84.382028413883702</v>
      </c>
      <c r="Y204">
        <f t="shared" si="76"/>
        <v>2.7830272792703998</v>
      </c>
      <c r="Z204">
        <f t="shared" si="77"/>
        <v>3.2981279682208937</v>
      </c>
      <c r="AA204">
        <f t="shared" si="78"/>
        <v>0.80405707638755297</v>
      </c>
      <c r="AB204">
        <f t="shared" si="79"/>
        <v>-91.412291834298316</v>
      </c>
      <c r="AC204">
        <f t="shared" si="80"/>
        <v>-168.37638487492853</v>
      </c>
      <c r="AD204">
        <f t="shared" si="81"/>
        <v>-16.442425274855101</v>
      </c>
      <c r="AE204">
        <f t="shared" si="82"/>
        <v>-0.11704536808198895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52671.324695976451</v>
      </c>
      <c r="AK204">
        <f t="shared" si="86"/>
        <v>1800</v>
      </c>
      <c r="AL204">
        <f t="shared" si="87"/>
        <v>1499.1147485999998</v>
      </c>
      <c r="AM204">
        <f t="shared" si="88"/>
        <v>0.83284152699999991</v>
      </c>
      <c r="AN204">
        <f t="shared" si="89"/>
        <v>0.15339669811999998</v>
      </c>
      <c r="AO204">
        <v>31.2</v>
      </c>
      <c r="AP204">
        <v>0.5</v>
      </c>
      <c r="AQ204" t="s">
        <v>331</v>
      </c>
      <c r="AR204">
        <v>2</v>
      </c>
      <c r="AS204">
        <v>1690205645.5999999</v>
      </c>
      <c r="AT204">
        <v>343.57299999999998</v>
      </c>
      <c r="AU204">
        <v>800.03</v>
      </c>
      <c r="AV204">
        <v>28.064</v>
      </c>
      <c r="AW204">
        <v>7.1261700000000001</v>
      </c>
      <c r="AX204">
        <v>344.24599999999998</v>
      </c>
      <c r="AY204">
        <v>27.8963</v>
      </c>
      <c r="AZ204">
        <v>300.21100000000001</v>
      </c>
      <c r="BA204">
        <v>99.0672</v>
      </c>
      <c r="BB204">
        <v>9.99636E-2</v>
      </c>
      <c r="BC204">
        <v>25.614899999999999</v>
      </c>
      <c r="BD204">
        <v>26.960899999999999</v>
      </c>
      <c r="BE204">
        <v>26.7913</v>
      </c>
      <c r="BF204">
        <v>0</v>
      </c>
      <c r="BG204">
        <v>0</v>
      </c>
      <c r="BH204">
        <v>10008.799999999999</v>
      </c>
      <c r="BI204">
        <v>1064.92</v>
      </c>
      <c r="BJ204">
        <v>1.56985</v>
      </c>
      <c r="BK204">
        <v>-456.45699999999999</v>
      </c>
      <c r="BL204">
        <v>353.49299999999999</v>
      </c>
      <c r="BM204">
        <v>805.77200000000005</v>
      </c>
      <c r="BN204">
        <v>20.937799999999999</v>
      </c>
      <c r="BO204">
        <v>800.03</v>
      </c>
      <c r="BP204">
        <v>7.1261700000000001</v>
      </c>
      <c r="BQ204">
        <v>2.7802199999999999</v>
      </c>
      <c r="BR204">
        <v>0.70596999999999999</v>
      </c>
      <c r="BS204">
        <v>22.767099999999999</v>
      </c>
      <c r="BT204">
        <v>1.9451499999999999</v>
      </c>
      <c r="BU204">
        <v>1800</v>
      </c>
      <c r="BV204">
        <v>0.91002499999999997</v>
      </c>
      <c r="BW204">
        <v>3.39934E-2</v>
      </c>
      <c r="BX204">
        <v>2.1993100000000002E-2</v>
      </c>
      <c r="BY204">
        <v>3.3988200000000003E-2</v>
      </c>
      <c r="BZ204">
        <v>25</v>
      </c>
      <c r="CA204">
        <v>33528.5</v>
      </c>
      <c r="CB204">
        <v>1690203121.0999999</v>
      </c>
      <c r="CC204" t="s">
        <v>332</v>
      </c>
      <c r="CD204">
        <v>1690203121.0999999</v>
      </c>
      <c r="CE204">
        <v>1690203121.0999999</v>
      </c>
      <c r="CF204">
        <v>3</v>
      </c>
      <c r="CG204">
        <v>0.53600000000000003</v>
      </c>
      <c r="CH204">
        <v>-0.01</v>
      </c>
      <c r="CI204">
        <v>-0.996</v>
      </c>
      <c r="CJ204">
        <v>-6.6000000000000003E-2</v>
      </c>
      <c r="CK204">
        <v>800</v>
      </c>
      <c r="CL204">
        <v>9</v>
      </c>
      <c r="CM204">
        <v>0.82</v>
      </c>
      <c r="CN204">
        <v>0.01</v>
      </c>
      <c r="CO204">
        <v>-456.10365000000002</v>
      </c>
      <c r="CP204">
        <v>-2.2124127579731039</v>
      </c>
      <c r="CQ204">
        <v>0.2199630139364368</v>
      </c>
      <c r="CR204">
        <v>-1</v>
      </c>
      <c r="CS204">
        <v>20.927485000000001</v>
      </c>
      <c r="CT204">
        <v>4.7995497185703492E-2</v>
      </c>
      <c r="CU204">
        <v>4.8336606211028966E-3</v>
      </c>
      <c r="CV204">
        <v>-1</v>
      </c>
      <c r="CW204">
        <v>0</v>
      </c>
      <c r="CX204">
        <v>0</v>
      </c>
      <c r="CY204" t="s">
        <v>333</v>
      </c>
      <c r="CZ204">
        <v>2.36524</v>
      </c>
      <c r="DA204">
        <v>2.7137600000000002</v>
      </c>
      <c r="DB204">
        <v>7.9742800000000003E-2</v>
      </c>
      <c r="DC204">
        <v>0.146286</v>
      </c>
      <c r="DD204">
        <v>0.12729799999999999</v>
      </c>
      <c r="DE204">
        <v>4.5404300000000002E-2</v>
      </c>
      <c r="DF204">
        <v>33592.300000000003</v>
      </c>
      <c r="DG204">
        <v>27479.7</v>
      </c>
      <c r="DH204">
        <v>31160.6</v>
      </c>
      <c r="DI204">
        <v>28045.7</v>
      </c>
      <c r="DJ204">
        <v>36900.6</v>
      </c>
      <c r="DK204">
        <v>38051.699999999997</v>
      </c>
      <c r="DL204">
        <v>44340</v>
      </c>
      <c r="DM204">
        <v>42484.2</v>
      </c>
      <c r="DN204">
        <v>1.4854700000000001</v>
      </c>
      <c r="DO204">
        <v>2.0552700000000002</v>
      </c>
      <c r="DP204">
        <v>0.15701000000000001</v>
      </c>
      <c r="DQ204">
        <v>0.14860899999999999</v>
      </c>
      <c r="DR204">
        <v>24.387499999999999</v>
      </c>
      <c r="DS204">
        <v>24.3552</v>
      </c>
      <c r="DT204">
        <v>23</v>
      </c>
      <c r="DU204">
        <v>28</v>
      </c>
      <c r="DV204">
        <v>8.8106899999999992</v>
      </c>
      <c r="DW204">
        <v>61.462800000000001</v>
      </c>
      <c r="DX204">
        <v>36.366199999999999</v>
      </c>
      <c r="DY204">
        <v>1</v>
      </c>
      <c r="DZ204">
        <v>-0.139825</v>
      </c>
      <c r="EA204">
        <v>-2.21868E-2</v>
      </c>
      <c r="EB204">
        <v>20.191099999999999</v>
      </c>
      <c r="EC204">
        <v>5.24125</v>
      </c>
      <c r="ED204">
        <v>12.039899999999999</v>
      </c>
      <c r="EE204">
        <v>5.0167999999999999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</v>
      </c>
      <c r="EL204">
        <v>1.8646199999999999</v>
      </c>
      <c r="EM204">
        <v>1.8691899999999999</v>
      </c>
      <c r="EN204">
        <v>1.8672200000000001</v>
      </c>
      <c r="EO204">
        <v>1.8633999999999999</v>
      </c>
      <c r="EP204">
        <v>1.86449</v>
      </c>
      <c r="EQ204">
        <v>1.8701399999999999</v>
      </c>
      <c r="ER204">
        <v>1.86941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-0.67300000000000004</v>
      </c>
      <c r="FG204">
        <v>0.16769999999999999</v>
      </c>
      <c r="FH204">
        <v>-0.44422204735670362</v>
      </c>
      <c r="FI204">
        <v>-6.1462078757559423E-4</v>
      </c>
      <c r="FJ204">
        <v>-1.8861989874597051E-7</v>
      </c>
      <c r="FK204">
        <v>1.1980462299894961E-10</v>
      </c>
      <c r="FL204">
        <v>0.16773393518503121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42.1</v>
      </c>
      <c r="FU204">
        <v>42.1</v>
      </c>
      <c r="FV204">
        <v>1.78101</v>
      </c>
      <c r="FW204">
        <v>2.5671400000000002</v>
      </c>
      <c r="FX204">
        <v>1.5490699999999999</v>
      </c>
      <c r="FY204">
        <v>2.3339799999999999</v>
      </c>
      <c r="FZ204">
        <v>1.50146</v>
      </c>
      <c r="GA204">
        <v>2.33643</v>
      </c>
      <c r="GB204">
        <v>32.620399999999997</v>
      </c>
      <c r="GC204">
        <v>23.982399999999998</v>
      </c>
      <c r="GD204">
        <v>19</v>
      </c>
      <c r="GE204">
        <v>284.29599999999999</v>
      </c>
      <c r="GF204">
        <v>592.27300000000002</v>
      </c>
      <c r="GG204">
        <v>23.592700000000001</v>
      </c>
      <c r="GH204">
        <v>25.6431</v>
      </c>
      <c r="GI204">
        <v>29.999400000000001</v>
      </c>
      <c r="GJ204">
        <v>25.782</v>
      </c>
      <c r="GK204">
        <v>25.764900000000001</v>
      </c>
      <c r="GL204">
        <v>35.602499999999999</v>
      </c>
      <c r="GM204">
        <v>-30</v>
      </c>
      <c r="GN204">
        <v>-30</v>
      </c>
      <c r="GO204">
        <v>23.6493</v>
      </c>
      <c r="GP204">
        <v>800</v>
      </c>
      <c r="GQ204">
        <v>12.5298</v>
      </c>
      <c r="GR204">
        <v>99.694599999999994</v>
      </c>
      <c r="GS204">
        <v>99.4071</v>
      </c>
    </row>
    <row r="205" spans="1:201" x14ac:dyDescent="0.25">
      <c r="A205">
        <v>189</v>
      </c>
      <c r="B205">
        <v>1690205655.5999999</v>
      </c>
      <c r="C205">
        <v>2216</v>
      </c>
      <c r="D205" t="s">
        <v>711</v>
      </c>
      <c r="E205" t="s">
        <v>712</v>
      </c>
      <c r="F205" t="s">
        <v>330</v>
      </c>
      <c r="H205">
        <v>1690205655.5999999</v>
      </c>
      <c r="I205">
        <f t="shared" si="60"/>
        <v>2.075517296629679E-3</v>
      </c>
      <c r="J205">
        <f t="shared" si="61"/>
        <v>2.0755172966296791</v>
      </c>
      <c r="K205">
        <f t="shared" si="62"/>
        <v>43.237190263538686</v>
      </c>
      <c r="L205">
        <f t="shared" si="63"/>
        <v>343.22899999999998</v>
      </c>
      <c r="M205">
        <f t="shared" si="64"/>
        <v>63.718667465628457</v>
      </c>
      <c r="N205">
        <f t="shared" si="65"/>
        <v>6.3188657501209393</v>
      </c>
      <c r="O205">
        <f t="shared" si="66"/>
        <v>34.037403147486998</v>
      </c>
      <c r="P205">
        <f t="shared" si="67"/>
        <v>0.26414565589324995</v>
      </c>
      <c r="Q205">
        <f t="shared" si="68"/>
        <v>2.1978333472323413</v>
      </c>
      <c r="R205">
        <f t="shared" si="69"/>
        <v>0.24769136029551617</v>
      </c>
      <c r="S205">
        <f t="shared" si="70"/>
        <v>0.15619996344676762</v>
      </c>
      <c r="T205">
        <f t="shared" si="71"/>
        <v>276.11401478400001</v>
      </c>
      <c r="U205">
        <f t="shared" si="72"/>
        <v>27.049150078291841</v>
      </c>
      <c r="V205">
        <f t="shared" si="73"/>
        <v>27.049150078291841</v>
      </c>
      <c r="W205">
        <f t="shared" si="74"/>
        <v>3.5895047005445466</v>
      </c>
      <c r="X205">
        <f t="shared" si="75"/>
        <v>84.378933250464371</v>
      </c>
      <c r="Y205">
        <f t="shared" si="76"/>
        <v>2.7852381494579999</v>
      </c>
      <c r="Z205">
        <f t="shared" si="77"/>
        <v>3.3008691176392322</v>
      </c>
      <c r="AA205">
        <f t="shared" si="78"/>
        <v>0.80426655108654677</v>
      </c>
      <c r="AB205">
        <f t="shared" si="79"/>
        <v>-91.530312781368849</v>
      </c>
      <c r="AC205">
        <f t="shared" si="80"/>
        <v>-168.28485148532792</v>
      </c>
      <c r="AD205">
        <f t="shared" si="81"/>
        <v>-16.415493240878153</v>
      </c>
      <c r="AE205">
        <f t="shared" si="82"/>
        <v>-0.11664272357492678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52779.357245149753</v>
      </c>
      <c r="AK205">
        <f t="shared" si="86"/>
        <v>1800</v>
      </c>
      <c r="AL205">
        <f t="shared" si="87"/>
        <v>1499.1155783999998</v>
      </c>
      <c r="AM205">
        <f t="shared" si="88"/>
        <v>0.83284198799999987</v>
      </c>
      <c r="AN205">
        <f t="shared" si="89"/>
        <v>0.15339667488</v>
      </c>
      <c r="AO205">
        <v>31.2</v>
      </c>
      <c r="AP205">
        <v>0.5</v>
      </c>
      <c r="AQ205" t="s">
        <v>331</v>
      </c>
      <c r="AR205">
        <v>2</v>
      </c>
      <c r="AS205">
        <v>1690205655.5999999</v>
      </c>
      <c r="AT205">
        <v>343.22899999999998</v>
      </c>
      <c r="AU205">
        <v>799.96500000000003</v>
      </c>
      <c r="AV205">
        <v>28.085999999999999</v>
      </c>
      <c r="AW205">
        <v>7.1224499999999997</v>
      </c>
      <c r="AX205">
        <v>343.90199999999999</v>
      </c>
      <c r="AY205">
        <v>27.918299999999999</v>
      </c>
      <c r="AZ205">
        <v>300.22300000000001</v>
      </c>
      <c r="BA205">
        <v>99.068200000000004</v>
      </c>
      <c r="BB205">
        <v>0.10000299999999999</v>
      </c>
      <c r="BC205">
        <v>25.628900000000002</v>
      </c>
      <c r="BD205">
        <v>27.005299999999998</v>
      </c>
      <c r="BE205">
        <v>26.8141</v>
      </c>
      <c r="BF205">
        <v>0</v>
      </c>
      <c r="BG205">
        <v>0</v>
      </c>
      <c r="BH205">
        <v>10030.6</v>
      </c>
      <c r="BI205">
        <v>1064.95</v>
      </c>
      <c r="BJ205">
        <v>1.56565</v>
      </c>
      <c r="BK205">
        <v>-456.73599999999999</v>
      </c>
      <c r="BL205">
        <v>353.14800000000002</v>
      </c>
      <c r="BM205">
        <v>805.70399999999995</v>
      </c>
      <c r="BN205">
        <v>20.9636</v>
      </c>
      <c r="BO205">
        <v>799.96500000000003</v>
      </c>
      <c r="BP205">
        <v>7.1224499999999997</v>
      </c>
      <c r="BQ205">
        <v>2.7824300000000002</v>
      </c>
      <c r="BR205">
        <v>0.70560800000000001</v>
      </c>
      <c r="BS205">
        <v>22.780200000000001</v>
      </c>
      <c r="BT205">
        <v>1.93797</v>
      </c>
      <c r="BU205">
        <v>1800</v>
      </c>
      <c r="BV205">
        <v>0.91002799999999995</v>
      </c>
      <c r="BW205">
        <v>3.3992399999999999E-2</v>
      </c>
      <c r="BX205">
        <v>2.1992399999999999E-2</v>
      </c>
      <c r="BY205">
        <v>3.3987200000000002E-2</v>
      </c>
      <c r="BZ205">
        <v>25</v>
      </c>
      <c r="CA205">
        <v>33528.6</v>
      </c>
      <c r="CB205">
        <v>1690203121.0999999</v>
      </c>
      <c r="CC205" t="s">
        <v>332</v>
      </c>
      <c r="CD205">
        <v>1690203121.0999999</v>
      </c>
      <c r="CE205">
        <v>1690203121.0999999</v>
      </c>
      <c r="CF205">
        <v>3</v>
      </c>
      <c r="CG205">
        <v>0.53600000000000003</v>
      </c>
      <c r="CH205">
        <v>-0.01</v>
      </c>
      <c r="CI205">
        <v>-0.996</v>
      </c>
      <c r="CJ205">
        <v>-6.6000000000000003E-2</v>
      </c>
      <c r="CK205">
        <v>800</v>
      </c>
      <c r="CL205">
        <v>9</v>
      </c>
      <c r="CM205">
        <v>0.82</v>
      </c>
      <c r="CN205">
        <v>0.01</v>
      </c>
      <c r="CO205">
        <v>-456.41017499999998</v>
      </c>
      <c r="CP205">
        <v>-1.978908067541705</v>
      </c>
      <c r="CQ205">
        <v>0.20313319368089239</v>
      </c>
      <c r="CR205">
        <v>-1</v>
      </c>
      <c r="CS205">
        <v>20.940770000000001</v>
      </c>
      <c r="CT205">
        <v>0.1142273921200723</v>
      </c>
      <c r="CU205">
        <v>1.123319188832792E-2</v>
      </c>
      <c r="CV205">
        <v>-1</v>
      </c>
      <c r="CW205">
        <v>0</v>
      </c>
      <c r="CX205">
        <v>0</v>
      </c>
      <c r="CY205" t="s">
        <v>333</v>
      </c>
      <c r="CZ205">
        <v>2.3652899999999999</v>
      </c>
      <c r="DA205">
        <v>2.7138200000000001</v>
      </c>
      <c r="DB205">
        <v>7.9680399999999998E-2</v>
      </c>
      <c r="DC205">
        <v>0.14627999999999999</v>
      </c>
      <c r="DD205">
        <v>0.12736800000000001</v>
      </c>
      <c r="DE205">
        <v>4.53859E-2</v>
      </c>
      <c r="DF205">
        <v>33595</v>
      </c>
      <c r="DG205">
        <v>27480.6</v>
      </c>
      <c r="DH205">
        <v>31160.9</v>
      </c>
      <c r="DI205">
        <v>28046.400000000001</v>
      </c>
      <c r="DJ205">
        <v>36898</v>
      </c>
      <c r="DK205">
        <v>38053.599999999999</v>
      </c>
      <c r="DL205">
        <v>44340.4</v>
      </c>
      <c r="DM205">
        <v>42485.5</v>
      </c>
      <c r="DN205">
        <v>1.4855</v>
      </c>
      <c r="DO205">
        <v>2.0551499999999998</v>
      </c>
      <c r="DP205">
        <v>0.15962499999999999</v>
      </c>
      <c r="DQ205">
        <v>0.14980499999999999</v>
      </c>
      <c r="DR205">
        <v>24.389199999999999</v>
      </c>
      <c r="DS205">
        <v>24.358499999999999</v>
      </c>
      <c r="DT205">
        <v>22.9</v>
      </c>
      <c r="DU205">
        <v>28.1</v>
      </c>
      <c r="DV205">
        <v>8.8237199999999998</v>
      </c>
      <c r="DW205">
        <v>61.152799999999999</v>
      </c>
      <c r="DX205">
        <v>36.253999999999998</v>
      </c>
      <c r="DY205">
        <v>1</v>
      </c>
      <c r="DZ205">
        <v>-0.139873</v>
      </c>
      <c r="EA205">
        <v>8.4983699999999995E-2</v>
      </c>
      <c r="EB205">
        <v>20.191199999999998</v>
      </c>
      <c r="EC205">
        <v>5.24125</v>
      </c>
      <c r="ED205">
        <v>12.039899999999999</v>
      </c>
      <c r="EE205">
        <v>5.0169499999999996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1.8689100000000001</v>
      </c>
      <c r="EL205">
        <v>1.8646199999999999</v>
      </c>
      <c r="EM205">
        <v>1.8691800000000001</v>
      </c>
      <c r="EN205">
        <v>1.8672200000000001</v>
      </c>
      <c r="EO205">
        <v>1.8633999999999999</v>
      </c>
      <c r="EP205">
        <v>1.8644700000000001</v>
      </c>
      <c r="EQ205">
        <v>1.8701300000000001</v>
      </c>
      <c r="ER205">
        <v>1.86941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-0.67300000000000004</v>
      </c>
      <c r="FG205">
        <v>0.16769999999999999</v>
      </c>
      <c r="FH205">
        <v>-0.44422204735670362</v>
      </c>
      <c r="FI205">
        <v>-6.1462078757559423E-4</v>
      </c>
      <c r="FJ205">
        <v>-1.8861989874597051E-7</v>
      </c>
      <c r="FK205">
        <v>1.1980462299894961E-10</v>
      </c>
      <c r="FL205">
        <v>0.16773393518503121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42.2</v>
      </c>
      <c r="FU205">
        <v>42.2</v>
      </c>
      <c r="FV205">
        <v>1.78101</v>
      </c>
      <c r="FW205">
        <v>2.5647000000000002</v>
      </c>
      <c r="FX205">
        <v>1.5490699999999999</v>
      </c>
      <c r="FY205">
        <v>2.3339799999999999</v>
      </c>
      <c r="FZ205">
        <v>1.50146</v>
      </c>
      <c r="GA205">
        <v>2.32178</v>
      </c>
      <c r="GB205">
        <v>32.620399999999997</v>
      </c>
      <c r="GC205">
        <v>23.982399999999998</v>
      </c>
      <c r="GD205">
        <v>19</v>
      </c>
      <c r="GE205">
        <v>284.31700000000001</v>
      </c>
      <c r="GF205">
        <v>592.14400000000001</v>
      </c>
      <c r="GG205">
        <v>23.694099999999999</v>
      </c>
      <c r="GH205">
        <v>25.6431</v>
      </c>
      <c r="GI205">
        <v>29.9998</v>
      </c>
      <c r="GJ205">
        <v>25.784099999999999</v>
      </c>
      <c r="GK205">
        <v>25.762699999999999</v>
      </c>
      <c r="GL205">
        <v>35.603999999999999</v>
      </c>
      <c r="GM205">
        <v>-30</v>
      </c>
      <c r="GN205">
        <v>-30</v>
      </c>
      <c r="GO205">
        <v>23.6876</v>
      </c>
      <c r="GP205">
        <v>800</v>
      </c>
      <c r="GQ205">
        <v>12.5298</v>
      </c>
      <c r="GR205">
        <v>99.695700000000002</v>
      </c>
      <c r="GS205">
        <v>99.409899999999993</v>
      </c>
    </row>
    <row r="206" spans="1:201" x14ac:dyDescent="0.25">
      <c r="A206">
        <v>190</v>
      </c>
      <c r="B206">
        <v>1690205665.5999999</v>
      </c>
      <c r="C206">
        <v>2226</v>
      </c>
      <c r="D206" t="s">
        <v>713</v>
      </c>
      <c r="E206" t="s">
        <v>714</v>
      </c>
      <c r="F206" t="s">
        <v>330</v>
      </c>
      <c r="H206">
        <v>1690205665.5999999</v>
      </c>
      <c r="I206">
        <f t="shared" si="60"/>
        <v>2.0772287335571165E-3</v>
      </c>
      <c r="J206">
        <f t="shared" si="61"/>
        <v>2.0772287335571167</v>
      </c>
      <c r="K206">
        <f t="shared" si="62"/>
        <v>43.252870117867637</v>
      </c>
      <c r="L206">
        <f t="shared" si="63"/>
        <v>343.178</v>
      </c>
      <c r="M206">
        <f t="shared" si="64"/>
        <v>63.452732670434578</v>
      </c>
      <c r="N206">
        <f t="shared" si="65"/>
        <v>6.2923822353807433</v>
      </c>
      <c r="O206">
        <f t="shared" si="66"/>
        <v>34.031743943782203</v>
      </c>
      <c r="P206">
        <f t="shared" si="67"/>
        <v>0.26404206119885865</v>
      </c>
      <c r="Q206">
        <f t="shared" si="68"/>
        <v>2.1962793791946287</v>
      </c>
      <c r="R206">
        <f t="shared" si="69"/>
        <v>0.24758938281784429</v>
      </c>
      <c r="S206">
        <f t="shared" si="70"/>
        <v>0.15613606541784367</v>
      </c>
      <c r="T206">
        <f t="shared" si="71"/>
        <v>276.113976192</v>
      </c>
      <c r="U206">
        <f t="shared" si="72"/>
        <v>27.058773055884917</v>
      </c>
      <c r="V206">
        <f t="shared" si="73"/>
        <v>27.058773055884917</v>
      </c>
      <c r="W206">
        <f t="shared" si="74"/>
        <v>3.5915331775924351</v>
      </c>
      <c r="X206">
        <f t="shared" si="75"/>
        <v>84.364521886060558</v>
      </c>
      <c r="Y206">
        <f t="shared" si="76"/>
        <v>2.78629957613028</v>
      </c>
      <c r="Z206">
        <f t="shared" si="77"/>
        <v>3.3026911239932679</v>
      </c>
      <c r="AA206">
        <f t="shared" si="78"/>
        <v>0.80523360146215506</v>
      </c>
      <c r="AB206">
        <f t="shared" si="79"/>
        <v>-91.605787149868831</v>
      </c>
      <c r="AC206">
        <f t="shared" si="80"/>
        <v>-168.20410887387848</v>
      </c>
      <c r="AD206">
        <f t="shared" si="81"/>
        <v>-16.420783290093038</v>
      </c>
      <c r="AE206">
        <f t="shared" si="82"/>
        <v>-0.11670312184034515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52713.763269243442</v>
      </c>
      <c r="AK206">
        <f t="shared" si="86"/>
        <v>1800</v>
      </c>
      <c r="AL206">
        <f t="shared" si="87"/>
        <v>1499.1157331999998</v>
      </c>
      <c r="AM206">
        <f t="shared" si="88"/>
        <v>0.83284207399999988</v>
      </c>
      <c r="AN206">
        <f t="shared" si="89"/>
        <v>0.15339665344</v>
      </c>
      <c r="AO206">
        <v>31.2</v>
      </c>
      <c r="AP206">
        <v>0.5</v>
      </c>
      <c r="AQ206" t="s">
        <v>331</v>
      </c>
      <c r="AR206">
        <v>2</v>
      </c>
      <c r="AS206">
        <v>1690205665.5999999</v>
      </c>
      <c r="AT206">
        <v>343.178</v>
      </c>
      <c r="AU206">
        <v>800.01499999999999</v>
      </c>
      <c r="AV206">
        <v>28.097200000000001</v>
      </c>
      <c r="AW206">
        <v>7.1196799999999998</v>
      </c>
      <c r="AX206">
        <v>343.851</v>
      </c>
      <c r="AY206">
        <v>27.929500000000001</v>
      </c>
      <c r="AZ206">
        <v>300.267</v>
      </c>
      <c r="BA206">
        <v>99.066500000000005</v>
      </c>
      <c r="BB206">
        <v>9.9949899999999994E-2</v>
      </c>
      <c r="BC206">
        <v>25.638200000000001</v>
      </c>
      <c r="BD206">
        <v>27.057300000000001</v>
      </c>
      <c r="BE206">
        <v>26.829799999999999</v>
      </c>
      <c r="BF206">
        <v>0</v>
      </c>
      <c r="BG206">
        <v>0</v>
      </c>
      <c r="BH206">
        <v>10018.1</v>
      </c>
      <c r="BI206">
        <v>1065.05</v>
      </c>
      <c r="BJ206">
        <v>1.62592</v>
      </c>
      <c r="BK206">
        <v>-456.83600000000001</v>
      </c>
      <c r="BL206">
        <v>353.1</v>
      </c>
      <c r="BM206">
        <v>805.75099999999998</v>
      </c>
      <c r="BN206">
        <v>20.977499999999999</v>
      </c>
      <c r="BO206">
        <v>800.01499999999999</v>
      </c>
      <c r="BP206">
        <v>7.1196799999999998</v>
      </c>
      <c r="BQ206">
        <v>2.78349</v>
      </c>
      <c r="BR206">
        <v>0.705322</v>
      </c>
      <c r="BS206">
        <v>22.7865</v>
      </c>
      <c r="BT206">
        <v>1.93231</v>
      </c>
      <c r="BU206">
        <v>1800</v>
      </c>
      <c r="BV206">
        <v>0.91002899999999998</v>
      </c>
      <c r="BW206">
        <v>3.3992000000000001E-2</v>
      </c>
      <c r="BX206">
        <v>2.19922E-2</v>
      </c>
      <c r="BY206">
        <v>3.3986799999999998E-2</v>
      </c>
      <c r="BZ206">
        <v>25</v>
      </c>
      <c r="CA206">
        <v>33528.6</v>
      </c>
      <c r="CB206">
        <v>1690203121.0999999</v>
      </c>
      <c r="CC206" t="s">
        <v>332</v>
      </c>
      <c r="CD206">
        <v>1690203121.0999999</v>
      </c>
      <c r="CE206">
        <v>1690203121.0999999</v>
      </c>
      <c r="CF206">
        <v>3</v>
      </c>
      <c r="CG206">
        <v>0.53600000000000003</v>
      </c>
      <c r="CH206">
        <v>-0.01</v>
      </c>
      <c r="CI206">
        <v>-0.996</v>
      </c>
      <c r="CJ206">
        <v>-6.6000000000000003E-2</v>
      </c>
      <c r="CK206">
        <v>800</v>
      </c>
      <c r="CL206">
        <v>9</v>
      </c>
      <c r="CM206">
        <v>0.82</v>
      </c>
      <c r="CN206">
        <v>0.01</v>
      </c>
      <c r="CO206">
        <v>-456.63962500000002</v>
      </c>
      <c r="CP206">
        <v>-1.32572983114322</v>
      </c>
      <c r="CQ206">
        <v>0.15043780899427919</v>
      </c>
      <c r="CR206">
        <v>-1</v>
      </c>
      <c r="CS206">
        <v>20.958715000000002</v>
      </c>
      <c r="CT206">
        <v>0.1312345215759452</v>
      </c>
      <c r="CU206">
        <v>1.278050370681851E-2</v>
      </c>
      <c r="CV206">
        <v>-1</v>
      </c>
      <c r="CW206">
        <v>0</v>
      </c>
      <c r="CX206">
        <v>0</v>
      </c>
      <c r="CY206" t="s">
        <v>333</v>
      </c>
      <c r="CZ206">
        <v>2.3654299999999999</v>
      </c>
      <c r="DA206">
        <v>2.7137600000000002</v>
      </c>
      <c r="DB206">
        <v>7.9670400000000002E-2</v>
      </c>
      <c r="DC206">
        <v>0.146283</v>
      </c>
      <c r="DD206">
        <v>0.12740199999999999</v>
      </c>
      <c r="DE206">
        <v>4.5371099999999998E-2</v>
      </c>
      <c r="DF206">
        <v>33595.5</v>
      </c>
      <c r="DG206">
        <v>27479.7</v>
      </c>
      <c r="DH206">
        <v>31161.1</v>
      </c>
      <c r="DI206">
        <v>28045.599999999999</v>
      </c>
      <c r="DJ206">
        <v>36896.9</v>
      </c>
      <c r="DK206">
        <v>38053</v>
      </c>
      <c r="DL206">
        <v>44340.800000000003</v>
      </c>
      <c r="DM206">
        <v>42484.2</v>
      </c>
      <c r="DN206">
        <v>1.4855700000000001</v>
      </c>
      <c r="DO206">
        <v>2.05505</v>
      </c>
      <c r="DP206">
        <v>0.16267999999999999</v>
      </c>
      <c r="DQ206">
        <v>0.150561</v>
      </c>
      <c r="DR206">
        <v>24.391300000000001</v>
      </c>
      <c r="DS206">
        <v>24.361899999999999</v>
      </c>
      <c r="DT206">
        <v>22.9</v>
      </c>
      <c r="DU206">
        <v>28.1</v>
      </c>
      <c r="DV206">
        <v>8.8239199999999993</v>
      </c>
      <c r="DW206">
        <v>61.1128</v>
      </c>
      <c r="DX206">
        <v>36.238</v>
      </c>
      <c r="DY206">
        <v>1</v>
      </c>
      <c r="DZ206">
        <v>-0.139677</v>
      </c>
      <c r="EA206">
        <v>0.155556</v>
      </c>
      <c r="EB206">
        <v>20.191299999999998</v>
      </c>
      <c r="EC206">
        <v>5.2413999999999996</v>
      </c>
      <c r="ED206">
        <v>12.039899999999999</v>
      </c>
      <c r="EE206">
        <v>5.01715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</v>
      </c>
      <c r="EL206">
        <v>1.8646199999999999</v>
      </c>
      <c r="EM206">
        <v>1.8691599999999999</v>
      </c>
      <c r="EN206">
        <v>1.8672200000000001</v>
      </c>
      <c r="EO206">
        <v>1.8633999999999999</v>
      </c>
      <c r="EP206">
        <v>1.86449</v>
      </c>
      <c r="EQ206">
        <v>1.8701300000000001</v>
      </c>
      <c r="ER206">
        <v>1.86937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-0.67300000000000004</v>
      </c>
      <c r="FG206">
        <v>0.16769999999999999</v>
      </c>
      <c r="FH206">
        <v>-0.44422204735670362</v>
      </c>
      <c r="FI206">
        <v>-6.1462078757559423E-4</v>
      </c>
      <c r="FJ206">
        <v>-1.8861989874597051E-7</v>
      </c>
      <c r="FK206">
        <v>1.1980462299894961E-10</v>
      </c>
      <c r="FL206">
        <v>0.16773393518503121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42.4</v>
      </c>
      <c r="FU206">
        <v>42.4</v>
      </c>
      <c r="FV206">
        <v>1.78101</v>
      </c>
      <c r="FW206">
        <v>2.5647000000000002</v>
      </c>
      <c r="FX206">
        <v>1.5490699999999999</v>
      </c>
      <c r="FY206">
        <v>2.3339799999999999</v>
      </c>
      <c r="FZ206">
        <v>1.50146</v>
      </c>
      <c r="GA206">
        <v>2.35229</v>
      </c>
      <c r="GB206">
        <v>32.598199999999999</v>
      </c>
      <c r="GC206">
        <v>23.982399999999998</v>
      </c>
      <c r="GD206">
        <v>19</v>
      </c>
      <c r="GE206">
        <v>284.339</v>
      </c>
      <c r="GF206">
        <v>592.05999999999995</v>
      </c>
      <c r="GG206">
        <v>23.707899999999999</v>
      </c>
      <c r="GH206">
        <v>25.645199999999999</v>
      </c>
      <c r="GI206">
        <v>29.9999</v>
      </c>
      <c r="GJ206">
        <v>25.782</v>
      </c>
      <c r="GK206">
        <v>25.762699999999999</v>
      </c>
      <c r="GL206">
        <v>35.603700000000003</v>
      </c>
      <c r="GM206">
        <v>-30</v>
      </c>
      <c r="GN206">
        <v>-30</v>
      </c>
      <c r="GO206">
        <v>23.718399999999999</v>
      </c>
      <c r="GP206">
        <v>800</v>
      </c>
      <c r="GQ206">
        <v>12.5298</v>
      </c>
      <c r="GR206">
        <v>99.696399999999997</v>
      </c>
      <c r="GS206">
        <v>99.406999999999996</v>
      </c>
    </row>
    <row r="207" spans="1:201" x14ac:dyDescent="0.25">
      <c r="A207">
        <v>191</v>
      </c>
      <c r="B207">
        <v>1690205675.5999999</v>
      </c>
      <c r="C207">
        <v>2236</v>
      </c>
      <c r="D207" t="s">
        <v>715</v>
      </c>
      <c r="E207" t="s">
        <v>716</v>
      </c>
      <c r="F207" t="s">
        <v>330</v>
      </c>
      <c r="H207">
        <v>1690205675.5999999</v>
      </c>
      <c r="I207">
        <f t="shared" si="60"/>
        <v>2.0770989927829798E-3</v>
      </c>
      <c r="J207">
        <f t="shared" si="61"/>
        <v>2.0770989927829797</v>
      </c>
      <c r="K207">
        <f t="shared" si="62"/>
        <v>43.251714951018734</v>
      </c>
      <c r="L207">
        <f t="shared" si="63"/>
        <v>343.12700000000001</v>
      </c>
      <c r="M207">
        <f t="shared" si="64"/>
        <v>62.784493502369514</v>
      </c>
      <c r="N207">
        <f t="shared" si="65"/>
        <v>6.2261458866125894</v>
      </c>
      <c r="O207">
        <f t="shared" si="66"/>
        <v>34.026853454748199</v>
      </c>
      <c r="P207">
        <f t="shared" si="67"/>
        <v>0.2634160007263418</v>
      </c>
      <c r="Q207">
        <f t="shared" si="68"/>
        <v>2.1962119630726553</v>
      </c>
      <c r="R207">
        <f t="shared" si="69"/>
        <v>0.24703818547148279</v>
      </c>
      <c r="S207">
        <f t="shared" si="70"/>
        <v>0.15578541646713953</v>
      </c>
      <c r="T207">
        <f t="shared" si="71"/>
        <v>276.11258183269001</v>
      </c>
      <c r="U207">
        <f t="shared" si="72"/>
        <v>27.067335406612429</v>
      </c>
      <c r="V207">
        <f t="shared" si="73"/>
        <v>27.067335406612429</v>
      </c>
      <c r="W207">
        <f t="shared" si="74"/>
        <v>3.5933389208287809</v>
      </c>
      <c r="X207">
        <f t="shared" si="75"/>
        <v>84.323900041250567</v>
      </c>
      <c r="Y207">
        <f t="shared" si="76"/>
        <v>2.78636283450582</v>
      </c>
      <c r="Z207">
        <f t="shared" si="77"/>
        <v>3.3043571669986256</v>
      </c>
      <c r="AA207">
        <f t="shared" si="78"/>
        <v>0.80697608632296092</v>
      </c>
      <c r="AB207">
        <f t="shared" si="79"/>
        <v>-91.60006558172941</v>
      </c>
      <c r="AC207">
        <f t="shared" si="80"/>
        <v>-168.20632820919278</v>
      </c>
      <c r="AD207">
        <f t="shared" si="81"/>
        <v>-16.422908058041529</v>
      </c>
      <c r="AE207">
        <f t="shared" si="82"/>
        <v>-0.116720016273689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52709.50233655663</v>
      </c>
      <c r="AK207">
        <f t="shared" si="86"/>
        <v>1799.99</v>
      </c>
      <c r="AL207">
        <f t="shared" si="87"/>
        <v>1499.1040225980501</v>
      </c>
      <c r="AM207">
        <f t="shared" si="88"/>
        <v>0.83284019500000006</v>
      </c>
      <c r="AN207">
        <f t="shared" si="89"/>
        <v>0.15339673100000001</v>
      </c>
      <c r="AO207">
        <v>31.2</v>
      </c>
      <c r="AP207">
        <v>0.5</v>
      </c>
      <c r="AQ207" t="s">
        <v>331</v>
      </c>
      <c r="AR207">
        <v>2</v>
      </c>
      <c r="AS207">
        <v>1690205675.5999999</v>
      </c>
      <c r="AT207">
        <v>343.12700000000001</v>
      </c>
      <c r="AU207">
        <v>800.06</v>
      </c>
      <c r="AV207">
        <v>28.0977</v>
      </c>
      <c r="AW207">
        <v>7.1164699999999996</v>
      </c>
      <c r="AX207">
        <v>343.8</v>
      </c>
      <c r="AY207">
        <v>27.93</v>
      </c>
      <c r="AZ207">
        <v>300.19499999999999</v>
      </c>
      <c r="BA207">
        <v>99.066999999999993</v>
      </c>
      <c r="BB207">
        <v>9.99366E-2</v>
      </c>
      <c r="BC207">
        <v>25.646699999999999</v>
      </c>
      <c r="BD207">
        <v>27.0867</v>
      </c>
      <c r="BE207">
        <v>26.8323</v>
      </c>
      <c r="BF207">
        <v>0</v>
      </c>
      <c r="BG207">
        <v>0</v>
      </c>
      <c r="BH207">
        <v>10017.5</v>
      </c>
      <c r="BI207">
        <v>1065.1199999999999</v>
      </c>
      <c r="BJ207">
        <v>1.62592</v>
      </c>
      <c r="BK207">
        <v>-456.93299999999999</v>
      </c>
      <c r="BL207">
        <v>353.04700000000003</v>
      </c>
      <c r="BM207">
        <v>805.79499999999996</v>
      </c>
      <c r="BN207">
        <v>20.981300000000001</v>
      </c>
      <c r="BO207">
        <v>800.06</v>
      </c>
      <c r="BP207">
        <v>7.1164699999999996</v>
      </c>
      <c r="BQ207">
        <v>2.78356</v>
      </c>
      <c r="BR207">
        <v>0.70500700000000005</v>
      </c>
      <c r="BS207">
        <v>22.786899999999999</v>
      </c>
      <c r="BT207">
        <v>1.9260600000000001</v>
      </c>
      <c r="BU207">
        <v>1799.99</v>
      </c>
      <c r="BV207">
        <v>0.91001399999999999</v>
      </c>
      <c r="BW207">
        <v>3.4000900000000001E-2</v>
      </c>
      <c r="BX207">
        <v>2.1991500000000001E-2</v>
      </c>
      <c r="BY207">
        <v>3.3993599999999999E-2</v>
      </c>
      <c r="BZ207">
        <v>25</v>
      </c>
      <c r="CA207">
        <v>33528.400000000001</v>
      </c>
      <c r="CB207">
        <v>1690203121.0999999</v>
      </c>
      <c r="CC207" t="s">
        <v>332</v>
      </c>
      <c r="CD207">
        <v>1690203121.0999999</v>
      </c>
      <c r="CE207">
        <v>1690203121.0999999</v>
      </c>
      <c r="CF207">
        <v>3</v>
      </c>
      <c r="CG207">
        <v>0.53600000000000003</v>
      </c>
      <c r="CH207">
        <v>-0.01</v>
      </c>
      <c r="CI207">
        <v>-0.996</v>
      </c>
      <c r="CJ207">
        <v>-6.6000000000000003E-2</v>
      </c>
      <c r="CK207">
        <v>800</v>
      </c>
      <c r="CL207">
        <v>9</v>
      </c>
      <c r="CM207">
        <v>0.82</v>
      </c>
      <c r="CN207">
        <v>0.01</v>
      </c>
      <c r="CO207">
        <v>-456.78507317073172</v>
      </c>
      <c r="CP207">
        <v>-0.31503135888675587</v>
      </c>
      <c r="CQ207">
        <v>7.7550106616866718E-2</v>
      </c>
      <c r="CR207">
        <v>-1</v>
      </c>
      <c r="CS207">
        <v>20.974702439024391</v>
      </c>
      <c r="CT207">
        <v>5.5114285714287427E-2</v>
      </c>
      <c r="CU207">
        <v>5.6534249409852183E-3</v>
      </c>
      <c r="CV207">
        <v>-1</v>
      </c>
      <c r="CW207">
        <v>0</v>
      </c>
      <c r="CX207">
        <v>0</v>
      </c>
      <c r="CY207" t="s">
        <v>333</v>
      </c>
      <c r="CZ207">
        <v>2.3651900000000001</v>
      </c>
      <c r="DA207">
        <v>2.71374</v>
      </c>
      <c r="DB207">
        <v>7.9661399999999993E-2</v>
      </c>
      <c r="DC207">
        <v>0.14629</v>
      </c>
      <c r="DD207">
        <v>0.12740399999999999</v>
      </c>
      <c r="DE207">
        <v>4.5354899999999997E-2</v>
      </c>
      <c r="DF207">
        <v>33595.9</v>
      </c>
      <c r="DG207">
        <v>27480.3</v>
      </c>
      <c r="DH207">
        <v>31161.200000000001</v>
      </c>
      <c r="DI207">
        <v>28046.5</v>
      </c>
      <c r="DJ207">
        <v>36896.6</v>
      </c>
      <c r="DK207">
        <v>38054.699999999997</v>
      </c>
      <c r="DL207">
        <v>44340.6</v>
      </c>
      <c r="DM207">
        <v>42485.4</v>
      </c>
      <c r="DN207">
        <v>1.4849000000000001</v>
      </c>
      <c r="DO207">
        <v>2.0551200000000001</v>
      </c>
      <c r="DP207">
        <v>0.164349</v>
      </c>
      <c r="DQ207">
        <v>0.15042700000000001</v>
      </c>
      <c r="DR207">
        <v>24.3934</v>
      </c>
      <c r="DS207">
        <v>24.366499999999998</v>
      </c>
      <c r="DT207">
        <v>22.9</v>
      </c>
      <c r="DU207">
        <v>28.1</v>
      </c>
      <c r="DV207">
        <v>8.8240999999999996</v>
      </c>
      <c r="DW207">
        <v>61.492800000000003</v>
      </c>
      <c r="DX207">
        <v>36.334099999999999</v>
      </c>
      <c r="DY207">
        <v>1</v>
      </c>
      <c r="DZ207">
        <v>-0.13766300000000001</v>
      </c>
      <c r="EA207">
        <v>0.64281299999999997</v>
      </c>
      <c r="EB207">
        <v>20.189399999999999</v>
      </c>
      <c r="EC207">
        <v>5.2415500000000002</v>
      </c>
      <c r="ED207">
        <v>12.039899999999999</v>
      </c>
      <c r="EE207">
        <v>5.0170500000000002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</v>
      </c>
      <c r="EL207">
        <v>1.8646199999999999</v>
      </c>
      <c r="EM207">
        <v>1.86917</v>
      </c>
      <c r="EN207">
        <v>1.8672200000000001</v>
      </c>
      <c r="EO207">
        <v>1.8633999999999999</v>
      </c>
      <c r="EP207">
        <v>1.8644799999999999</v>
      </c>
      <c r="EQ207">
        <v>1.8701300000000001</v>
      </c>
      <c r="ER207">
        <v>1.86937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-0.67300000000000004</v>
      </c>
      <c r="FG207">
        <v>0.16769999999999999</v>
      </c>
      <c r="FH207">
        <v>-0.44422204735670362</v>
      </c>
      <c r="FI207">
        <v>-6.1462078757559423E-4</v>
      </c>
      <c r="FJ207">
        <v>-1.8861989874597051E-7</v>
      </c>
      <c r="FK207">
        <v>1.1980462299894961E-10</v>
      </c>
      <c r="FL207">
        <v>0.16773393518503121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42.6</v>
      </c>
      <c r="FU207">
        <v>42.6</v>
      </c>
      <c r="FV207">
        <v>1.78101</v>
      </c>
      <c r="FW207">
        <v>2.5671400000000002</v>
      </c>
      <c r="FX207">
        <v>1.5490699999999999</v>
      </c>
      <c r="FY207">
        <v>2.3339799999999999</v>
      </c>
      <c r="FZ207">
        <v>1.50146</v>
      </c>
      <c r="GA207">
        <v>2.3144499999999999</v>
      </c>
      <c r="GB207">
        <v>32.620399999999997</v>
      </c>
      <c r="GC207">
        <v>23.982399999999998</v>
      </c>
      <c r="GD207">
        <v>19</v>
      </c>
      <c r="GE207">
        <v>284.05099999999999</v>
      </c>
      <c r="GF207">
        <v>592.12300000000005</v>
      </c>
      <c r="GG207">
        <v>23.6388</v>
      </c>
      <c r="GH207">
        <v>25.645199999999999</v>
      </c>
      <c r="GI207">
        <v>30.001200000000001</v>
      </c>
      <c r="GJ207">
        <v>25.782</v>
      </c>
      <c r="GK207">
        <v>25.762699999999999</v>
      </c>
      <c r="GL207">
        <v>35.6023</v>
      </c>
      <c r="GM207">
        <v>-30</v>
      </c>
      <c r="GN207">
        <v>-30</v>
      </c>
      <c r="GO207">
        <v>23.5275</v>
      </c>
      <c r="GP207">
        <v>800</v>
      </c>
      <c r="GQ207">
        <v>12.5298</v>
      </c>
      <c r="GR207">
        <v>99.696299999999994</v>
      </c>
      <c r="GS207">
        <v>99.409899999999993</v>
      </c>
    </row>
    <row r="208" spans="1:201" x14ac:dyDescent="0.25">
      <c r="A208">
        <v>192</v>
      </c>
      <c r="B208">
        <v>1690205685.5999999</v>
      </c>
      <c r="C208">
        <v>2246</v>
      </c>
      <c r="D208" t="s">
        <v>717</v>
      </c>
      <c r="E208" t="s">
        <v>718</v>
      </c>
      <c r="F208" t="s">
        <v>330</v>
      </c>
      <c r="H208">
        <v>1690205685.5999999</v>
      </c>
      <c r="I208">
        <f t="shared" si="60"/>
        <v>2.0758429965946359E-3</v>
      </c>
      <c r="J208">
        <f t="shared" si="61"/>
        <v>2.0758429965946359</v>
      </c>
      <c r="K208">
        <f t="shared" si="62"/>
        <v>43.279728835361496</v>
      </c>
      <c r="L208">
        <f t="shared" si="63"/>
        <v>342.84199999999998</v>
      </c>
      <c r="M208">
        <f t="shared" si="64"/>
        <v>62.994903923218665</v>
      </c>
      <c r="N208">
        <f t="shared" si="65"/>
        <v>6.2469716669108868</v>
      </c>
      <c r="O208">
        <f t="shared" si="66"/>
        <v>33.998373310283995</v>
      </c>
      <c r="P208">
        <f t="shared" si="67"/>
        <v>0.26409024971898359</v>
      </c>
      <c r="Q208">
        <f t="shared" si="68"/>
        <v>2.1955159729682254</v>
      </c>
      <c r="R208">
        <f t="shared" si="69"/>
        <v>0.24762642619861641</v>
      </c>
      <c r="S208">
        <f t="shared" si="70"/>
        <v>0.15616011849111933</v>
      </c>
      <c r="T208">
        <f t="shared" si="71"/>
        <v>276.11399120400006</v>
      </c>
      <c r="U208">
        <f t="shared" si="72"/>
        <v>27.047010146725178</v>
      </c>
      <c r="V208">
        <f t="shared" si="73"/>
        <v>27.047010146725178</v>
      </c>
      <c r="W208">
        <f t="shared" si="74"/>
        <v>3.5890537492861316</v>
      </c>
      <c r="X208">
        <f t="shared" si="75"/>
        <v>84.372405346936361</v>
      </c>
      <c r="Y208">
        <f t="shared" si="76"/>
        <v>2.7844608439674001</v>
      </c>
      <c r="Z208">
        <f t="shared" si="77"/>
        <v>3.300203227012191</v>
      </c>
      <c r="AA208">
        <f t="shared" si="78"/>
        <v>0.80459290531873151</v>
      </c>
      <c r="AB208">
        <f t="shared" si="79"/>
        <v>-91.544676149823445</v>
      </c>
      <c r="AC208">
        <f t="shared" si="80"/>
        <v>-168.2565611305703</v>
      </c>
      <c r="AD208">
        <f t="shared" si="81"/>
        <v>-16.429601385460675</v>
      </c>
      <c r="AE208">
        <f t="shared" si="82"/>
        <v>-0.11684746185434847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52684.618695299825</v>
      </c>
      <c r="AK208">
        <f t="shared" si="86"/>
        <v>1800</v>
      </c>
      <c r="AL208">
        <f t="shared" si="87"/>
        <v>1499.1107814</v>
      </c>
      <c r="AM208">
        <f t="shared" si="88"/>
        <v>0.83283932299999996</v>
      </c>
      <c r="AN208">
        <f t="shared" si="89"/>
        <v>0.15339666178000003</v>
      </c>
      <c r="AO208">
        <v>31.2</v>
      </c>
      <c r="AP208">
        <v>0.5</v>
      </c>
      <c r="AQ208" t="s">
        <v>331</v>
      </c>
      <c r="AR208">
        <v>2</v>
      </c>
      <c r="AS208">
        <v>1690205685.5999999</v>
      </c>
      <c r="AT208">
        <v>342.84199999999998</v>
      </c>
      <c r="AU208">
        <v>799.98699999999997</v>
      </c>
      <c r="AV208">
        <v>28.078700000000001</v>
      </c>
      <c r="AW208">
        <v>7.1128900000000002</v>
      </c>
      <c r="AX208">
        <v>343.51400000000001</v>
      </c>
      <c r="AY208">
        <v>27.910900000000002</v>
      </c>
      <c r="AZ208">
        <v>300.24</v>
      </c>
      <c r="BA208">
        <v>99.066299999999998</v>
      </c>
      <c r="BB208">
        <v>0.10000199999999999</v>
      </c>
      <c r="BC208">
        <v>25.625499999999999</v>
      </c>
      <c r="BD208">
        <v>27.0276</v>
      </c>
      <c r="BE208">
        <v>26.8111</v>
      </c>
      <c r="BF208">
        <v>0</v>
      </c>
      <c r="BG208">
        <v>0</v>
      </c>
      <c r="BH208">
        <v>10011.9</v>
      </c>
      <c r="BI208">
        <v>1064.96</v>
      </c>
      <c r="BJ208">
        <v>1.6399300000000001</v>
      </c>
      <c r="BK208">
        <v>-457.14600000000002</v>
      </c>
      <c r="BL208">
        <v>352.74599999999998</v>
      </c>
      <c r="BM208">
        <v>805.71799999999996</v>
      </c>
      <c r="BN208">
        <v>20.965800000000002</v>
      </c>
      <c r="BO208">
        <v>799.98699999999997</v>
      </c>
      <c r="BP208">
        <v>7.1128900000000002</v>
      </c>
      <c r="BQ208">
        <v>2.78165</v>
      </c>
      <c r="BR208">
        <v>0.70464800000000005</v>
      </c>
      <c r="BS208">
        <v>22.775600000000001</v>
      </c>
      <c r="BT208">
        <v>1.91893</v>
      </c>
      <c r="BU208">
        <v>1800</v>
      </c>
      <c r="BV208">
        <v>0.91000800000000004</v>
      </c>
      <c r="BW208">
        <v>3.4000099999999998E-2</v>
      </c>
      <c r="BX208">
        <v>2.1990900000000001E-2</v>
      </c>
      <c r="BY208">
        <v>3.4000599999999999E-2</v>
      </c>
      <c r="BZ208">
        <v>25</v>
      </c>
      <c r="CA208">
        <v>33528.5</v>
      </c>
      <c r="CB208">
        <v>1690203121.0999999</v>
      </c>
      <c r="CC208" t="s">
        <v>332</v>
      </c>
      <c r="CD208">
        <v>1690203121.0999999</v>
      </c>
      <c r="CE208">
        <v>1690203121.0999999</v>
      </c>
      <c r="CF208">
        <v>3</v>
      </c>
      <c r="CG208">
        <v>0.53600000000000003</v>
      </c>
      <c r="CH208">
        <v>-0.01</v>
      </c>
      <c r="CI208">
        <v>-0.996</v>
      </c>
      <c r="CJ208">
        <v>-6.6000000000000003E-2</v>
      </c>
      <c r="CK208">
        <v>800</v>
      </c>
      <c r="CL208">
        <v>9</v>
      </c>
      <c r="CM208">
        <v>0.82</v>
      </c>
      <c r="CN208">
        <v>0.01</v>
      </c>
      <c r="CO208">
        <v>-456.94260000000003</v>
      </c>
      <c r="CP208">
        <v>-1.5272195121959431</v>
      </c>
      <c r="CQ208">
        <v>0.15866596988642451</v>
      </c>
      <c r="CR208">
        <v>-1</v>
      </c>
      <c r="CS208">
        <v>20.977675000000001</v>
      </c>
      <c r="CT208">
        <v>-2.5841651031951209E-2</v>
      </c>
      <c r="CU208">
        <v>3.8789657126611261E-3</v>
      </c>
      <c r="CV208">
        <v>-1</v>
      </c>
      <c r="CW208">
        <v>0</v>
      </c>
      <c r="CX208">
        <v>0</v>
      </c>
      <c r="CY208" t="s">
        <v>333</v>
      </c>
      <c r="CZ208">
        <v>2.3653400000000002</v>
      </c>
      <c r="DA208">
        <v>2.7138100000000001</v>
      </c>
      <c r="DB208">
        <v>7.9608399999999996E-2</v>
      </c>
      <c r="DC208">
        <v>0.14627999999999999</v>
      </c>
      <c r="DD208">
        <v>0.12734300000000001</v>
      </c>
      <c r="DE208">
        <v>4.5336399999999999E-2</v>
      </c>
      <c r="DF208">
        <v>33597.5</v>
      </c>
      <c r="DG208">
        <v>27480.9</v>
      </c>
      <c r="DH208">
        <v>31160.799999999999</v>
      </c>
      <c r="DI208">
        <v>28046.799999999999</v>
      </c>
      <c r="DJ208">
        <v>36899</v>
      </c>
      <c r="DK208">
        <v>38056.1</v>
      </c>
      <c r="DL208">
        <v>44340.3</v>
      </c>
      <c r="DM208">
        <v>42486.1</v>
      </c>
      <c r="DN208">
        <v>1.48475</v>
      </c>
      <c r="DO208">
        <v>2.05518</v>
      </c>
      <c r="DP208">
        <v>0.16048599999999999</v>
      </c>
      <c r="DQ208">
        <v>0.14899699999999999</v>
      </c>
      <c r="DR208">
        <v>24.397400000000001</v>
      </c>
      <c r="DS208">
        <v>24.3687</v>
      </c>
      <c r="DT208">
        <v>22.9</v>
      </c>
      <c r="DU208">
        <v>28.1</v>
      </c>
      <c r="DV208">
        <v>8.8236299999999996</v>
      </c>
      <c r="DW208">
        <v>61.332799999999999</v>
      </c>
      <c r="DX208">
        <v>36.394199999999998</v>
      </c>
      <c r="DY208">
        <v>1</v>
      </c>
      <c r="DZ208">
        <v>-0.13834099999999999</v>
      </c>
      <c r="EA208">
        <v>0.71827600000000003</v>
      </c>
      <c r="EB208">
        <v>20.1889</v>
      </c>
      <c r="EC208">
        <v>5.2408000000000001</v>
      </c>
      <c r="ED208">
        <v>12.039899999999999</v>
      </c>
      <c r="EE208">
        <v>5.01715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</v>
      </c>
      <c r="EL208">
        <v>1.8646199999999999</v>
      </c>
      <c r="EM208">
        <v>1.86917</v>
      </c>
      <c r="EN208">
        <v>1.8672200000000001</v>
      </c>
      <c r="EO208">
        <v>1.8633999999999999</v>
      </c>
      <c r="EP208">
        <v>1.8644799999999999</v>
      </c>
      <c r="EQ208">
        <v>1.8701399999999999</v>
      </c>
      <c r="ER208">
        <v>1.86938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-0.67200000000000004</v>
      </c>
      <c r="FG208">
        <v>0.1678</v>
      </c>
      <c r="FH208">
        <v>-0.44422204735670362</v>
      </c>
      <c r="FI208">
        <v>-6.1462078757559423E-4</v>
      </c>
      <c r="FJ208">
        <v>-1.8861989874597051E-7</v>
      </c>
      <c r="FK208">
        <v>1.1980462299894961E-10</v>
      </c>
      <c r="FL208">
        <v>0.16773393518503121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42.7</v>
      </c>
      <c r="FU208">
        <v>42.7</v>
      </c>
      <c r="FV208">
        <v>1.78101</v>
      </c>
      <c r="FW208">
        <v>2.5659200000000002</v>
      </c>
      <c r="FX208">
        <v>1.5490699999999999</v>
      </c>
      <c r="FY208">
        <v>2.33521</v>
      </c>
      <c r="FZ208">
        <v>1.50146</v>
      </c>
      <c r="GA208">
        <v>2.3339799999999999</v>
      </c>
      <c r="GB208">
        <v>32.620399999999997</v>
      </c>
      <c r="GC208">
        <v>23.982399999999998</v>
      </c>
      <c r="GD208">
        <v>19</v>
      </c>
      <c r="GE208">
        <v>283.98700000000002</v>
      </c>
      <c r="GF208">
        <v>592.16499999999996</v>
      </c>
      <c r="GG208">
        <v>23.449400000000001</v>
      </c>
      <c r="GH208">
        <v>25.645199999999999</v>
      </c>
      <c r="GI208">
        <v>30.0001</v>
      </c>
      <c r="GJ208">
        <v>25.782</v>
      </c>
      <c r="GK208">
        <v>25.762699999999999</v>
      </c>
      <c r="GL208">
        <v>35.6023</v>
      </c>
      <c r="GM208">
        <v>-30</v>
      </c>
      <c r="GN208">
        <v>-30</v>
      </c>
      <c r="GO208">
        <v>23.412400000000002</v>
      </c>
      <c r="GP208">
        <v>800</v>
      </c>
      <c r="GQ208">
        <v>12.5298</v>
      </c>
      <c r="GR208">
        <v>99.695400000000006</v>
      </c>
      <c r="GS208">
        <v>99.4114</v>
      </c>
    </row>
    <row r="209" spans="1:201" x14ac:dyDescent="0.25">
      <c r="A209">
        <v>193</v>
      </c>
      <c r="B209">
        <v>1690205695.5999999</v>
      </c>
      <c r="C209">
        <v>2256</v>
      </c>
      <c r="D209" t="s">
        <v>719</v>
      </c>
      <c r="E209" t="s">
        <v>720</v>
      </c>
      <c r="F209" t="s">
        <v>330</v>
      </c>
      <c r="H209">
        <v>1690205695.5999999</v>
      </c>
      <c r="I209">
        <f t="shared" ref="I209:I272" si="90">(J209)/1000</f>
        <v>2.0738688118366469E-3</v>
      </c>
      <c r="J209">
        <f t="shared" ref="J209:J226" si="91">1000*AZ209*AH209*(AV209-AW209)/(100*AO209*(1000-AH209*AV209))</f>
        <v>2.0738688118366468</v>
      </c>
      <c r="K209">
        <f t="shared" ref="K209:K226" si="92">AZ209*AH209*(AU209-AT209*(1000-AH209*AW209)/(1000-AH209*AV209))/(100*AO209)</f>
        <v>43.31274477583456</v>
      </c>
      <c r="L209">
        <f t="shared" ref="L209:L272" si="93">AT209 - IF(AH209&gt;1, K209*AO209*100/(AJ209*BH209), 0)</f>
        <v>342.58300000000003</v>
      </c>
      <c r="M209">
        <f t="shared" ref="M209:M272" si="94">((S209-I209/2)*L209-K209)/(S209+I209/2)</f>
        <v>63.058814518646329</v>
      </c>
      <c r="N209">
        <f t="shared" ref="N209:N272" si="95">M209*(BA209+BB209)/1000</f>
        <v>6.2535636343993914</v>
      </c>
      <c r="O209">
        <f t="shared" ref="O209:O226" si="96">(AT209 - IF(AH209&gt;1, K209*AO209*100/(AJ209*BH209), 0))*(BA209+BB209)/1000</f>
        <v>33.974070190139003</v>
      </c>
      <c r="P209">
        <f t="shared" ref="P209:P272" si="97">2/((1/R209-1/Q209)+SIGN(R209)*SQRT((1/R209-1/Q209)*(1/R209-1/Q209) + 4*AP209/((AP209+1)*(AP209+1))*(2*1/R209*1/Q209-1/Q209*1/Q209)))</f>
        <v>0.26463855406525616</v>
      </c>
      <c r="Q209">
        <f t="shared" ref="Q209:Q226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2.1927982486359356</v>
      </c>
      <c r="R209">
        <f t="shared" ref="R209:R226" si="99">I209*(1000-(1000*0.61365*EXP(17.502*V209/(240.97+V209))/(BA209+BB209)+AV209)/2)/(1000*0.61365*EXP(17.502*V209/(240.97+V209))/(BA209+BB209)-AV209)</f>
        <v>0.24808947791419181</v>
      </c>
      <c r="S209">
        <f t="shared" ref="S209:S226" si="100">1/((AP209+1)/(P209/1.6)+1/(Q209/1.37)) + AP209/((AP209+1)/(P209/1.6) + AP209/(Q209/1.37))</f>
        <v>0.15645647497184251</v>
      </c>
      <c r="T209">
        <f t="shared" ref="T209:T226" si="101">(AK209*AN209)</f>
        <v>276.11417917799997</v>
      </c>
      <c r="U209">
        <f t="shared" ref="U209:U272" si="102">(BC209+(T209+2*0.95*0.0000000567*(((BC209+$B$7)+273)^4-(BC209+273)^4)-44100*I209)/(1.84*29.3*Q209+8*0.95*0.0000000567*(BC209+273)^3))</f>
        <v>27.026717394146829</v>
      </c>
      <c r="V209">
        <f t="shared" ref="V209:V272" si="103">($C$7*BD209+$D$7*BE209+$E$7*U209)</f>
        <v>27.026717394146829</v>
      </c>
      <c r="W209">
        <f t="shared" ref="W209:W272" si="104">0.61365*EXP(17.502*V209/(240.97+V209))</f>
        <v>3.5847798819385925</v>
      </c>
      <c r="X209">
        <f t="shared" ref="X209:X272" si="105">(Y209/Z209*100)</f>
        <v>84.422876724275497</v>
      </c>
      <c r="Y209">
        <f t="shared" ref="Y209:Y226" si="106">AV209*(BA209+BB209)/1000</f>
        <v>2.7823922818810995</v>
      </c>
      <c r="Z209">
        <f t="shared" ref="Z209:Z226" si="107">0.61365*EXP(17.502*BC209/(240.97+BC209))</f>
        <v>3.2957799945249113</v>
      </c>
      <c r="AA209">
        <f t="shared" ref="AA209:AA226" si="108">(W209-AV209*(BA209+BB209)/1000)</f>
        <v>0.80238760005749299</v>
      </c>
      <c r="AB209">
        <f t="shared" ref="AB209:AB226" si="109">(-I209*44100)</f>
        <v>-91.457614601996127</v>
      </c>
      <c r="AC209">
        <f t="shared" ref="AC209:AC226" si="110">2*29.3*Q209*0.92*(BC209-V209)</f>
        <v>-168.32104286881025</v>
      </c>
      <c r="AD209">
        <f t="shared" ref="AD209:AD226" si="111">2*0.95*0.0000000567*(((BC209+$B$7)+273)^4-(V209+273)^4)</f>
        <v>-16.452731674753711</v>
      </c>
      <c r="AE209">
        <f t="shared" ref="AE209:AE272" si="112">T209+AD209+AB209+AC209</f>
        <v>-0.11720996756008617</v>
      </c>
      <c r="AF209">
        <v>0</v>
      </c>
      <c r="AG209">
        <v>0</v>
      </c>
      <c r="AH209">
        <f t="shared" ref="AH209:AH226" si="113">IF(AF209*$H$13&gt;=AJ209,1,(AJ209/(AJ209-AF209*$H$13)))</f>
        <v>1</v>
      </c>
      <c r="AI209">
        <f t="shared" ref="AI209:AI272" si="114">(AH209-1)*100</f>
        <v>0</v>
      </c>
      <c r="AJ209">
        <f t="shared" ref="AJ209:AJ226" si="115">MAX(0,($B$13+$C$13*BH209)/(1+$D$13*BH209)*BA209/(BC209+273)*$E$13)</f>
        <v>52577.055834412196</v>
      </c>
      <c r="AK209">
        <f t="shared" ref="AK209:AK226" si="116">$B$11*BI209+$C$11*BJ209+$D$11*BU209</f>
        <v>1800</v>
      </c>
      <c r="AL209">
        <f t="shared" ref="AL209:AL272" si="117">AK209*AM209</f>
        <v>1499.1105978000001</v>
      </c>
      <c r="AM209">
        <f t="shared" ref="AM209:AM226" si="118">($B$11*$D$9+$C$11*$D$9+$D$11*(BV209*$E$9+BW209*$F$9+BX209*$G$9+BY209*$H$9))/($B$11+$C$11+$D$11)</f>
        <v>0.83283922100000007</v>
      </c>
      <c r="AN209">
        <f t="shared" ref="AN209:AN226" si="119">($B$11*$K$9+$C$11*$K$9+$D$11*(BV209*$L$9+BW209*$M$9+BX209*$N$9+BY209*$O$9))/($B$11+$C$11+$D$11)</f>
        <v>0.15339676620999998</v>
      </c>
      <c r="AO209">
        <v>31.2</v>
      </c>
      <c r="AP209">
        <v>0.5</v>
      </c>
      <c r="AQ209" t="s">
        <v>331</v>
      </c>
      <c r="AR209">
        <v>2</v>
      </c>
      <c r="AS209">
        <v>1690205695.5999999</v>
      </c>
      <c r="AT209">
        <v>342.58300000000003</v>
      </c>
      <c r="AU209">
        <v>800.09199999999998</v>
      </c>
      <c r="AV209">
        <v>28.056699999999999</v>
      </c>
      <c r="AW209">
        <v>7.1088199999999997</v>
      </c>
      <c r="AX209">
        <v>343.255</v>
      </c>
      <c r="AY209">
        <v>27.888999999999999</v>
      </c>
      <c r="AZ209">
        <v>300.21800000000002</v>
      </c>
      <c r="BA209">
        <v>99.070300000000003</v>
      </c>
      <c r="BB209">
        <v>0.100033</v>
      </c>
      <c r="BC209">
        <v>25.602900000000002</v>
      </c>
      <c r="BD209">
        <v>26.999199999999998</v>
      </c>
      <c r="BE209">
        <v>26.779800000000002</v>
      </c>
      <c r="BF209">
        <v>0</v>
      </c>
      <c r="BG209">
        <v>0</v>
      </c>
      <c r="BH209">
        <v>9989.3799999999992</v>
      </c>
      <c r="BI209">
        <v>1064.8399999999999</v>
      </c>
      <c r="BJ209">
        <v>1.66797</v>
      </c>
      <c r="BK209">
        <v>-457.51</v>
      </c>
      <c r="BL209">
        <v>352.47199999999998</v>
      </c>
      <c r="BM209">
        <v>805.82100000000003</v>
      </c>
      <c r="BN209">
        <v>20.947900000000001</v>
      </c>
      <c r="BO209">
        <v>800.09199999999998</v>
      </c>
      <c r="BP209">
        <v>7.1088199999999997</v>
      </c>
      <c r="BQ209">
        <v>2.7795899999999998</v>
      </c>
      <c r="BR209">
        <v>0.70427300000000004</v>
      </c>
      <c r="BS209">
        <v>22.763400000000001</v>
      </c>
      <c r="BT209">
        <v>1.9114899999999999</v>
      </c>
      <c r="BU209">
        <v>1800</v>
      </c>
      <c r="BV209">
        <v>0.91000499999999995</v>
      </c>
      <c r="BW209">
        <v>3.4004E-2</v>
      </c>
      <c r="BX209">
        <v>2.1990800000000001E-2</v>
      </c>
      <c r="BY209">
        <v>3.4000299999999997E-2</v>
      </c>
      <c r="BZ209">
        <v>25</v>
      </c>
      <c r="CA209">
        <v>33528.5</v>
      </c>
      <c r="CB209">
        <v>1690203121.0999999</v>
      </c>
      <c r="CC209" t="s">
        <v>332</v>
      </c>
      <c r="CD209">
        <v>1690203121.0999999</v>
      </c>
      <c r="CE209">
        <v>1690203121.0999999</v>
      </c>
      <c r="CF209">
        <v>3</v>
      </c>
      <c r="CG209">
        <v>0.53600000000000003</v>
      </c>
      <c r="CH209">
        <v>-0.01</v>
      </c>
      <c r="CI209">
        <v>-0.996</v>
      </c>
      <c r="CJ209">
        <v>-6.6000000000000003E-2</v>
      </c>
      <c r="CK209">
        <v>800</v>
      </c>
      <c r="CL209">
        <v>9</v>
      </c>
      <c r="CM209">
        <v>0.82</v>
      </c>
      <c r="CN209">
        <v>0.01</v>
      </c>
      <c r="CO209">
        <v>-457.18360000000001</v>
      </c>
      <c r="CP209">
        <v>-1.7026941838650811</v>
      </c>
      <c r="CQ209">
        <v>0.16876015524998761</v>
      </c>
      <c r="CR209">
        <v>-1</v>
      </c>
      <c r="CS209">
        <v>20.96846</v>
      </c>
      <c r="CT209">
        <v>-0.1004195121951192</v>
      </c>
      <c r="CU209">
        <v>9.7171960976404122E-3</v>
      </c>
      <c r="CV209">
        <v>-1</v>
      </c>
      <c r="CW209">
        <v>0</v>
      </c>
      <c r="CX209">
        <v>0</v>
      </c>
      <c r="CY209" t="s">
        <v>333</v>
      </c>
      <c r="CZ209">
        <v>2.3652600000000001</v>
      </c>
      <c r="DA209">
        <v>2.7138200000000001</v>
      </c>
      <c r="DB209">
        <v>7.9564300000000004E-2</v>
      </c>
      <c r="DC209">
        <v>0.14629800000000001</v>
      </c>
      <c r="DD209">
        <v>0.12728</v>
      </c>
      <c r="DE209">
        <v>4.5317400000000001E-2</v>
      </c>
      <c r="DF209">
        <v>33598.6</v>
      </c>
      <c r="DG209">
        <v>27480.2</v>
      </c>
      <c r="DH209">
        <v>31160.400000000001</v>
      </c>
      <c r="DI209">
        <v>28046.7</v>
      </c>
      <c r="DJ209">
        <v>36901.199999999997</v>
      </c>
      <c r="DK209">
        <v>38056.6</v>
      </c>
      <c r="DL209">
        <v>44339.7</v>
      </c>
      <c r="DM209">
        <v>42485.8</v>
      </c>
      <c r="DN209">
        <v>1.4850699999999999</v>
      </c>
      <c r="DO209">
        <v>2.0553300000000001</v>
      </c>
      <c r="DP209">
        <v>0.15862699999999999</v>
      </c>
      <c r="DQ209">
        <v>0.14696300000000001</v>
      </c>
      <c r="DR209">
        <v>24.3995</v>
      </c>
      <c r="DS209">
        <v>24.370799999999999</v>
      </c>
      <c r="DT209">
        <v>22.9</v>
      </c>
      <c r="DU209">
        <v>28.1</v>
      </c>
      <c r="DV209">
        <v>8.8216900000000003</v>
      </c>
      <c r="DW209">
        <v>61.472799999999999</v>
      </c>
      <c r="DX209">
        <v>36.374200000000002</v>
      </c>
      <c r="DY209">
        <v>1</v>
      </c>
      <c r="DZ209">
        <v>-0.13785800000000001</v>
      </c>
      <c r="EA209">
        <v>0.55315599999999998</v>
      </c>
      <c r="EB209">
        <v>20.189499999999999</v>
      </c>
      <c r="EC209">
        <v>5.2413999999999996</v>
      </c>
      <c r="ED209">
        <v>12.039899999999999</v>
      </c>
      <c r="EE209">
        <v>5.0171999999999999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</v>
      </c>
      <c r="EL209">
        <v>1.8646199999999999</v>
      </c>
      <c r="EM209">
        <v>1.8691599999999999</v>
      </c>
      <c r="EN209">
        <v>1.8672200000000001</v>
      </c>
      <c r="EO209">
        <v>1.8633999999999999</v>
      </c>
      <c r="EP209">
        <v>1.86449</v>
      </c>
      <c r="EQ209">
        <v>1.8701399999999999</v>
      </c>
      <c r="ER209">
        <v>1.8693900000000001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-0.67200000000000004</v>
      </c>
      <c r="FG209">
        <v>0.16769999999999999</v>
      </c>
      <c r="FH209">
        <v>-0.44422204735670362</v>
      </c>
      <c r="FI209">
        <v>-6.1462078757559423E-4</v>
      </c>
      <c r="FJ209">
        <v>-1.8861989874597051E-7</v>
      </c>
      <c r="FK209">
        <v>1.1980462299894961E-10</v>
      </c>
      <c r="FL209">
        <v>0.16773393518503121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42.9</v>
      </c>
      <c r="FU209">
        <v>42.9</v>
      </c>
      <c r="FV209">
        <v>1.78101</v>
      </c>
      <c r="FW209">
        <v>2.5659200000000002</v>
      </c>
      <c r="FX209">
        <v>1.5490699999999999</v>
      </c>
      <c r="FY209">
        <v>2.3339799999999999</v>
      </c>
      <c r="FZ209">
        <v>1.50146</v>
      </c>
      <c r="GA209">
        <v>2.32056</v>
      </c>
      <c r="GB209">
        <v>32.620399999999997</v>
      </c>
      <c r="GC209">
        <v>23.982399999999998</v>
      </c>
      <c r="GD209">
        <v>19</v>
      </c>
      <c r="GE209">
        <v>284.11599999999999</v>
      </c>
      <c r="GF209">
        <v>592.29</v>
      </c>
      <c r="GG209">
        <v>23.360900000000001</v>
      </c>
      <c r="GH209">
        <v>25.645199999999999</v>
      </c>
      <c r="GI209">
        <v>30.000399999999999</v>
      </c>
      <c r="GJ209">
        <v>25.779800000000002</v>
      </c>
      <c r="GK209">
        <v>25.762699999999999</v>
      </c>
      <c r="GL209">
        <v>35.601399999999998</v>
      </c>
      <c r="GM209">
        <v>-30</v>
      </c>
      <c r="GN209">
        <v>-30</v>
      </c>
      <c r="GO209">
        <v>23.370999999999999</v>
      </c>
      <c r="GP209">
        <v>800</v>
      </c>
      <c r="GQ209">
        <v>12.5298</v>
      </c>
      <c r="GR209">
        <v>99.694100000000006</v>
      </c>
      <c r="GS209">
        <v>99.410799999999995</v>
      </c>
    </row>
    <row r="210" spans="1:201" x14ac:dyDescent="0.25">
      <c r="A210">
        <v>194</v>
      </c>
      <c r="B210">
        <v>1690205705.5999999</v>
      </c>
      <c r="C210">
        <v>2266</v>
      </c>
      <c r="D210" t="s">
        <v>721</v>
      </c>
      <c r="E210" t="s">
        <v>722</v>
      </c>
      <c r="F210" t="s">
        <v>330</v>
      </c>
      <c r="H210">
        <v>1690205705.5999999</v>
      </c>
      <c r="I210">
        <f t="shared" si="90"/>
        <v>2.0723897681237703E-3</v>
      </c>
      <c r="J210">
        <f t="shared" si="91"/>
        <v>2.0723897681237702</v>
      </c>
      <c r="K210">
        <f t="shared" si="92"/>
        <v>43.34662457919309</v>
      </c>
      <c r="L210">
        <f t="shared" si="93"/>
        <v>342.245</v>
      </c>
      <c r="M210">
        <f t="shared" si="94"/>
        <v>62.349091068125126</v>
      </c>
      <c r="N210">
        <f t="shared" si="95"/>
        <v>6.1828247336542059</v>
      </c>
      <c r="O210">
        <f t="shared" si="96"/>
        <v>33.938599821084999</v>
      </c>
      <c r="P210">
        <f t="shared" si="97"/>
        <v>0.26448093462319772</v>
      </c>
      <c r="Q210">
        <f t="shared" si="98"/>
        <v>2.1918810325055276</v>
      </c>
      <c r="R210">
        <f t="shared" si="99"/>
        <v>0.24794445226364703</v>
      </c>
      <c r="S210">
        <f t="shared" si="100"/>
        <v>0.15636478244178956</v>
      </c>
      <c r="T210">
        <f t="shared" si="101"/>
        <v>276.11411979600001</v>
      </c>
      <c r="U210">
        <f t="shared" si="102"/>
        <v>27.016277711921759</v>
      </c>
      <c r="V210">
        <f t="shared" si="103"/>
        <v>27.016277711921759</v>
      </c>
      <c r="W210">
        <f t="shared" si="104"/>
        <v>3.5825829060847032</v>
      </c>
      <c r="X210">
        <f t="shared" si="105"/>
        <v>84.41785454915933</v>
      </c>
      <c r="Y210">
        <f t="shared" si="106"/>
        <v>2.7803283977374997</v>
      </c>
      <c r="Z210">
        <f t="shared" si="107"/>
        <v>3.2935312234432845</v>
      </c>
      <c r="AA210">
        <f t="shared" si="108"/>
        <v>0.80225450834720347</v>
      </c>
      <c r="AB210">
        <f t="shared" si="109"/>
        <v>-91.392388774258265</v>
      </c>
      <c r="AC210">
        <f t="shared" si="110"/>
        <v>-168.37593294778839</v>
      </c>
      <c r="AD210">
        <f t="shared" si="111"/>
        <v>-16.463173929790269</v>
      </c>
      <c r="AE210">
        <f t="shared" si="112"/>
        <v>-0.11737585583693999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52541.312160038498</v>
      </c>
      <c r="AK210">
        <f t="shared" si="116"/>
        <v>1800</v>
      </c>
      <c r="AL210">
        <f t="shared" si="117"/>
        <v>1499.1105096000001</v>
      </c>
      <c r="AM210">
        <f t="shared" si="118"/>
        <v>0.83283917200000002</v>
      </c>
      <c r="AN210">
        <f t="shared" si="119"/>
        <v>0.15339673322</v>
      </c>
      <c r="AO210">
        <v>31.2</v>
      </c>
      <c r="AP210">
        <v>0.5</v>
      </c>
      <c r="AQ210" t="s">
        <v>331</v>
      </c>
      <c r="AR210">
        <v>2</v>
      </c>
      <c r="AS210">
        <v>1690205705.5999999</v>
      </c>
      <c r="AT210">
        <v>342.245</v>
      </c>
      <c r="AU210">
        <v>800.06</v>
      </c>
      <c r="AV210">
        <v>28.037500000000001</v>
      </c>
      <c r="AW210">
        <v>7.1056800000000004</v>
      </c>
      <c r="AX210">
        <v>342.91800000000001</v>
      </c>
      <c r="AY210">
        <v>27.869700000000002</v>
      </c>
      <c r="AZ210">
        <v>300.24</v>
      </c>
      <c r="BA210">
        <v>99.064599999999999</v>
      </c>
      <c r="BB210">
        <v>0.100033</v>
      </c>
      <c r="BC210">
        <v>25.5914</v>
      </c>
      <c r="BD210">
        <v>27.04</v>
      </c>
      <c r="BE210">
        <v>26.758900000000001</v>
      </c>
      <c r="BF210">
        <v>0</v>
      </c>
      <c r="BG210">
        <v>0</v>
      </c>
      <c r="BH210">
        <v>9982.5</v>
      </c>
      <c r="BI210">
        <v>1064.74</v>
      </c>
      <c r="BJ210">
        <v>1.5684499999999999</v>
      </c>
      <c r="BK210">
        <v>-457.815</v>
      </c>
      <c r="BL210">
        <v>352.11799999999999</v>
      </c>
      <c r="BM210">
        <v>805.78599999999994</v>
      </c>
      <c r="BN210">
        <v>20.931799999999999</v>
      </c>
      <c r="BO210">
        <v>800.06</v>
      </c>
      <c r="BP210">
        <v>7.1056800000000004</v>
      </c>
      <c r="BQ210">
        <v>2.77752</v>
      </c>
      <c r="BR210">
        <v>0.70392200000000005</v>
      </c>
      <c r="BS210">
        <v>22.751100000000001</v>
      </c>
      <c r="BT210">
        <v>1.9045099999999999</v>
      </c>
      <c r="BU210">
        <v>1800</v>
      </c>
      <c r="BV210">
        <v>0.91000499999999995</v>
      </c>
      <c r="BW210">
        <v>3.4002999999999999E-2</v>
      </c>
      <c r="BX210">
        <v>2.1990599999999999E-2</v>
      </c>
      <c r="BY210">
        <v>3.4001400000000001E-2</v>
      </c>
      <c r="BZ210">
        <v>25</v>
      </c>
      <c r="CA210">
        <v>33528.5</v>
      </c>
      <c r="CB210">
        <v>1690203121.0999999</v>
      </c>
      <c r="CC210" t="s">
        <v>332</v>
      </c>
      <c r="CD210">
        <v>1690203121.0999999</v>
      </c>
      <c r="CE210">
        <v>1690203121.0999999</v>
      </c>
      <c r="CF210">
        <v>3</v>
      </c>
      <c r="CG210">
        <v>0.53600000000000003</v>
      </c>
      <c r="CH210">
        <v>-0.01</v>
      </c>
      <c r="CI210">
        <v>-0.996</v>
      </c>
      <c r="CJ210">
        <v>-6.6000000000000003E-2</v>
      </c>
      <c r="CK210">
        <v>800</v>
      </c>
      <c r="CL210">
        <v>9</v>
      </c>
      <c r="CM210">
        <v>0.82</v>
      </c>
      <c r="CN210">
        <v>0.01</v>
      </c>
      <c r="CO210">
        <v>-457.44164999999998</v>
      </c>
      <c r="CP210">
        <v>-1.6436172607870749</v>
      </c>
      <c r="CQ210">
        <v>0.16691877515725939</v>
      </c>
      <c r="CR210">
        <v>-1</v>
      </c>
      <c r="CS210">
        <v>20.950959999999998</v>
      </c>
      <c r="CT210">
        <v>-0.1036908067542776</v>
      </c>
      <c r="CU210">
        <v>9.9885384316225571E-3</v>
      </c>
      <c r="CV210">
        <v>-1</v>
      </c>
      <c r="CW210">
        <v>0</v>
      </c>
      <c r="CX210">
        <v>0</v>
      </c>
      <c r="CY210" t="s">
        <v>333</v>
      </c>
      <c r="CZ210">
        <v>2.3653300000000002</v>
      </c>
      <c r="DA210">
        <v>2.7138100000000001</v>
      </c>
      <c r="DB210">
        <v>7.9497899999999996E-2</v>
      </c>
      <c r="DC210">
        <v>0.146287</v>
      </c>
      <c r="DD210">
        <v>0.12721199999999999</v>
      </c>
      <c r="DE210">
        <v>4.5299100000000002E-2</v>
      </c>
      <c r="DF210">
        <v>33601.699999999997</v>
      </c>
      <c r="DG210">
        <v>27480.799999999999</v>
      </c>
      <c r="DH210">
        <v>31161</v>
      </c>
      <c r="DI210">
        <v>28046.9</v>
      </c>
      <c r="DJ210">
        <v>36904.800000000003</v>
      </c>
      <c r="DK210">
        <v>38057.699999999997</v>
      </c>
      <c r="DL210">
        <v>44340.6</v>
      </c>
      <c r="DM210">
        <v>42486.2</v>
      </c>
      <c r="DN210">
        <v>1.4854499999999999</v>
      </c>
      <c r="DO210">
        <v>2.0548999999999999</v>
      </c>
      <c r="DP210">
        <v>0.16112299999999999</v>
      </c>
      <c r="DQ210">
        <v>0.14568500000000001</v>
      </c>
      <c r="DR210">
        <v>24.3995</v>
      </c>
      <c r="DS210">
        <v>24.370799999999999</v>
      </c>
      <c r="DT210">
        <v>22.9</v>
      </c>
      <c r="DU210">
        <v>28.1</v>
      </c>
      <c r="DV210">
        <v>8.8221100000000003</v>
      </c>
      <c r="DW210">
        <v>61.552799999999998</v>
      </c>
      <c r="DX210">
        <v>36.510399999999997</v>
      </c>
      <c r="DY210">
        <v>1</v>
      </c>
      <c r="DZ210">
        <v>-0.13783500000000001</v>
      </c>
      <c r="EA210">
        <v>0.428004</v>
      </c>
      <c r="EB210">
        <v>20.1904</v>
      </c>
      <c r="EC210">
        <v>5.2408000000000001</v>
      </c>
      <c r="ED210">
        <v>12.039899999999999</v>
      </c>
      <c r="EE210">
        <v>5.0172999999999996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</v>
      </c>
      <c r="EL210">
        <v>1.8646199999999999</v>
      </c>
      <c r="EM210">
        <v>1.8691899999999999</v>
      </c>
      <c r="EN210">
        <v>1.8672200000000001</v>
      </c>
      <c r="EO210">
        <v>1.8633999999999999</v>
      </c>
      <c r="EP210">
        <v>1.86449</v>
      </c>
      <c r="EQ210">
        <v>1.8701300000000001</v>
      </c>
      <c r="ER210">
        <v>1.86938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-0.67300000000000004</v>
      </c>
      <c r="FG210">
        <v>0.1678</v>
      </c>
      <c r="FH210">
        <v>-0.44422204735670362</v>
      </c>
      <c r="FI210">
        <v>-6.1462078757559423E-4</v>
      </c>
      <c r="FJ210">
        <v>-1.8861989874597051E-7</v>
      </c>
      <c r="FK210">
        <v>1.1980462299894961E-10</v>
      </c>
      <c r="FL210">
        <v>0.16773393518503121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43.1</v>
      </c>
      <c r="FU210">
        <v>43.1</v>
      </c>
      <c r="FV210">
        <v>1.78101</v>
      </c>
      <c r="FW210">
        <v>2.5634800000000002</v>
      </c>
      <c r="FX210">
        <v>1.5490699999999999</v>
      </c>
      <c r="FY210">
        <v>2.3339799999999999</v>
      </c>
      <c r="FZ210">
        <v>1.50146</v>
      </c>
      <c r="GA210">
        <v>2.34253</v>
      </c>
      <c r="GB210">
        <v>32.620399999999997</v>
      </c>
      <c r="GC210">
        <v>23.991199999999999</v>
      </c>
      <c r="GD210">
        <v>19</v>
      </c>
      <c r="GE210">
        <v>284.27600000000001</v>
      </c>
      <c r="GF210">
        <v>591.91099999999994</v>
      </c>
      <c r="GG210">
        <v>23.357199999999999</v>
      </c>
      <c r="GH210">
        <v>25.645199999999999</v>
      </c>
      <c r="GI210">
        <v>30.000399999999999</v>
      </c>
      <c r="GJ210">
        <v>25.779800000000002</v>
      </c>
      <c r="GK210">
        <v>25.7606</v>
      </c>
      <c r="GL210">
        <v>35.601599999999998</v>
      </c>
      <c r="GM210">
        <v>-30</v>
      </c>
      <c r="GN210">
        <v>-30</v>
      </c>
      <c r="GO210">
        <v>23.366499999999998</v>
      </c>
      <c r="GP210">
        <v>800</v>
      </c>
      <c r="GQ210">
        <v>12.5298</v>
      </c>
      <c r="GR210">
        <v>99.695999999999998</v>
      </c>
      <c r="GS210">
        <v>99.411600000000007</v>
      </c>
    </row>
    <row r="211" spans="1:201" x14ac:dyDescent="0.25">
      <c r="A211">
        <v>195</v>
      </c>
      <c r="B211">
        <v>1690205715.5999999</v>
      </c>
      <c r="C211">
        <v>2276</v>
      </c>
      <c r="D211" t="s">
        <v>723</v>
      </c>
      <c r="E211" t="s">
        <v>724</v>
      </c>
      <c r="F211" t="s">
        <v>330</v>
      </c>
      <c r="H211">
        <v>1690205715.5999999</v>
      </c>
      <c r="I211">
        <f t="shared" si="90"/>
        <v>2.0712695342134579E-3</v>
      </c>
      <c r="J211">
        <f t="shared" si="91"/>
        <v>2.0712695342134579</v>
      </c>
      <c r="K211">
        <f t="shared" si="92"/>
        <v>43.372842196626031</v>
      </c>
      <c r="L211">
        <f t="shared" si="93"/>
        <v>341.89400000000001</v>
      </c>
      <c r="M211">
        <f t="shared" si="94"/>
        <v>61.72769642595523</v>
      </c>
      <c r="N211">
        <f t="shared" si="95"/>
        <v>6.1214661615213446</v>
      </c>
      <c r="O211">
        <f t="shared" si="96"/>
        <v>33.905243075734802</v>
      </c>
      <c r="P211">
        <f t="shared" si="97"/>
        <v>0.26436757566385616</v>
      </c>
      <c r="Q211">
        <f t="shared" si="98"/>
        <v>2.1923183124498262</v>
      </c>
      <c r="R211">
        <f t="shared" si="99"/>
        <v>0.24784786532657799</v>
      </c>
      <c r="S211">
        <f t="shared" si="100"/>
        <v>0.15630304679602527</v>
      </c>
      <c r="T211">
        <f t="shared" si="101"/>
        <v>276.11420050800001</v>
      </c>
      <c r="U211">
        <f t="shared" si="102"/>
        <v>27.010308001933666</v>
      </c>
      <c r="V211">
        <f t="shared" si="103"/>
        <v>27.010308001933666</v>
      </c>
      <c r="W211">
        <f t="shared" si="104"/>
        <v>3.5813271405019242</v>
      </c>
      <c r="X211">
        <f t="shared" si="105"/>
        <v>84.412578648779885</v>
      </c>
      <c r="Y211">
        <f t="shared" si="106"/>
        <v>2.7791481981304802</v>
      </c>
      <c r="Z211">
        <f t="shared" si="107"/>
        <v>3.2923389412066615</v>
      </c>
      <c r="AA211">
        <f t="shared" si="108"/>
        <v>0.80217894237144405</v>
      </c>
      <c r="AB211">
        <f t="shared" si="109"/>
        <v>-91.342986458813499</v>
      </c>
      <c r="AC211">
        <f t="shared" si="110"/>
        <v>-168.42492319329611</v>
      </c>
      <c r="AD211">
        <f t="shared" si="111"/>
        <v>-16.463683423388172</v>
      </c>
      <c r="AE211">
        <f t="shared" si="112"/>
        <v>-0.1173925674977454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52560.423863366785</v>
      </c>
      <c r="AK211">
        <f t="shared" si="116"/>
        <v>1800</v>
      </c>
      <c r="AL211">
        <f t="shared" si="117"/>
        <v>1499.1076818000001</v>
      </c>
      <c r="AM211">
        <f t="shared" si="118"/>
        <v>0.83283760100000004</v>
      </c>
      <c r="AN211">
        <f t="shared" si="119"/>
        <v>0.15339677806000002</v>
      </c>
      <c r="AO211">
        <v>31.2</v>
      </c>
      <c r="AP211">
        <v>0.5</v>
      </c>
      <c r="AQ211" t="s">
        <v>331</v>
      </c>
      <c r="AR211">
        <v>2</v>
      </c>
      <c r="AS211">
        <v>1690205715.5999999</v>
      </c>
      <c r="AT211">
        <v>341.89400000000001</v>
      </c>
      <c r="AU211">
        <v>800.005</v>
      </c>
      <c r="AV211">
        <v>28.0244</v>
      </c>
      <c r="AW211">
        <v>7.1020099999999999</v>
      </c>
      <c r="AX211">
        <v>342.56599999999997</v>
      </c>
      <c r="AY211">
        <v>27.8567</v>
      </c>
      <c r="AZ211">
        <v>300.21699999999998</v>
      </c>
      <c r="BA211">
        <v>99.068899999999999</v>
      </c>
      <c r="BB211">
        <v>9.9974199999999999E-2</v>
      </c>
      <c r="BC211">
        <v>25.5853</v>
      </c>
      <c r="BD211">
        <v>26.944099999999999</v>
      </c>
      <c r="BE211">
        <v>26.770399999999999</v>
      </c>
      <c r="BF211">
        <v>0</v>
      </c>
      <c r="BG211">
        <v>0</v>
      </c>
      <c r="BH211">
        <v>9985.6200000000008</v>
      </c>
      <c r="BI211">
        <v>1064.69</v>
      </c>
      <c r="BJ211">
        <v>1.6034900000000001</v>
      </c>
      <c r="BK211">
        <v>-458.11099999999999</v>
      </c>
      <c r="BL211">
        <v>351.75200000000001</v>
      </c>
      <c r="BM211">
        <v>805.72799999999995</v>
      </c>
      <c r="BN211">
        <v>20.9224</v>
      </c>
      <c r="BO211">
        <v>800.005</v>
      </c>
      <c r="BP211">
        <v>7.1020099999999999</v>
      </c>
      <c r="BQ211">
        <v>2.7763499999999999</v>
      </c>
      <c r="BR211">
        <v>0.70358799999999999</v>
      </c>
      <c r="BS211">
        <v>22.7441</v>
      </c>
      <c r="BT211">
        <v>1.8978699999999999</v>
      </c>
      <c r="BU211">
        <v>1800</v>
      </c>
      <c r="BV211">
        <v>0.90999300000000005</v>
      </c>
      <c r="BW211">
        <v>3.40091E-2</v>
      </c>
      <c r="BX211">
        <v>2.1990300000000001E-2</v>
      </c>
      <c r="BY211">
        <v>3.40074E-2</v>
      </c>
      <c r="BZ211">
        <v>25</v>
      </c>
      <c r="CA211">
        <v>33528.400000000001</v>
      </c>
      <c r="CB211">
        <v>1690203121.0999999</v>
      </c>
      <c r="CC211" t="s">
        <v>332</v>
      </c>
      <c r="CD211">
        <v>1690203121.0999999</v>
      </c>
      <c r="CE211">
        <v>1690203121.0999999</v>
      </c>
      <c r="CF211">
        <v>3</v>
      </c>
      <c r="CG211">
        <v>0.53600000000000003</v>
      </c>
      <c r="CH211">
        <v>-0.01</v>
      </c>
      <c r="CI211">
        <v>-0.996</v>
      </c>
      <c r="CJ211">
        <v>-6.6000000000000003E-2</v>
      </c>
      <c r="CK211">
        <v>800</v>
      </c>
      <c r="CL211">
        <v>9</v>
      </c>
      <c r="CM211">
        <v>0.82</v>
      </c>
      <c r="CN211">
        <v>0.01</v>
      </c>
      <c r="CO211">
        <v>-457.74790000000002</v>
      </c>
      <c r="CP211">
        <v>-1.908225140712694</v>
      </c>
      <c r="CQ211">
        <v>0.18816532624264051</v>
      </c>
      <c r="CR211">
        <v>-1</v>
      </c>
      <c r="CS211">
        <v>20.933415</v>
      </c>
      <c r="CT211">
        <v>-8.1124953095756278E-2</v>
      </c>
      <c r="CU211">
        <v>7.9561469946199722E-3</v>
      </c>
      <c r="CV211">
        <v>-1</v>
      </c>
      <c r="CW211">
        <v>0</v>
      </c>
      <c r="CX211">
        <v>0</v>
      </c>
      <c r="CY211" t="s">
        <v>333</v>
      </c>
      <c r="CZ211">
        <v>2.3652500000000001</v>
      </c>
      <c r="DA211">
        <v>2.7137500000000001</v>
      </c>
      <c r="DB211">
        <v>7.9436699999999999E-2</v>
      </c>
      <c r="DC211">
        <v>0.146286</v>
      </c>
      <c r="DD211">
        <v>0.12717700000000001</v>
      </c>
      <c r="DE211">
        <v>4.5282200000000002E-2</v>
      </c>
      <c r="DF211">
        <v>33604.400000000001</v>
      </c>
      <c r="DG211">
        <v>27481.1</v>
      </c>
      <c r="DH211">
        <v>31161.5</v>
      </c>
      <c r="DI211">
        <v>28047.200000000001</v>
      </c>
      <c r="DJ211">
        <v>36906.800000000003</v>
      </c>
      <c r="DK211">
        <v>38058.800000000003</v>
      </c>
      <c r="DL211">
        <v>44341.1</v>
      </c>
      <c r="DM211">
        <v>42486.7</v>
      </c>
      <c r="DN211">
        <v>1.4853000000000001</v>
      </c>
      <c r="DO211">
        <v>2.0550000000000002</v>
      </c>
      <c r="DP211">
        <v>0.15512899999999999</v>
      </c>
      <c r="DQ211">
        <v>0.146512</v>
      </c>
      <c r="DR211">
        <v>24.401599999999998</v>
      </c>
      <c r="DS211">
        <v>24.3687</v>
      </c>
      <c r="DT211">
        <v>22.9</v>
      </c>
      <c r="DU211">
        <v>28.1</v>
      </c>
      <c r="DV211">
        <v>8.8232099999999996</v>
      </c>
      <c r="DW211">
        <v>61.9328</v>
      </c>
      <c r="DX211">
        <v>36.578499999999998</v>
      </c>
      <c r="DY211">
        <v>1</v>
      </c>
      <c r="DZ211">
        <v>-0.13847799999999999</v>
      </c>
      <c r="EA211">
        <v>0.22853799999999999</v>
      </c>
      <c r="EB211">
        <v>20.190100000000001</v>
      </c>
      <c r="EC211">
        <v>5.2415500000000002</v>
      </c>
      <c r="ED211">
        <v>12.039899999999999</v>
      </c>
      <c r="EE211">
        <v>5.0171999999999999</v>
      </c>
      <c r="EF211">
        <v>3.2879700000000001</v>
      </c>
      <c r="EG211">
        <v>9999</v>
      </c>
      <c r="EH211">
        <v>9999</v>
      </c>
      <c r="EI211">
        <v>9999</v>
      </c>
      <c r="EJ211">
        <v>999.9</v>
      </c>
      <c r="EK211">
        <v>1.8689</v>
      </c>
      <c r="EL211">
        <v>1.8646199999999999</v>
      </c>
      <c r="EM211">
        <v>1.8691800000000001</v>
      </c>
      <c r="EN211">
        <v>1.8672200000000001</v>
      </c>
      <c r="EO211">
        <v>1.8633999999999999</v>
      </c>
      <c r="EP211">
        <v>1.8645</v>
      </c>
      <c r="EQ211">
        <v>1.8701399999999999</v>
      </c>
      <c r="ER211">
        <v>1.8694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-0.67200000000000004</v>
      </c>
      <c r="FG211">
        <v>0.16769999999999999</v>
      </c>
      <c r="FH211">
        <v>-0.44422204735670362</v>
      </c>
      <c r="FI211">
        <v>-6.1462078757559423E-4</v>
      </c>
      <c r="FJ211">
        <v>-1.8861989874597051E-7</v>
      </c>
      <c r="FK211">
        <v>1.1980462299894961E-10</v>
      </c>
      <c r="FL211">
        <v>0.16773393518503121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43.2</v>
      </c>
      <c r="FU211">
        <v>43.2</v>
      </c>
      <c r="FV211">
        <v>1.78101</v>
      </c>
      <c r="FW211">
        <v>2.5622600000000002</v>
      </c>
      <c r="FX211">
        <v>1.5490699999999999</v>
      </c>
      <c r="FY211">
        <v>2.3339799999999999</v>
      </c>
      <c r="FZ211">
        <v>1.50146</v>
      </c>
      <c r="GA211">
        <v>2.3645</v>
      </c>
      <c r="GB211">
        <v>32.620399999999997</v>
      </c>
      <c r="GC211">
        <v>23.991199999999999</v>
      </c>
      <c r="GD211">
        <v>19</v>
      </c>
      <c r="GE211">
        <v>284.21199999999999</v>
      </c>
      <c r="GF211">
        <v>591.99400000000003</v>
      </c>
      <c r="GG211">
        <v>23.3386</v>
      </c>
      <c r="GH211">
        <v>25.645199999999999</v>
      </c>
      <c r="GI211">
        <v>30</v>
      </c>
      <c r="GJ211">
        <v>25.779800000000002</v>
      </c>
      <c r="GK211">
        <v>25.7606</v>
      </c>
      <c r="GL211">
        <v>35.601900000000001</v>
      </c>
      <c r="GM211">
        <v>-30</v>
      </c>
      <c r="GN211">
        <v>-30</v>
      </c>
      <c r="GO211">
        <v>23.4832</v>
      </c>
      <c r="GP211">
        <v>800</v>
      </c>
      <c r="GQ211">
        <v>12.5298</v>
      </c>
      <c r="GR211">
        <v>99.697299999999998</v>
      </c>
      <c r="GS211">
        <v>99.412700000000001</v>
      </c>
    </row>
    <row r="212" spans="1:201" x14ac:dyDescent="0.25">
      <c r="A212">
        <v>196</v>
      </c>
      <c r="B212">
        <v>1690205725.5999999</v>
      </c>
      <c r="C212">
        <v>2286</v>
      </c>
      <c r="D212" t="s">
        <v>725</v>
      </c>
      <c r="E212" t="s">
        <v>726</v>
      </c>
      <c r="F212" t="s">
        <v>330</v>
      </c>
      <c r="H212">
        <v>1690205725.5999999</v>
      </c>
      <c r="I212">
        <f t="shared" si="90"/>
        <v>2.0720933838200726E-3</v>
      </c>
      <c r="J212">
        <f t="shared" si="91"/>
        <v>2.0720933838200728</v>
      </c>
      <c r="K212">
        <f t="shared" si="92"/>
        <v>43.363994643137758</v>
      </c>
      <c r="L212">
        <f t="shared" si="93"/>
        <v>341.89600000000002</v>
      </c>
      <c r="M212">
        <f t="shared" si="94"/>
        <v>62.206547595988262</v>
      </c>
      <c r="N212">
        <f t="shared" si="95"/>
        <v>6.1687484468016391</v>
      </c>
      <c r="O212">
        <f t="shared" si="96"/>
        <v>33.9043155499552</v>
      </c>
      <c r="P212">
        <f t="shared" si="97"/>
        <v>0.26477659133972181</v>
      </c>
      <c r="Q212">
        <f t="shared" si="98"/>
        <v>2.1945125579695528</v>
      </c>
      <c r="R212">
        <f t="shared" si="99"/>
        <v>0.24822289904192973</v>
      </c>
      <c r="S212">
        <f t="shared" si="100"/>
        <v>0.15654027484569882</v>
      </c>
      <c r="T212">
        <f t="shared" si="101"/>
        <v>276.11438878799999</v>
      </c>
      <c r="U212">
        <f t="shared" si="102"/>
        <v>27.010328587028336</v>
      </c>
      <c r="V212">
        <f t="shared" si="103"/>
        <v>27.010328587028336</v>
      </c>
      <c r="W212">
        <f t="shared" si="104"/>
        <v>3.5813314700442045</v>
      </c>
      <c r="X212">
        <f t="shared" si="105"/>
        <v>84.432780259780785</v>
      </c>
      <c r="Y212">
        <f t="shared" si="106"/>
        <v>2.7800773192676402</v>
      </c>
      <c r="Z212">
        <f t="shared" si="107"/>
        <v>3.2926516344883634</v>
      </c>
      <c r="AA212">
        <f t="shared" si="108"/>
        <v>0.80125415077656426</v>
      </c>
      <c r="AB212">
        <f t="shared" si="109"/>
        <v>-91.379318226465202</v>
      </c>
      <c r="AC212">
        <f t="shared" si="110"/>
        <v>-168.40663471070786</v>
      </c>
      <c r="AD212">
        <f t="shared" si="111"/>
        <v>-16.445569177838525</v>
      </c>
      <c r="AE212">
        <f t="shared" si="112"/>
        <v>-0.11713332701162926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52650.177924441407</v>
      </c>
      <c r="AK212">
        <f t="shared" si="116"/>
        <v>1800</v>
      </c>
      <c r="AL212">
        <f t="shared" si="117"/>
        <v>1499.1077807999998</v>
      </c>
      <c r="AM212">
        <f t="shared" si="118"/>
        <v>0.83283765599999993</v>
      </c>
      <c r="AN212">
        <f t="shared" si="119"/>
        <v>0.15339688265999998</v>
      </c>
      <c r="AO212">
        <v>31.2</v>
      </c>
      <c r="AP212">
        <v>0.5</v>
      </c>
      <c r="AQ212" t="s">
        <v>331</v>
      </c>
      <c r="AR212">
        <v>2</v>
      </c>
      <c r="AS212">
        <v>1690205725.5999999</v>
      </c>
      <c r="AT212">
        <v>341.89600000000002</v>
      </c>
      <c r="AU212">
        <v>800.03399999999999</v>
      </c>
      <c r="AV212">
        <v>28.034700000000001</v>
      </c>
      <c r="AW212">
        <v>7.0989100000000001</v>
      </c>
      <c r="AX212">
        <v>342.56799999999998</v>
      </c>
      <c r="AY212">
        <v>27.867000000000001</v>
      </c>
      <c r="AZ212">
        <v>300.14100000000002</v>
      </c>
      <c r="BA212">
        <v>99.065600000000003</v>
      </c>
      <c r="BB212">
        <v>9.9981200000000006E-2</v>
      </c>
      <c r="BC212">
        <v>25.5869</v>
      </c>
      <c r="BD212">
        <v>26.949400000000001</v>
      </c>
      <c r="BE212">
        <v>26.7562</v>
      </c>
      <c r="BF212">
        <v>0</v>
      </c>
      <c r="BG212">
        <v>0</v>
      </c>
      <c r="BH212">
        <v>10003.799999999999</v>
      </c>
      <c r="BI212">
        <v>1064.6199999999999</v>
      </c>
      <c r="BJ212">
        <v>1.6917899999999999</v>
      </c>
      <c r="BK212">
        <v>-458.13799999999998</v>
      </c>
      <c r="BL212">
        <v>351.75700000000001</v>
      </c>
      <c r="BM212">
        <v>805.75400000000002</v>
      </c>
      <c r="BN212">
        <v>20.9358</v>
      </c>
      <c r="BO212">
        <v>800.03399999999999</v>
      </c>
      <c r="BP212">
        <v>7.0989100000000001</v>
      </c>
      <c r="BQ212">
        <v>2.7772800000000002</v>
      </c>
      <c r="BR212">
        <v>0.70325800000000005</v>
      </c>
      <c r="BS212">
        <v>22.749600000000001</v>
      </c>
      <c r="BT212">
        <v>1.89131</v>
      </c>
      <c r="BU212">
        <v>1800</v>
      </c>
      <c r="BV212">
        <v>0.90998800000000002</v>
      </c>
      <c r="BW212">
        <v>3.4008299999999998E-2</v>
      </c>
      <c r="BX212">
        <v>2.19898E-2</v>
      </c>
      <c r="BY212">
        <v>3.40144E-2</v>
      </c>
      <c r="BZ212">
        <v>25</v>
      </c>
      <c r="CA212">
        <v>33528.400000000001</v>
      </c>
      <c r="CB212">
        <v>1690203121.0999999</v>
      </c>
      <c r="CC212" t="s">
        <v>332</v>
      </c>
      <c r="CD212">
        <v>1690203121.0999999</v>
      </c>
      <c r="CE212">
        <v>1690203121.0999999</v>
      </c>
      <c r="CF212">
        <v>3</v>
      </c>
      <c r="CG212">
        <v>0.53600000000000003</v>
      </c>
      <c r="CH212">
        <v>-0.01</v>
      </c>
      <c r="CI212">
        <v>-0.996</v>
      </c>
      <c r="CJ212">
        <v>-6.6000000000000003E-2</v>
      </c>
      <c r="CK212">
        <v>800</v>
      </c>
      <c r="CL212">
        <v>9</v>
      </c>
      <c r="CM212">
        <v>0.82</v>
      </c>
      <c r="CN212">
        <v>0.01</v>
      </c>
      <c r="CO212">
        <v>-458.05220000000008</v>
      </c>
      <c r="CP212">
        <v>-1.6472420262644361</v>
      </c>
      <c r="CQ212">
        <v>0.1646835146576632</v>
      </c>
      <c r="CR212">
        <v>-1</v>
      </c>
      <c r="CS212">
        <v>20.926494999999999</v>
      </c>
      <c r="CT212">
        <v>7.7921200749505922E-3</v>
      </c>
      <c r="CU212">
        <v>3.7275964105572619E-3</v>
      </c>
      <c r="CV212">
        <v>-1</v>
      </c>
      <c r="CW212">
        <v>0</v>
      </c>
      <c r="CX212">
        <v>0</v>
      </c>
      <c r="CY212" t="s">
        <v>333</v>
      </c>
      <c r="CZ212">
        <v>2.3650099999999998</v>
      </c>
      <c r="DA212">
        <v>2.7137799999999999</v>
      </c>
      <c r="DB212">
        <v>7.9434599999999994E-2</v>
      </c>
      <c r="DC212">
        <v>0.146285</v>
      </c>
      <c r="DD212">
        <v>0.12720500000000001</v>
      </c>
      <c r="DE212">
        <v>4.5264899999999997E-2</v>
      </c>
      <c r="DF212">
        <v>33604.800000000003</v>
      </c>
      <c r="DG212">
        <v>27481.200000000001</v>
      </c>
      <c r="DH212">
        <v>31161.8</v>
      </c>
      <c r="DI212">
        <v>28047.3</v>
      </c>
      <c r="DJ212">
        <v>36906</v>
      </c>
      <c r="DK212">
        <v>38059.599999999999</v>
      </c>
      <c r="DL212">
        <v>44341.7</v>
      </c>
      <c r="DM212">
        <v>42486.8</v>
      </c>
      <c r="DN212">
        <v>1.48577</v>
      </c>
      <c r="DO212">
        <v>2.05498</v>
      </c>
      <c r="DP212">
        <v>0.15545300000000001</v>
      </c>
      <c r="DQ212">
        <v>0.14573</v>
      </c>
      <c r="DR212">
        <v>24.401599999999998</v>
      </c>
      <c r="DS212">
        <v>24.3673</v>
      </c>
      <c r="DT212">
        <v>22.9</v>
      </c>
      <c r="DU212">
        <v>28.1</v>
      </c>
      <c r="DV212">
        <v>8.8224300000000007</v>
      </c>
      <c r="DW212">
        <v>61.532800000000002</v>
      </c>
      <c r="DX212">
        <v>36.847000000000001</v>
      </c>
      <c r="DY212">
        <v>1</v>
      </c>
      <c r="DZ212">
        <v>-0.139624</v>
      </c>
      <c r="EA212">
        <v>4.7028899999999998E-2</v>
      </c>
      <c r="EB212">
        <v>20.191400000000002</v>
      </c>
      <c r="EC212">
        <v>5.2411000000000003</v>
      </c>
      <c r="ED212">
        <v>12.039899999999999</v>
      </c>
      <c r="EE212">
        <v>5.0173500000000004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</v>
      </c>
      <c r="EL212">
        <v>1.8646199999999999</v>
      </c>
      <c r="EM212">
        <v>1.8691500000000001</v>
      </c>
      <c r="EN212">
        <v>1.8672200000000001</v>
      </c>
      <c r="EO212">
        <v>1.8633999999999999</v>
      </c>
      <c r="EP212">
        <v>1.8645099999999999</v>
      </c>
      <c r="EQ212">
        <v>1.87015</v>
      </c>
      <c r="ER212">
        <v>1.86938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-0.67200000000000004</v>
      </c>
      <c r="FG212">
        <v>0.16769999999999999</v>
      </c>
      <c r="FH212">
        <v>-0.44422204735670362</v>
      </c>
      <c r="FI212">
        <v>-6.1462078757559423E-4</v>
      </c>
      <c r="FJ212">
        <v>-1.8861989874597051E-7</v>
      </c>
      <c r="FK212">
        <v>1.1980462299894961E-10</v>
      </c>
      <c r="FL212">
        <v>0.16773393518503121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43.4</v>
      </c>
      <c r="FU212">
        <v>43.4</v>
      </c>
      <c r="FV212">
        <v>1.78101</v>
      </c>
      <c r="FW212">
        <v>2.5622600000000002</v>
      </c>
      <c r="FX212">
        <v>1.5490699999999999</v>
      </c>
      <c r="FY212">
        <v>2.3339799999999999</v>
      </c>
      <c r="FZ212">
        <v>1.50146</v>
      </c>
      <c r="GA212">
        <v>2.3645</v>
      </c>
      <c r="GB212">
        <v>32.620399999999997</v>
      </c>
      <c r="GC212">
        <v>23.991199999999999</v>
      </c>
      <c r="GD212">
        <v>19</v>
      </c>
      <c r="GE212">
        <v>284.41399999999999</v>
      </c>
      <c r="GF212">
        <v>591.97299999999996</v>
      </c>
      <c r="GG212">
        <v>23.525500000000001</v>
      </c>
      <c r="GH212">
        <v>25.645199999999999</v>
      </c>
      <c r="GI212">
        <v>29.9999</v>
      </c>
      <c r="GJ212">
        <v>25.779800000000002</v>
      </c>
      <c r="GK212">
        <v>25.7606</v>
      </c>
      <c r="GL212">
        <v>35.602800000000002</v>
      </c>
      <c r="GM212">
        <v>-30</v>
      </c>
      <c r="GN212">
        <v>-30</v>
      </c>
      <c r="GO212">
        <v>23.5581</v>
      </c>
      <c r="GP212">
        <v>800</v>
      </c>
      <c r="GQ212">
        <v>12.5298</v>
      </c>
      <c r="GR212">
        <v>99.698499999999996</v>
      </c>
      <c r="GS212">
        <v>99.412899999999993</v>
      </c>
    </row>
    <row r="213" spans="1:201" x14ac:dyDescent="0.25">
      <c r="A213">
        <v>197</v>
      </c>
      <c r="B213">
        <v>1690205735.5999999</v>
      </c>
      <c r="C213">
        <v>2296</v>
      </c>
      <c r="D213" t="s">
        <v>727</v>
      </c>
      <c r="E213" t="s">
        <v>728</v>
      </c>
      <c r="F213" t="s">
        <v>330</v>
      </c>
      <c r="H213">
        <v>1690205735.5999999</v>
      </c>
      <c r="I213">
        <f t="shared" si="90"/>
        <v>2.0745158168747804E-3</v>
      </c>
      <c r="J213">
        <f t="shared" si="91"/>
        <v>2.0745158168747801</v>
      </c>
      <c r="K213">
        <f t="shared" si="92"/>
        <v>43.372822901674901</v>
      </c>
      <c r="L213">
        <f t="shared" si="93"/>
        <v>341.66800000000001</v>
      </c>
      <c r="M213">
        <f t="shared" si="94"/>
        <v>61.824783463968657</v>
      </c>
      <c r="N213">
        <f t="shared" si="95"/>
        <v>6.1309671114855728</v>
      </c>
      <c r="O213">
        <f t="shared" si="96"/>
        <v>33.882128714092005</v>
      </c>
      <c r="P213">
        <f t="shared" si="97"/>
        <v>0.26469672167518954</v>
      </c>
      <c r="Q213">
        <f t="shared" si="98"/>
        <v>2.191832006856659</v>
      </c>
      <c r="R213">
        <f t="shared" si="99"/>
        <v>0.24813380526341777</v>
      </c>
      <c r="S213">
        <f t="shared" si="100"/>
        <v>0.15648529746184484</v>
      </c>
      <c r="T213">
        <f t="shared" si="101"/>
        <v>276.11458059599994</v>
      </c>
      <c r="U213">
        <f t="shared" si="102"/>
        <v>27.026573151880633</v>
      </c>
      <c r="V213">
        <f t="shared" si="103"/>
        <v>27.026573151880633</v>
      </c>
      <c r="W213">
        <f t="shared" si="104"/>
        <v>3.5847495189068765</v>
      </c>
      <c r="X213">
        <f t="shared" si="105"/>
        <v>84.422089576275823</v>
      </c>
      <c r="Y213">
        <f t="shared" si="106"/>
        <v>2.7822837739554003</v>
      </c>
      <c r="Z213">
        <f t="shared" si="107"/>
        <v>3.2956821939850136</v>
      </c>
      <c r="AA213">
        <f t="shared" si="108"/>
        <v>0.80246574495147627</v>
      </c>
      <c r="AB213">
        <f t="shared" si="109"/>
        <v>-91.486147524177809</v>
      </c>
      <c r="AC213">
        <f t="shared" si="110"/>
        <v>-168.28891182009815</v>
      </c>
      <c r="AD213">
        <f t="shared" si="111"/>
        <v>-16.456789500183078</v>
      </c>
      <c r="AE213">
        <f t="shared" si="112"/>
        <v>-0.1172682484591121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52537.412156315666</v>
      </c>
      <c r="AK213">
        <f t="shared" si="116"/>
        <v>1800</v>
      </c>
      <c r="AL213">
        <f t="shared" si="117"/>
        <v>1499.1074405999998</v>
      </c>
      <c r="AM213">
        <f t="shared" si="118"/>
        <v>0.83283746699999994</v>
      </c>
      <c r="AN213">
        <f t="shared" si="119"/>
        <v>0.15339698921999997</v>
      </c>
      <c r="AO213">
        <v>31.2</v>
      </c>
      <c r="AP213">
        <v>0.5</v>
      </c>
      <c r="AQ213" t="s">
        <v>331</v>
      </c>
      <c r="AR213">
        <v>2</v>
      </c>
      <c r="AS213">
        <v>1690205735.5999999</v>
      </c>
      <c r="AT213">
        <v>341.66800000000001</v>
      </c>
      <c r="AU213">
        <v>799.93200000000002</v>
      </c>
      <c r="AV213">
        <v>28.0566</v>
      </c>
      <c r="AW213">
        <v>7.0954100000000002</v>
      </c>
      <c r="AX213">
        <v>342.34</v>
      </c>
      <c r="AY213">
        <v>27.8889</v>
      </c>
      <c r="AZ213">
        <v>300.12099999999998</v>
      </c>
      <c r="BA213">
        <v>99.066800000000001</v>
      </c>
      <c r="BB213">
        <v>0.100019</v>
      </c>
      <c r="BC213">
        <v>25.602399999999999</v>
      </c>
      <c r="BD213">
        <v>26.966899999999999</v>
      </c>
      <c r="BE213">
        <v>26.767900000000001</v>
      </c>
      <c r="BF213">
        <v>0</v>
      </c>
      <c r="BG213">
        <v>0</v>
      </c>
      <c r="BH213">
        <v>9981.8799999999992</v>
      </c>
      <c r="BI213">
        <v>1064.54</v>
      </c>
      <c r="BJ213">
        <v>1.7380500000000001</v>
      </c>
      <c r="BK213">
        <v>-458.26400000000001</v>
      </c>
      <c r="BL213">
        <v>351.53100000000001</v>
      </c>
      <c r="BM213">
        <v>805.64800000000002</v>
      </c>
      <c r="BN213">
        <v>20.961200000000002</v>
      </c>
      <c r="BO213">
        <v>799.93200000000002</v>
      </c>
      <c r="BP213">
        <v>7.0954100000000002</v>
      </c>
      <c r="BQ213">
        <v>2.77948</v>
      </c>
      <c r="BR213">
        <v>0.70291899999999996</v>
      </c>
      <c r="BS213">
        <v>22.762699999999999</v>
      </c>
      <c r="BT213">
        <v>1.8845700000000001</v>
      </c>
      <c r="BU213">
        <v>1800</v>
      </c>
      <c r="BV213">
        <v>0.90998599999999996</v>
      </c>
      <c r="BW213">
        <v>3.4007999999999997E-2</v>
      </c>
      <c r="BX213">
        <v>2.1992100000000001E-2</v>
      </c>
      <c r="BY213">
        <v>3.4014000000000003E-2</v>
      </c>
      <c r="BZ213">
        <v>25</v>
      </c>
      <c r="CA213">
        <v>33528.400000000001</v>
      </c>
      <c r="CB213">
        <v>1690203121.0999999</v>
      </c>
      <c r="CC213" t="s">
        <v>332</v>
      </c>
      <c r="CD213">
        <v>1690203121.0999999</v>
      </c>
      <c r="CE213">
        <v>1690203121.0999999</v>
      </c>
      <c r="CF213">
        <v>3</v>
      </c>
      <c r="CG213">
        <v>0.53600000000000003</v>
      </c>
      <c r="CH213">
        <v>-0.01</v>
      </c>
      <c r="CI213">
        <v>-0.996</v>
      </c>
      <c r="CJ213">
        <v>-6.6000000000000003E-2</v>
      </c>
      <c r="CK213">
        <v>800</v>
      </c>
      <c r="CL213">
        <v>9</v>
      </c>
      <c r="CM213">
        <v>0.82</v>
      </c>
      <c r="CN213">
        <v>0.01</v>
      </c>
      <c r="CO213">
        <v>-458.16045000000003</v>
      </c>
      <c r="CP213">
        <v>-5.6510318948426543E-2</v>
      </c>
      <c r="CQ213">
        <v>7.0359771887065742E-2</v>
      </c>
      <c r="CR213">
        <v>-1</v>
      </c>
      <c r="CS213">
        <v>20.936385000000001</v>
      </c>
      <c r="CT213">
        <v>0.12843377110693199</v>
      </c>
      <c r="CU213">
        <v>1.2640976030354819E-2</v>
      </c>
      <c r="CV213">
        <v>-1</v>
      </c>
      <c r="CW213">
        <v>0</v>
      </c>
      <c r="CX213">
        <v>0</v>
      </c>
      <c r="CY213" t="s">
        <v>333</v>
      </c>
      <c r="CZ213">
        <v>2.36496</v>
      </c>
      <c r="DA213">
        <v>2.7137899999999999</v>
      </c>
      <c r="DB213">
        <v>7.93938E-2</v>
      </c>
      <c r="DC213">
        <v>0.14627399999999999</v>
      </c>
      <c r="DD213">
        <v>0.127275</v>
      </c>
      <c r="DE213">
        <v>4.5247599999999999E-2</v>
      </c>
      <c r="DF213">
        <v>33606</v>
      </c>
      <c r="DG213">
        <v>27481.7</v>
      </c>
      <c r="DH213">
        <v>31161.4</v>
      </c>
      <c r="DI213">
        <v>28047.4</v>
      </c>
      <c r="DJ213">
        <v>36902.6</v>
      </c>
      <c r="DK213">
        <v>38060.400000000001</v>
      </c>
      <c r="DL213">
        <v>44341.2</v>
      </c>
      <c r="DM213">
        <v>42487</v>
      </c>
      <c r="DN213">
        <v>1.4856</v>
      </c>
      <c r="DO213">
        <v>2.0549499999999998</v>
      </c>
      <c r="DP213">
        <v>0.15665200000000001</v>
      </c>
      <c r="DQ213">
        <v>0.146482</v>
      </c>
      <c r="DR213">
        <v>24.3995</v>
      </c>
      <c r="DS213">
        <v>24.366700000000002</v>
      </c>
      <c r="DT213">
        <v>22.8</v>
      </c>
      <c r="DU213">
        <v>28.1</v>
      </c>
      <c r="DV213">
        <v>8.7853399999999997</v>
      </c>
      <c r="DW213">
        <v>61.282800000000002</v>
      </c>
      <c r="DX213">
        <v>36.987200000000001</v>
      </c>
      <c r="DY213">
        <v>1</v>
      </c>
      <c r="DZ213">
        <v>-0.13955300000000001</v>
      </c>
      <c r="EA213">
        <v>0.113467</v>
      </c>
      <c r="EB213">
        <v>20.191400000000002</v>
      </c>
      <c r="EC213">
        <v>5.2415500000000002</v>
      </c>
      <c r="ED213">
        <v>12.039899999999999</v>
      </c>
      <c r="EE213">
        <v>5.01755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</v>
      </c>
      <c r="EL213">
        <v>1.8646199999999999</v>
      </c>
      <c r="EM213">
        <v>1.8691599999999999</v>
      </c>
      <c r="EN213">
        <v>1.8672200000000001</v>
      </c>
      <c r="EO213">
        <v>1.8633999999999999</v>
      </c>
      <c r="EP213">
        <v>1.8645099999999999</v>
      </c>
      <c r="EQ213">
        <v>1.8701300000000001</v>
      </c>
      <c r="ER213">
        <v>1.8693900000000001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-0.67200000000000004</v>
      </c>
      <c r="FG213">
        <v>0.16769999999999999</v>
      </c>
      <c r="FH213">
        <v>-0.44422204735670362</v>
      </c>
      <c r="FI213">
        <v>-6.1462078757559423E-4</v>
      </c>
      <c r="FJ213">
        <v>-1.8861989874597051E-7</v>
      </c>
      <c r="FK213">
        <v>1.1980462299894961E-10</v>
      </c>
      <c r="FL213">
        <v>0.16773393518503121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43.6</v>
      </c>
      <c r="FU213">
        <v>43.6</v>
      </c>
      <c r="FV213">
        <v>1.78101</v>
      </c>
      <c r="FW213">
        <v>2.5647000000000002</v>
      </c>
      <c r="FX213">
        <v>1.5490699999999999</v>
      </c>
      <c r="FY213">
        <v>2.33521</v>
      </c>
      <c r="FZ213">
        <v>1.50146</v>
      </c>
      <c r="GA213">
        <v>2.34863</v>
      </c>
      <c r="GB213">
        <v>32.620399999999997</v>
      </c>
      <c r="GC213">
        <v>23.991199999999999</v>
      </c>
      <c r="GD213">
        <v>19</v>
      </c>
      <c r="GE213">
        <v>284.339</v>
      </c>
      <c r="GF213">
        <v>591.952</v>
      </c>
      <c r="GG213">
        <v>23.6084</v>
      </c>
      <c r="GH213">
        <v>25.645199999999999</v>
      </c>
      <c r="GI213">
        <v>30.000299999999999</v>
      </c>
      <c r="GJ213">
        <v>25.779800000000002</v>
      </c>
      <c r="GK213">
        <v>25.7606</v>
      </c>
      <c r="GL213">
        <v>35.604599999999998</v>
      </c>
      <c r="GM213">
        <v>-30</v>
      </c>
      <c r="GN213">
        <v>-30</v>
      </c>
      <c r="GO213">
        <v>23.618600000000001</v>
      </c>
      <c r="GP213">
        <v>800</v>
      </c>
      <c r="GQ213">
        <v>12.5298</v>
      </c>
      <c r="GR213">
        <v>99.697400000000002</v>
      </c>
      <c r="GS213">
        <v>99.413399999999996</v>
      </c>
    </row>
    <row r="214" spans="1:201" x14ac:dyDescent="0.25">
      <c r="A214">
        <v>198</v>
      </c>
      <c r="B214">
        <v>1690205745.5999999</v>
      </c>
      <c r="C214">
        <v>2306</v>
      </c>
      <c r="D214" t="s">
        <v>729</v>
      </c>
      <c r="E214" t="s">
        <v>730</v>
      </c>
      <c r="F214" t="s">
        <v>330</v>
      </c>
      <c r="H214">
        <v>1690205745.5999999</v>
      </c>
      <c r="I214">
        <f t="shared" si="90"/>
        <v>2.0769316655119491E-3</v>
      </c>
      <c r="J214">
        <f t="shared" si="91"/>
        <v>2.0769316655119492</v>
      </c>
      <c r="K214">
        <f t="shared" si="92"/>
        <v>43.384931149497135</v>
      </c>
      <c r="L214">
        <f t="shared" si="93"/>
        <v>341.59699999999998</v>
      </c>
      <c r="M214">
        <f t="shared" si="94"/>
        <v>61.739256131084616</v>
      </c>
      <c r="N214">
        <f t="shared" si="95"/>
        <v>6.1224529964011918</v>
      </c>
      <c r="O214">
        <f t="shared" si="96"/>
        <v>33.874907267609096</v>
      </c>
      <c r="P214">
        <f t="shared" si="97"/>
        <v>0.2647321124927281</v>
      </c>
      <c r="Q214">
        <f t="shared" si="98"/>
        <v>2.1961308947691793</v>
      </c>
      <c r="R214">
        <f t="shared" si="99"/>
        <v>0.24819517216867523</v>
      </c>
      <c r="S214">
        <f t="shared" si="100"/>
        <v>0.15652160081415703</v>
      </c>
      <c r="T214">
        <f t="shared" si="101"/>
        <v>276.11543228399995</v>
      </c>
      <c r="U214">
        <f t="shared" si="102"/>
        <v>27.040096535708948</v>
      </c>
      <c r="V214">
        <f t="shared" si="103"/>
        <v>27.040096535708948</v>
      </c>
      <c r="W214">
        <f t="shared" si="104"/>
        <v>3.5875971707519274</v>
      </c>
      <c r="X214">
        <f t="shared" si="105"/>
        <v>84.40224054101752</v>
      </c>
      <c r="Y214">
        <f t="shared" si="106"/>
        <v>2.7844208489304898</v>
      </c>
      <c r="Z214">
        <f t="shared" si="107"/>
        <v>3.2989892579656415</v>
      </c>
      <c r="AA214">
        <f t="shared" si="108"/>
        <v>0.80317632182143761</v>
      </c>
      <c r="AB214">
        <f t="shared" si="109"/>
        <v>-91.59268644907695</v>
      </c>
      <c r="AC214">
        <f t="shared" si="110"/>
        <v>-168.21919657685982</v>
      </c>
      <c r="AD214">
        <f t="shared" si="111"/>
        <v>-16.420274407256745</v>
      </c>
      <c r="AE214">
        <f t="shared" si="112"/>
        <v>-0.11672514919354171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52710.992499702254</v>
      </c>
      <c r="AK214">
        <f t="shared" si="116"/>
        <v>1800</v>
      </c>
      <c r="AL214">
        <f t="shared" si="117"/>
        <v>1499.1075863999999</v>
      </c>
      <c r="AM214">
        <f t="shared" si="118"/>
        <v>0.83283754799999998</v>
      </c>
      <c r="AN214">
        <f t="shared" si="119"/>
        <v>0.15339746237999999</v>
      </c>
      <c r="AO214">
        <v>31.2</v>
      </c>
      <c r="AP214">
        <v>0.5</v>
      </c>
      <c r="AQ214" t="s">
        <v>331</v>
      </c>
      <c r="AR214">
        <v>2</v>
      </c>
      <c r="AS214">
        <v>1690205745.5999999</v>
      </c>
      <c r="AT214">
        <v>341.59699999999998</v>
      </c>
      <c r="AU214">
        <v>800.02599999999995</v>
      </c>
      <c r="AV214">
        <v>28.078299999999999</v>
      </c>
      <c r="AW214">
        <v>7.0917000000000003</v>
      </c>
      <c r="AX214">
        <v>342.26799999999997</v>
      </c>
      <c r="AY214">
        <v>27.910599999999999</v>
      </c>
      <c r="AZ214">
        <v>300.10000000000002</v>
      </c>
      <c r="BA214">
        <v>99.066400000000002</v>
      </c>
      <c r="BB214">
        <v>9.9890300000000001E-2</v>
      </c>
      <c r="BC214">
        <v>25.619299999999999</v>
      </c>
      <c r="BD214">
        <v>27.010899999999999</v>
      </c>
      <c r="BE214">
        <v>26.800699999999999</v>
      </c>
      <c r="BF214">
        <v>0</v>
      </c>
      <c r="BG214">
        <v>0</v>
      </c>
      <c r="BH214">
        <v>10016.9</v>
      </c>
      <c r="BI214">
        <v>1064.6300000000001</v>
      </c>
      <c r="BJ214">
        <v>1.7380500000000001</v>
      </c>
      <c r="BK214">
        <v>-458.42899999999997</v>
      </c>
      <c r="BL214">
        <v>351.46499999999997</v>
      </c>
      <c r="BM214">
        <v>805.74</v>
      </c>
      <c r="BN214">
        <v>20.986599999999999</v>
      </c>
      <c r="BO214">
        <v>800.02599999999995</v>
      </c>
      <c r="BP214">
        <v>7.0917000000000003</v>
      </c>
      <c r="BQ214">
        <v>2.7816200000000002</v>
      </c>
      <c r="BR214">
        <v>0.70255000000000001</v>
      </c>
      <c r="BS214">
        <v>22.775400000000001</v>
      </c>
      <c r="BT214">
        <v>1.8772200000000001</v>
      </c>
      <c r="BU214">
        <v>1800</v>
      </c>
      <c r="BV214">
        <v>0.90998000000000001</v>
      </c>
      <c r="BW214">
        <v>3.4007099999999998E-2</v>
      </c>
      <c r="BX214">
        <v>2.1999399999999999E-2</v>
      </c>
      <c r="BY214">
        <v>3.40132E-2</v>
      </c>
      <c r="BZ214">
        <v>25</v>
      </c>
      <c r="CA214">
        <v>33528.300000000003</v>
      </c>
      <c r="CB214">
        <v>1690203121.0999999</v>
      </c>
      <c r="CC214" t="s">
        <v>332</v>
      </c>
      <c r="CD214">
        <v>1690203121.0999999</v>
      </c>
      <c r="CE214">
        <v>1690203121.0999999</v>
      </c>
      <c r="CF214">
        <v>3</v>
      </c>
      <c r="CG214">
        <v>0.53600000000000003</v>
      </c>
      <c r="CH214">
        <v>-0.01</v>
      </c>
      <c r="CI214">
        <v>-0.996</v>
      </c>
      <c r="CJ214">
        <v>-6.6000000000000003E-2</v>
      </c>
      <c r="CK214">
        <v>800</v>
      </c>
      <c r="CL214">
        <v>9</v>
      </c>
      <c r="CM214">
        <v>0.82</v>
      </c>
      <c r="CN214">
        <v>0.01</v>
      </c>
      <c r="CO214">
        <v>-458.23029268292692</v>
      </c>
      <c r="CP214">
        <v>-0.8902369337993612</v>
      </c>
      <c r="CQ214">
        <v>0.102064361306482</v>
      </c>
      <c r="CR214">
        <v>-1</v>
      </c>
      <c r="CS214">
        <v>20.958887804878049</v>
      </c>
      <c r="CT214">
        <v>0.13743554006966879</v>
      </c>
      <c r="CU214">
        <v>1.3619662886160681E-2</v>
      </c>
      <c r="CV214">
        <v>-1</v>
      </c>
      <c r="CW214">
        <v>0</v>
      </c>
      <c r="CX214">
        <v>0</v>
      </c>
      <c r="CY214" t="s">
        <v>333</v>
      </c>
      <c r="CZ214">
        <v>2.3648899999999999</v>
      </c>
      <c r="DA214">
        <v>2.7136999999999998</v>
      </c>
      <c r="DB214">
        <v>7.9380599999999996E-2</v>
      </c>
      <c r="DC214">
        <v>0.146285</v>
      </c>
      <c r="DD214">
        <v>0.12734300000000001</v>
      </c>
      <c r="DE214">
        <v>4.5228499999999998E-2</v>
      </c>
      <c r="DF214">
        <v>33605.800000000003</v>
      </c>
      <c r="DG214">
        <v>27481</v>
      </c>
      <c r="DH214">
        <v>31160.799999999999</v>
      </c>
      <c r="DI214">
        <v>28047.1</v>
      </c>
      <c r="DJ214">
        <v>36899</v>
      </c>
      <c r="DK214">
        <v>38060.9</v>
      </c>
      <c r="DL214">
        <v>44340.4</v>
      </c>
      <c r="DM214">
        <v>42486.6</v>
      </c>
      <c r="DN214">
        <v>1.4856</v>
      </c>
      <c r="DO214">
        <v>2.0549499999999998</v>
      </c>
      <c r="DP214">
        <v>0.159223</v>
      </c>
      <c r="DQ214">
        <v>0.14836299999999999</v>
      </c>
      <c r="DR214">
        <v>24.401399999999999</v>
      </c>
      <c r="DS214">
        <v>24.3687</v>
      </c>
      <c r="DT214">
        <v>22.8</v>
      </c>
      <c r="DU214">
        <v>28.1</v>
      </c>
      <c r="DV214">
        <v>8.7846299999999999</v>
      </c>
      <c r="DW214">
        <v>61.422800000000002</v>
      </c>
      <c r="DX214">
        <v>37.135399999999997</v>
      </c>
      <c r="DY214">
        <v>1</v>
      </c>
      <c r="DZ214">
        <v>-0.139408</v>
      </c>
      <c r="EA214">
        <v>7.4724899999999997E-2</v>
      </c>
      <c r="EB214">
        <v>20.191299999999998</v>
      </c>
      <c r="EC214">
        <v>5.2411000000000003</v>
      </c>
      <c r="ED214">
        <v>12.039899999999999</v>
      </c>
      <c r="EE214">
        <v>5.0168499999999998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</v>
      </c>
      <c r="EL214">
        <v>1.8646199999999999</v>
      </c>
      <c r="EM214">
        <v>1.8691500000000001</v>
      </c>
      <c r="EN214">
        <v>1.8672200000000001</v>
      </c>
      <c r="EO214">
        <v>1.8633999999999999</v>
      </c>
      <c r="EP214">
        <v>1.8644799999999999</v>
      </c>
      <c r="EQ214">
        <v>1.8701300000000001</v>
      </c>
      <c r="ER214">
        <v>1.86937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-0.67100000000000004</v>
      </c>
      <c r="FG214">
        <v>0.16769999999999999</v>
      </c>
      <c r="FH214">
        <v>-0.44422204735670362</v>
      </c>
      <c r="FI214">
        <v>-6.1462078757559423E-4</v>
      </c>
      <c r="FJ214">
        <v>-1.8861989874597051E-7</v>
      </c>
      <c r="FK214">
        <v>1.1980462299894961E-10</v>
      </c>
      <c r="FL214">
        <v>0.16773393518503121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43.7</v>
      </c>
      <c r="FU214">
        <v>43.7</v>
      </c>
      <c r="FV214">
        <v>1.78101</v>
      </c>
      <c r="FW214">
        <v>2.5634800000000002</v>
      </c>
      <c r="FX214">
        <v>1.5490699999999999</v>
      </c>
      <c r="FY214">
        <v>2.3339799999999999</v>
      </c>
      <c r="FZ214">
        <v>1.50146</v>
      </c>
      <c r="GA214">
        <v>2.3779300000000001</v>
      </c>
      <c r="GB214">
        <v>32.620399999999997</v>
      </c>
      <c r="GC214">
        <v>23.991199999999999</v>
      </c>
      <c r="GD214">
        <v>19</v>
      </c>
      <c r="GE214">
        <v>284.339</v>
      </c>
      <c r="GF214">
        <v>591.952</v>
      </c>
      <c r="GG214">
        <v>23.660900000000002</v>
      </c>
      <c r="GH214">
        <v>25.645199999999999</v>
      </c>
      <c r="GI214">
        <v>30.0002</v>
      </c>
      <c r="GJ214">
        <v>25.779800000000002</v>
      </c>
      <c r="GK214">
        <v>25.7606</v>
      </c>
      <c r="GL214">
        <v>35.602800000000002</v>
      </c>
      <c r="GM214">
        <v>-30</v>
      </c>
      <c r="GN214">
        <v>-30</v>
      </c>
      <c r="GO214">
        <v>23.691400000000002</v>
      </c>
      <c r="GP214">
        <v>800</v>
      </c>
      <c r="GQ214">
        <v>12.5298</v>
      </c>
      <c r="GR214">
        <v>99.695499999999996</v>
      </c>
      <c r="GS214">
        <v>99.412400000000005</v>
      </c>
    </row>
    <row r="215" spans="1:201" x14ac:dyDescent="0.25">
      <c r="A215">
        <v>199</v>
      </c>
      <c r="B215">
        <v>1690205755.5999999</v>
      </c>
      <c r="C215">
        <v>2316</v>
      </c>
      <c r="D215" t="s">
        <v>731</v>
      </c>
      <c r="E215" t="s">
        <v>732</v>
      </c>
      <c r="F215" t="s">
        <v>330</v>
      </c>
      <c r="H215">
        <v>1690205755.5999999</v>
      </c>
      <c r="I215">
        <f t="shared" si="90"/>
        <v>2.0797668609505108E-3</v>
      </c>
      <c r="J215">
        <f t="shared" si="91"/>
        <v>2.0797668609505107</v>
      </c>
      <c r="K215">
        <f t="shared" si="92"/>
        <v>43.387638176055837</v>
      </c>
      <c r="L215">
        <f t="shared" si="93"/>
        <v>341.57299999999998</v>
      </c>
      <c r="M215">
        <f t="shared" si="94"/>
        <v>62.617136757984838</v>
      </c>
      <c r="N215">
        <f t="shared" si="95"/>
        <v>6.2097034624724854</v>
      </c>
      <c r="O215">
        <f t="shared" si="96"/>
        <v>33.873587177660902</v>
      </c>
      <c r="P215">
        <f t="shared" si="97"/>
        <v>0.26567334948114057</v>
      </c>
      <c r="Q215">
        <f t="shared" si="98"/>
        <v>2.1947083512469749</v>
      </c>
      <c r="R215">
        <f t="shared" si="99"/>
        <v>0.24901250901614974</v>
      </c>
      <c r="S215">
        <f t="shared" si="100"/>
        <v>0.15704258119151027</v>
      </c>
      <c r="T215">
        <f t="shared" si="101"/>
        <v>276.11419568572404</v>
      </c>
      <c r="U215">
        <f t="shared" si="102"/>
        <v>27.044956904092913</v>
      </c>
      <c r="V215">
        <f t="shared" si="103"/>
        <v>27.044956904092913</v>
      </c>
      <c r="W215">
        <f t="shared" si="104"/>
        <v>3.5886211126168579</v>
      </c>
      <c r="X215">
        <f t="shared" si="105"/>
        <v>84.45467033257799</v>
      </c>
      <c r="Y215">
        <f t="shared" si="106"/>
        <v>2.7869772937885604</v>
      </c>
      <c r="Z215">
        <f t="shared" si="107"/>
        <v>3.2999682348099784</v>
      </c>
      <c r="AA215">
        <f t="shared" si="108"/>
        <v>0.80164381882829749</v>
      </c>
      <c r="AB215">
        <f t="shared" si="109"/>
        <v>-91.71771856791753</v>
      </c>
      <c r="AC215">
        <f t="shared" si="110"/>
        <v>-168.09371124383998</v>
      </c>
      <c r="AD215">
        <f t="shared" si="111"/>
        <v>-16.419471947042418</v>
      </c>
      <c r="AE215">
        <f t="shared" si="112"/>
        <v>-0.1167060730759033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52651.712710298816</v>
      </c>
      <c r="AK215">
        <f t="shared" si="116"/>
        <v>1799.99</v>
      </c>
      <c r="AL215">
        <f t="shared" si="117"/>
        <v>1499.1003758183099</v>
      </c>
      <c r="AM215">
        <f t="shared" si="118"/>
        <v>0.83283816899999996</v>
      </c>
      <c r="AN215">
        <f t="shared" si="119"/>
        <v>0.15339762758999997</v>
      </c>
      <c r="AO215">
        <v>31.2</v>
      </c>
      <c r="AP215">
        <v>0.5</v>
      </c>
      <c r="AQ215" t="s">
        <v>331</v>
      </c>
      <c r="AR215">
        <v>2</v>
      </c>
      <c r="AS215">
        <v>1690205755.5999999</v>
      </c>
      <c r="AT215">
        <v>341.57299999999998</v>
      </c>
      <c r="AU215">
        <v>800.029</v>
      </c>
      <c r="AV215">
        <v>28.103200000000001</v>
      </c>
      <c r="AW215">
        <v>7.0889800000000003</v>
      </c>
      <c r="AX215">
        <v>342.245</v>
      </c>
      <c r="AY215">
        <v>27.935500000000001</v>
      </c>
      <c r="AZ215">
        <v>300.10700000000003</v>
      </c>
      <c r="BA215">
        <v>99.069500000000005</v>
      </c>
      <c r="BB215">
        <v>9.9893300000000004E-2</v>
      </c>
      <c r="BC215">
        <v>25.624300000000002</v>
      </c>
      <c r="BD215">
        <v>27.039300000000001</v>
      </c>
      <c r="BE215">
        <v>26.809699999999999</v>
      </c>
      <c r="BF215">
        <v>0</v>
      </c>
      <c r="BG215">
        <v>0</v>
      </c>
      <c r="BH215">
        <v>10005</v>
      </c>
      <c r="BI215">
        <v>1064.58</v>
      </c>
      <c r="BJ215">
        <v>1.7380500000000001</v>
      </c>
      <c r="BK215">
        <v>-458.45600000000002</v>
      </c>
      <c r="BL215">
        <v>351.45</v>
      </c>
      <c r="BM215">
        <v>805.74099999999999</v>
      </c>
      <c r="BN215">
        <v>21.014199999999999</v>
      </c>
      <c r="BO215">
        <v>800.029</v>
      </c>
      <c r="BP215">
        <v>7.0889800000000003</v>
      </c>
      <c r="BQ215">
        <v>2.78417</v>
      </c>
      <c r="BR215">
        <v>0.70230199999999998</v>
      </c>
      <c r="BS215">
        <v>22.790500000000002</v>
      </c>
      <c r="BT215">
        <v>1.8722799999999999</v>
      </c>
      <c r="BU215">
        <v>1799.99</v>
      </c>
      <c r="BV215">
        <v>0.90998000000000001</v>
      </c>
      <c r="BW215">
        <v>3.4007099999999998E-2</v>
      </c>
      <c r="BX215">
        <v>2.2000200000000001E-2</v>
      </c>
      <c r="BY215">
        <v>3.4013099999999998E-2</v>
      </c>
      <c r="BZ215">
        <v>25</v>
      </c>
      <c r="CA215">
        <v>33528.199999999997</v>
      </c>
      <c r="CB215">
        <v>1690203121.0999999</v>
      </c>
      <c r="CC215" t="s">
        <v>332</v>
      </c>
      <c r="CD215">
        <v>1690203121.0999999</v>
      </c>
      <c r="CE215">
        <v>1690203121.0999999</v>
      </c>
      <c r="CF215">
        <v>3</v>
      </c>
      <c r="CG215">
        <v>0.53600000000000003</v>
      </c>
      <c r="CH215">
        <v>-0.01</v>
      </c>
      <c r="CI215">
        <v>-0.996</v>
      </c>
      <c r="CJ215">
        <v>-6.6000000000000003E-2</v>
      </c>
      <c r="CK215">
        <v>800</v>
      </c>
      <c r="CL215">
        <v>9</v>
      </c>
      <c r="CM215">
        <v>0.82</v>
      </c>
      <c r="CN215">
        <v>0.01</v>
      </c>
      <c r="CO215">
        <v>-458.34992499999998</v>
      </c>
      <c r="CP215">
        <v>-0.49721200750364908</v>
      </c>
      <c r="CQ215">
        <v>6.7590453282990112E-2</v>
      </c>
      <c r="CR215">
        <v>-1</v>
      </c>
      <c r="CS215">
        <v>20.9828425</v>
      </c>
      <c r="CT215">
        <v>0.1596889305815461</v>
      </c>
      <c r="CU215">
        <v>1.5402562895505741E-2</v>
      </c>
      <c r="CV215">
        <v>-1</v>
      </c>
      <c r="CW215">
        <v>0</v>
      </c>
      <c r="CX215">
        <v>0</v>
      </c>
      <c r="CY215" t="s">
        <v>333</v>
      </c>
      <c r="CZ215">
        <v>2.3649200000000001</v>
      </c>
      <c r="DA215">
        <v>2.7136900000000002</v>
      </c>
      <c r="DB215">
        <v>7.9378299999999999E-2</v>
      </c>
      <c r="DC215">
        <v>0.146289</v>
      </c>
      <c r="DD215">
        <v>0.12742400000000001</v>
      </c>
      <c r="DE215">
        <v>4.5215900000000003E-2</v>
      </c>
      <c r="DF215">
        <v>33606</v>
      </c>
      <c r="DG215">
        <v>27480.799999999999</v>
      </c>
      <c r="DH215">
        <v>31161</v>
      </c>
      <c r="DI215">
        <v>28047</v>
      </c>
      <c r="DJ215">
        <v>36895.699999999997</v>
      </c>
      <c r="DK215">
        <v>38061.199999999997</v>
      </c>
      <c r="DL215">
        <v>44340.6</v>
      </c>
      <c r="DM215">
        <v>42486.400000000001</v>
      </c>
      <c r="DN215">
        <v>1.4850699999999999</v>
      </c>
      <c r="DO215">
        <v>2.0548700000000002</v>
      </c>
      <c r="DP215">
        <v>0.160806</v>
      </c>
      <c r="DQ215">
        <v>0.14891099999999999</v>
      </c>
      <c r="DR215">
        <v>24.404</v>
      </c>
      <c r="DS215">
        <v>24.3687</v>
      </c>
      <c r="DT215">
        <v>22.8</v>
      </c>
      <c r="DU215">
        <v>28.1</v>
      </c>
      <c r="DV215">
        <v>8.7845700000000004</v>
      </c>
      <c r="DW215">
        <v>61.652799999999999</v>
      </c>
      <c r="DX215">
        <v>37.195500000000003</v>
      </c>
      <c r="DY215">
        <v>1</v>
      </c>
      <c r="DZ215">
        <v>-0.138653</v>
      </c>
      <c r="EA215">
        <v>0.55789800000000001</v>
      </c>
      <c r="EB215">
        <v>20.189699999999998</v>
      </c>
      <c r="EC215">
        <v>5.2409499999999998</v>
      </c>
      <c r="ED215">
        <v>12.039899999999999</v>
      </c>
      <c r="EE215">
        <v>5.0171000000000001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</v>
      </c>
      <c r="EL215">
        <v>1.8646199999999999</v>
      </c>
      <c r="EM215">
        <v>1.8691199999999999</v>
      </c>
      <c r="EN215">
        <v>1.8672200000000001</v>
      </c>
      <c r="EO215">
        <v>1.8633999999999999</v>
      </c>
      <c r="EP215">
        <v>1.8644700000000001</v>
      </c>
      <c r="EQ215">
        <v>1.8701300000000001</v>
      </c>
      <c r="ER215">
        <v>1.8693900000000001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-0.67200000000000004</v>
      </c>
      <c r="FG215">
        <v>0.16769999999999999</v>
      </c>
      <c r="FH215">
        <v>-0.44422204735670362</v>
      </c>
      <c r="FI215">
        <v>-6.1462078757559423E-4</v>
      </c>
      <c r="FJ215">
        <v>-1.8861989874597051E-7</v>
      </c>
      <c r="FK215">
        <v>1.1980462299894961E-10</v>
      </c>
      <c r="FL215">
        <v>0.16773393518503121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43.9</v>
      </c>
      <c r="FU215">
        <v>43.9</v>
      </c>
      <c r="FV215">
        <v>1.78101</v>
      </c>
      <c r="FW215">
        <v>2.5585900000000001</v>
      </c>
      <c r="FX215">
        <v>1.5490699999999999</v>
      </c>
      <c r="FY215">
        <v>2.3339799999999999</v>
      </c>
      <c r="FZ215">
        <v>1.50146</v>
      </c>
      <c r="GA215">
        <v>2.3852500000000001</v>
      </c>
      <c r="GB215">
        <v>32.620399999999997</v>
      </c>
      <c r="GC215">
        <v>23.991199999999999</v>
      </c>
      <c r="GD215">
        <v>19</v>
      </c>
      <c r="GE215">
        <v>284.12599999999998</v>
      </c>
      <c r="GF215">
        <v>591.89</v>
      </c>
      <c r="GG215">
        <v>23.609400000000001</v>
      </c>
      <c r="GH215">
        <v>25.645199999999999</v>
      </c>
      <c r="GI215">
        <v>30.000599999999999</v>
      </c>
      <c r="GJ215">
        <v>25.782</v>
      </c>
      <c r="GK215">
        <v>25.7606</v>
      </c>
      <c r="GL215">
        <v>35.602200000000003</v>
      </c>
      <c r="GM215">
        <v>-30</v>
      </c>
      <c r="GN215">
        <v>-30</v>
      </c>
      <c r="GO215">
        <v>23.543099999999999</v>
      </c>
      <c r="GP215">
        <v>800</v>
      </c>
      <c r="GQ215">
        <v>12.5298</v>
      </c>
      <c r="GR215">
        <v>99.695999999999998</v>
      </c>
      <c r="GS215">
        <v>99.412000000000006</v>
      </c>
    </row>
    <row r="216" spans="1:201" x14ac:dyDescent="0.25">
      <c r="A216">
        <v>200</v>
      </c>
      <c r="B216">
        <v>1690205765.5999999</v>
      </c>
      <c r="C216">
        <v>2326</v>
      </c>
      <c r="D216" t="s">
        <v>733</v>
      </c>
      <c r="E216" t="s">
        <v>734</v>
      </c>
      <c r="F216" t="s">
        <v>330</v>
      </c>
      <c r="H216">
        <v>1690205765.5999999</v>
      </c>
      <c r="I216">
        <f t="shared" si="90"/>
        <v>2.0818594941873058E-3</v>
      </c>
      <c r="J216">
        <f t="shared" si="91"/>
        <v>2.0818594941873059</v>
      </c>
      <c r="K216">
        <f t="shared" si="92"/>
        <v>43.393676992032496</v>
      </c>
      <c r="L216">
        <f t="shared" si="93"/>
        <v>341.495</v>
      </c>
      <c r="M216">
        <f t="shared" si="94"/>
        <v>63.861098768608692</v>
      </c>
      <c r="N216">
        <f t="shared" si="95"/>
        <v>6.3330941807739354</v>
      </c>
      <c r="O216">
        <f t="shared" si="96"/>
        <v>33.866000412859997</v>
      </c>
      <c r="P216">
        <f t="shared" si="97"/>
        <v>0.26706088488469581</v>
      </c>
      <c r="Q216">
        <f t="shared" si="98"/>
        <v>2.1946371279641559</v>
      </c>
      <c r="R216">
        <f t="shared" si="99"/>
        <v>0.25023096431167685</v>
      </c>
      <c r="S216">
        <f t="shared" si="100"/>
        <v>0.15781798987469065</v>
      </c>
      <c r="T216">
        <f t="shared" si="101"/>
        <v>276.11671959</v>
      </c>
      <c r="U216">
        <f t="shared" si="102"/>
        <v>27.037515936046521</v>
      </c>
      <c r="V216">
        <f t="shared" si="103"/>
        <v>27.037515936046521</v>
      </c>
      <c r="W216">
        <f t="shared" si="104"/>
        <v>3.5870536152006092</v>
      </c>
      <c r="X216">
        <f t="shared" si="105"/>
        <v>84.535124748388697</v>
      </c>
      <c r="Y216">
        <f t="shared" si="106"/>
        <v>2.788506808618</v>
      </c>
      <c r="Z216">
        <f t="shared" si="107"/>
        <v>3.2986368884150146</v>
      </c>
      <c r="AA216">
        <f t="shared" si="108"/>
        <v>0.79854680658260913</v>
      </c>
      <c r="AB216">
        <f t="shared" si="109"/>
        <v>-91.810003693660192</v>
      </c>
      <c r="AC216">
        <f t="shared" si="110"/>
        <v>-168.01241862640913</v>
      </c>
      <c r="AD216">
        <f t="shared" si="111"/>
        <v>-16.410892588026982</v>
      </c>
      <c r="AE216">
        <f t="shared" si="112"/>
        <v>-0.1165953180962731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52649.989780265067</v>
      </c>
      <c r="AK216">
        <f t="shared" si="116"/>
        <v>1800</v>
      </c>
      <c r="AL216">
        <f t="shared" si="117"/>
        <v>1499.1087690000002</v>
      </c>
      <c r="AM216">
        <f t="shared" si="118"/>
        <v>0.83283820500000005</v>
      </c>
      <c r="AN216">
        <f t="shared" si="119"/>
        <v>0.15339817754999999</v>
      </c>
      <c r="AO216">
        <v>31.2</v>
      </c>
      <c r="AP216">
        <v>0.5</v>
      </c>
      <c r="AQ216" t="s">
        <v>331</v>
      </c>
      <c r="AR216">
        <v>2</v>
      </c>
      <c r="AS216">
        <v>1690205765.5999999</v>
      </c>
      <c r="AT216">
        <v>341.495</v>
      </c>
      <c r="AU216">
        <v>799.96299999999997</v>
      </c>
      <c r="AV216">
        <v>28.118500000000001</v>
      </c>
      <c r="AW216">
        <v>7.0860599999999998</v>
      </c>
      <c r="AX216">
        <v>342.16699999999997</v>
      </c>
      <c r="AY216">
        <v>27.950800000000001</v>
      </c>
      <c r="AZ216">
        <v>300.14400000000001</v>
      </c>
      <c r="BA216">
        <v>99.069699999999997</v>
      </c>
      <c r="BB216">
        <v>0.10012799999999999</v>
      </c>
      <c r="BC216">
        <v>25.6175</v>
      </c>
      <c r="BD216">
        <v>26.937899999999999</v>
      </c>
      <c r="BE216">
        <v>26.8002</v>
      </c>
      <c r="BF216">
        <v>0</v>
      </c>
      <c r="BG216">
        <v>0</v>
      </c>
      <c r="BH216">
        <v>10004.4</v>
      </c>
      <c r="BI216">
        <v>1064.42</v>
      </c>
      <c r="BJ216">
        <v>1.7380500000000001</v>
      </c>
      <c r="BK216">
        <v>-458.46800000000002</v>
      </c>
      <c r="BL216">
        <v>351.375</v>
      </c>
      <c r="BM216">
        <v>805.67200000000003</v>
      </c>
      <c r="BN216">
        <v>21.032499999999999</v>
      </c>
      <c r="BO216">
        <v>799.96299999999997</v>
      </c>
      <c r="BP216">
        <v>7.0860599999999998</v>
      </c>
      <c r="BQ216">
        <v>2.7856999999999998</v>
      </c>
      <c r="BR216">
        <v>0.70201400000000003</v>
      </c>
      <c r="BS216">
        <v>22.799600000000002</v>
      </c>
      <c r="BT216">
        <v>1.86656</v>
      </c>
      <c r="BU216">
        <v>1800</v>
      </c>
      <c r="BV216">
        <v>0.90997300000000003</v>
      </c>
      <c r="BW216">
        <v>3.4005899999999999E-2</v>
      </c>
      <c r="BX216">
        <v>2.2009000000000001E-2</v>
      </c>
      <c r="BY216">
        <v>3.4011899999999998E-2</v>
      </c>
      <c r="BZ216">
        <v>25</v>
      </c>
      <c r="CA216">
        <v>33528.199999999997</v>
      </c>
      <c r="CB216">
        <v>1690203121.0999999</v>
      </c>
      <c r="CC216" t="s">
        <v>332</v>
      </c>
      <c r="CD216">
        <v>1690203121.0999999</v>
      </c>
      <c r="CE216">
        <v>1690203121.0999999</v>
      </c>
      <c r="CF216">
        <v>3</v>
      </c>
      <c r="CG216">
        <v>0.53600000000000003</v>
      </c>
      <c r="CH216">
        <v>-0.01</v>
      </c>
      <c r="CI216">
        <v>-0.996</v>
      </c>
      <c r="CJ216">
        <v>-6.6000000000000003E-2</v>
      </c>
      <c r="CK216">
        <v>800</v>
      </c>
      <c r="CL216">
        <v>9</v>
      </c>
      <c r="CM216">
        <v>0.82</v>
      </c>
      <c r="CN216">
        <v>0.01</v>
      </c>
      <c r="CO216">
        <v>-458.43517500000002</v>
      </c>
      <c r="CP216">
        <v>-0.58537711069416321</v>
      </c>
      <c r="CQ216">
        <v>8.6415243880929513E-2</v>
      </c>
      <c r="CR216">
        <v>-1</v>
      </c>
      <c r="CS216">
        <v>21.009505000000001</v>
      </c>
      <c r="CT216">
        <v>0.15550469043148529</v>
      </c>
      <c r="CU216">
        <v>1.5001132457251079E-2</v>
      </c>
      <c r="CV216">
        <v>-1</v>
      </c>
      <c r="CW216">
        <v>0</v>
      </c>
      <c r="CX216">
        <v>0</v>
      </c>
      <c r="CY216" t="s">
        <v>333</v>
      </c>
      <c r="CZ216">
        <v>2.3650199999999999</v>
      </c>
      <c r="DA216">
        <v>2.7139199999999999</v>
      </c>
      <c r="DB216">
        <v>7.9364299999999999E-2</v>
      </c>
      <c r="DC216">
        <v>0.146282</v>
      </c>
      <c r="DD216">
        <v>0.127473</v>
      </c>
      <c r="DE216">
        <v>4.5201199999999997E-2</v>
      </c>
      <c r="DF216">
        <v>33605.9</v>
      </c>
      <c r="DG216">
        <v>27480.799999999999</v>
      </c>
      <c r="DH216">
        <v>31160.400000000001</v>
      </c>
      <c r="DI216">
        <v>28046.799999999999</v>
      </c>
      <c r="DJ216">
        <v>36893</v>
      </c>
      <c r="DK216">
        <v>38061.5</v>
      </c>
      <c r="DL216">
        <v>44339.8</v>
      </c>
      <c r="DM216">
        <v>42486.1</v>
      </c>
      <c r="DN216">
        <v>1.48515</v>
      </c>
      <c r="DO216">
        <v>2.0546700000000002</v>
      </c>
      <c r="DP216">
        <v>0.15437600000000001</v>
      </c>
      <c r="DQ216">
        <v>0.14832999999999999</v>
      </c>
      <c r="DR216">
        <v>24.407699999999998</v>
      </c>
      <c r="DS216">
        <v>24.3687</v>
      </c>
      <c r="DT216">
        <v>22.8</v>
      </c>
      <c r="DU216">
        <v>28.1</v>
      </c>
      <c r="DV216">
        <v>8.7839200000000002</v>
      </c>
      <c r="DW216">
        <v>61.7928</v>
      </c>
      <c r="DX216">
        <v>37.211500000000001</v>
      </c>
      <c r="DY216">
        <v>1</v>
      </c>
      <c r="DZ216">
        <v>-0.13837099999999999</v>
      </c>
      <c r="EA216">
        <v>0.41110600000000003</v>
      </c>
      <c r="EB216">
        <v>20.1904</v>
      </c>
      <c r="EC216">
        <v>5.2408000000000001</v>
      </c>
      <c r="ED216">
        <v>12.039899999999999</v>
      </c>
      <c r="EE216">
        <v>5.0171000000000001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</v>
      </c>
      <c r="EL216">
        <v>1.8646199999999999</v>
      </c>
      <c r="EM216">
        <v>1.86914</v>
      </c>
      <c r="EN216">
        <v>1.8672200000000001</v>
      </c>
      <c r="EO216">
        <v>1.8633900000000001</v>
      </c>
      <c r="EP216">
        <v>1.86449</v>
      </c>
      <c r="EQ216">
        <v>1.87012</v>
      </c>
      <c r="ER216">
        <v>1.8693900000000001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-0.67200000000000004</v>
      </c>
      <c r="FG216">
        <v>0.16769999999999999</v>
      </c>
      <c r="FH216">
        <v>-0.44422204735670362</v>
      </c>
      <c r="FI216">
        <v>-6.1462078757559423E-4</v>
      </c>
      <c r="FJ216">
        <v>-1.8861989874597051E-7</v>
      </c>
      <c r="FK216">
        <v>1.1980462299894961E-10</v>
      </c>
      <c r="FL216">
        <v>0.16773393518503121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44.1</v>
      </c>
      <c r="FU216">
        <v>44.1</v>
      </c>
      <c r="FV216">
        <v>1.78101</v>
      </c>
      <c r="FW216">
        <v>2.5585900000000001</v>
      </c>
      <c r="FX216">
        <v>1.5490699999999999</v>
      </c>
      <c r="FY216">
        <v>2.3339799999999999</v>
      </c>
      <c r="FZ216">
        <v>1.50146</v>
      </c>
      <c r="GA216">
        <v>2.3913600000000002</v>
      </c>
      <c r="GB216">
        <v>32.642600000000002</v>
      </c>
      <c r="GC216">
        <v>23.991199999999999</v>
      </c>
      <c r="GD216">
        <v>19</v>
      </c>
      <c r="GE216">
        <v>284.15800000000002</v>
      </c>
      <c r="GF216">
        <v>591.72299999999996</v>
      </c>
      <c r="GG216">
        <v>23.494199999999999</v>
      </c>
      <c r="GH216">
        <v>25.645199999999999</v>
      </c>
      <c r="GI216">
        <v>30</v>
      </c>
      <c r="GJ216">
        <v>25.782</v>
      </c>
      <c r="GK216">
        <v>25.7606</v>
      </c>
      <c r="GL216">
        <v>35.604500000000002</v>
      </c>
      <c r="GM216">
        <v>-30</v>
      </c>
      <c r="GN216">
        <v>-30</v>
      </c>
      <c r="GO216">
        <v>23.545500000000001</v>
      </c>
      <c r="GP216">
        <v>800</v>
      </c>
      <c r="GQ216">
        <v>12.5298</v>
      </c>
      <c r="GR216">
        <v>99.694199999999995</v>
      </c>
      <c r="GS216">
        <v>99.411299999999997</v>
      </c>
    </row>
    <row r="217" spans="1:201" x14ac:dyDescent="0.25">
      <c r="A217">
        <v>201</v>
      </c>
      <c r="B217">
        <v>1690205775.5999999</v>
      </c>
      <c r="C217">
        <v>2336</v>
      </c>
      <c r="D217" t="s">
        <v>735</v>
      </c>
      <c r="E217" t="s">
        <v>736</v>
      </c>
      <c r="F217" t="s">
        <v>330</v>
      </c>
      <c r="H217">
        <v>1690205775.5999999</v>
      </c>
      <c r="I217">
        <f t="shared" si="90"/>
        <v>2.0829838455509379E-3</v>
      </c>
      <c r="J217">
        <f t="shared" si="91"/>
        <v>2.0829838455509377</v>
      </c>
      <c r="K217">
        <f t="shared" si="92"/>
        <v>43.40101242925472</v>
      </c>
      <c r="L217">
        <f t="shared" si="93"/>
        <v>341.25700000000001</v>
      </c>
      <c r="M217">
        <f t="shared" si="94"/>
        <v>65.089561134062308</v>
      </c>
      <c r="N217">
        <f t="shared" si="95"/>
        <v>6.4551339458418404</v>
      </c>
      <c r="O217">
        <f t="shared" si="96"/>
        <v>33.843516634242</v>
      </c>
      <c r="P217">
        <f t="shared" si="97"/>
        <v>0.26861301846649721</v>
      </c>
      <c r="Q217">
        <f t="shared" si="98"/>
        <v>2.1951337556922286</v>
      </c>
      <c r="R217">
        <f t="shared" si="99"/>
        <v>0.25159717719595387</v>
      </c>
      <c r="S217">
        <f t="shared" si="100"/>
        <v>0.15868713295993378</v>
      </c>
      <c r="T217">
        <f t="shared" si="101"/>
        <v>276.11677691999995</v>
      </c>
      <c r="U217">
        <f t="shared" si="102"/>
        <v>27.025156308421884</v>
      </c>
      <c r="V217">
        <f t="shared" si="103"/>
        <v>27.025156308421884</v>
      </c>
      <c r="W217">
        <f t="shared" si="104"/>
        <v>3.5844512849504353</v>
      </c>
      <c r="X217">
        <f t="shared" si="105"/>
        <v>84.632440018374695</v>
      </c>
      <c r="Y217">
        <f t="shared" si="106"/>
        <v>2.7897791410223998</v>
      </c>
      <c r="Z217">
        <f t="shared" si="107"/>
        <v>3.2963472876555442</v>
      </c>
      <c r="AA217">
        <f t="shared" si="108"/>
        <v>0.79467214392803553</v>
      </c>
      <c r="AB217">
        <f t="shared" si="109"/>
        <v>-91.859587588796359</v>
      </c>
      <c r="AC217">
        <f t="shared" si="110"/>
        <v>-167.97237540339646</v>
      </c>
      <c r="AD217">
        <f t="shared" si="111"/>
        <v>-16.401291664232662</v>
      </c>
      <c r="AE217">
        <f t="shared" si="112"/>
        <v>-0.11647773642550874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52672.534056875491</v>
      </c>
      <c r="AK217">
        <f t="shared" si="116"/>
        <v>1800</v>
      </c>
      <c r="AL217">
        <f t="shared" si="117"/>
        <v>1499.1090300000001</v>
      </c>
      <c r="AM217">
        <f t="shared" si="118"/>
        <v>0.83283835000000006</v>
      </c>
      <c r="AN217">
        <f t="shared" si="119"/>
        <v>0.15339820939999999</v>
      </c>
      <c r="AO217">
        <v>31.2</v>
      </c>
      <c r="AP217">
        <v>0.5</v>
      </c>
      <c r="AQ217" t="s">
        <v>331</v>
      </c>
      <c r="AR217">
        <v>2</v>
      </c>
      <c r="AS217">
        <v>1690205775.5999999</v>
      </c>
      <c r="AT217">
        <v>341.25700000000001</v>
      </c>
      <c r="AU217">
        <v>799.904</v>
      </c>
      <c r="AV217">
        <v>28.130400000000002</v>
      </c>
      <c r="AW217">
        <v>7.08209</v>
      </c>
      <c r="AX217">
        <v>341.928</v>
      </c>
      <c r="AY217">
        <v>27.962700000000002</v>
      </c>
      <c r="AZ217">
        <v>300.07600000000002</v>
      </c>
      <c r="BA217">
        <v>99.073099999999997</v>
      </c>
      <c r="BB217">
        <v>0.100006</v>
      </c>
      <c r="BC217">
        <v>25.605799999999999</v>
      </c>
      <c r="BD217">
        <v>26.970700000000001</v>
      </c>
      <c r="BE217">
        <v>26.7959</v>
      </c>
      <c r="BF217">
        <v>0</v>
      </c>
      <c r="BG217">
        <v>0</v>
      </c>
      <c r="BH217">
        <v>10008.1</v>
      </c>
      <c r="BI217">
        <v>1064.3399999999999</v>
      </c>
      <c r="BJ217">
        <v>1.77589</v>
      </c>
      <c r="BK217">
        <v>-458.64699999999999</v>
      </c>
      <c r="BL217">
        <v>351.13400000000001</v>
      </c>
      <c r="BM217">
        <v>805.60900000000004</v>
      </c>
      <c r="BN217">
        <v>21.048300000000001</v>
      </c>
      <c r="BO217">
        <v>799.904</v>
      </c>
      <c r="BP217">
        <v>7.08209</v>
      </c>
      <c r="BQ217">
        <v>2.7869600000000001</v>
      </c>
      <c r="BR217">
        <v>0.70164499999999996</v>
      </c>
      <c r="BS217">
        <v>22.807099999999998</v>
      </c>
      <c r="BT217">
        <v>1.8592</v>
      </c>
      <c r="BU217">
        <v>1800</v>
      </c>
      <c r="BV217">
        <v>0.90997300000000003</v>
      </c>
      <c r="BW217">
        <v>3.4006000000000002E-2</v>
      </c>
      <c r="BX217">
        <v>2.2009000000000001E-2</v>
      </c>
      <c r="BY217">
        <v>3.4012000000000001E-2</v>
      </c>
      <c r="BZ217">
        <v>25</v>
      </c>
      <c r="CA217">
        <v>33528.1</v>
      </c>
      <c r="CB217">
        <v>1690203121.0999999</v>
      </c>
      <c r="CC217" t="s">
        <v>332</v>
      </c>
      <c r="CD217">
        <v>1690203121.0999999</v>
      </c>
      <c r="CE217">
        <v>1690203121.0999999</v>
      </c>
      <c r="CF217">
        <v>3</v>
      </c>
      <c r="CG217">
        <v>0.53600000000000003</v>
      </c>
      <c r="CH217">
        <v>-0.01</v>
      </c>
      <c r="CI217">
        <v>-0.996</v>
      </c>
      <c r="CJ217">
        <v>-6.6000000000000003E-2</v>
      </c>
      <c r="CK217">
        <v>800</v>
      </c>
      <c r="CL217">
        <v>9</v>
      </c>
      <c r="CM217">
        <v>0.82</v>
      </c>
      <c r="CN217">
        <v>0.01</v>
      </c>
      <c r="CO217">
        <v>-458.54451219512202</v>
      </c>
      <c r="CP217">
        <v>-0.84760975609678513</v>
      </c>
      <c r="CQ217">
        <v>0.10426049036561461</v>
      </c>
      <c r="CR217">
        <v>-1</v>
      </c>
      <c r="CS217">
        <v>21.03067317073171</v>
      </c>
      <c r="CT217">
        <v>9.5638327526119532E-2</v>
      </c>
      <c r="CU217">
        <v>9.5336637031625589E-3</v>
      </c>
      <c r="CV217">
        <v>-1</v>
      </c>
      <c r="CW217">
        <v>0</v>
      </c>
      <c r="CX217">
        <v>0</v>
      </c>
      <c r="CY217" t="s">
        <v>333</v>
      </c>
      <c r="CZ217">
        <v>2.3647900000000002</v>
      </c>
      <c r="DA217">
        <v>2.7138</v>
      </c>
      <c r="DB217">
        <v>7.9323199999999996E-2</v>
      </c>
      <c r="DC217">
        <v>0.14627899999999999</v>
      </c>
      <c r="DD217">
        <v>0.12751399999999999</v>
      </c>
      <c r="DE217">
        <v>4.5182300000000002E-2</v>
      </c>
      <c r="DF217">
        <v>33608.1</v>
      </c>
      <c r="DG217">
        <v>27481.7</v>
      </c>
      <c r="DH217">
        <v>31161.1</v>
      </c>
      <c r="DI217">
        <v>28047.599999999999</v>
      </c>
      <c r="DJ217">
        <v>36892</v>
      </c>
      <c r="DK217">
        <v>38063.4</v>
      </c>
      <c r="DL217">
        <v>44340.800000000003</v>
      </c>
      <c r="DM217">
        <v>42487.4</v>
      </c>
      <c r="DN217">
        <v>1.48577</v>
      </c>
      <c r="DO217">
        <v>2.0547300000000002</v>
      </c>
      <c r="DP217">
        <v>0.15637999999999999</v>
      </c>
      <c r="DQ217">
        <v>0.14806900000000001</v>
      </c>
      <c r="DR217">
        <v>24.407699999999998</v>
      </c>
      <c r="DS217">
        <v>24.3687</v>
      </c>
      <c r="DT217">
        <v>22.8</v>
      </c>
      <c r="DU217">
        <v>28.1</v>
      </c>
      <c r="DV217">
        <v>8.7831299999999999</v>
      </c>
      <c r="DW217">
        <v>61.3628</v>
      </c>
      <c r="DX217">
        <v>37.347799999999999</v>
      </c>
      <c r="DY217">
        <v>1</v>
      </c>
      <c r="DZ217">
        <v>-0.13894799999999999</v>
      </c>
      <c r="EA217">
        <v>0.13430800000000001</v>
      </c>
      <c r="EB217">
        <v>20.191299999999998</v>
      </c>
      <c r="EC217">
        <v>5.2408000000000001</v>
      </c>
      <c r="ED217">
        <v>12.039899999999999</v>
      </c>
      <c r="EE217">
        <v>5.01675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</v>
      </c>
      <c r="EL217">
        <v>1.8646199999999999</v>
      </c>
      <c r="EM217">
        <v>1.8691899999999999</v>
      </c>
      <c r="EN217">
        <v>1.8672200000000001</v>
      </c>
      <c r="EO217">
        <v>1.8633999999999999</v>
      </c>
      <c r="EP217">
        <v>1.8644700000000001</v>
      </c>
      <c r="EQ217">
        <v>1.87012</v>
      </c>
      <c r="ER217">
        <v>1.8693900000000001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-0.67100000000000004</v>
      </c>
      <c r="FG217">
        <v>0.16769999999999999</v>
      </c>
      <c r="FH217">
        <v>-0.44422204735670362</v>
      </c>
      <c r="FI217">
        <v>-6.1462078757559423E-4</v>
      </c>
      <c r="FJ217">
        <v>-1.8861989874597051E-7</v>
      </c>
      <c r="FK217">
        <v>1.1980462299894961E-10</v>
      </c>
      <c r="FL217">
        <v>0.16773393518503121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44.2</v>
      </c>
      <c r="FU217">
        <v>44.2</v>
      </c>
      <c r="FV217">
        <v>1.78101</v>
      </c>
      <c r="FW217">
        <v>2.5585900000000001</v>
      </c>
      <c r="FX217">
        <v>1.5490699999999999</v>
      </c>
      <c r="FY217">
        <v>2.3339799999999999</v>
      </c>
      <c r="FZ217">
        <v>1.50146</v>
      </c>
      <c r="GA217">
        <v>2.4133300000000002</v>
      </c>
      <c r="GB217">
        <v>32.642600000000002</v>
      </c>
      <c r="GC217">
        <v>23.991199999999999</v>
      </c>
      <c r="GD217">
        <v>19</v>
      </c>
      <c r="GE217">
        <v>284.42399999999998</v>
      </c>
      <c r="GF217">
        <v>591.76499999999999</v>
      </c>
      <c r="GG217">
        <v>23.578600000000002</v>
      </c>
      <c r="GH217">
        <v>25.646799999999999</v>
      </c>
      <c r="GI217">
        <v>29.9998</v>
      </c>
      <c r="GJ217">
        <v>25.782</v>
      </c>
      <c r="GK217">
        <v>25.7606</v>
      </c>
      <c r="GL217">
        <v>35.605200000000004</v>
      </c>
      <c r="GM217">
        <v>-30</v>
      </c>
      <c r="GN217">
        <v>-30</v>
      </c>
      <c r="GO217">
        <v>23.6</v>
      </c>
      <c r="GP217">
        <v>800</v>
      </c>
      <c r="GQ217">
        <v>12.5298</v>
      </c>
      <c r="GR217">
        <v>99.696399999999997</v>
      </c>
      <c r="GS217">
        <v>99.414199999999994</v>
      </c>
    </row>
    <row r="218" spans="1:201" x14ac:dyDescent="0.25">
      <c r="A218">
        <v>202</v>
      </c>
      <c r="B218">
        <v>1690205785.5999999</v>
      </c>
      <c r="C218">
        <v>2346</v>
      </c>
      <c r="D218" t="s">
        <v>737</v>
      </c>
      <c r="E218" t="s">
        <v>738</v>
      </c>
      <c r="F218" t="s">
        <v>330</v>
      </c>
      <c r="H218">
        <v>1690205785.5999999</v>
      </c>
      <c r="I218">
        <f t="shared" si="90"/>
        <v>2.0853560081109191E-3</v>
      </c>
      <c r="J218">
        <f t="shared" si="91"/>
        <v>2.085356008110919</v>
      </c>
      <c r="K218">
        <f t="shared" si="92"/>
        <v>43.432115309723272</v>
      </c>
      <c r="L218">
        <f t="shared" si="93"/>
        <v>340.99200000000002</v>
      </c>
      <c r="M218">
        <f t="shared" si="94"/>
        <v>64.528933285903477</v>
      </c>
      <c r="N218">
        <f t="shared" si="95"/>
        <v>6.3993710890021278</v>
      </c>
      <c r="O218">
        <f t="shared" si="96"/>
        <v>33.816370971340802</v>
      </c>
      <c r="P218">
        <f t="shared" si="97"/>
        <v>0.26854153747528103</v>
      </c>
      <c r="Q218">
        <f t="shared" si="98"/>
        <v>2.1904161282921621</v>
      </c>
      <c r="R218">
        <f t="shared" si="99"/>
        <v>0.25150030792837319</v>
      </c>
      <c r="S218">
        <f t="shared" si="100"/>
        <v>0.1586285777275161</v>
      </c>
      <c r="T218">
        <f t="shared" si="101"/>
        <v>276.11664877800001</v>
      </c>
      <c r="U218">
        <f t="shared" si="102"/>
        <v>27.03941858542191</v>
      </c>
      <c r="V218">
        <f t="shared" si="103"/>
        <v>27.03941858542191</v>
      </c>
      <c r="W218">
        <f t="shared" si="104"/>
        <v>3.5874543661103715</v>
      </c>
      <c r="X218">
        <f t="shared" si="105"/>
        <v>84.626243292039064</v>
      </c>
      <c r="Y218">
        <f t="shared" si="106"/>
        <v>2.7916118744570397</v>
      </c>
      <c r="Z218">
        <f t="shared" si="107"/>
        <v>3.298754341278495</v>
      </c>
      <c r="AA218">
        <f t="shared" si="108"/>
        <v>0.79584249165333176</v>
      </c>
      <c r="AB218">
        <f t="shared" si="109"/>
        <v>-91.964199957691534</v>
      </c>
      <c r="AC218">
        <f t="shared" si="110"/>
        <v>-167.84310569381645</v>
      </c>
      <c r="AD218">
        <f t="shared" si="111"/>
        <v>-16.426153267859387</v>
      </c>
      <c r="AE218">
        <f t="shared" si="112"/>
        <v>-0.11681014136735257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52476.65616441681</v>
      </c>
      <c r="AK218">
        <f t="shared" si="116"/>
        <v>1800</v>
      </c>
      <c r="AL218">
        <f t="shared" si="117"/>
        <v>1499.1094728000003</v>
      </c>
      <c r="AM218">
        <f t="shared" si="118"/>
        <v>0.8328385960000001</v>
      </c>
      <c r="AN218">
        <f t="shared" si="119"/>
        <v>0.15339813821000001</v>
      </c>
      <c r="AO218">
        <v>31.2</v>
      </c>
      <c r="AP218">
        <v>0.5</v>
      </c>
      <c r="AQ218" t="s">
        <v>331</v>
      </c>
      <c r="AR218">
        <v>2</v>
      </c>
      <c r="AS218">
        <v>1690205785.5999999</v>
      </c>
      <c r="AT218">
        <v>340.99200000000002</v>
      </c>
      <c r="AU218">
        <v>799.93600000000004</v>
      </c>
      <c r="AV218">
        <v>28.1496</v>
      </c>
      <c r="AW218">
        <v>7.0790699999999998</v>
      </c>
      <c r="AX218">
        <v>341.66300000000001</v>
      </c>
      <c r="AY218">
        <v>27.9819</v>
      </c>
      <c r="AZ218">
        <v>300.09500000000003</v>
      </c>
      <c r="BA218">
        <v>99.070599999999999</v>
      </c>
      <c r="BB218">
        <v>9.99699E-2</v>
      </c>
      <c r="BC218">
        <v>25.618099999999998</v>
      </c>
      <c r="BD218">
        <v>26.981100000000001</v>
      </c>
      <c r="BE218">
        <v>26.802499999999998</v>
      </c>
      <c r="BF218">
        <v>0</v>
      </c>
      <c r="BG218">
        <v>0</v>
      </c>
      <c r="BH218">
        <v>9970</v>
      </c>
      <c r="BI218">
        <v>1064.26</v>
      </c>
      <c r="BJ218">
        <v>1.6567499999999999</v>
      </c>
      <c r="BK218">
        <v>-458.94400000000002</v>
      </c>
      <c r="BL218">
        <v>350.86799999999999</v>
      </c>
      <c r="BM218">
        <v>805.63900000000001</v>
      </c>
      <c r="BN218">
        <v>21.070499999999999</v>
      </c>
      <c r="BO218">
        <v>799.93600000000004</v>
      </c>
      <c r="BP218">
        <v>7.0790699999999998</v>
      </c>
      <c r="BQ218">
        <v>2.7888000000000002</v>
      </c>
      <c r="BR218">
        <v>0.70132799999999995</v>
      </c>
      <c r="BS218">
        <v>22.817900000000002</v>
      </c>
      <c r="BT218">
        <v>1.8528800000000001</v>
      </c>
      <c r="BU218">
        <v>1800</v>
      </c>
      <c r="BV218">
        <v>0.90997600000000001</v>
      </c>
      <c r="BW218">
        <v>3.4004800000000002E-2</v>
      </c>
      <c r="BX218">
        <v>2.2008300000000001E-2</v>
      </c>
      <c r="BY218">
        <v>3.4010899999999997E-2</v>
      </c>
      <c r="BZ218">
        <v>25</v>
      </c>
      <c r="CA218">
        <v>33528.1</v>
      </c>
      <c r="CB218">
        <v>1690203121.0999999</v>
      </c>
      <c r="CC218" t="s">
        <v>332</v>
      </c>
      <c r="CD218">
        <v>1690203121.0999999</v>
      </c>
      <c r="CE218">
        <v>1690203121.0999999</v>
      </c>
      <c r="CF218">
        <v>3</v>
      </c>
      <c r="CG218">
        <v>0.53600000000000003</v>
      </c>
      <c r="CH218">
        <v>-0.01</v>
      </c>
      <c r="CI218">
        <v>-0.996</v>
      </c>
      <c r="CJ218">
        <v>-6.6000000000000003E-2</v>
      </c>
      <c r="CK218">
        <v>800</v>
      </c>
      <c r="CL218">
        <v>9</v>
      </c>
      <c r="CM218">
        <v>0.82</v>
      </c>
      <c r="CN218">
        <v>0.01</v>
      </c>
      <c r="CO218">
        <v>-458.76799999999997</v>
      </c>
      <c r="CP218">
        <v>-1.735429643527022</v>
      </c>
      <c r="CQ218">
        <v>0.1826242043103854</v>
      </c>
      <c r="CR218">
        <v>-1</v>
      </c>
      <c r="CS218">
        <v>21.050039999999999</v>
      </c>
      <c r="CT218">
        <v>0.1236878048779998</v>
      </c>
      <c r="CU218">
        <v>1.2007826614337891E-2</v>
      </c>
      <c r="CV218">
        <v>-1</v>
      </c>
      <c r="CW218">
        <v>0</v>
      </c>
      <c r="CX218">
        <v>0</v>
      </c>
      <c r="CY218" t="s">
        <v>333</v>
      </c>
      <c r="CZ218">
        <v>2.3648699999999998</v>
      </c>
      <c r="DA218">
        <v>2.71373</v>
      </c>
      <c r="DB218">
        <v>7.9272700000000001E-2</v>
      </c>
      <c r="DC218">
        <v>0.14627899999999999</v>
      </c>
      <c r="DD218">
        <v>0.12757099999999999</v>
      </c>
      <c r="DE218">
        <v>4.5165799999999999E-2</v>
      </c>
      <c r="DF218">
        <v>33609.599999999999</v>
      </c>
      <c r="DG218">
        <v>27482</v>
      </c>
      <c r="DH218">
        <v>31160.7</v>
      </c>
      <c r="DI218">
        <v>28047.9</v>
      </c>
      <c r="DJ218">
        <v>36889.1</v>
      </c>
      <c r="DK218">
        <v>38064.6</v>
      </c>
      <c r="DL218">
        <v>44340.2</v>
      </c>
      <c r="DM218">
        <v>42487.9</v>
      </c>
      <c r="DN218">
        <v>1.4860199999999999</v>
      </c>
      <c r="DO218">
        <v>2.0550000000000002</v>
      </c>
      <c r="DP218">
        <v>0.156891</v>
      </c>
      <c r="DQ218">
        <v>0.148475</v>
      </c>
      <c r="DR218">
        <v>24.409800000000001</v>
      </c>
      <c r="DS218">
        <v>24.3687</v>
      </c>
      <c r="DT218">
        <v>22.8</v>
      </c>
      <c r="DU218">
        <v>28.1</v>
      </c>
      <c r="DV218">
        <v>8.78477</v>
      </c>
      <c r="DW218">
        <v>61.892800000000001</v>
      </c>
      <c r="DX218">
        <v>37.3598</v>
      </c>
      <c r="DY218">
        <v>1</v>
      </c>
      <c r="DZ218">
        <v>-0.139677</v>
      </c>
      <c r="EA218">
        <v>0.14056099999999999</v>
      </c>
      <c r="EB218">
        <v>20.191400000000002</v>
      </c>
      <c r="EC218">
        <v>5.2406499999999996</v>
      </c>
      <c r="ED218">
        <v>12.039899999999999</v>
      </c>
      <c r="EE218">
        <v>5.0169499999999996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</v>
      </c>
      <c r="EL218">
        <v>1.8646199999999999</v>
      </c>
      <c r="EM218">
        <v>1.8691599999999999</v>
      </c>
      <c r="EN218">
        <v>1.8672200000000001</v>
      </c>
      <c r="EO218">
        <v>1.8633900000000001</v>
      </c>
      <c r="EP218">
        <v>1.8644700000000001</v>
      </c>
      <c r="EQ218">
        <v>1.8701300000000001</v>
      </c>
      <c r="ER218">
        <v>1.8693900000000001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-0.67100000000000004</v>
      </c>
      <c r="FG218">
        <v>0.16769999999999999</v>
      </c>
      <c r="FH218">
        <v>-0.44422204735670362</v>
      </c>
      <c r="FI218">
        <v>-6.1462078757559423E-4</v>
      </c>
      <c r="FJ218">
        <v>-1.8861989874597051E-7</v>
      </c>
      <c r="FK218">
        <v>1.1980462299894961E-10</v>
      </c>
      <c r="FL218">
        <v>0.16773393518503121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44.4</v>
      </c>
      <c r="FU218">
        <v>44.4</v>
      </c>
      <c r="FV218">
        <v>1.78101</v>
      </c>
      <c r="FW218">
        <v>2.5622600000000002</v>
      </c>
      <c r="FX218">
        <v>1.5490699999999999</v>
      </c>
      <c r="FY218">
        <v>2.3339799999999999</v>
      </c>
      <c r="FZ218">
        <v>1.50146</v>
      </c>
      <c r="GA218">
        <v>2.3791500000000001</v>
      </c>
      <c r="GB218">
        <v>32.642600000000002</v>
      </c>
      <c r="GC218">
        <v>23.991199999999999</v>
      </c>
      <c r="GD218">
        <v>19</v>
      </c>
      <c r="GE218">
        <v>284.53100000000001</v>
      </c>
      <c r="GF218">
        <v>591.99400000000003</v>
      </c>
      <c r="GG218">
        <v>23.638500000000001</v>
      </c>
      <c r="GH218">
        <v>25.647400000000001</v>
      </c>
      <c r="GI218">
        <v>29.999700000000001</v>
      </c>
      <c r="GJ218">
        <v>25.782</v>
      </c>
      <c r="GK218">
        <v>25.7606</v>
      </c>
      <c r="GL218">
        <v>35.605200000000004</v>
      </c>
      <c r="GM218">
        <v>-30</v>
      </c>
      <c r="GN218">
        <v>-30</v>
      </c>
      <c r="GO218">
        <v>23.6418</v>
      </c>
      <c r="GP218">
        <v>800</v>
      </c>
      <c r="GQ218">
        <v>12.5298</v>
      </c>
      <c r="GR218">
        <v>99.695099999999996</v>
      </c>
      <c r="GS218">
        <v>99.415400000000005</v>
      </c>
    </row>
    <row r="219" spans="1:201" x14ac:dyDescent="0.25">
      <c r="A219">
        <v>203</v>
      </c>
      <c r="B219">
        <v>1690205795.5999999</v>
      </c>
      <c r="C219">
        <v>2356</v>
      </c>
      <c r="D219" t="s">
        <v>739</v>
      </c>
      <c r="E219" t="s">
        <v>740</v>
      </c>
      <c r="F219" t="s">
        <v>330</v>
      </c>
      <c r="H219">
        <v>1690205795.5999999</v>
      </c>
      <c r="I219">
        <f t="shared" si="90"/>
        <v>2.0863371162998592E-3</v>
      </c>
      <c r="J219">
        <f t="shared" si="91"/>
        <v>2.0863371162998594</v>
      </c>
      <c r="K219">
        <f t="shared" si="92"/>
        <v>43.444949237153637</v>
      </c>
      <c r="L219">
        <f t="shared" si="93"/>
        <v>340.904</v>
      </c>
      <c r="M219">
        <f t="shared" si="94"/>
        <v>64.12727343291715</v>
      </c>
      <c r="N219">
        <f t="shared" si="95"/>
        <v>6.3601050798581245</v>
      </c>
      <c r="O219">
        <f t="shared" si="96"/>
        <v>33.810657245736003</v>
      </c>
      <c r="P219">
        <f t="shared" si="97"/>
        <v>0.26829552374845139</v>
      </c>
      <c r="Q219">
        <f t="shared" si="98"/>
        <v>2.1911411738145992</v>
      </c>
      <c r="R219">
        <f t="shared" si="99"/>
        <v>0.25128968858048395</v>
      </c>
      <c r="S219">
        <f t="shared" si="100"/>
        <v>0.15849405284455537</v>
      </c>
      <c r="T219">
        <f t="shared" si="101"/>
        <v>276.11651214</v>
      </c>
      <c r="U219">
        <f t="shared" si="102"/>
        <v>27.048942004280473</v>
      </c>
      <c r="V219">
        <f t="shared" si="103"/>
        <v>27.048942004280473</v>
      </c>
      <c r="W219">
        <f t="shared" si="104"/>
        <v>3.5894608505991896</v>
      </c>
      <c r="X219">
        <f t="shared" si="105"/>
        <v>84.601904191914628</v>
      </c>
      <c r="Y219">
        <f t="shared" si="106"/>
        <v>2.7925152756858003</v>
      </c>
      <c r="Z219">
        <f t="shared" si="107"/>
        <v>3.3007711851864916</v>
      </c>
      <c r="AA219">
        <f t="shared" si="108"/>
        <v>0.79694557491338935</v>
      </c>
      <c r="AB219">
        <f t="shared" si="109"/>
        <v>-92.007466828823794</v>
      </c>
      <c r="AC219">
        <f t="shared" si="110"/>
        <v>-167.80692652387663</v>
      </c>
      <c r="AD219">
        <f t="shared" si="111"/>
        <v>-16.418809152424007</v>
      </c>
      <c r="AE219">
        <f t="shared" si="112"/>
        <v>-0.11669036512441266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52504.767491565777</v>
      </c>
      <c r="AK219">
        <f t="shared" si="116"/>
        <v>1800</v>
      </c>
      <c r="AL219">
        <f t="shared" si="117"/>
        <v>1499.1092100000001</v>
      </c>
      <c r="AM219">
        <f t="shared" si="118"/>
        <v>0.83283845000000001</v>
      </c>
      <c r="AN219">
        <f t="shared" si="119"/>
        <v>0.1533980623</v>
      </c>
      <c r="AO219">
        <v>31.2</v>
      </c>
      <c r="AP219">
        <v>0.5</v>
      </c>
      <c r="AQ219" t="s">
        <v>331</v>
      </c>
      <c r="AR219">
        <v>2</v>
      </c>
      <c r="AS219">
        <v>1690205795.5999999</v>
      </c>
      <c r="AT219">
        <v>340.904</v>
      </c>
      <c r="AU219">
        <v>799.98299999999995</v>
      </c>
      <c r="AV219">
        <v>28.156199999999998</v>
      </c>
      <c r="AW219">
        <v>7.0758999999999999</v>
      </c>
      <c r="AX219">
        <v>341.57600000000002</v>
      </c>
      <c r="AY219">
        <v>27.988499999999998</v>
      </c>
      <c r="AZ219">
        <v>300.09500000000003</v>
      </c>
      <c r="BA219">
        <v>99.079400000000007</v>
      </c>
      <c r="BB219">
        <v>0.100009</v>
      </c>
      <c r="BC219">
        <v>25.628399999999999</v>
      </c>
      <c r="BD219">
        <v>27.031700000000001</v>
      </c>
      <c r="BE219">
        <v>26.811599999999999</v>
      </c>
      <c r="BF219">
        <v>0</v>
      </c>
      <c r="BG219">
        <v>0</v>
      </c>
      <c r="BH219">
        <v>9975</v>
      </c>
      <c r="BI219">
        <v>1064.27</v>
      </c>
      <c r="BJ219">
        <v>1.7310399999999999</v>
      </c>
      <c r="BK219">
        <v>-459.07900000000001</v>
      </c>
      <c r="BL219">
        <v>350.78100000000001</v>
      </c>
      <c r="BM219">
        <v>805.68399999999997</v>
      </c>
      <c r="BN219">
        <v>21.080300000000001</v>
      </c>
      <c r="BO219">
        <v>799.98299999999995</v>
      </c>
      <c r="BP219">
        <v>7.0758999999999999</v>
      </c>
      <c r="BQ219">
        <v>2.7896999999999998</v>
      </c>
      <c r="BR219">
        <v>0.70107699999999995</v>
      </c>
      <c r="BS219">
        <v>22.8233</v>
      </c>
      <c r="BT219">
        <v>1.8478699999999999</v>
      </c>
      <c r="BU219">
        <v>1800</v>
      </c>
      <c r="BV219">
        <v>0.90997700000000004</v>
      </c>
      <c r="BW219">
        <v>3.4004300000000001E-2</v>
      </c>
      <c r="BX219">
        <v>2.2008E-2</v>
      </c>
      <c r="BY219">
        <v>3.4010400000000003E-2</v>
      </c>
      <c r="BZ219">
        <v>25</v>
      </c>
      <c r="CA219">
        <v>33528.1</v>
      </c>
      <c r="CB219">
        <v>1690203121.0999999</v>
      </c>
      <c r="CC219" t="s">
        <v>332</v>
      </c>
      <c r="CD219">
        <v>1690203121.0999999</v>
      </c>
      <c r="CE219">
        <v>1690203121.0999999</v>
      </c>
      <c r="CF219">
        <v>3</v>
      </c>
      <c r="CG219">
        <v>0.53600000000000003</v>
      </c>
      <c r="CH219">
        <v>-0.01</v>
      </c>
      <c r="CI219">
        <v>-0.996</v>
      </c>
      <c r="CJ219">
        <v>-6.6000000000000003E-2</v>
      </c>
      <c r="CK219">
        <v>800</v>
      </c>
      <c r="CL219">
        <v>9</v>
      </c>
      <c r="CM219">
        <v>0.82</v>
      </c>
      <c r="CN219">
        <v>0.01</v>
      </c>
      <c r="CO219">
        <v>-458.96657499999998</v>
      </c>
      <c r="CP219">
        <v>-1.329669793621211</v>
      </c>
      <c r="CQ219">
        <v>0.15044698194048151</v>
      </c>
      <c r="CR219">
        <v>-1</v>
      </c>
      <c r="CS219">
        <v>21.0666075</v>
      </c>
      <c r="CT219">
        <v>0.10036660412757061</v>
      </c>
      <c r="CU219">
        <v>9.9628657398360028E-3</v>
      </c>
      <c r="CV219">
        <v>-1</v>
      </c>
      <c r="CW219">
        <v>0</v>
      </c>
      <c r="CX219">
        <v>0</v>
      </c>
      <c r="CY219" t="s">
        <v>333</v>
      </c>
      <c r="CZ219">
        <v>2.3648600000000002</v>
      </c>
      <c r="DA219">
        <v>2.7137799999999999</v>
      </c>
      <c r="DB219">
        <v>7.9263600000000003E-2</v>
      </c>
      <c r="DC219">
        <v>0.14629800000000001</v>
      </c>
      <c r="DD219">
        <v>0.12760299999999999</v>
      </c>
      <c r="DE219">
        <v>4.5153499999999999E-2</v>
      </c>
      <c r="DF219">
        <v>33610.1</v>
      </c>
      <c r="DG219">
        <v>27481</v>
      </c>
      <c r="DH219">
        <v>31160.799999999999</v>
      </c>
      <c r="DI219">
        <v>28047.5</v>
      </c>
      <c r="DJ219">
        <v>36887.9</v>
      </c>
      <c r="DK219">
        <v>38064.400000000001</v>
      </c>
      <c r="DL219">
        <v>44340.4</v>
      </c>
      <c r="DM219">
        <v>42487.3</v>
      </c>
      <c r="DN219">
        <v>1.4854700000000001</v>
      </c>
      <c r="DO219">
        <v>2.0545499999999999</v>
      </c>
      <c r="DP219">
        <v>0.15980800000000001</v>
      </c>
      <c r="DQ219">
        <v>0.14890400000000001</v>
      </c>
      <c r="DR219">
        <v>24.412700000000001</v>
      </c>
      <c r="DS219">
        <v>24.370799999999999</v>
      </c>
      <c r="DT219">
        <v>22.8</v>
      </c>
      <c r="DU219">
        <v>28.1</v>
      </c>
      <c r="DV219">
        <v>8.7837899999999998</v>
      </c>
      <c r="DW219">
        <v>62.122799999999998</v>
      </c>
      <c r="DX219">
        <v>37.107399999999998</v>
      </c>
      <c r="DY219">
        <v>1</v>
      </c>
      <c r="DZ219">
        <v>-0.138791</v>
      </c>
      <c r="EA219">
        <v>0.20230899999999999</v>
      </c>
      <c r="EB219">
        <v>20.191199999999998</v>
      </c>
      <c r="EC219">
        <v>5.2409499999999998</v>
      </c>
      <c r="ED219">
        <v>12.039899999999999</v>
      </c>
      <c r="EE219">
        <v>5.0169499999999996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</v>
      </c>
      <c r="EL219">
        <v>1.8646199999999999</v>
      </c>
      <c r="EM219">
        <v>1.86917</v>
      </c>
      <c r="EN219">
        <v>1.8672200000000001</v>
      </c>
      <c r="EO219">
        <v>1.8633999999999999</v>
      </c>
      <c r="EP219">
        <v>1.8644799999999999</v>
      </c>
      <c r="EQ219">
        <v>1.87012</v>
      </c>
      <c r="ER219">
        <v>1.86938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-0.67200000000000004</v>
      </c>
      <c r="FG219">
        <v>0.16769999999999999</v>
      </c>
      <c r="FH219">
        <v>-0.44422204735670362</v>
      </c>
      <c r="FI219">
        <v>-6.1462078757559423E-4</v>
      </c>
      <c r="FJ219">
        <v>-1.8861989874597051E-7</v>
      </c>
      <c r="FK219">
        <v>1.1980462299894961E-10</v>
      </c>
      <c r="FL219">
        <v>0.16773393518503121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44.6</v>
      </c>
      <c r="FU219">
        <v>44.6</v>
      </c>
      <c r="FV219">
        <v>1.78101</v>
      </c>
      <c r="FW219">
        <v>2.5622600000000002</v>
      </c>
      <c r="FX219">
        <v>1.5490699999999999</v>
      </c>
      <c r="FY219">
        <v>2.3339799999999999</v>
      </c>
      <c r="FZ219">
        <v>1.50146</v>
      </c>
      <c r="GA219">
        <v>2.3559600000000001</v>
      </c>
      <c r="GB219">
        <v>32.642600000000002</v>
      </c>
      <c r="GC219">
        <v>23.991199999999999</v>
      </c>
      <c r="GD219">
        <v>19</v>
      </c>
      <c r="GE219">
        <v>284.29599999999999</v>
      </c>
      <c r="GF219">
        <v>591.61900000000003</v>
      </c>
      <c r="GG219">
        <v>23.662099999999999</v>
      </c>
      <c r="GH219">
        <v>25.647400000000001</v>
      </c>
      <c r="GI219">
        <v>30</v>
      </c>
      <c r="GJ219">
        <v>25.782</v>
      </c>
      <c r="GK219">
        <v>25.7606</v>
      </c>
      <c r="GL219">
        <v>35.603000000000002</v>
      </c>
      <c r="GM219">
        <v>-30</v>
      </c>
      <c r="GN219">
        <v>-30</v>
      </c>
      <c r="GO219">
        <v>23.659300000000002</v>
      </c>
      <c r="GP219">
        <v>800</v>
      </c>
      <c r="GQ219">
        <v>12.5298</v>
      </c>
      <c r="GR219">
        <v>99.695599999999999</v>
      </c>
      <c r="GS219">
        <v>99.414000000000001</v>
      </c>
    </row>
    <row r="220" spans="1:201" x14ac:dyDescent="0.25">
      <c r="A220">
        <v>204</v>
      </c>
      <c r="B220">
        <v>1690205805.5999999</v>
      </c>
      <c r="C220">
        <v>2366</v>
      </c>
      <c r="D220" t="s">
        <v>741</v>
      </c>
      <c r="E220" t="s">
        <v>742</v>
      </c>
      <c r="F220" t="s">
        <v>330</v>
      </c>
      <c r="H220">
        <v>1690205805.5999999</v>
      </c>
      <c r="I220">
        <f t="shared" si="90"/>
        <v>2.0871985491813334E-3</v>
      </c>
      <c r="J220">
        <f t="shared" si="91"/>
        <v>2.0871985491813332</v>
      </c>
      <c r="K220">
        <f t="shared" si="92"/>
        <v>43.45529759761461</v>
      </c>
      <c r="L220">
        <f t="shared" si="93"/>
        <v>340.815</v>
      </c>
      <c r="M220">
        <f t="shared" si="94"/>
        <v>64.12428542009178</v>
      </c>
      <c r="N220">
        <f t="shared" si="95"/>
        <v>6.3600051752604037</v>
      </c>
      <c r="O220">
        <f t="shared" si="96"/>
        <v>33.802874365087504</v>
      </c>
      <c r="P220">
        <f t="shared" si="97"/>
        <v>0.26844060562564415</v>
      </c>
      <c r="Q220">
        <f t="shared" si="98"/>
        <v>2.1926420035705876</v>
      </c>
      <c r="R220">
        <f t="shared" si="99"/>
        <v>0.25142785967507764</v>
      </c>
      <c r="S220">
        <f t="shared" si="100"/>
        <v>0.15858100626452484</v>
      </c>
      <c r="T220">
        <f t="shared" si="101"/>
        <v>276.11491758971351</v>
      </c>
      <c r="U220">
        <f t="shared" si="102"/>
        <v>27.051146189846452</v>
      </c>
      <c r="V220">
        <f t="shared" si="103"/>
        <v>27.051146189846452</v>
      </c>
      <c r="W220">
        <f t="shared" si="104"/>
        <v>3.5899253889616753</v>
      </c>
      <c r="X220">
        <f t="shared" si="105"/>
        <v>84.601570194828795</v>
      </c>
      <c r="Y220">
        <f t="shared" si="106"/>
        <v>2.7930676898252504</v>
      </c>
      <c r="Z220">
        <f t="shared" si="107"/>
        <v>3.3014371759213215</v>
      </c>
      <c r="AA220">
        <f t="shared" si="108"/>
        <v>0.7968576991364249</v>
      </c>
      <c r="AB220">
        <f t="shared" si="109"/>
        <v>-92.0454560188968</v>
      </c>
      <c r="AC220">
        <f t="shared" si="110"/>
        <v>-167.78050957665636</v>
      </c>
      <c r="AD220">
        <f t="shared" si="111"/>
        <v>-16.405448319444236</v>
      </c>
      <c r="AE220">
        <f t="shared" si="112"/>
        <v>-0.1164963252838902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52565.817089303833</v>
      </c>
      <c r="AK220">
        <f t="shared" si="116"/>
        <v>1799.99</v>
      </c>
      <c r="AL220">
        <f t="shared" si="117"/>
        <v>1499.1012956132001</v>
      </c>
      <c r="AM220">
        <f t="shared" si="118"/>
        <v>0.83283868000000005</v>
      </c>
      <c r="AN220">
        <f t="shared" si="119"/>
        <v>0.15339802865000002</v>
      </c>
      <c r="AO220">
        <v>31.2</v>
      </c>
      <c r="AP220">
        <v>0.5</v>
      </c>
      <c r="AQ220" t="s">
        <v>331</v>
      </c>
      <c r="AR220">
        <v>2</v>
      </c>
      <c r="AS220">
        <v>1690205805.5999999</v>
      </c>
      <c r="AT220">
        <v>340.815</v>
      </c>
      <c r="AU220">
        <v>799.99199999999996</v>
      </c>
      <c r="AV220">
        <v>28.160900000000002</v>
      </c>
      <c r="AW220">
        <v>7.0724900000000002</v>
      </c>
      <c r="AX220">
        <v>341.48599999999999</v>
      </c>
      <c r="AY220">
        <v>27.993200000000002</v>
      </c>
      <c r="AZ220">
        <v>300.10199999999998</v>
      </c>
      <c r="BA220">
        <v>99.082499999999996</v>
      </c>
      <c r="BB220">
        <v>9.9972500000000006E-2</v>
      </c>
      <c r="BC220">
        <v>25.631799999999998</v>
      </c>
      <c r="BD220">
        <v>27.008500000000002</v>
      </c>
      <c r="BE220">
        <v>26.821300000000001</v>
      </c>
      <c r="BF220">
        <v>0</v>
      </c>
      <c r="BG220">
        <v>0</v>
      </c>
      <c r="BH220">
        <v>9986.8799999999992</v>
      </c>
      <c r="BI220">
        <v>1064.1400000000001</v>
      </c>
      <c r="BJ220">
        <v>1.96231</v>
      </c>
      <c r="BK220">
        <v>-459.17700000000002</v>
      </c>
      <c r="BL220">
        <v>350.69</v>
      </c>
      <c r="BM220">
        <v>805.69</v>
      </c>
      <c r="BN220">
        <v>21.0884</v>
      </c>
      <c r="BO220">
        <v>799.99199999999996</v>
      </c>
      <c r="BP220">
        <v>7.0724900000000002</v>
      </c>
      <c r="BQ220">
        <v>2.7902499999999999</v>
      </c>
      <c r="BR220">
        <v>0.70075900000000002</v>
      </c>
      <c r="BS220">
        <v>22.826499999999999</v>
      </c>
      <c r="BT220">
        <v>1.84155</v>
      </c>
      <c r="BU220">
        <v>1799.99</v>
      </c>
      <c r="BV220">
        <v>0.90997899999999998</v>
      </c>
      <c r="BW220">
        <v>3.4003600000000002E-2</v>
      </c>
      <c r="BX220">
        <v>2.2007499999999999E-2</v>
      </c>
      <c r="BY220">
        <v>3.4009699999999997E-2</v>
      </c>
      <c r="BZ220">
        <v>25</v>
      </c>
      <c r="CA220">
        <v>33528.1</v>
      </c>
      <c r="CB220">
        <v>1690203121.0999999</v>
      </c>
      <c r="CC220" t="s">
        <v>332</v>
      </c>
      <c r="CD220">
        <v>1690203121.0999999</v>
      </c>
      <c r="CE220">
        <v>1690203121.0999999</v>
      </c>
      <c r="CF220">
        <v>3</v>
      </c>
      <c r="CG220">
        <v>0.53600000000000003</v>
      </c>
      <c r="CH220">
        <v>-0.01</v>
      </c>
      <c r="CI220">
        <v>-0.996</v>
      </c>
      <c r="CJ220">
        <v>-6.6000000000000003E-2</v>
      </c>
      <c r="CK220">
        <v>800</v>
      </c>
      <c r="CL220">
        <v>9</v>
      </c>
      <c r="CM220">
        <v>0.82</v>
      </c>
      <c r="CN220">
        <v>0.01</v>
      </c>
      <c r="CO220">
        <v>-459.08277500000003</v>
      </c>
      <c r="CP220">
        <v>-0.27643902438972889</v>
      </c>
      <c r="CQ220">
        <v>5.0706255777763672E-2</v>
      </c>
      <c r="CR220">
        <v>-1</v>
      </c>
      <c r="CS220">
        <v>21.080192499999999</v>
      </c>
      <c r="CT220">
        <v>5.2229268292656693E-2</v>
      </c>
      <c r="CU220">
        <v>5.062627158896953E-3</v>
      </c>
      <c r="CV220">
        <v>-1</v>
      </c>
      <c r="CW220">
        <v>0</v>
      </c>
      <c r="CX220">
        <v>0</v>
      </c>
      <c r="CY220" t="s">
        <v>333</v>
      </c>
      <c r="CZ220">
        <v>2.3648799999999999</v>
      </c>
      <c r="DA220">
        <v>2.7137500000000001</v>
      </c>
      <c r="DB220">
        <v>7.9249600000000003E-2</v>
      </c>
      <c r="DC220">
        <v>0.14630299999999999</v>
      </c>
      <c r="DD220">
        <v>0.12762200000000001</v>
      </c>
      <c r="DE220">
        <v>4.5137400000000001E-2</v>
      </c>
      <c r="DF220">
        <v>33610.400000000001</v>
      </c>
      <c r="DG220">
        <v>27480.799999999999</v>
      </c>
      <c r="DH220">
        <v>31160.7</v>
      </c>
      <c r="DI220">
        <v>28047.5</v>
      </c>
      <c r="DJ220">
        <v>36886.9</v>
      </c>
      <c r="DK220">
        <v>38065.1</v>
      </c>
      <c r="DL220">
        <v>44340.2</v>
      </c>
      <c r="DM220">
        <v>42487.3</v>
      </c>
      <c r="DN220">
        <v>1.48505</v>
      </c>
      <c r="DO220">
        <v>2.0546700000000002</v>
      </c>
      <c r="DP220">
        <v>0.158194</v>
      </c>
      <c r="DQ220">
        <v>0.14924999999999999</v>
      </c>
      <c r="DR220">
        <v>24.415900000000001</v>
      </c>
      <c r="DS220">
        <v>24.3749</v>
      </c>
      <c r="DT220">
        <v>22.7</v>
      </c>
      <c r="DU220">
        <v>28.1</v>
      </c>
      <c r="DV220">
        <v>8.7451100000000004</v>
      </c>
      <c r="DW220">
        <v>61.722799999999999</v>
      </c>
      <c r="DX220">
        <v>36.979199999999999</v>
      </c>
      <c r="DY220">
        <v>1</v>
      </c>
      <c r="DZ220">
        <v>-0.13827999999999999</v>
      </c>
      <c r="EA220">
        <v>0.37413400000000002</v>
      </c>
      <c r="EB220">
        <v>20.1907</v>
      </c>
      <c r="EC220">
        <v>5.2409499999999998</v>
      </c>
      <c r="ED220">
        <v>12.039899999999999</v>
      </c>
      <c r="EE220">
        <v>5.0166500000000003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1.8646199999999999</v>
      </c>
      <c r="EM220">
        <v>1.86917</v>
      </c>
      <c r="EN220">
        <v>1.8672200000000001</v>
      </c>
      <c r="EO220">
        <v>1.8633999999999999</v>
      </c>
      <c r="EP220">
        <v>1.8644799999999999</v>
      </c>
      <c r="EQ220">
        <v>1.8701300000000001</v>
      </c>
      <c r="ER220">
        <v>1.8694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-0.67100000000000004</v>
      </c>
      <c r="FG220">
        <v>0.16769999999999999</v>
      </c>
      <c r="FH220">
        <v>-0.44422204735670362</v>
      </c>
      <c r="FI220">
        <v>-6.1462078757559423E-4</v>
      </c>
      <c r="FJ220">
        <v>-1.8861989874597051E-7</v>
      </c>
      <c r="FK220">
        <v>1.1980462299894961E-10</v>
      </c>
      <c r="FL220">
        <v>0.16773393518503121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44.7</v>
      </c>
      <c r="FU220">
        <v>44.7</v>
      </c>
      <c r="FV220">
        <v>1.78101</v>
      </c>
      <c r="FW220">
        <v>2.5610400000000002</v>
      </c>
      <c r="FX220">
        <v>1.5490699999999999</v>
      </c>
      <c r="FY220">
        <v>2.3339799999999999</v>
      </c>
      <c r="FZ220">
        <v>1.50146</v>
      </c>
      <c r="GA220">
        <v>2.3864700000000001</v>
      </c>
      <c r="GB220">
        <v>32.642600000000002</v>
      </c>
      <c r="GC220">
        <v>23.991199999999999</v>
      </c>
      <c r="GD220">
        <v>19</v>
      </c>
      <c r="GE220">
        <v>284.11500000000001</v>
      </c>
      <c r="GF220">
        <v>591.72299999999996</v>
      </c>
      <c r="GG220">
        <v>23.616</v>
      </c>
      <c r="GH220">
        <v>25.647400000000001</v>
      </c>
      <c r="GI220">
        <v>30.000399999999999</v>
      </c>
      <c r="GJ220">
        <v>25.782</v>
      </c>
      <c r="GK220">
        <v>25.7606</v>
      </c>
      <c r="GL220">
        <v>35.6036</v>
      </c>
      <c r="GM220">
        <v>-30</v>
      </c>
      <c r="GN220">
        <v>-30</v>
      </c>
      <c r="GO220">
        <v>23.6175</v>
      </c>
      <c r="GP220">
        <v>800</v>
      </c>
      <c r="GQ220">
        <v>12.5298</v>
      </c>
      <c r="GR220">
        <v>99.694999999999993</v>
      </c>
      <c r="GS220">
        <v>99.413899999999998</v>
      </c>
    </row>
    <row r="221" spans="1:201" x14ac:dyDescent="0.25">
      <c r="A221">
        <v>205</v>
      </c>
      <c r="B221">
        <v>1690205815.5999999</v>
      </c>
      <c r="C221">
        <v>2376</v>
      </c>
      <c r="D221" t="s">
        <v>743</v>
      </c>
      <c r="E221" t="s">
        <v>744</v>
      </c>
      <c r="F221" t="s">
        <v>330</v>
      </c>
      <c r="H221">
        <v>1690205815.5999999</v>
      </c>
      <c r="I221">
        <f t="shared" si="90"/>
        <v>2.0866826658975913E-3</v>
      </c>
      <c r="J221">
        <f t="shared" si="91"/>
        <v>2.0866826658975914</v>
      </c>
      <c r="K221">
        <f t="shared" si="92"/>
        <v>43.46543801175676</v>
      </c>
      <c r="L221">
        <f t="shared" si="93"/>
        <v>340.79199999999997</v>
      </c>
      <c r="M221">
        <f t="shared" si="94"/>
        <v>63.69858768985268</v>
      </c>
      <c r="N221">
        <f t="shared" si="95"/>
        <v>6.3177440115214489</v>
      </c>
      <c r="O221">
        <f t="shared" si="96"/>
        <v>33.800382320209593</v>
      </c>
      <c r="P221">
        <f t="shared" si="97"/>
        <v>0.26809366673164353</v>
      </c>
      <c r="Q221">
        <f t="shared" si="98"/>
        <v>2.1920955744315829</v>
      </c>
      <c r="R221">
        <f t="shared" si="99"/>
        <v>0.25111943370120265</v>
      </c>
      <c r="S221">
        <f t="shared" si="100"/>
        <v>0.15838507092171367</v>
      </c>
      <c r="T221">
        <f t="shared" si="101"/>
        <v>276.11647030800003</v>
      </c>
      <c r="U221">
        <f t="shared" si="102"/>
        <v>27.049458897444591</v>
      </c>
      <c r="V221">
        <f t="shared" si="103"/>
        <v>27.049458897444591</v>
      </c>
      <c r="W221">
        <f t="shared" si="104"/>
        <v>3.5895697825903348</v>
      </c>
      <c r="X221">
        <f t="shared" si="105"/>
        <v>84.578135254852185</v>
      </c>
      <c r="Y221">
        <f t="shared" si="106"/>
        <v>2.7919295117284801</v>
      </c>
      <c r="Z221">
        <f t="shared" si="107"/>
        <v>3.3010062273373535</v>
      </c>
      <c r="AA221">
        <f t="shared" si="108"/>
        <v>0.79764027086185463</v>
      </c>
      <c r="AB221">
        <f t="shared" si="109"/>
        <v>-92.022705566083772</v>
      </c>
      <c r="AC221">
        <f t="shared" si="110"/>
        <v>-167.79928884822644</v>
      </c>
      <c r="AD221">
        <f t="shared" si="111"/>
        <v>-16.411054816018197</v>
      </c>
      <c r="AE221">
        <f t="shared" si="112"/>
        <v>-0.1165789223283582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52543.765498956032</v>
      </c>
      <c r="AK221">
        <f t="shared" si="116"/>
        <v>1800</v>
      </c>
      <c r="AL221">
        <f t="shared" si="117"/>
        <v>1499.1100397999996</v>
      </c>
      <c r="AM221">
        <f t="shared" si="118"/>
        <v>0.83283891099999985</v>
      </c>
      <c r="AN221">
        <f t="shared" si="119"/>
        <v>0.15339803906000002</v>
      </c>
      <c r="AO221">
        <v>31.2</v>
      </c>
      <c r="AP221">
        <v>0.5</v>
      </c>
      <c r="AQ221" t="s">
        <v>331</v>
      </c>
      <c r="AR221">
        <v>2</v>
      </c>
      <c r="AS221">
        <v>1690205815.5999999</v>
      </c>
      <c r="AT221">
        <v>340.79199999999997</v>
      </c>
      <c r="AU221">
        <v>799.99099999999999</v>
      </c>
      <c r="AV221">
        <v>28.1496</v>
      </c>
      <c r="AW221">
        <v>7.0698800000000004</v>
      </c>
      <c r="AX221">
        <v>341.46300000000002</v>
      </c>
      <c r="AY221">
        <v>27.9819</v>
      </c>
      <c r="AZ221">
        <v>300.15499999999997</v>
      </c>
      <c r="BA221">
        <v>99.081900000000005</v>
      </c>
      <c r="BB221">
        <v>9.9953799999999995E-2</v>
      </c>
      <c r="BC221">
        <v>25.6296</v>
      </c>
      <c r="BD221">
        <v>26.963200000000001</v>
      </c>
      <c r="BE221">
        <v>26.8188</v>
      </c>
      <c r="BF221">
        <v>0</v>
      </c>
      <c r="BG221">
        <v>0</v>
      </c>
      <c r="BH221">
        <v>9982.5</v>
      </c>
      <c r="BI221">
        <v>1064.1600000000001</v>
      </c>
      <c r="BJ221">
        <v>1.96231</v>
      </c>
      <c r="BK221">
        <v>-459.19799999999998</v>
      </c>
      <c r="BL221">
        <v>350.66300000000001</v>
      </c>
      <c r="BM221">
        <v>805.68700000000001</v>
      </c>
      <c r="BN221">
        <v>21.079699999999999</v>
      </c>
      <c r="BO221">
        <v>799.99099999999999</v>
      </c>
      <c r="BP221">
        <v>7.0698800000000004</v>
      </c>
      <c r="BQ221">
        <v>2.78912</v>
      </c>
      <c r="BR221">
        <v>0.70049600000000001</v>
      </c>
      <c r="BS221">
        <v>22.819800000000001</v>
      </c>
      <c r="BT221">
        <v>1.8363</v>
      </c>
      <c r="BU221">
        <v>1800</v>
      </c>
      <c r="BV221">
        <v>0.90998000000000001</v>
      </c>
      <c r="BW221">
        <v>3.40033E-2</v>
      </c>
      <c r="BX221">
        <v>2.20073E-2</v>
      </c>
      <c r="BY221">
        <v>3.4009400000000002E-2</v>
      </c>
      <c r="BZ221">
        <v>25</v>
      </c>
      <c r="CA221">
        <v>33528.199999999997</v>
      </c>
      <c r="CB221">
        <v>1690203121.0999999</v>
      </c>
      <c r="CC221" t="s">
        <v>332</v>
      </c>
      <c r="CD221">
        <v>1690203121.0999999</v>
      </c>
      <c r="CE221">
        <v>1690203121.0999999</v>
      </c>
      <c r="CF221">
        <v>3</v>
      </c>
      <c r="CG221">
        <v>0.53600000000000003</v>
      </c>
      <c r="CH221">
        <v>-0.01</v>
      </c>
      <c r="CI221">
        <v>-0.996</v>
      </c>
      <c r="CJ221">
        <v>-6.6000000000000003E-2</v>
      </c>
      <c r="CK221">
        <v>800</v>
      </c>
      <c r="CL221">
        <v>9</v>
      </c>
      <c r="CM221">
        <v>0.82</v>
      </c>
      <c r="CN221">
        <v>0.01</v>
      </c>
      <c r="CO221">
        <v>-459.14037500000012</v>
      </c>
      <c r="CP221">
        <v>-0.41433771106822942</v>
      </c>
      <c r="CQ221">
        <v>6.4521968158137155E-2</v>
      </c>
      <c r="CR221">
        <v>-1</v>
      </c>
      <c r="CS221">
        <v>21.083972500000002</v>
      </c>
      <c r="CT221">
        <v>3.8127579737480891E-3</v>
      </c>
      <c r="CU221">
        <v>2.7609769557169379E-3</v>
      </c>
      <c r="CV221">
        <v>-1</v>
      </c>
      <c r="CW221">
        <v>0</v>
      </c>
      <c r="CX221">
        <v>0</v>
      </c>
      <c r="CY221" t="s">
        <v>333</v>
      </c>
      <c r="CZ221">
        <v>2.3650600000000002</v>
      </c>
      <c r="DA221">
        <v>2.71373</v>
      </c>
      <c r="DB221">
        <v>7.9244999999999996E-2</v>
      </c>
      <c r="DC221">
        <v>0.14630199999999999</v>
      </c>
      <c r="DD221">
        <v>0.127586</v>
      </c>
      <c r="DE221">
        <v>4.5123799999999999E-2</v>
      </c>
      <c r="DF221">
        <v>33610.5</v>
      </c>
      <c r="DG221">
        <v>27480.7</v>
      </c>
      <c r="DH221">
        <v>31160.6</v>
      </c>
      <c r="DI221">
        <v>28047.3</v>
      </c>
      <c r="DJ221">
        <v>36888.400000000001</v>
      </c>
      <c r="DK221">
        <v>38065.5</v>
      </c>
      <c r="DL221">
        <v>44340.1</v>
      </c>
      <c r="DM221">
        <v>42487.1</v>
      </c>
      <c r="DN221">
        <v>1.4851000000000001</v>
      </c>
      <c r="DO221">
        <v>2.0546000000000002</v>
      </c>
      <c r="DP221">
        <v>0.15529999999999999</v>
      </c>
      <c r="DQ221">
        <v>0.14888499999999999</v>
      </c>
      <c r="DR221">
        <v>24.417999999999999</v>
      </c>
      <c r="DS221">
        <v>24.378299999999999</v>
      </c>
      <c r="DT221">
        <v>22.7</v>
      </c>
      <c r="DU221">
        <v>28.1</v>
      </c>
      <c r="DV221">
        <v>8.7448899999999998</v>
      </c>
      <c r="DW221">
        <v>61.142800000000001</v>
      </c>
      <c r="DX221">
        <v>36.682699999999997</v>
      </c>
      <c r="DY221">
        <v>1</v>
      </c>
      <c r="DZ221">
        <v>-0.13841700000000001</v>
      </c>
      <c r="EA221">
        <v>0.36165900000000001</v>
      </c>
      <c r="EB221">
        <v>20.1906</v>
      </c>
      <c r="EC221">
        <v>5.2409499999999998</v>
      </c>
      <c r="ED221">
        <v>12.039899999999999</v>
      </c>
      <c r="EE221">
        <v>5.0168499999999998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</v>
      </c>
      <c r="EL221">
        <v>1.8646199999999999</v>
      </c>
      <c r="EM221">
        <v>1.86914</v>
      </c>
      <c r="EN221">
        <v>1.8672200000000001</v>
      </c>
      <c r="EO221">
        <v>1.8633999999999999</v>
      </c>
      <c r="EP221">
        <v>1.86449</v>
      </c>
      <c r="EQ221">
        <v>1.87012</v>
      </c>
      <c r="ER221">
        <v>1.8693599999999999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-0.67100000000000004</v>
      </c>
      <c r="FG221">
        <v>0.16769999999999999</v>
      </c>
      <c r="FH221">
        <v>-0.44422204735670362</v>
      </c>
      <c r="FI221">
        <v>-6.1462078757559423E-4</v>
      </c>
      <c r="FJ221">
        <v>-1.8861989874597051E-7</v>
      </c>
      <c r="FK221">
        <v>1.1980462299894961E-10</v>
      </c>
      <c r="FL221">
        <v>0.16773393518503121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44.9</v>
      </c>
      <c r="FU221">
        <v>44.9</v>
      </c>
      <c r="FV221">
        <v>1.78101</v>
      </c>
      <c r="FW221">
        <v>2.5622600000000002</v>
      </c>
      <c r="FX221">
        <v>1.5490699999999999</v>
      </c>
      <c r="FY221">
        <v>2.3339799999999999</v>
      </c>
      <c r="FZ221">
        <v>1.50146</v>
      </c>
      <c r="GA221">
        <v>2.3083499999999999</v>
      </c>
      <c r="GB221">
        <v>32.642600000000002</v>
      </c>
      <c r="GC221">
        <v>23.991199999999999</v>
      </c>
      <c r="GD221">
        <v>19</v>
      </c>
      <c r="GE221">
        <v>284.13400000000001</v>
      </c>
      <c r="GF221">
        <v>591.66099999999994</v>
      </c>
      <c r="GG221">
        <v>23.608499999999999</v>
      </c>
      <c r="GH221">
        <v>25.648399999999999</v>
      </c>
      <c r="GI221">
        <v>30</v>
      </c>
      <c r="GJ221">
        <v>25.781400000000001</v>
      </c>
      <c r="GK221">
        <v>25.7606</v>
      </c>
      <c r="GL221">
        <v>35.6008</v>
      </c>
      <c r="GM221">
        <v>-30</v>
      </c>
      <c r="GN221">
        <v>-30</v>
      </c>
      <c r="GO221">
        <v>23.5732</v>
      </c>
      <c r="GP221">
        <v>800</v>
      </c>
      <c r="GQ221">
        <v>12.5298</v>
      </c>
      <c r="GR221">
        <v>99.694900000000004</v>
      </c>
      <c r="GS221">
        <v>99.413399999999996</v>
      </c>
    </row>
    <row r="222" spans="1:201" x14ac:dyDescent="0.25">
      <c r="A222">
        <v>206</v>
      </c>
      <c r="B222">
        <v>1690205825.5999999</v>
      </c>
      <c r="C222">
        <v>2386</v>
      </c>
      <c r="D222" t="s">
        <v>745</v>
      </c>
      <c r="E222" t="s">
        <v>746</v>
      </c>
      <c r="F222" t="s">
        <v>330</v>
      </c>
      <c r="H222">
        <v>1690205825.5999999</v>
      </c>
      <c r="I222">
        <f t="shared" si="90"/>
        <v>2.0860084844332486E-3</v>
      </c>
      <c r="J222">
        <f t="shared" si="91"/>
        <v>2.0860084844332487</v>
      </c>
      <c r="K222">
        <f t="shared" si="92"/>
        <v>43.481396882006898</v>
      </c>
      <c r="L222">
        <f t="shared" si="93"/>
        <v>340.62299999999999</v>
      </c>
      <c r="M222">
        <f t="shared" si="94"/>
        <v>62.984607220980486</v>
      </c>
      <c r="N222">
        <f t="shared" si="95"/>
        <v>6.2467726939113444</v>
      </c>
      <c r="O222">
        <f t="shared" si="96"/>
        <v>33.782769301915806</v>
      </c>
      <c r="P222">
        <f t="shared" si="97"/>
        <v>0.2676145287287614</v>
      </c>
      <c r="Q222">
        <f t="shared" si="98"/>
        <v>2.1947574531592302</v>
      </c>
      <c r="R222">
        <f t="shared" si="99"/>
        <v>0.25071798738872991</v>
      </c>
      <c r="S222">
        <f t="shared" si="100"/>
        <v>0.15812784712189445</v>
      </c>
      <c r="T222">
        <f t="shared" si="101"/>
        <v>276.11650778399996</v>
      </c>
      <c r="U222">
        <f t="shared" si="102"/>
        <v>27.048617810965226</v>
      </c>
      <c r="V222">
        <f t="shared" si="103"/>
        <v>27.048617810965226</v>
      </c>
      <c r="W222">
        <f t="shared" si="104"/>
        <v>3.589392530364599</v>
      </c>
      <c r="X222">
        <f t="shared" si="105"/>
        <v>84.539845192403817</v>
      </c>
      <c r="Y222">
        <f t="shared" si="106"/>
        <v>2.7907483514766405</v>
      </c>
      <c r="Z222">
        <f t="shared" si="107"/>
        <v>3.3011041658820051</v>
      </c>
      <c r="AA222">
        <f t="shared" si="108"/>
        <v>0.79864417888795858</v>
      </c>
      <c r="AB222">
        <f t="shared" si="109"/>
        <v>-91.992974163506261</v>
      </c>
      <c r="AC222">
        <f t="shared" si="110"/>
        <v>-167.84436643162374</v>
      </c>
      <c r="AD222">
        <f t="shared" si="111"/>
        <v>-16.395526033669931</v>
      </c>
      <c r="AE222">
        <f t="shared" si="112"/>
        <v>-0.11635884479994729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52652.923125369489</v>
      </c>
      <c r="AK222">
        <f t="shared" si="116"/>
        <v>1800</v>
      </c>
      <c r="AL222">
        <f t="shared" si="117"/>
        <v>1499.1108714</v>
      </c>
      <c r="AM222">
        <f t="shared" si="118"/>
        <v>0.83283937299999999</v>
      </c>
      <c r="AN222">
        <f t="shared" si="119"/>
        <v>0.15339805987999999</v>
      </c>
      <c r="AO222">
        <v>31.2</v>
      </c>
      <c r="AP222">
        <v>0.5</v>
      </c>
      <c r="AQ222" t="s">
        <v>331</v>
      </c>
      <c r="AR222">
        <v>2</v>
      </c>
      <c r="AS222">
        <v>1690205825.5999999</v>
      </c>
      <c r="AT222">
        <v>340.62299999999999</v>
      </c>
      <c r="AU222">
        <v>799.96500000000003</v>
      </c>
      <c r="AV222">
        <v>28.138400000000001</v>
      </c>
      <c r="AW222">
        <v>7.06602</v>
      </c>
      <c r="AX222">
        <v>341.29500000000002</v>
      </c>
      <c r="AY222">
        <v>27.970700000000001</v>
      </c>
      <c r="AZ222">
        <v>300.166</v>
      </c>
      <c r="BA222">
        <v>99.079400000000007</v>
      </c>
      <c r="BB222">
        <v>9.9954600000000005E-2</v>
      </c>
      <c r="BC222">
        <v>25.630099999999999</v>
      </c>
      <c r="BD222">
        <v>27.011800000000001</v>
      </c>
      <c r="BE222">
        <v>26.806000000000001</v>
      </c>
      <c r="BF222">
        <v>0</v>
      </c>
      <c r="BG222">
        <v>0</v>
      </c>
      <c r="BH222">
        <v>10004.4</v>
      </c>
      <c r="BI222">
        <v>1064.24</v>
      </c>
      <c r="BJ222">
        <v>1.8852199999999999</v>
      </c>
      <c r="BK222">
        <v>-459.34199999999998</v>
      </c>
      <c r="BL222">
        <v>350.48599999999999</v>
      </c>
      <c r="BM222">
        <v>805.65800000000002</v>
      </c>
      <c r="BN222">
        <v>21.072399999999998</v>
      </c>
      <c r="BO222">
        <v>799.96500000000003</v>
      </c>
      <c r="BP222">
        <v>7.06602</v>
      </c>
      <c r="BQ222">
        <v>2.7879399999999999</v>
      </c>
      <c r="BR222">
        <v>0.70009699999999997</v>
      </c>
      <c r="BS222">
        <v>22.812799999999999</v>
      </c>
      <c r="BT222">
        <v>1.82833</v>
      </c>
      <c r="BU222">
        <v>1800</v>
      </c>
      <c r="BV222">
        <v>0.90998199999999996</v>
      </c>
      <c r="BW222">
        <v>3.4002699999999997E-2</v>
      </c>
      <c r="BX222">
        <v>2.2006899999999999E-2</v>
      </c>
      <c r="BY222">
        <v>3.4008799999999999E-2</v>
      </c>
      <c r="BZ222">
        <v>25</v>
      </c>
      <c r="CA222">
        <v>33528.199999999997</v>
      </c>
      <c r="CB222">
        <v>1690203121.0999999</v>
      </c>
      <c r="CC222" t="s">
        <v>332</v>
      </c>
      <c r="CD222">
        <v>1690203121.0999999</v>
      </c>
      <c r="CE222">
        <v>1690203121.0999999</v>
      </c>
      <c r="CF222">
        <v>3</v>
      </c>
      <c r="CG222">
        <v>0.53600000000000003</v>
      </c>
      <c r="CH222">
        <v>-0.01</v>
      </c>
      <c r="CI222">
        <v>-0.996</v>
      </c>
      <c r="CJ222">
        <v>-6.6000000000000003E-2</v>
      </c>
      <c r="CK222">
        <v>800</v>
      </c>
      <c r="CL222">
        <v>9</v>
      </c>
      <c r="CM222">
        <v>0.82</v>
      </c>
      <c r="CN222">
        <v>0.01</v>
      </c>
      <c r="CO222">
        <v>-459.26680487804879</v>
      </c>
      <c r="CP222">
        <v>-1.048034843204557</v>
      </c>
      <c r="CQ222">
        <v>0.13421355743961039</v>
      </c>
      <c r="CR222">
        <v>-1</v>
      </c>
      <c r="CS222">
        <v>21.07994390243902</v>
      </c>
      <c r="CT222">
        <v>-5.1905226480819022E-2</v>
      </c>
      <c r="CU222">
        <v>5.168292107413569E-3</v>
      </c>
      <c r="CV222">
        <v>-1</v>
      </c>
      <c r="CW222">
        <v>0</v>
      </c>
      <c r="CX222">
        <v>0</v>
      </c>
      <c r="CY222" t="s">
        <v>333</v>
      </c>
      <c r="CZ222">
        <v>2.3651</v>
      </c>
      <c r="DA222">
        <v>2.7137500000000001</v>
      </c>
      <c r="DB222">
        <v>7.9212400000000002E-2</v>
      </c>
      <c r="DC222">
        <v>0.14629600000000001</v>
      </c>
      <c r="DD222">
        <v>0.12754799999999999</v>
      </c>
      <c r="DE222">
        <v>4.5102999999999997E-2</v>
      </c>
      <c r="DF222">
        <v>33612</v>
      </c>
      <c r="DG222">
        <v>27480.5</v>
      </c>
      <c r="DH222">
        <v>31160.9</v>
      </c>
      <c r="DI222">
        <v>28046.9</v>
      </c>
      <c r="DJ222">
        <v>36890.6</v>
      </c>
      <c r="DK222">
        <v>38065.800000000003</v>
      </c>
      <c r="DL222">
        <v>44340.800000000003</v>
      </c>
      <c r="DM222">
        <v>42486.6</v>
      </c>
      <c r="DN222">
        <v>1.48515</v>
      </c>
      <c r="DO222">
        <v>2.0546000000000002</v>
      </c>
      <c r="DP222">
        <v>0.158142</v>
      </c>
      <c r="DQ222">
        <v>0.14794599999999999</v>
      </c>
      <c r="DR222">
        <v>24.420100000000001</v>
      </c>
      <c r="DS222">
        <v>24.3809</v>
      </c>
      <c r="DT222">
        <v>22.7</v>
      </c>
      <c r="DU222">
        <v>28.1</v>
      </c>
      <c r="DV222">
        <v>8.7457999999999991</v>
      </c>
      <c r="DW222">
        <v>61.252800000000001</v>
      </c>
      <c r="DX222">
        <v>36.330100000000002</v>
      </c>
      <c r="DY222">
        <v>1</v>
      </c>
      <c r="DZ222">
        <v>-0.138206</v>
      </c>
      <c r="EA222">
        <v>0.20952899999999999</v>
      </c>
      <c r="EB222">
        <v>20.191099999999999</v>
      </c>
      <c r="EC222">
        <v>5.2413999999999996</v>
      </c>
      <c r="ED222">
        <v>12.039899999999999</v>
      </c>
      <c r="EE222">
        <v>5.0171000000000001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1.8688899999999999</v>
      </c>
      <c r="EL222">
        <v>1.8646199999999999</v>
      </c>
      <c r="EM222">
        <v>1.86914</v>
      </c>
      <c r="EN222">
        <v>1.8672200000000001</v>
      </c>
      <c r="EO222">
        <v>1.8633999999999999</v>
      </c>
      <c r="EP222">
        <v>1.8644799999999999</v>
      </c>
      <c r="EQ222">
        <v>1.87012</v>
      </c>
      <c r="ER222">
        <v>1.86937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-0.67200000000000004</v>
      </c>
      <c r="FG222">
        <v>0.16769999999999999</v>
      </c>
      <c r="FH222">
        <v>-0.44422204735670362</v>
      </c>
      <c r="FI222">
        <v>-6.1462078757559423E-4</v>
      </c>
      <c r="FJ222">
        <v>-1.8861989874597051E-7</v>
      </c>
      <c r="FK222">
        <v>1.1980462299894961E-10</v>
      </c>
      <c r="FL222">
        <v>0.16773393518503121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45.1</v>
      </c>
      <c r="FU222">
        <v>45.1</v>
      </c>
      <c r="FV222">
        <v>1.78101</v>
      </c>
      <c r="FW222">
        <v>2.5634800000000002</v>
      </c>
      <c r="FX222">
        <v>1.5490699999999999</v>
      </c>
      <c r="FY222">
        <v>2.3339799999999999</v>
      </c>
      <c r="FZ222">
        <v>1.50146</v>
      </c>
      <c r="GA222">
        <v>2.35229</v>
      </c>
      <c r="GB222">
        <v>32.642600000000002</v>
      </c>
      <c r="GC222">
        <v>23.982399999999998</v>
      </c>
      <c r="GD222">
        <v>19</v>
      </c>
      <c r="GE222">
        <v>284.14800000000002</v>
      </c>
      <c r="GF222">
        <v>591.66099999999994</v>
      </c>
      <c r="GG222">
        <v>23.590900000000001</v>
      </c>
      <c r="GH222">
        <v>25.6495</v>
      </c>
      <c r="GI222">
        <v>30.0002</v>
      </c>
      <c r="GJ222">
        <v>25.779800000000002</v>
      </c>
      <c r="GK222">
        <v>25.7606</v>
      </c>
      <c r="GL222">
        <v>35.603400000000001</v>
      </c>
      <c r="GM222">
        <v>-30</v>
      </c>
      <c r="GN222">
        <v>-30</v>
      </c>
      <c r="GO222">
        <v>23.6248</v>
      </c>
      <c r="GP222">
        <v>800</v>
      </c>
      <c r="GQ222">
        <v>12.5298</v>
      </c>
      <c r="GR222">
        <v>99.696200000000005</v>
      </c>
      <c r="GS222">
        <v>99.412099999999995</v>
      </c>
    </row>
    <row r="223" spans="1:201" x14ac:dyDescent="0.25">
      <c r="A223">
        <v>207</v>
      </c>
      <c r="B223">
        <v>1690205835.5999999</v>
      </c>
      <c r="C223">
        <v>2396</v>
      </c>
      <c r="D223" t="s">
        <v>747</v>
      </c>
      <c r="E223" t="s">
        <v>748</v>
      </c>
      <c r="F223" t="s">
        <v>330</v>
      </c>
      <c r="H223">
        <v>1690205835.5999999</v>
      </c>
      <c r="I223">
        <f t="shared" si="90"/>
        <v>2.0880932927939723E-3</v>
      </c>
      <c r="J223">
        <f t="shared" si="91"/>
        <v>2.0880932927939724</v>
      </c>
      <c r="K223">
        <f t="shared" si="92"/>
        <v>43.505334423424387</v>
      </c>
      <c r="L223">
        <f t="shared" si="93"/>
        <v>340.53100000000001</v>
      </c>
      <c r="M223">
        <f t="shared" si="94"/>
        <v>63.546318422014657</v>
      </c>
      <c r="N223">
        <f t="shared" si="95"/>
        <v>6.3025853739316453</v>
      </c>
      <c r="O223">
        <f t="shared" si="96"/>
        <v>33.774194214007998</v>
      </c>
      <c r="P223">
        <f t="shared" si="97"/>
        <v>0.26844464222303144</v>
      </c>
      <c r="Q223">
        <f t="shared" si="98"/>
        <v>2.1945426333406246</v>
      </c>
      <c r="R223">
        <f t="shared" si="99"/>
        <v>0.25144513575743577</v>
      </c>
      <c r="S223">
        <f t="shared" si="100"/>
        <v>0.15859075578603873</v>
      </c>
      <c r="T223">
        <f t="shared" si="101"/>
        <v>276.11482867020749</v>
      </c>
      <c r="U223">
        <f t="shared" si="102"/>
        <v>27.048322689589178</v>
      </c>
      <c r="V223">
        <f t="shared" si="103"/>
        <v>27.048322689589178</v>
      </c>
      <c r="W223">
        <f t="shared" si="104"/>
        <v>3.5893303377137227</v>
      </c>
      <c r="X223">
        <f t="shared" si="105"/>
        <v>84.582077911186587</v>
      </c>
      <c r="Y223">
        <f t="shared" si="106"/>
        <v>2.7921922016199998</v>
      </c>
      <c r="Z223">
        <f t="shared" si="107"/>
        <v>3.3011629302272225</v>
      </c>
      <c r="AA223">
        <f t="shared" si="108"/>
        <v>0.79713813609372286</v>
      </c>
      <c r="AB223">
        <f t="shared" si="109"/>
        <v>-92.084914212214173</v>
      </c>
      <c r="AC223">
        <f t="shared" si="110"/>
        <v>-167.75752794876894</v>
      </c>
      <c r="AD223">
        <f t="shared" si="111"/>
        <v>-16.388647819595665</v>
      </c>
      <c r="AE223">
        <f t="shared" si="112"/>
        <v>-0.11626131037132836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52644.077077591501</v>
      </c>
      <c r="AK223">
        <f t="shared" si="116"/>
        <v>1799.99</v>
      </c>
      <c r="AL223">
        <f t="shared" si="117"/>
        <v>1499.1015746116502</v>
      </c>
      <c r="AM223">
        <f t="shared" si="118"/>
        <v>0.83283883500000011</v>
      </c>
      <c r="AN223">
        <f t="shared" si="119"/>
        <v>0.15339797924999998</v>
      </c>
      <c r="AO223">
        <v>31.2</v>
      </c>
      <c r="AP223">
        <v>0.5</v>
      </c>
      <c r="AQ223" t="s">
        <v>331</v>
      </c>
      <c r="AR223">
        <v>2</v>
      </c>
      <c r="AS223">
        <v>1690205835.5999999</v>
      </c>
      <c r="AT223">
        <v>340.53100000000001</v>
      </c>
      <c r="AU223">
        <v>800.04300000000001</v>
      </c>
      <c r="AV223">
        <v>28.1525</v>
      </c>
      <c r="AW223">
        <v>7.0632299999999999</v>
      </c>
      <c r="AX223">
        <v>341.202</v>
      </c>
      <c r="AY223">
        <v>27.9847</v>
      </c>
      <c r="AZ223">
        <v>300.221</v>
      </c>
      <c r="BA223">
        <v>99.0809</v>
      </c>
      <c r="BB223">
        <v>0.100068</v>
      </c>
      <c r="BC223">
        <v>25.630400000000002</v>
      </c>
      <c r="BD223">
        <v>26.9678</v>
      </c>
      <c r="BE223">
        <v>26.811399999999999</v>
      </c>
      <c r="BF223">
        <v>0</v>
      </c>
      <c r="BG223">
        <v>0</v>
      </c>
      <c r="BH223">
        <v>10002.5</v>
      </c>
      <c r="BI223">
        <v>1064.27</v>
      </c>
      <c r="BJ223">
        <v>1.5404199999999999</v>
      </c>
      <c r="BK223">
        <v>-459.512</v>
      </c>
      <c r="BL223">
        <v>350.39600000000002</v>
      </c>
      <c r="BM223">
        <v>805.73400000000004</v>
      </c>
      <c r="BN223">
        <v>21.089200000000002</v>
      </c>
      <c r="BO223">
        <v>800.04300000000001</v>
      </c>
      <c r="BP223">
        <v>7.0632299999999999</v>
      </c>
      <c r="BQ223">
        <v>2.7893699999999999</v>
      </c>
      <c r="BR223">
        <v>0.69983099999999998</v>
      </c>
      <c r="BS223">
        <v>22.821300000000001</v>
      </c>
      <c r="BT223">
        <v>1.8230200000000001</v>
      </c>
      <c r="BU223">
        <v>1799.99</v>
      </c>
      <c r="BV223">
        <v>0.90998100000000004</v>
      </c>
      <c r="BW223">
        <v>3.4002900000000003E-2</v>
      </c>
      <c r="BX223">
        <v>2.2006999999999999E-2</v>
      </c>
      <c r="BY223">
        <v>3.4008900000000002E-2</v>
      </c>
      <c r="BZ223">
        <v>25</v>
      </c>
      <c r="CA223">
        <v>33528.1</v>
      </c>
      <c r="CB223">
        <v>1690203121.0999999</v>
      </c>
      <c r="CC223" t="s">
        <v>332</v>
      </c>
      <c r="CD223">
        <v>1690203121.0999999</v>
      </c>
      <c r="CE223">
        <v>1690203121.0999999</v>
      </c>
      <c r="CF223">
        <v>3</v>
      </c>
      <c r="CG223">
        <v>0.53600000000000003</v>
      </c>
      <c r="CH223">
        <v>-0.01</v>
      </c>
      <c r="CI223">
        <v>-0.996</v>
      </c>
      <c r="CJ223">
        <v>-6.6000000000000003E-2</v>
      </c>
      <c r="CK223">
        <v>800</v>
      </c>
      <c r="CL223">
        <v>9</v>
      </c>
      <c r="CM223">
        <v>0.82</v>
      </c>
      <c r="CN223">
        <v>0.01</v>
      </c>
      <c r="CO223">
        <v>-459.39515000000011</v>
      </c>
      <c r="CP223">
        <v>-1.1615234521575251</v>
      </c>
      <c r="CQ223">
        <v>0.14473588877676649</v>
      </c>
      <c r="CR223">
        <v>-1</v>
      </c>
      <c r="CS223">
        <v>21.076979999999999</v>
      </c>
      <c r="CT223">
        <v>1.5347842401415389E-2</v>
      </c>
      <c r="CU223">
        <v>4.3345818714149338E-3</v>
      </c>
      <c r="CV223">
        <v>-1</v>
      </c>
      <c r="CW223">
        <v>0</v>
      </c>
      <c r="CX223">
        <v>0</v>
      </c>
      <c r="CY223" t="s">
        <v>333</v>
      </c>
      <c r="CZ223">
        <v>2.3652899999999999</v>
      </c>
      <c r="DA223">
        <v>2.7138599999999999</v>
      </c>
      <c r="DB223">
        <v>7.9196199999999994E-2</v>
      </c>
      <c r="DC223">
        <v>0.14630699999999999</v>
      </c>
      <c r="DD223">
        <v>0.12759300000000001</v>
      </c>
      <c r="DE223">
        <v>4.5089400000000002E-2</v>
      </c>
      <c r="DF223">
        <v>33612.5</v>
      </c>
      <c r="DG223">
        <v>27480.5</v>
      </c>
      <c r="DH223">
        <v>31160.799999999999</v>
      </c>
      <c r="DI223">
        <v>28047.3</v>
      </c>
      <c r="DJ223">
        <v>36888.1</v>
      </c>
      <c r="DK223">
        <v>38066.9</v>
      </c>
      <c r="DL223">
        <v>44340.2</v>
      </c>
      <c r="DM223">
        <v>42487.1</v>
      </c>
      <c r="DN223">
        <v>1.4853000000000001</v>
      </c>
      <c r="DO223">
        <v>2.0543</v>
      </c>
      <c r="DP223">
        <v>0.15533</v>
      </c>
      <c r="DQ223">
        <v>0.14826700000000001</v>
      </c>
      <c r="DR223">
        <v>24.4221</v>
      </c>
      <c r="DS223">
        <v>24.381</v>
      </c>
      <c r="DT223">
        <v>22.7</v>
      </c>
      <c r="DU223">
        <v>28.1</v>
      </c>
      <c r="DV223">
        <v>8.7444699999999997</v>
      </c>
      <c r="DW223">
        <v>61.3628</v>
      </c>
      <c r="DX223">
        <v>36.310099999999998</v>
      </c>
      <c r="DY223">
        <v>1</v>
      </c>
      <c r="DZ223">
        <v>-0.13813500000000001</v>
      </c>
      <c r="EA223">
        <v>0.28278599999999998</v>
      </c>
      <c r="EB223">
        <v>20.190799999999999</v>
      </c>
      <c r="EC223">
        <v>5.24125</v>
      </c>
      <c r="ED223">
        <v>12.039899999999999</v>
      </c>
      <c r="EE223">
        <v>5.01715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</v>
      </c>
      <c r="EL223">
        <v>1.8646199999999999</v>
      </c>
      <c r="EM223">
        <v>1.8691500000000001</v>
      </c>
      <c r="EN223">
        <v>1.8672200000000001</v>
      </c>
      <c r="EO223">
        <v>1.8633999999999999</v>
      </c>
      <c r="EP223">
        <v>1.8644799999999999</v>
      </c>
      <c r="EQ223">
        <v>1.8701300000000001</v>
      </c>
      <c r="ER223">
        <v>1.86938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-0.67100000000000004</v>
      </c>
      <c r="FG223">
        <v>0.1678</v>
      </c>
      <c r="FH223">
        <v>-0.44422204735670362</v>
      </c>
      <c r="FI223">
        <v>-6.1462078757559423E-4</v>
      </c>
      <c r="FJ223">
        <v>-1.8861989874597051E-7</v>
      </c>
      <c r="FK223">
        <v>1.1980462299894961E-10</v>
      </c>
      <c r="FL223">
        <v>0.16773393518503121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45.2</v>
      </c>
      <c r="FU223">
        <v>45.2</v>
      </c>
      <c r="FV223">
        <v>1.78101</v>
      </c>
      <c r="FW223">
        <v>2.5671400000000002</v>
      </c>
      <c r="FX223">
        <v>1.5490699999999999</v>
      </c>
      <c r="FY223">
        <v>2.3339799999999999</v>
      </c>
      <c r="FZ223">
        <v>1.50146</v>
      </c>
      <c r="GA223">
        <v>2.2570800000000002</v>
      </c>
      <c r="GB223">
        <v>32.6648</v>
      </c>
      <c r="GC223">
        <v>23.982399999999998</v>
      </c>
      <c r="GD223">
        <v>19</v>
      </c>
      <c r="GE223">
        <v>284.22199999999998</v>
      </c>
      <c r="GF223">
        <v>591.41099999999994</v>
      </c>
      <c r="GG223">
        <v>23.6113</v>
      </c>
      <c r="GH223">
        <v>25.6495</v>
      </c>
      <c r="GI223">
        <v>30.0002</v>
      </c>
      <c r="GJ223">
        <v>25.782</v>
      </c>
      <c r="GK223">
        <v>25.7606</v>
      </c>
      <c r="GL223">
        <v>35.604100000000003</v>
      </c>
      <c r="GM223">
        <v>-30</v>
      </c>
      <c r="GN223">
        <v>-30</v>
      </c>
      <c r="GO223">
        <v>23.610199999999999</v>
      </c>
      <c r="GP223">
        <v>800</v>
      </c>
      <c r="GQ223">
        <v>12.5298</v>
      </c>
      <c r="GR223">
        <v>99.6952</v>
      </c>
      <c r="GS223">
        <v>99.413399999999996</v>
      </c>
    </row>
    <row r="224" spans="1:201" x14ac:dyDescent="0.25">
      <c r="A224">
        <v>208</v>
      </c>
      <c r="B224">
        <v>1690205845.5999999</v>
      </c>
      <c r="C224">
        <v>2406</v>
      </c>
      <c r="D224" t="s">
        <v>749</v>
      </c>
      <c r="E224" t="s">
        <v>750</v>
      </c>
      <c r="F224" t="s">
        <v>330</v>
      </c>
      <c r="H224">
        <v>1690205845.5999999</v>
      </c>
      <c r="I224">
        <f t="shared" si="90"/>
        <v>2.0899299013735304E-3</v>
      </c>
      <c r="J224">
        <f t="shared" si="91"/>
        <v>2.0899299013735306</v>
      </c>
      <c r="K224">
        <f t="shared" si="92"/>
        <v>43.515540852433901</v>
      </c>
      <c r="L224">
        <f t="shared" si="93"/>
        <v>340.39400000000001</v>
      </c>
      <c r="M224">
        <f t="shared" si="94"/>
        <v>63.76404874417657</v>
      </c>
      <c r="N224">
        <f t="shared" si="95"/>
        <v>6.3241414816679118</v>
      </c>
      <c r="O224">
        <f t="shared" si="96"/>
        <v>33.760400380903803</v>
      </c>
      <c r="P224">
        <f t="shared" si="97"/>
        <v>0.26886746788880284</v>
      </c>
      <c r="Q224">
        <f t="shared" si="98"/>
        <v>2.1959990173068551</v>
      </c>
      <c r="R224">
        <f t="shared" si="99"/>
        <v>0.25182673157172752</v>
      </c>
      <c r="S224">
        <f t="shared" si="100"/>
        <v>0.15883266308815708</v>
      </c>
      <c r="T224">
        <f t="shared" si="101"/>
        <v>276.11633255400005</v>
      </c>
      <c r="U224">
        <f t="shared" si="102"/>
        <v>27.052446289834357</v>
      </c>
      <c r="V224">
        <f t="shared" si="103"/>
        <v>27.052446289834357</v>
      </c>
      <c r="W224">
        <f t="shared" si="104"/>
        <v>3.5901994133277406</v>
      </c>
      <c r="X224">
        <f t="shared" si="105"/>
        <v>84.596109774312907</v>
      </c>
      <c r="Y224">
        <f t="shared" si="106"/>
        <v>2.7935835220620904</v>
      </c>
      <c r="Z224">
        <f t="shared" si="107"/>
        <v>3.3022600324233169</v>
      </c>
      <c r="AA224">
        <f t="shared" si="108"/>
        <v>0.79661589126565024</v>
      </c>
      <c r="AB224">
        <f t="shared" si="109"/>
        <v>-92.165908650572689</v>
      </c>
      <c r="AC224">
        <f t="shared" si="110"/>
        <v>-167.69406637925846</v>
      </c>
      <c r="AD224">
        <f t="shared" si="111"/>
        <v>-16.372380810734374</v>
      </c>
      <c r="AE224">
        <f t="shared" si="112"/>
        <v>-0.11602328656550753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52702.93270847448</v>
      </c>
      <c r="AK224">
        <f t="shared" si="116"/>
        <v>1800</v>
      </c>
      <c r="AL224">
        <f t="shared" si="117"/>
        <v>1499.1107634</v>
      </c>
      <c r="AM224">
        <f t="shared" si="118"/>
        <v>0.83283931300000003</v>
      </c>
      <c r="AN224">
        <f t="shared" si="119"/>
        <v>0.15339796253000001</v>
      </c>
      <c r="AO224">
        <v>31.2</v>
      </c>
      <c r="AP224">
        <v>0.5</v>
      </c>
      <c r="AQ224" t="s">
        <v>331</v>
      </c>
      <c r="AR224">
        <v>2</v>
      </c>
      <c r="AS224">
        <v>1690205845.5999999</v>
      </c>
      <c r="AT224">
        <v>340.39400000000001</v>
      </c>
      <c r="AU224">
        <v>800.01099999999997</v>
      </c>
      <c r="AV224">
        <v>28.166699999999999</v>
      </c>
      <c r="AW224">
        <v>7.0594000000000001</v>
      </c>
      <c r="AX224">
        <v>341.065</v>
      </c>
      <c r="AY224">
        <v>27.998999999999999</v>
      </c>
      <c r="AZ224">
        <v>300.22399999999999</v>
      </c>
      <c r="BA224">
        <v>99.080500000000001</v>
      </c>
      <c r="BB224">
        <v>9.9862699999999999E-2</v>
      </c>
      <c r="BC224">
        <v>25.635999999999999</v>
      </c>
      <c r="BD224">
        <v>27.010400000000001</v>
      </c>
      <c r="BE224">
        <v>26.817799999999998</v>
      </c>
      <c r="BF224">
        <v>0</v>
      </c>
      <c r="BG224">
        <v>0</v>
      </c>
      <c r="BH224">
        <v>10014.4</v>
      </c>
      <c r="BI224">
        <v>1064.26</v>
      </c>
      <c r="BJ224">
        <v>1.8487800000000001</v>
      </c>
      <c r="BK224">
        <v>-459.61799999999999</v>
      </c>
      <c r="BL224">
        <v>350.25900000000001</v>
      </c>
      <c r="BM224">
        <v>805.69899999999996</v>
      </c>
      <c r="BN224">
        <v>21.107299999999999</v>
      </c>
      <c r="BO224">
        <v>800.01099999999997</v>
      </c>
      <c r="BP224">
        <v>7.0594000000000001</v>
      </c>
      <c r="BQ224">
        <v>2.7907700000000002</v>
      </c>
      <c r="BR224">
        <v>0.69944799999999996</v>
      </c>
      <c r="BS224">
        <v>22.829599999999999</v>
      </c>
      <c r="BT224">
        <v>1.8153699999999999</v>
      </c>
      <c r="BU224">
        <v>1800</v>
      </c>
      <c r="BV224">
        <v>0.90998400000000002</v>
      </c>
      <c r="BW224">
        <v>3.4001799999999999E-2</v>
      </c>
      <c r="BX224">
        <v>2.2006399999999999E-2</v>
      </c>
      <c r="BY224">
        <v>3.4007900000000001E-2</v>
      </c>
      <c r="BZ224">
        <v>25</v>
      </c>
      <c r="CA224">
        <v>33528.199999999997</v>
      </c>
      <c r="CB224">
        <v>1690203121.0999999</v>
      </c>
      <c r="CC224" t="s">
        <v>332</v>
      </c>
      <c r="CD224">
        <v>1690203121.0999999</v>
      </c>
      <c r="CE224">
        <v>1690203121.0999999</v>
      </c>
      <c r="CF224">
        <v>3</v>
      </c>
      <c r="CG224">
        <v>0.53600000000000003</v>
      </c>
      <c r="CH224">
        <v>-0.01</v>
      </c>
      <c r="CI224">
        <v>-0.996</v>
      </c>
      <c r="CJ224">
        <v>-6.6000000000000003E-2</v>
      </c>
      <c r="CK224">
        <v>800</v>
      </c>
      <c r="CL224">
        <v>9</v>
      </c>
      <c r="CM224">
        <v>0.82</v>
      </c>
      <c r="CN224">
        <v>0.01</v>
      </c>
      <c r="CO224">
        <v>-459.53839024390243</v>
      </c>
      <c r="CP224">
        <v>-1.2370243902450619</v>
      </c>
      <c r="CQ224">
        <v>0.1471481546503873</v>
      </c>
      <c r="CR224">
        <v>-1</v>
      </c>
      <c r="CS224">
        <v>21.086400000000001</v>
      </c>
      <c r="CT224">
        <v>9.6110801393730419E-2</v>
      </c>
      <c r="CU224">
        <v>9.5343282214399444E-3</v>
      </c>
      <c r="CV224">
        <v>-1</v>
      </c>
      <c r="CW224">
        <v>0</v>
      </c>
      <c r="CX224">
        <v>0</v>
      </c>
      <c r="CY224" t="s">
        <v>333</v>
      </c>
      <c r="CZ224">
        <v>2.3652899999999999</v>
      </c>
      <c r="DA224">
        <v>2.71367</v>
      </c>
      <c r="DB224">
        <v>7.9170699999999997E-2</v>
      </c>
      <c r="DC224">
        <v>0.14630199999999999</v>
      </c>
      <c r="DD224">
        <v>0.127638</v>
      </c>
      <c r="DE224">
        <v>4.5069600000000001E-2</v>
      </c>
      <c r="DF224">
        <v>33612.9</v>
      </c>
      <c r="DG224">
        <v>27480.799999999999</v>
      </c>
      <c r="DH224">
        <v>31160.3</v>
      </c>
      <c r="DI224">
        <v>28047.5</v>
      </c>
      <c r="DJ224">
        <v>36885.800000000003</v>
      </c>
      <c r="DK224">
        <v>38067.800000000003</v>
      </c>
      <c r="DL224">
        <v>44339.7</v>
      </c>
      <c r="DM224">
        <v>42487.3</v>
      </c>
      <c r="DN224">
        <v>1.48542</v>
      </c>
      <c r="DO224">
        <v>2.0544500000000001</v>
      </c>
      <c r="DP224">
        <v>0.15784100000000001</v>
      </c>
      <c r="DQ224">
        <v>0.14865800000000001</v>
      </c>
      <c r="DR224">
        <v>24.4236</v>
      </c>
      <c r="DS224">
        <v>24.381</v>
      </c>
      <c r="DT224">
        <v>22.7</v>
      </c>
      <c r="DU224">
        <v>28.1</v>
      </c>
      <c r="DV224">
        <v>8.7449600000000007</v>
      </c>
      <c r="DW224">
        <v>61.442799999999998</v>
      </c>
      <c r="DX224">
        <v>36.145800000000001</v>
      </c>
      <c r="DY224">
        <v>1</v>
      </c>
      <c r="DZ224">
        <v>-0.13824900000000001</v>
      </c>
      <c r="EA224">
        <v>0.216498</v>
      </c>
      <c r="EB224">
        <v>20.191099999999999</v>
      </c>
      <c r="EC224">
        <v>5.24125</v>
      </c>
      <c r="ED224">
        <v>12.039899999999999</v>
      </c>
      <c r="EE224">
        <v>5.0171999999999999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1.8646199999999999</v>
      </c>
      <c r="EM224">
        <v>1.8691599999999999</v>
      </c>
      <c r="EN224">
        <v>1.8672200000000001</v>
      </c>
      <c r="EO224">
        <v>1.8633999999999999</v>
      </c>
      <c r="EP224">
        <v>1.86449</v>
      </c>
      <c r="EQ224">
        <v>1.87012</v>
      </c>
      <c r="ER224">
        <v>1.8694299999999999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-0.67100000000000004</v>
      </c>
      <c r="FG224">
        <v>0.16769999999999999</v>
      </c>
      <c r="FH224">
        <v>-0.44422204735670362</v>
      </c>
      <c r="FI224">
        <v>-6.1462078757559423E-4</v>
      </c>
      <c r="FJ224">
        <v>-1.8861989874597051E-7</v>
      </c>
      <c r="FK224">
        <v>1.1980462299894961E-10</v>
      </c>
      <c r="FL224">
        <v>0.16773393518503121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45.4</v>
      </c>
      <c r="FU224">
        <v>45.4</v>
      </c>
      <c r="FV224">
        <v>1.78101</v>
      </c>
      <c r="FW224">
        <v>2.5671400000000002</v>
      </c>
      <c r="FX224">
        <v>1.5490699999999999</v>
      </c>
      <c r="FY224">
        <v>2.3339799999999999</v>
      </c>
      <c r="FZ224">
        <v>1.50146</v>
      </c>
      <c r="GA224">
        <v>2.2778299999999998</v>
      </c>
      <c r="GB224">
        <v>32.6648</v>
      </c>
      <c r="GC224">
        <v>23.982399999999998</v>
      </c>
      <c r="GD224">
        <v>19</v>
      </c>
      <c r="GE224">
        <v>284.27499999999998</v>
      </c>
      <c r="GF224">
        <v>591.53599999999994</v>
      </c>
      <c r="GG224">
        <v>23.6281</v>
      </c>
      <c r="GH224">
        <v>25.6495</v>
      </c>
      <c r="GI224">
        <v>30.0001</v>
      </c>
      <c r="GJ224">
        <v>25.782</v>
      </c>
      <c r="GK224">
        <v>25.7606</v>
      </c>
      <c r="GL224">
        <v>35.601900000000001</v>
      </c>
      <c r="GM224">
        <v>-30</v>
      </c>
      <c r="GN224">
        <v>-30</v>
      </c>
      <c r="GO224">
        <v>23.630700000000001</v>
      </c>
      <c r="GP224">
        <v>800</v>
      </c>
      <c r="GQ224">
        <v>12.5298</v>
      </c>
      <c r="GR224">
        <v>99.694000000000003</v>
      </c>
      <c r="GS224">
        <v>99.413899999999998</v>
      </c>
    </row>
    <row r="225" spans="1:201" x14ac:dyDescent="0.25">
      <c r="A225">
        <v>209</v>
      </c>
      <c r="B225">
        <v>1690205855.5999999</v>
      </c>
      <c r="C225">
        <v>2416</v>
      </c>
      <c r="D225" t="s">
        <v>751</v>
      </c>
      <c r="E225" t="s">
        <v>752</v>
      </c>
      <c r="F225" t="s">
        <v>330</v>
      </c>
      <c r="H225">
        <v>1690205855.5999999</v>
      </c>
      <c r="I225">
        <f t="shared" si="90"/>
        <v>2.0929476730652567E-3</v>
      </c>
      <c r="J225">
        <f t="shared" si="91"/>
        <v>2.0929476730652565</v>
      </c>
      <c r="K225">
        <f t="shared" si="92"/>
        <v>43.526262216056736</v>
      </c>
      <c r="L225">
        <f t="shared" si="93"/>
        <v>340.21</v>
      </c>
      <c r="M225">
        <f t="shared" si="94"/>
        <v>65.106220424925965</v>
      </c>
      <c r="N225">
        <f t="shared" si="95"/>
        <v>6.4569001004525113</v>
      </c>
      <c r="O225">
        <f t="shared" si="96"/>
        <v>33.740278099969998</v>
      </c>
      <c r="P225">
        <f t="shared" si="97"/>
        <v>0.27053609794819894</v>
      </c>
      <c r="Q225">
        <f t="shared" si="98"/>
        <v>2.1947740978350896</v>
      </c>
      <c r="R225">
        <f t="shared" si="99"/>
        <v>0.25328150084121442</v>
      </c>
      <c r="S225">
        <f t="shared" si="100"/>
        <v>0.15975940099456154</v>
      </c>
      <c r="T225">
        <f t="shared" si="101"/>
        <v>276.11628222600007</v>
      </c>
      <c r="U225">
        <f t="shared" si="102"/>
        <v>27.048445901346707</v>
      </c>
      <c r="V225">
        <f t="shared" si="103"/>
        <v>27.048445901346707</v>
      </c>
      <c r="W225">
        <f t="shared" si="104"/>
        <v>3.5893563027324777</v>
      </c>
      <c r="X225">
        <f t="shared" si="105"/>
        <v>84.694697140053137</v>
      </c>
      <c r="Y225">
        <f t="shared" si="106"/>
        <v>2.7962251756293002</v>
      </c>
      <c r="Z225">
        <f t="shared" si="107"/>
        <v>3.3015351256353118</v>
      </c>
      <c r="AA225">
        <f t="shared" si="108"/>
        <v>0.79313112710317757</v>
      </c>
      <c r="AB225">
        <f t="shared" si="109"/>
        <v>-92.298992382177815</v>
      </c>
      <c r="AC225">
        <f t="shared" si="110"/>
        <v>-167.56498393349139</v>
      </c>
      <c r="AD225">
        <f t="shared" si="111"/>
        <v>-16.368277044642966</v>
      </c>
      <c r="AE225">
        <f t="shared" si="112"/>
        <v>-0.1159711343121046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52653.118909447287</v>
      </c>
      <c r="AK225">
        <f t="shared" si="116"/>
        <v>1800</v>
      </c>
      <c r="AL225">
        <f t="shared" si="117"/>
        <v>1499.1108876000001</v>
      </c>
      <c r="AM225">
        <f t="shared" si="118"/>
        <v>0.83283938200000007</v>
      </c>
      <c r="AN225">
        <f t="shared" si="119"/>
        <v>0.15339793457000003</v>
      </c>
      <c r="AO225">
        <v>31.2</v>
      </c>
      <c r="AP225">
        <v>0.5</v>
      </c>
      <c r="AQ225" t="s">
        <v>331</v>
      </c>
      <c r="AR225">
        <v>2</v>
      </c>
      <c r="AS225">
        <v>1690205855.5999999</v>
      </c>
      <c r="AT225">
        <v>340.21</v>
      </c>
      <c r="AU225">
        <v>799.96500000000003</v>
      </c>
      <c r="AV225">
        <v>28.194900000000001</v>
      </c>
      <c r="AW225">
        <v>7.0568200000000001</v>
      </c>
      <c r="AX225">
        <v>340.88</v>
      </c>
      <c r="AY225">
        <v>28.027100000000001</v>
      </c>
      <c r="AZ225">
        <v>300.21100000000001</v>
      </c>
      <c r="BA225">
        <v>99.074799999999996</v>
      </c>
      <c r="BB225">
        <v>0.10005699999999999</v>
      </c>
      <c r="BC225">
        <v>25.632300000000001</v>
      </c>
      <c r="BD225">
        <v>27.029299999999999</v>
      </c>
      <c r="BE225">
        <v>26.8064</v>
      </c>
      <c r="BF225">
        <v>0</v>
      </c>
      <c r="BG225">
        <v>0</v>
      </c>
      <c r="BH225">
        <v>10005</v>
      </c>
      <c r="BI225">
        <v>1064.06</v>
      </c>
      <c r="BJ225">
        <v>1.6034900000000001</v>
      </c>
      <c r="BK225">
        <v>-459.755</v>
      </c>
      <c r="BL225">
        <v>350.08</v>
      </c>
      <c r="BM225">
        <v>805.65</v>
      </c>
      <c r="BN225">
        <v>21.138100000000001</v>
      </c>
      <c r="BO225">
        <v>799.96500000000003</v>
      </c>
      <c r="BP225">
        <v>7.0568200000000001</v>
      </c>
      <c r="BQ225">
        <v>2.7934000000000001</v>
      </c>
      <c r="BR225">
        <v>0.69915300000000002</v>
      </c>
      <c r="BS225">
        <v>22.845099999999999</v>
      </c>
      <c r="BT225">
        <v>1.8094600000000001</v>
      </c>
      <c r="BU225">
        <v>1800</v>
      </c>
      <c r="BV225">
        <v>0.90998500000000004</v>
      </c>
      <c r="BW225">
        <v>3.4001499999999997E-2</v>
      </c>
      <c r="BX225">
        <v>2.2006100000000001E-2</v>
      </c>
      <c r="BY225">
        <v>3.4007500000000003E-2</v>
      </c>
      <c r="BZ225">
        <v>25</v>
      </c>
      <c r="CA225">
        <v>33528.199999999997</v>
      </c>
      <c r="CB225">
        <v>1690203121.0999999</v>
      </c>
      <c r="CC225" t="s">
        <v>332</v>
      </c>
      <c r="CD225">
        <v>1690203121.0999999</v>
      </c>
      <c r="CE225">
        <v>1690203121.0999999</v>
      </c>
      <c r="CF225">
        <v>3</v>
      </c>
      <c r="CG225">
        <v>0.53600000000000003</v>
      </c>
      <c r="CH225">
        <v>-0.01</v>
      </c>
      <c r="CI225">
        <v>-0.996</v>
      </c>
      <c r="CJ225">
        <v>-6.6000000000000003E-2</v>
      </c>
      <c r="CK225">
        <v>800</v>
      </c>
      <c r="CL225">
        <v>9</v>
      </c>
      <c r="CM225">
        <v>0.82</v>
      </c>
      <c r="CN225">
        <v>0.01</v>
      </c>
      <c r="CO225">
        <v>-459.67463414634148</v>
      </c>
      <c r="CP225">
        <v>-1.07832752613288</v>
      </c>
      <c r="CQ225">
        <v>0.14394134240564679</v>
      </c>
      <c r="CR225">
        <v>-1</v>
      </c>
      <c r="CS225">
        <v>21.107807317073171</v>
      </c>
      <c r="CT225">
        <v>0.15601254355401051</v>
      </c>
      <c r="CU225">
        <v>1.5643425958808469E-2</v>
      </c>
      <c r="CV225">
        <v>-1</v>
      </c>
      <c r="CW225">
        <v>0</v>
      </c>
      <c r="CX225">
        <v>0</v>
      </c>
      <c r="CY225" t="s">
        <v>333</v>
      </c>
      <c r="CZ225">
        <v>2.3652099999999998</v>
      </c>
      <c r="DA225">
        <v>2.7138499999999999</v>
      </c>
      <c r="DB225">
        <v>7.9132300000000003E-2</v>
      </c>
      <c r="DC225">
        <v>0.146288</v>
      </c>
      <c r="DD225">
        <v>0.127718</v>
      </c>
      <c r="DE225">
        <v>4.5053799999999998E-2</v>
      </c>
      <c r="DF225">
        <v>33614.9</v>
      </c>
      <c r="DG225">
        <v>27481</v>
      </c>
      <c r="DH225">
        <v>31160.9</v>
      </c>
      <c r="DI225">
        <v>28047.200000000001</v>
      </c>
      <c r="DJ225">
        <v>36882.9</v>
      </c>
      <c r="DK225">
        <v>38068.1</v>
      </c>
      <c r="DL225">
        <v>44340.4</v>
      </c>
      <c r="DM225">
        <v>42486.9</v>
      </c>
      <c r="DN225">
        <v>1.4854700000000001</v>
      </c>
      <c r="DO225">
        <v>2.0545200000000001</v>
      </c>
      <c r="DP225">
        <v>0.15909200000000001</v>
      </c>
      <c r="DQ225">
        <v>0.14796500000000001</v>
      </c>
      <c r="DR225">
        <v>24.4221</v>
      </c>
      <c r="DS225">
        <v>24.381</v>
      </c>
      <c r="DT225">
        <v>22.7</v>
      </c>
      <c r="DU225">
        <v>28.1</v>
      </c>
      <c r="DV225">
        <v>8.7454599999999996</v>
      </c>
      <c r="DW225">
        <v>61.642800000000001</v>
      </c>
      <c r="DX225">
        <v>36.189900000000002</v>
      </c>
      <c r="DY225">
        <v>1</v>
      </c>
      <c r="DZ225">
        <v>-0.138826</v>
      </c>
      <c r="EA225">
        <v>0.22433800000000001</v>
      </c>
      <c r="EB225">
        <v>20.190799999999999</v>
      </c>
      <c r="EC225">
        <v>5.2418500000000003</v>
      </c>
      <c r="ED225">
        <v>12.039899999999999</v>
      </c>
      <c r="EE225">
        <v>5.0167999999999999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1.8646199999999999</v>
      </c>
      <c r="EM225">
        <v>1.8691599999999999</v>
      </c>
      <c r="EN225">
        <v>1.8672200000000001</v>
      </c>
      <c r="EO225">
        <v>1.8633999999999999</v>
      </c>
      <c r="EP225">
        <v>1.8645</v>
      </c>
      <c r="EQ225">
        <v>1.8701399999999999</v>
      </c>
      <c r="ER225">
        <v>1.8694299999999999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-0.67</v>
      </c>
      <c r="FG225">
        <v>0.1678</v>
      </c>
      <c r="FH225">
        <v>-0.44422204735670362</v>
      </c>
      <c r="FI225">
        <v>-6.1462078757559423E-4</v>
      </c>
      <c r="FJ225">
        <v>-1.8861989874597051E-7</v>
      </c>
      <c r="FK225">
        <v>1.1980462299894961E-10</v>
      </c>
      <c r="FL225">
        <v>0.16773393518503121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45.6</v>
      </c>
      <c r="FU225">
        <v>45.6</v>
      </c>
      <c r="FV225">
        <v>1.78101</v>
      </c>
      <c r="FW225">
        <v>2.5671400000000002</v>
      </c>
      <c r="FX225">
        <v>1.5490699999999999</v>
      </c>
      <c r="FY225">
        <v>2.3339799999999999</v>
      </c>
      <c r="FZ225">
        <v>1.50146</v>
      </c>
      <c r="GA225">
        <v>2.2961399999999998</v>
      </c>
      <c r="GB225">
        <v>32.6648</v>
      </c>
      <c r="GC225">
        <v>23.982399999999998</v>
      </c>
      <c r="GD225">
        <v>19</v>
      </c>
      <c r="GE225">
        <v>284.303</v>
      </c>
      <c r="GF225">
        <v>591.60199999999998</v>
      </c>
      <c r="GG225">
        <v>23.640699999999999</v>
      </c>
      <c r="GH225">
        <v>25.651700000000002</v>
      </c>
      <c r="GI225">
        <v>29.9998</v>
      </c>
      <c r="GJ225">
        <v>25.7835</v>
      </c>
      <c r="GK225">
        <v>25.760999999999999</v>
      </c>
      <c r="GL225">
        <v>35.604300000000002</v>
      </c>
      <c r="GM225">
        <v>-30</v>
      </c>
      <c r="GN225">
        <v>-30</v>
      </c>
      <c r="GO225">
        <v>23.648299999999999</v>
      </c>
      <c r="GP225">
        <v>800</v>
      </c>
      <c r="GQ225">
        <v>12.5298</v>
      </c>
      <c r="GR225">
        <v>99.695499999999996</v>
      </c>
      <c r="GS225">
        <v>99.412999999999997</v>
      </c>
    </row>
    <row r="226" spans="1:201" x14ac:dyDescent="0.25">
      <c r="A226">
        <v>210</v>
      </c>
      <c r="B226">
        <v>1690205865.5999999</v>
      </c>
      <c r="C226">
        <v>2426</v>
      </c>
      <c r="D226" t="s">
        <v>753</v>
      </c>
      <c r="E226" t="s">
        <v>754</v>
      </c>
      <c r="F226" t="s">
        <v>330</v>
      </c>
      <c r="H226">
        <v>1690205865.5999999</v>
      </c>
      <c r="I226">
        <f t="shared" si="90"/>
        <v>2.0951958114040574E-3</v>
      </c>
      <c r="J226">
        <f t="shared" si="91"/>
        <v>2.0951958114040576</v>
      </c>
      <c r="K226">
        <f t="shared" si="92"/>
        <v>43.535727354205115</v>
      </c>
      <c r="L226">
        <f t="shared" si="93"/>
        <v>340.19600000000003</v>
      </c>
      <c r="M226">
        <f t="shared" si="94"/>
        <v>65.874617886108012</v>
      </c>
      <c r="N226">
        <f t="shared" si="95"/>
        <v>6.5331602080438556</v>
      </c>
      <c r="O226">
        <f t="shared" si="96"/>
        <v>33.739170585828802</v>
      </c>
      <c r="P226">
        <f t="shared" si="97"/>
        <v>0.27141372865393498</v>
      </c>
      <c r="Q226">
        <f t="shared" si="98"/>
        <v>2.1960131099111968</v>
      </c>
      <c r="R226">
        <f t="shared" si="99"/>
        <v>0.25405997850910944</v>
      </c>
      <c r="S226">
        <f t="shared" si="100"/>
        <v>0.16025409956857853</v>
      </c>
      <c r="T226">
        <f t="shared" si="101"/>
        <v>276.11625213000002</v>
      </c>
      <c r="U226">
        <f t="shared" si="102"/>
        <v>27.04905122342371</v>
      </c>
      <c r="V226">
        <f t="shared" si="103"/>
        <v>27.04905122342371</v>
      </c>
      <c r="W226">
        <f t="shared" si="104"/>
        <v>3.5894838676078957</v>
      </c>
      <c r="X226">
        <f t="shared" si="105"/>
        <v>84.735909859942566</v>
      </c>
      <c r="Y226">
        <f t="shared" si="106"/>
        <v>2.7979344455853203</v>
      </c>
      <c r="Z226">
        <f t="shared" si="107"/>
        <v>3.3019465421566161</v>
      </c>
      <c r="AA226">
        <f t="shared" si="108"/>
        <v>0.79154942202257539</v>
      </c>
      <c r="AB226">
        <f t="shared" si="109"/>
        <v>-92.398135282918929</v>
      </c>
      <c r="AC226">
        <f t="shared" si="110"/>
        <v>-167.4826220082127</v>
      </c>
      <c r="AD226">
        <f t="shared" si="111"/>
        <v>-16.351222536982366</v>
      </c>
      <c r="AE226">
        <f t="shared" si="112"/>
        <v>-0.11572769811400008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52703.689162117305</v>
      </c>
      <c r="AK226">
        <f t="shared" si="116"/>
        <v>1800</v>
      </c>
      <c r="AL226">
        <f t="shared" si="117"/>
        <v>1499.111748</v>
      </c>
      <c r="AM226">
        <f t="shared" si="118"/>
        <v>0.83283985999999999</v>
      </c>
      <c r="AN226">
        <f t="shared" si="119"/>
        <v>0.15339791785000001</v>
      </c>
      <c r="AO226">
        <v>31.2</v>
      </c>
      <c r="AP226">
        <v>0.5</v>
      </c>
      <c r="AQ226" t="s">
        <v>331</v>
      </c>
      <c r="AR226">
        <v>2</v>
      </c>
      <c r="AS226">
        <v>1690205865.5999999</v>
      </c>
      <c r="AT226">
        <v>340.19600000000003</v>
      </c>
      <c r="AU226">
        <v>800.00800000000004</v>
      </c>
      <c r="AV226">
        <v>28.2119</v>
      </c>
      <c r="AW226">
        <v>7.0537400000000003</v>
      </c>
      <c r="AX226">
        <v>340.86700000000002</v>
      </c>
      <c r="AY226">
        <v>28.0441</v>
      </c>
      <c r="AZ226">
        <v>300.24299999999999</v>
      </c>
      <c r="BA226">
        <v>99.075699999999998</v>
      </c>
      <c r="BB226">
        <v>9.9982799999999997E-2</v>
      </c>
      <c r="BC226">
        <v>25.634399999999999</v>
      </c>
      <c r="BD226">
        <v>26.983699999999999</v>
      </c>
      <c r="BE226">
        <v>26.8263</v>
      </c>
      <c r="BF226">
        <v>0</v>
      </c>
      <c r="BG226">
        <v>0</v>
      </c>
      <c r="BH226">
        <v>10015</v>
      </c>
      <c r="BI226">
        <v>1063.8900000000001</v>
      </c>
      <c r="BJ226">
        <v>1.4016500000000001</v>
      </c>
      <c r="BK226">
        <v>-459.81200000000001</v>
      </c>
      <c r="BL226">
        <v>350.072</v>
      </c>
      <c r="BM226">
        <v>805.69200000000001</v>
      </c>
      <c r="BN226">
        <v>21.158100000000001</v>
      </c>
      <c r="BO226">
        <v>800.00800000000004</v>
      </c>
      <c r="BP226">
        <v>7.0537400000000003</v>
      </c>
      <c r="BQ226">
        <v>2.7951100000000002</v>
      </c>
      <c r="BR226">
        <v>0.698855</v>
      </c>
      <c r="BS226">
        <v>22.8552</v>
      </c>
      <c r="BT226">
        <v>1.8035099999999999</v>
      </c>
      <c r="BU226">
        <v>1800</v>
      </c>
      <c r="BV226">
        <v>0.90998800000000002</v>
      </c>
      <c r="BW226">
        <v>3.40004E-2</v>
      </c>
      <c r="BX226">
        <v>2.2005500000000001E-2</v>
      </c>
      <c r="BY226">
        <v>3.4006500000000002E-2</v>
      </c>
      <c r="BZ226">
        <v>25</v>
      </c>
      <c r="CA226">
        <v>33528.199999999997</v>
      </c>
      <c r="CB226">
        <v>1690203121.0999999</v>
      </c>
      <c r="CC226" t="s">
        <v>332</v>
      </c>
      <c r="CD226">
        <v>1690203121.0999999</v>
      </c>
      <c r="CE226">
        <v>1690203121.0999999</v>
      </c>
      <c r="CF226">
        <v>3</v>
      </c>
      <c r="CG226">
        <v>0.53600000000000003</v>
      </c>
      <c r="CH226">
        <v>-0.01</v>
      </c>
      <c r="CI226">
        <v>-0.996</v>
      </c>
      <c r="CJ226">
        <v>-6.6000000000000003E-2</v>
      </c>
      <c r="CK226">
        <v>800</v>
      </c>
      <c r="CL226">
        <v>9</v>
      </c>
      <c r="CM226">
        <v>0.82</v>
      </c>
      <c r="CN226">
        <v>0.01</v>
      </c>
      <c r="CO226">
        <v>-459.74950000000001</v>
      </c>
      <c r="CP226">
        <v>-0.50496810506418899</v>
      </c>
      <c r="CQ226">
        <v>0.1019509686074587</v>
      </c>
      <c r="CR226">
        <v>-1</v>
      </c>
      <c r="CS226">
        <v>21.133745000000001</v>
      </c>
      <c r="CT226">
        <v>0.1617883677297916</v>
      </c>
      <c r="CU226">
        <v>1.5690346554490021E-2</v>
      </c>
      <c r="CV226">
        <v>-1</v>
      </c>
      <c r="CW226">
        <v>0</v>
      </c>
      <c r="CX226">
        <v>0</v>
      </c>
      <c r="CY226" t="s">
        <v>333</v>
      </c>
      <c r="CZ226">
        <v>2.3653499999999998</v>
      </c>
      <c r="DA226">
        <v>2.7137899999999999</v>
      </c>
      <c r="DB226">
        <v>7.9130599999999995E-2</v>
      </c>
      <c r="DC226">
        <v>0.14629500000000001</v>
      </c>
      <c r="DD226">
        <v>0.127773</v>
      </c>
      <c r="DE226">
        <v>4.5038300000000003E-2</v>
      </c>
      <c r="DF226">
        <v>33614.699999999997</v>
      </c>
      <c r="DG226">
        <v>27480.9</v>
      </c>
      <c r="DH226">
        <v>31160.6</v>
      </c>
      <c r="DI226">
        <v>28047.3</v>
      </c>
      <c r="DJ226">
        <v>36880.5</v>
      </c>
      <c r="DK226">
        <v>38068.9</v>
      </c>
      <c r="DL226">
        <v>44340.2</v>
      </c>
      <c r="DM226">
        <v>42487.1</v>
      </c>
      <c r="DN226">
        <v>1.4858</v>
      </c>
      <c r="DO226">
        <v>2.0548500000000001</v>
      </c>
      <c r="DP226">
        <v>0.156302</v>
      </c>
      <c r="DQ226">
        <v>0.14917900000000001</v>
      </c>
      <c r="DR226">
        <v>24.4221</v>
      </c>
      <c r="DS226">
        <v>24.381</v>
      </c>
      <c r="DT226">
        <v>22.6</v>
      </c>
      <c r="DU226">
        <v>28.1</v>
      </c>
      <c r="DV226">
        <v>8.7066499999999998</v>
      </c>
      <c r="DW226">
        <v>61.452800000000003</v>
      </c>
      <c r="DX226">
        <v>36.302100000000003</v>
      </c>
      <c r="DY226">
        <v>1</v>
      </c>
      <c r="DZ226">
        <v>-0.13808200000000001</v>
      </c>
      <c r="EA226">
        <v>0.29383999999999999</v>
      </c>
      <c r="EB226">
        <v>20.1907</v>
      </c>
      <c r="EC226">
        <v>5.24125</v>
      </c>
      <c r="ED226">
        <v>12.039899999999999</v>
      </c>
      <c r="EE226">
        <v>5.0166500000000003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</v>
      </c>
      <c r="EL226">
        <v>1.8646199999999999</v>
      </c>
      <c r="EM226">
        <v>1.8691500000000001</v>
      </c>
      <c r="EN226">
        <v>1.8672200000000001</v>
      </c>
      <c r="EO226">
        <v>1.8633999999999999</v>
      </c>
      <c r="EP226">
        <v>1.86449</v>
      </c>
      <c r="EQ226">
        <v>1.87012</v>
      </c>
      <c r="ER226">
        <v>1.8694299999999999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-0.67100000000000004</v>
      </c>
      <c r="FG226">
        <v>0.1678</v>
      </c>
      <c r="FH226">
        <v>-0.44422204735670362</v>
      </c>
      <c r="FI226">
        <v>-6.1462078757559423E-4</v>
      </c>
      <c r="FJ226">
        <v>-1.8861989874597051E-7</v>
      </c>
      <c r="FK226">
        <v>1.1980462299894961E-10</v>
      </c>
      <c r="FL226">
        <v>0.16773393518503121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45.7</v>
      </c>
      <c r="FU226">
        <v>45.7</v>
      </c>
      <c r="FV226">
        <v>1.78101</v>
      </c>
      <c r="FW226">
        <v>2.5622600000000002</v>
      </c>
      <c r="FX226">
        <v>1.5490699999999999</v>
      </c>
      <c r="FY226">
        <v>2.3339799999999999</v>
      </c>
      <c r="FZ226">
        <v>1.50146</v>
      </c>
      <c r="GA226">
        <v>2.3107899999999999</v>
      </c>
      <c r="GB226">
        <v>32.6648</v>
      </c>
      <c r="GC226">
        <v>23.982399999999998</v>
      </c>
      <c r="GD226">
        <v>19</v>
      </c>
      <c r="GE226">
        <v>284.44400000000002</v>
      </c>
      <c r="GF226">
        <v>591.89400000000001</v>
      </c>
      <c r="GG226">
        <v>23.634</v>
      </c>
      <c r="GH226">
        <v>25.651700000000002</v>
      </c>
      <c r="GI226">
        <v>30.000299999999999</v>
      </c>
      <c r="GJ226">
        <v>25.784099999999999</v>
      </c>
      <c r="GK226">
        <v>25.762699999999999</v>
      </c>
      <c r="GL226">
        <v>35.602800000000002</v>
      </c>
      <c r="GM226">
        <v>-30</v>
      </c>
      <c r="GN226">
        <v>-30</v>
      </c>
      <c r="GO226">
        <v>23.633900000000001</v>
      </c>
      <c r="GP226">
        <v>800</v>
      </c>
      <c r="GQ226">
        <v>12.5298</v>
      </c>
      <c r="GR226">
        <v>99.695099999999996</v>
      </c>
      <c r="GS226">
        <v>99.413499999999999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2023-07-24T13:41:47Z</dcterms:created>
  <dcterms:modified xsi:type="dcterms:W3CDTF">2023-07-24T22:20:56Z</dcterms:modified>
</cp:coreProperties>
</file>