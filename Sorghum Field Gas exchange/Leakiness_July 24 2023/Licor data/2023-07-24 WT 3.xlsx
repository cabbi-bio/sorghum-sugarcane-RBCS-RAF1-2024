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leakiness July 24\2023-07-24 tdl leakiness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AN227" i="1" l="1"/>
  <c r="AM227" i="1"/>
  <c r="AK227" i="1"/>
  <c r="AL227" i="1" s="1"/>
  <c r="AJ227" i="1"/>
  <c r="AH227" i="1" s="1"/>
  <c r="Z227" i="1"/>
  <c r="X227" i="1" s="1"/>
  <c r="Y227" i="1"/>
  <c r="Q227" i="1"/>
  <c r="O227" i="1"/>
  <c r="J227" i="1"/>
  <c r="I227" i="1" s="1"/>
  <c r="AB227" i="1" s="1"/>
  <c r="AN226" i="1"/>
  <c r="AM226" i="1"/>
  <c r="AK226" i="1"/>
  <c r="AL226" i="1" s="1"/>
  <c r="AJ226" i="1"/>
  <c r="AH226" i="1"/>
  <c r="Z226" i="1"/>
  <c r="Y226" i="1"/>
  <c r="X226" i="1"/>
  <c r="Q226" i="1"/>
  <c r="AN225" i="1"/>
  <c r="AM225" i="1"/>
  <c r="AK225" i="1"/>
  <c r="AJ225" i="1"/>
  <c r="AH225" i="1"/>
  <c r="J225" i="1" s="1"/>
  <c r="I225" i="1" s="1"/>
  <c r="Z225" i="1"/>
  <c r="Y225" i="1"/>
  <c r="X225" i="1"/>
  <c r="Q225" i="1"/>
  <c r="O225" i="1"/>
  <c r="L225" i="1"/>
  <c r="K225" i="1"/>
  <c r="AN224" i="1"/>
  <c r="AM224" i="1"/>
  <c r="AL224" i="1"/>
  <c r="AK224" i="1"/>
  <c r="AJ224" i="1"/>
  <c r="AH224" i="1" s="1"/>
  <c r="Z224" i="1"/>
  <c r="Y224" i="1"/>
  <c r="X224" i="1" s="1"/>
  <c r="T224" i="1"/>
  <c r="Q224" i="1"/>
  <c r="AN223" i="1"/>
  <c r="AM223" i="1"/>
  <c r="AK223" i="1"/>
  <c r="AL223" i="1" s="1"/>
  <c r="AJ223" i="1"/>
  <c r="AH223" i="1" s="1"/>
  <c r="Z223" i="1"/>
  <c r="X223" i="1" s="1"/>
  <c r="Y223" i="1"/>
  <c r="Q223" i="1"/>
  <c r="J223" i="1"/>
  <c r="I223" i="1" s="1"/>
  <c r="AB223" i="1" s="1"/>
  <c r="AN222" i="1"/>
  <c r="AM222" i="1"/>
  <c r="AK222" i="1"/>
  <c r="AL222" i="1" s="1"/>
  <c r="AJ222" i="1"/>
  <c r="AH222" i="1"/>
  <c r="Z222" i="1"/>
  <c r="Y222" i="1"/>
  <c r="X222" i="1"/>
  <c r="Q222" i="1"/>
  <c r="AN221" i="1"/>
  <c r="AM221" i="1"/>
  <c r="AK221" i="1"/>
  <c r="AJ221" i="1"/>
  <c r="AI221" i="1"/>
  <c r="AH221" i="1"/>
  <c r="J221" i="1" s="1"/>
  <c r="I221" i="1" s="1"/>
  <c r="Z221" i="1"/>
  <c r="Y221" i="1"/>
  <c r="X221" i="1" s="1"/>
  <c r="Q221" i="1"/>
  <c r="O221" i="1"/>
  <c r="L221" i="1"/>
  <c r="K221" i="1"/>
  <c r="AN220" i="1"/>
  <c r="AM220" i="1"/>
  <c r="AL220" i="1"/>
  <c r="AK220" i="1"/>
  <c r="AJ220" i="1"/>
  <c r="AH220" i="1" s="1"/>
  <c r="AI220" i="1"/>
  <c r="Z220" i="1"/>
  <c r="Y220" i="1"/>
  <c r="X220" i="1" s="1"/>
  <c r="T220" i="1"/>
  <c r="Q220" i="1"/>
  <c r="AN219" i="1"/>
  <c r="AM219" i="1"/>
  <c r="AK219" i="1"/>
  <c r="AL219" i="1" s="1"/>
  <c r="AJ219" i="1"/>
  <c r="AH219" i="1" s="1"/>
  <c r="Z219" i="1"/>
  <c r="X219" i="1" s="1"/>
  <c r="Y219" i="1"/>
  <c r="Q219" i="1"/>
  <c r="J219" i="1"/>
  <c r="I219" i="1" s="1"/>
  <c r="AB219" i="1" s="1"/>
  <c r="AN218" i="1"/>
  <c r="AM218" i="1"/>
  <c r="AK218" i="1"/>
  <c r="AL218" i="1" s="1"/>
  <c r="AJ218" i="1"/>
  <c r="AH218" i="1"/>
  <c r="Z218" i="1"/>
  <c r="Y218" i="1"/>
  <c r="X218" i="1"/>
  <c r="Q218" i="1"/>
  <c r="AN217" i="1"/>
  <c r="AM217" i="1"/>
  <c r="AK217" i="1"/>
  <c r="AJ217" i="1"/>
  <c r="AI217" i="1"/>
  <c r="AH217" i="1"/>
  <c r="J217" i="1" s="1"/>
  <c r="I217" i="1" s="1"/>
  <c r="Z217" i="1"/>
  <c r="Y217" i="1"/>
  <c r="X217" i="1" s="1"/>
  <c r="Q217" i="1"/>
  <c r="O217" i="1"/>
  <c r="L217" i="1"/>
  <c r="K217" i="1"/>
  <c r="AN216" i="1"/>
  <c r="AM216" i="1"/>
  <c r="AL216" i="1"/>
  <c r="AK216" i="1"/>
  <c r="AJ216" i="1"/>
  <c r="AH216" i="1" s="1"/>
  <c r="AI216" i="1"/>
  <c r="Z216" i="1"/>
  <c r="Y216" i="1"/>
  <c r="X216" i="1" s="1"/>
  <c r="T216" i="1"/>
  <c r="Q216" i="1"/>
  <c r="AN215" i="1"/>
  <c r="AM215" i="1"/>
  <c r="AK215" i="1"/>
  <c r="AL215" i="1" s="1"/>
  <c r="AJ215" i="1"/>
  <c r="AH215" i="1" s="1"/>
  <c r="Z215" i="1"/>
  <c r="X215" i="1" s="1"/>
  <c r="Y215" i="1"/>
  <c r="Q215" i="1"/>
  <c r="O215" i="1"/>
  <c r="J215" i="1"/>
  <c r="I215" i="1" s="1"/>
  <c r="AB215" i="1" s="1"/>
  <c r="AN214" i="1"/>
  <c r="AM214" i="1"/>
  <c r="AK214" i="1"/>
  <c r="AJ214" i="1"/>
  <c r="AH214" i="1"/>
  <c r="Z214" i="1"/>
  <c r="Y214" i="1"/>
  <c r="X214" i="1"/>
  <c r="Q214" i="1"/>
  <c r="AN213" i="1"/>
  <c r="AM213" i="1"/>
  <c r="AK213" i="1"/>
  <c r="AJ213" i="1"/>
  <c r="AI213" i="1"/>
  <c r="AH213" i="1"/>
  <c r="J213" i="1" s="1"/>
  <c r="I213" i="1" s="1"/>
  <c r="Z213" i="1"/>
  <c r="Y213" i="1"/>
  <c r="X213" i="1" s="1"/>
  <c r="Q213" i="1"/>
  <c r="O213" i="1"/>
  <c r="L213" i="1"/>
  <c r="K213" i="1"/>
  <c r="AN212" i="1"/>
  <c r="AM212" i="1"/>
  <c r="AL212" i="1"/>
  <c r="AK212" i="1"/>
  <c r="AJ212" i="1"/>
  <c r="AH212" i="1" s="1"/>
  <c r="AI212" i="1"/>
  <c r="Z212" i="1"/>
  <c r="Y212" i="1"/>
  <c r="X212" i="1" s="1"/>
  <c r="T212" i="1"/>
  <c r="Q212" i="1"/>
  <c r="L212" i="1"/>
  <c r="AN211" i="1"/>
  <c r="AM211" i="1"/>
  <c r="AK211" i="1"/>
  <c r="AL211" i="1" s="1"/>
  <c r="AJ211" i="1"/>
  <c r="AH211" i="1" s="1"/>
  <c r="Z211" i="1"/>
  <c r="X211" i="1" s="1"/>
  <c r="Y211" i="1"/>
  <c r="Q211" i="1"/>
  <c r="AN210" i="1"/>
  <c r="AM210" i="1"/>
  <c r="AK210" i="1"/>
  <c r="AL210" i="1" s="1"/>
  <c r="AJ210" i="1"/>
  <c r="AH210" i="1"/>
  <c r="Z210" i="1"/>
  <c r="Y210" i="1"/>
  <c r="X210" i="1"/>
  <c r="Q210" i="1"/>
  <c r="AN209" i="1"/>
  <c r="AM209" i="1"/>
  <c r="AK209" i="1"/>
  <c r="AJ209" i="1"/>
  <c r="AI209" i="1"/>
  <c r="AH209" i="1"/>
  <c r="J209" i="1" s="1"/>
  <c r="I209" i="1" s="1"/>
  <c r="Z209" i="1"/>
  <c r="Y209" i="1"/>
  <c r="X209" i="1" s="1"/>
  <c r="Q209" i="1"/>
  <c r="O209" i="1"/>
  <c r="L209" i="1"/>
  <c r="K209" i="1"/>
  <c r="AN208" i="1"/>
  <c r="AM208" i="1"/>
  <c r="AL208" i="1"/>
  <c r="AK208" i="1"/>
  <c r="AJ208" i="1"/>
  <c r="AH208" i="1" s="1"/>
  <c r="AI208" i="1" s="1"/>
  <c r="Z208" i="1"/>
  <c r="Y208" i="1"/>
  <c r="X208" i="1" s="1"/>
  <c r="T208" i="1"/>
  <c r="Q208" i="1"/>
  <c r="AN207" i="1"/>
  <c r="AM207" i="1"/>
  <c r="AK207" i="1"/>
  <c r="AL207" i="1" s="1"/>
  <c r="AJ207" i="1"/>
  <c r="AH207" i="1" s="1"/>
  <c r="Z207" i="1"/>
  <c r="Y207" i="1"/>
  <c r="X207" i="1" s="1"/>
  <c r="Q207" i="1"/>
  <c r="AN206" i="1"/>
  <c r="AM206" i="1"/>
  <c r="AK206" i="1"/>
  <c r="AL206" i="1" s="1"/>
  <c r="AJ206" i="1"/>
  <c r="AH206" i="1"/>
  <c r="Z206" i="1"/>
  <c r="Y206" i="1"/>
  <c r="X206" i="1"/>
  <c r="Q206" i="1"/>
  <c r="AN205" i="1"/>
  <c r="AM205" i="1"/>
  <c r="AK205" i="1"/>
  <c r="AJ205" i="1"/>
  <c r="AI205" i="1"/>
  <c r="AH205" i="1"/>
  <c r="J205" i="1" s="1"/>
  <c r="I205" i="1" s="1"/>
  <c r="Z205" i="1"/>
  <c r="Y205" i="1"/>
  <c r="X205" i="1" s="1"/>
  <c r="Q205" i="1"/>
  <c r="O205" i="1"/>
  <c r="L205" i="1"/>
  <c r="K205" i="1"/>
  <c r="AN204" i="1"/>
  <c r="AM204" i="1"/>
  <c r="AL204" i="1"/>
  <c r="AK204" i="1"/>
  <c r="AJ204" i="1"/>
  <c r="AH204" i="1" s="1"/>
  <c r="L204" i="1" s="1"/>
  <c r="AI204" i="1"/>
  <c r="Z204" i="1"/>
  <c r="Y204" i="1"/>
  <c r="X204" i="1" s="1"/>
  <c r="T204" i="1"/>
  <c r="Q204" i="1"/>
  <c r="K204" i="1"/>
  <c r="AN203" i="1"/>
  <c r="AM203" i="1"/>
  <c r="AK203" i="1"/>
  <c r="AJ203" i="1"/>
  <c r="AH203" i="1" s="1"/>
  <c r="L203" i="1" s="1"/>
  <c r="Z203" i="1"/>
  <c r="Y203" i="1"/>
  <c r="X203" i="1" s="1"/>
  <c r="Q203" i="1"/>
  <c r="K203" i="1"/>
  <c r="J203" i="1"/>
  <c r="I203" i="1"/>
  <c r="AN202" i="1"/>
  <c r="AM202" i="1"/>
  <c r="AK202" i="1"/>
  <c r="AL202" i="1" s="1"/>
  <c r="AJ202" i="1"/>
  <c r="AH202" i="1"/>
  <c r="Z202" i="1"/>
  <c r="Y202" i="1"/>
  <c r="X202" i="1" s="1"/>
  <c r="Q202" i="1"/>
  <c r="AN201" i="1"/>
  <c r="AM201" i="1"/>
  <c r="AK201" i="1"/>
  <c r="AJ201" i="1"/>
  <c r="AI201" i="1"/>
  <c r="AH201" i="1"/>
  <c r="Z201" i="1"/>
  <c r="Y201" i="1"/>
  <c r="X201" i="1" s="1"/>
  <c r="Q201" i="1"/>
  <c r="O201" i="1"/>
  <c r="L201" i="1"/>
  <c r="K201" i="1"/>
  <c r="J201" i="1"/>
  <c r="I201" i="1"/>
  <c r="AN200" i="1"/>
  <c r="AM200" i="1"/>
  <c r="AK200" i="1"/>
  <c r="AJ200" i="1"/>
  <c r="AH200" i="1" s="1"/>
  <c r="AI200" i="1"/>
  <c r="Z200" i="1"/>
  <c r="Y200" i="1"/>
  <c r="Q200" i="1"/>
  <c r="O200" i="1"/>
  <c r="L200" i="1"/>
  <c r="K200" i="1"/>
  <c r="J200" i="1"/>
  <c r="I200" i="1" s="1"/>
  <c r="AN199" i="1"/>
  <c r="AM199" i="1"/>
  <c r="AK199" i="1"/>
  <c r="AJ199" i="1"/>
  <c r="AH199" i="1" s="1"/>
  <c r="Z199" i="1"/>
  <c r="Y199" i="1"/>
  <c r="X199" i="1" s="1"/>
  <c r="Q199" i="1"/>
  <c r="AN198" i="1"/>
  <c r="AM198" i="1"/>
  <c r="AK198" i="1"/>
  <c r="AJ198" i="1"/>
  <c r="AI198" i="1"/>
  <c r="AH198" i="1"/>
  <c r="J198" i="1" s="1"/>
  <c r="I198" i="1" s="1"/>
  <c r="AB198" i="1" s="1"/>
  <c r="Z198" i="1"/>
  <c r="Y198" i="1"/>
  <c r="X198" i="1" s="1"/>
  <c r="Q198" i="1"/>
  <c r="L198" i="1"/>
  <c r="K198" i="1"/>
  <c r="AN197" i="1"/>
  <c r="AM197" i="1"/>
  <c r="AK197" i="1"/>
  <c r="AJ197" i="1"/>
  <c r="AH197" i="1" s="1"/>
  <c r="AI197" i="1" s="1"/>
  <c r="Z197" i="1"/>
  <c r="Y197" i="1"/>
  <c r="X197" i="1" s="1"/>
  <c r="Q197" i="1"/>
  <c r="K197" i="1"/>
  <c r="AN196" i="1"/>
  <c r="AM196" i="1"/>
  <c r="AL196" i="1" s="1"/>
  <c r="AK196" i="1"/>
  <c r="AJ196" i="1"/>
  <c r="AH196" i="1"/>
  <c r="O196" i="1" s="1"/>
  <c r="Z196" i="1"/>
  <c r="Y196" i="1"/>
  <c r="X196" i="1"/>
  <c r="T196" i="1"/>
  <c r="Q196" i="1"/>
  <c r="AN195" i="1"/>
  <c r="AM195" i="1"/>
  <c r="AK195" i="1"/>
  <c r="AJ195" i="1"/>
  <c r="AH195" i="1"/>
  <c r="L195" i="1" s="1"/>
  <c r="Z195" i="1"/>
  <c r="Y195" i="1"/>
  <c r="X195" i="1"/>
  <c r="Q195" i="1"/>
  <c r="O195" i="1"/>
  <c r="AN194" i="1"/>
  <c r="AM194" i="1"/>
  <c r="AK194" i="1"/>
  <c r="AL194" i="1" s="1"/>
  <c r="AJ194" i="1"/>
  <c r="AI194" i="1"/>
  <c r="AH194" i="1"/>
  <c r="J194" i="1" s="1"/>
  <c r="I194" i="1" s="1"/>
  <c r="AB194" i="1"/>
  <c r="Z194" i="1"/>
  <c r="Y194" i="1"/>
  <c r="X194" i="1" s="1"/>
  <c r="Q194" i="1"/>
  <c r="L194" i="1"/>
  <c r="K194" i="1"/>
  <c r="AN193" i="1"/>
  <c r="AM193" i="1"/>
  <c r="AK193" i="1"/>
  <c r="AJ193" i="1"/>
  <c r="AH193" i="1" s="1"/>
  <c r="AI193" i="1"/>
  <c r="Z193" i="1"/>
  <c r="Y193" i="1"/>
  <c r="X193" i="1" s="1"/>
  <c r="Q193" i="1"/>
  <c r="K193" i="1"/>
  <c r="J193" i="1"/>
  <c r="I193" i="1" s="1"/>
  <c r="AN192" i="1"/>
  <c r="AM192" i="1"/>
  <c r="AL192" i="1" s="1"/>
  <c r="AK192" i="1"/>
  <c r="AJ192" i="1"/>
  <c r="AH192" i="1"/>
  <c r="Z192" i="1"/>
  <c r="Y192" i="1"/>
  <c r="X192" i="1"/>
  <c r="T192" i="1"/>
  <c r="Q192" i="1"/>
  <c r="O192" i="1"/>
  <c r="AN191" i="1"/>
  <c r="AM191" i="1"/>
  <c r="AK191" i="1"/>
  <c r="AJ191" i="1"/>
  <c r="AH191" i="1"/>
  <c r="L191" i="1" s="1"/>
  <c r="Z191" i="1"/>
  <c r="Y191" i="1"/>
  <c r="X191" i="1"/>
  <c r="Q191" i="1"/>
  <c r="O191" i="1"/>
  <c r="AN190" i="1"/>
  <c r="AM190" i="1"/>
  <c r="AL190" i="1"/>
  <c r="AK190" i="1"/>
  <c r="AJ190" i="1"/>
  <c r="AI190" i="1"/>
  <c r="AH190" i="1"/>
  <c r="J190" i="1" s="1"/>
  <c r="I190" i="1" s="1"/>
  <c r="AB190" i="1"/>
  <c r="Z190" i="1"/>
  <c r="Y190" i="1"/>
  <c r="X190" i="1" s="1"/>
  <c r="T190" i="1"/>
  <c r="Q190" i="1"/>
  <c r="L190" i="1"/>
  <c r="K190" i="1"/>
  <c r="AN189" i="1"/>
  <c r="AM189" i="1"/>
  <c r="AK189" i="1"/>
  <c r="AJ189" i="1"/>
  <c r="AH189" i="1" s="1"/>
  <c r="AI189" i="1"/>
  <c r="Z189" i="1"/>
  <c r="Y189" i="1"/>
  <c r="X189" i="1" s="1"/>
  <c r="Q189" i="1"/>
  <c r="K189" i="1"/>
  <c r="J189" i="1"/>
  <c r="I189" i="1" s="1"/>
  <c r="AB189" i="1" s="1"/>
  <c r="AN188" i="1"/>
  <c r="AM188" i="1"/>
  <c r="AL188" i="1" s="1"/>
  <c r="AK188" i="1"/>
  <c r="AJ188" i="1"/>
  <c r="AI188" i="1"/>
  <c r="AH188" i="1"/>
  <c r="J188" i="1" s="1"/>
  <c r="I188" i="1" s="1"/>
  <c r="Z188" i="1"/>
  <c r="Y188" i="1"/>
  <c r="X188" i="1"/>
  <c r="T188" i="1"/>
  <c r="Q188" i="1"/>
  <c r="O188" i="1"/>
  <c r="AN187" i="1"/>
  <c r="AM187" i="1"/>
  <c r="AK187" i="1"/>
  <c r="AJ187" i="1"/>
  <c r="AH187" i="1"/>
  <c r="O187" i="1" s="1"/>
  <c r="Z187" i="1"/>
  <c r="Y187" i="1"/>
  <c r="X187" i="1"/>
  <c r="Q187" i="1"/>
  <c r="AN186" i="1"/>
  <c r="AM186" i="1"/>
  <c r="AL186" i="1" s="1"/>
  <c r="AK186" i="1"/>
  <c r="AJ186" i="1"/>
  <c r="AI186" i="1"/>
  <c r="AH186" i="1"/>
  <c r="J186" i="1" s="1"/>
  <c r="I186" i="1" s="1"/>
  <c r="Z186" i="1"/>
  <c r="Y186" i="1"/>
  <c r="X186" i="1" s="1"/>
  <c r="T186" i="1"/>
  <c r="Q186" i="1"/>
  <c r="L186" i="1"/>
  <c r="K186" i="1"/>
  <c r="AN185" i="1"/>
  <c r="AM185" i="1"/>
  <c r="AK185" i="1"/>
  <c r="AL185" i="1" s="1"/>
  <c r="AJ185" i="1"/>
  <c r="AH185" i="1" s="1"/>
  <c r="AI185" i="1" s="1"/>
  <c r="Z185" i="1"/>
  <c r="Y185" i="1"/>
  <c r="X185" i="1" s="1"/>
  <c r="Q185" i="1"/>
  <c r="O185" i="1"/>
  <c r="L185" i="1"/>
  <c r="K185" i="1"/>
  <c r="J185" i="1"/>
  <c r="I185" i="1" s="1"/>
  <c r="AN184" i="1"/>
  <c r="AM184" i="1"/>
  <c r="AL184" i="1" s="1"/>
  <c r="AK184" i="1"/>
  <c r="AJ184" i="1"/>
  <c r="AH184" i="1"/>
  <c r="Z184" i="1"/>
  <c r="Y184" i="1"/>
  <c r="X184" i="1" s="1"/>
  <c r="T184" i="1"/>
  <c r="Q184" i="1"/>
  <c r="AN183" i="1"/>
  <c r="AM183" i="1"/>
  <c r="AK183" i="1"/>
  <c r="AJ183" i="1"/>
  <c r="AH183" i="1" s="1"/>
  <c r="Z183" i="1"/>
  <c r="X183" i="1" s="1"/>
  <c r="Y183" i="1"/>
  <c r="Q183" i="1"/>
  <c r="J183" i="1"/>
  <c r="I183" i="1" s="1"/>
  <c r="AB183" i="1" s="1"/>
  <c r="AN182" i="1"/>
  <c r="AM182" i="1"/>
  <c r="AL182" i="1" s="1"/>
  <c r="AK182" i="1"/>
  <c r="AJ182" i="1"/>
  <c r="AI182" i="1"/>
  <c r="AH182" i="1"/>
  <c r="Z182" i="1"/>
  <c r="Y182" i="1"/>
  <c r="X182" i="1"/>
  <c r="T182" i="1"/>
  <c r="Q182" i="1"/>
  <c r="L182" i="1"/>
  <c r="K182" i="1"/>
  <c r="AN181" i="1"/>
  <c r="AM181" i="1"/>
  <c r="AL181" i="1"/>
  <c r="AK181" i="1"/>
  <c r="AJ181" i="1"/>
  <c r="AH181" i="1" s="1"/>
  <c r="O181" i="1" s="1"/>
  <c r="Z181" i="1"/>
  <c r="Y181" i="1"/>
  <c r="T181" i="1"/>
  <c r="Q181" i="1"/>
  <c r="L181" i="1"/>
  <c r="J181" i="1"/>
  <c r="I181" i="1"/>
  <c r="AN180" i="1"/>
  <c r="AM180" i="1"/>
  <c r="AL180" i="1" s="1"/>
  <c r="AK180" i="1"/>
  <c r="AJ180" i="1"/>
  <c r="AH180" i="1"/>
  <c r="Z180" i="1"/>
  <c r="Y180" i="1"/>
  <c r="X180" i="1"/>
  <c r="T180" i="1"/>
  <c r="Q180" i="1"/>
  <c r="K180" i="1"/>
  <c r="J180" i="1"/>
  <c r="I180" i="1" s="1"/>
  <c r="AN179" i="1"/>
  <c r="AM179" i="1"/>
  <c r="AK179" i="1"/>
  <c r="AJ179" i="1"/>
  <c r="AH179" i="1"/>
  <c r="Z179" i="1"/>
  <c r="Y179" i="1"/>
  <c r="X179" i="1" s="1"/>
  <c r="T179" i="1"/>
  <c r="Q179" i="1"/>
  <c r="AN178" i="1"/>
  <c r="AM178" i="1"/>
  <c r="AL178" i="1" s="1"/>
  <c r="AK178" i="1"/>
  <c r="AJ178" i="1"/>
  <c r="AH178" i="1" s="1"/>
  <c r="L178" i="1" s="1"/>
  <c r="Z178" i="1"/>
  <c r="Y178" i="1"/>
  <c r="X178" i="1" s="1"/>
  <c r="T178" i="1"/>
  <c r="Q178" i="1"/>
  <c r="AN177" i="1"/>
  <c r="AM177" i="1"/>
  <c r="AK177" i="1"/>
  <c r="AJ177" i="1"/>
  <c r="AH177" i="1" s="1"/>
  <c r="Z177" i="1"/>
  <c r="X177" i="1" s="1"/>
  <c r="Y177" i="1"/>
  <c r="Q177" i="1"/>
  <c r="J177" i="1"/>
  <c r="I177" i="1" s="1"/>
  <c r="AN176" i="1"/>
  <c r="AM176" i="1"/>
  <c r="AK176" i="1"/>
  <c r="AL176" i="1" s="1"/>
  <c r="AJ176" i="1"/>
  <c r="AI176" i="1"/>
  <c r="AH176" i="1"/>
  <c r="Z176" i="1"/>
  <c r="Y176" i="1"/>
  <c r="X176" i="1" s="1"/>
  <c r="Q176" i="1"/>
  <c r="AN175" i="1"/>
  <c r="T175" i="1" s="1"/>
  <c r="AM175" i="1"/>
  <c r="AL175" i="1"/>
  <c r="AK175" i="1"/>
  <c r="AJ175" i="1"/>
  <c r="AI175" i="1"/>
  <c r="AH175" i="1"/>
  <c r="J175" i="1" s="1"/>
  <c r="I175" i="1" s="1"/>
  <c r="Z175" i="1"/>
  <c r="Y175" i="1"/>
  <c r="X175" i="1" s="1"/>
  <c r="Q175" i="1"/>
  <c r="O175" i="1"/>
  <c r="L175" i="1"/>
  <c r="K175" i="1"/>
  <c r="AN174" i="1"/>
  <c r="AM174" i="1"/>
  <c r="AL174" i="1" s="1"/>
  <c r="AK174" i="1"/>
  <c r="AJ174" i="1"/>
  <c r="AH174" i="1" s="1"/>
  <c r="L174" i="1" s="1"/>
  <c r="Z174" i="1"/>
  <c r="Y174" i="1"/>
  <c r="X174" i="1" s="1"/>
  <c r="T174" i="1"/>
  <c r="Q174" i="1"/>
  <c r="AN173" i="1"/>
  <c r="AM173" i="1"/>
  <c r="AK173" i="1"/>
  <c r="AJ173" i="1"/>
  <c r="AH173" i="1" s="1"/>
  <c r="Z173" i="1"/>
  <c r="X173" i="1" s="1"/>
  <c r="Y173" i="1"/>
  <c r="Q173" i="1"/>
  <c r="AN172" i="1"/>
  <c r="AM172" i="1"/>
  <c r="AK172" i="1"/>
  <c r="AL172" i="1" s="1"/>
  <c r="AJ172" i="1"/>
  <c r="AI172" i="1"/>
  <c r="AH172" i="1"/>
  <c r="Z172" i="1"/>
  <c r="Y172" i="1"/>
  <c r="X172" i="1" s="1"/>
  <c r="Q172" i="1"/>
  <c r="AN171" i="1"/>
  <c r="T171" i="1" s="1"/>
  <c r="AM171" i="1"/>
  <c r="AL171" i="1"/>
  <c r="AK171" i="1"/>
  <c r="AJ171" i="1"/>
  <c r="AI171" i="1"/>
  <c r="AH171" i="1"/>
  <c r="J171" i="1" s="1"/>
  <c r="Z171" i="1"/>
  <c r="Y171" i="1"/>
  <c r="X171" i="1" s="1"/>
  <c r="Q171" i="1"/>
  <c r="O171" i="1"/>
  <c r="L171" i="1"/>
  <c r="K171" i="1"/>
  <c r="I171" i="1"/>
  <c r="AN170" i="1"/>
  <c r="AM170" i="1"/>
  <c r="AL170" i="1"/>
  <c r="AK170" i="1"/>
  <c r="AJ170" i="1"/>
  <c r="AH170" i="1" s="1"/>
  <c r="AB170" i="1"/>
  <c r="Z170" i="1"/>
  <c r="Y170" i="1"/>
  <c r="X170" i="1" s="1"/>
  <c r="T170" i="1"/>
  <c r="R170" i="1"/>
  <c r="P170" i="1" s="1"/>
  <c r="S170" i="1" s="1"/>
  <c r="Q170" i="1"/>
  <c r="O170" i="1"/>
  <c r="L170" i="1"/>
  <c r="J170" i="1"/>
  <c r="I170" i="1" s="1"/>
  <c r="U170" i="1" s="1"/>
  <c r="V170" i="1" s="1"/>
  <c r="AN169" i="1"/>
  <c r="AM169" i="1"/>
  <c r="AK169" i="1"/>
  <c r="AJ169" i="1"/>
  <c r="AH169" i="1"/>
  <c r="Z169" i="1"/>
  <c r="X169" i="1" s="1"/>
  <c r="Y169" i="1"/>
  <c r="Q169" i="1"/>
  <c r="AN168" i="1"/>
  <c r="AM168" i="1"/>
  <c r="AK168" i="1"/>
  <c r="AJ168" i="1"/>
  <c r="AI168" i="1"/>
  <c r="AH168" i="1"/>
  <c r="Z168" i="1"/>
  <c r="Y168" i="1"/>
  <c r="X168" i="1" s="1"/>
  <c r="Q168" i="1"/>
  <c r="O168" i="1"/>
  <c r="AN167" i="1"/>
  <c r="AM167" i="1"/>
  <c r="AL167" i="1"/>
  <c r="AK167" i="1"/>
  <c r="AJ167" i="1"/>
  <c r="AI167" i="1"/>
  <c r="AH167" i="1"/>
  <c r="J167" i="1" s="1"/>
  <c r="AB167" i="1"/>
  <c r="Z167" i="1"/>
  <c r="Y167" i="1"/>
  <c r="X167" i="1" s="1"/>
  <c r="T167" i="1"/>
  <c r="Q167" i="1"/>
  <c r="O167" i="1"/>
  <c r="L167" i="1"/>
  <c r="K167" i="1"/>
  <c r="I167" i="1"/>
  <c r="AN166" i="1"/>
  <c r="AM166" i="1"/>
  <c r="AL166" i="1"/>
  <c r="AK166" i="1"/>
  <c r="AJ166" i="1"/>
  <c r="AH166" i="1" s="1"/>
  <c r="AI166" i="1" s="1"/>
  <c r="Z166" i="1"/>
  <c r="Y166" i="1"/>
  <c r="X166" i="1" s="1"/>
  <c r="T166" i="1"/>
  <c r="Q166" i="1"/>
  <c r="K166" i="1"/>
  <c r="J166" i="1"/>
  <c r="I166" i="1" s="1"/>
  <c r="AN165" i="1"/>
  <c r="AM165" i="1"/>
  <c r="AK165" i="1"/>
  <c r="AJ165" i="1"/>
  <c r="AH165" i="1" s="1"/>
  <c r="AI165" i="1"/>
  <c r="Z165" i="1"/>
  <c r="Y165" i="1"/>
  <c r="X165" i="1" s="1"/>
  <c r="Q165" i="1"/>
  <c r="AN164" i="1"/>
  <c r="AM164" i="1"/>
  <c r="AK164" i="1"/>
  <c r="AJ164" i="1"/>
  <c r="AH164" i="1"/>
  <c r="O164" i="1" s="1"/>
  <c r="Z164" i="1"/>
  <c r="Y164" i="1"/>
  <c r="X164" i="1"/>
  <c r="Q164" i="1"/>
  <c r="K164" i="1"/>
  <c r="AN163" i="1"/>
  <c r="AM163" i="1"/>
  <c r="AL163" i="1" s="1"/>
  <c r="AK163" i="1"/>
  <c r="AJ163" i="1"/>
  <c r="AI163" i="1"/>
  <c r="AH163" i="1"/>
  <c r="Z163" i="1"/>
  <c r="Y163" i="1"/>
  <c r="X163" i="1" s="1"/>
  <c r="T163" i="1"/>
  <c r="Q163" i="1"/>
  <c r="O163" i="1"/>
  <c r="L163" i="1"/>
  <c r="K163" i="1"/>
  <c r="J163" i="1"/>
  <c r="I163" i="1"/>
  <c r="AB163" i="1" s="1"/>
  <c r="AN162" i="1"/>
  <c r="AM162" i="1"/>
  <c r="AL162" i="1"/>
  <c r="AK162" i="1"/>
  <c r="AJ162" i="1"/>
  <c r="AH162" i="1" s="1"/>
  <c r="AI162" i="1" s="1"/>
  <c r="Z162" i="1"/>
  <c r="Y162" i="1"/>
  <c r="X162" i="1" s="1"/>
  <c r="T162" i="1"/>
  <c r="U162" i="1" s="1"/>
  <c r="V162" i="1" s="1"/>
  <c r="Q162" i="1"/>
  <c r="K162" i="1"/>
  <c r="J162" i="1"/>
  <c r="I162" i="1" s="1"/>
  <c r="AN161" i="1"/>
  <c r="AM161" i="1"/>
  <c r="AK161" i="1"/>
  <c r="AJ161" i="1"/>
  <c r="AH161" i="1" s="1"/>
  <c r="Z161" i="1"/>
  <c r="Y161" i="1"/>
  <c r="X161" i="1"/>
  <c r="Q161" i="1"/>
  <c r="AN160" i="1"/>
  <c r="AM160" i="1"/>
  <c r="AK160" i="1"/>
  <c r="AJ160" i="1"/>
  <c r="AI160" i="1"/>
  <c r="AH160" i="1"/>
  <c r="L160" i="1" s="1"/>
  <c r="Z160" i="1"/>
  <c r="Y160" i="1"/>
  <c r="X160" i="1"/>
  <c r="Q160" i="1"/>
  <c r="O160" i="1"/>
  <c r="K160" i="1"/>
  <c r="J160" i="1"/>
  <c r="I160" i="1" s="1"/>
  <c r="AN159" i="1"/>
  <c r="AM159" i="1"/>
  <c r="AK159" i="1"/>
  <c r="AJ159" i="1"/>
  <c r="AH159" i="1"/>
  <c r="Z159" i="1"/>
  <c r="Y159" i="1"/>
  <c r="X159" i="1"/>
  <c r="Q159" i="1"/>
  <c r="K159" i="1"/>
  <c r="AN158" i="1"/>
  <c r="T158" i="1" s="1"/>
  <c r="AM158" i="1"/>
  <c r="AL158" i="1"/>
  <c r="AK158" i="1"/>
  <c r="AJ158" i="1"/>
  <c r="AH158" i="1" s="1"/>
  <c r="AI158" i="1"/>
  <c r="Z158" i="1"/>
  <c r="Y158" i="1"/>
  <c r="X158" i="1" s="1"/>
  <c r="Q158" i="1"/>
  <c r="AN157" i="1"/>
  <c r="AM157" i="1"/>
  <c r="AL157" i="1"/>
  <c r="AK157" i="1"/>
  <c r="AJ157" i="1"/>
  <c r="AH157" i="1" s="1"/>
  <c r="Z157" i="1"/>
  <c r="Y157" i="1"/>
  <c r="X157" i="1" s="1"/>
  <c r="T157" i="1"/>
  <c r="Q157" i="1"/>
  <c r="O157" i="1"/>
  <c r="L157" i="1"/>
  <c r="AN156" i="1"/>
  <c r="AM156" i="1"/>
  <c r="AK156" i="1"/>
  <c r="AL156" i="1" s="1"/>
  <c r="AJ156" i="1"/>
  <c r="AH156" i="1" s="1"/>
  <c r="Z156" i="1"/>
  <c r="X156" i="1" s="1"/>
  <c r="Y156" i="1"/>
  <c r="Q156" i="1"/>
  <c r="J156" i="1"/>
  <c r="I156" i="1" s="1"/>
  <c r="AB156" i="1" s="1"/>
  <c r="AN155" i="1"/>
  <c r="AM155" i="1"/>
  <c r="AK155" i="1"/>
  <c r="AJ155" i="1"/>
  <c r="AH155" i="1"/>
  <c r="Z155" i="1"/>
  <c r="Y155" i="1"/>
  <c r="X155" i="1"/>
  <c r="Q155" i="1"/>
  <c r="K155" i="1"/>
  <c r="AN154" i="1"/>
  <c r="T154" i="1" s="1"/>
  <c r="AM154" i="1"/>
  <c r="AL154" i="1"/>
  <c r="AK154" i="1"/>
  <c r="AJ154" i="1"/>
  <c r="AH154" i="1" s="1"/>
  <c r="Z154" i="1"/>
  <c r="Y154" i="1"/>
  <c r="X154" i="1" s="1"/>
  <c r="Q154" i="1"/>
  <c r="AN153" i="1"/>
  <c r="AM153" i="1"/>
  <c r="AL153" i="1"/>
  <c r="AK153" i="1"/>
  <c r="AJ153" i="1"/>
  <c r="AH153" i="1" s="1"/>
  <c r="Z153" i="1"/>
  <c r="Y153" i="1"/>
  <c r="X153" i="1" s="1"/>
  <c r="T153" i="1"/>
  <c r="Q153" i="1"/>
  <c r="O153" i="1"/>
  <c r="L153" i="1"/>
  <c r="AN152" i="1"/>
  <c r="AM152" i="1"/>
  <c r="AK152" i="1"/>
  <c r="AJ152" i="1"/>
  <c r="AH152" i="1" s="1"/>
  <c r="Z152" i="1"/>
  <c r="X152" i="1" s="1"/>
  <c r="Y152" i="1"/>
  <c r="Q152" i="1"/>
  <c r="J152" i="1"/>
  <c r="I152" i="1" s="1"/>
  <c r="AB152" i="1" s="1"/>
  <c r="AN151" i="1"/>
  <c r="AM151" i="1"/>
  <c r="AK151" i="1"/>
  <c r="AJ151" i="1"/>
  <c r="AH151" i="1"/>
  <c r="Z151" i="1"/>
  <c r="Y151" i="1"/>
  <c r="X151" i="1"/>
  <c r="Q151" i="1"/>
  <c r="AN150" i="1"/>
  <c r="T150" i="1" s="1"/>
  <c r="AM150" i="1"/>
  <c r="AL150" i="1"/>
  <c r="AK150" i="1"/>
  <c r="AJ150" i="1"/>
  <c r="AH150" i="1" s="1"/>
  <c r="AI150" i="1" s="1"/>
  <c r="Z150" i="1"/>
  <c r="Y150" i="1"/>
  <c r="X150" i="1" s="1"/>
  <c r="Q150" i="1"/>
  <c r="AN149" i="1"/>
  <c r="AM149" i="1"/>
  <c r="AL149" i="1"/>
  <c r="AK149" i="1"/>
  <c r="AJ149" i="1"/>
  <c r="AH149" i="1" s="1"/>
  <c r="Z149" i="1"/>
  <c r="Y149" i="1"/>
  <c r="X149" i="1" s="1"/>
  <c r="T149" i="1"/>
  <c r="Q149" i="1"/>
  <c r="O149" i="1"/>
  <c r="L149" i="1"/>
  <c r="AN148" i="1"/>
  <c r="AM148" i="1"/>
  <c r="AK148" i="1"/>
  <c r="AJ148" i="1"/>
  <c r="AH148" i="1" s="1"/>
  <c r="Z148" i="1"/>
  <c r="X148" i="1" s="1"/>
  <c r="Y148" i="1"/>
  <c r="Q148" i="1"/>
  <c r="J148" i="1"/>
  <c r="I148" i="1" s="1"/>
  <c r="AB148" i="1" s="1"/>
  <c r="AN147" i="1"/>
  <c r="AM147" i="1"/>
  <c r="AK147" i="1"/>
  <c r="AJ147" i="1"/>
  <c r="AH147" i="1"/>
  <c r="Z147" i="1"/>
  <c r="Y147" i="1"/>
  <c r="X147" i="1"/>
  <c r="Q147" i="1"/>
  <c r="K147" i="1"/>
  <c r="AN146" i="1"/>
  <c r="AM146" i="1"/>
  <c r="AK146" i="1"/>
  <c r="AL146" i="1" s="1"/>
  <c r="AJ146" i="1"/>
  <c r="AH146" i="1" s="1"/>
  <c r="Z146" i="1"/>
  <c r="Y146" i="1"/>
  <c r="X146" i="1" s="1"/>
  <c r="Q146" i="1"/>
  <c r="AN145" i="1"/>
  <c r="AM145" i="1"/>
  <c r="AL145" i="1"/>
  <c r="AK145" i="1"/>
  <c r="AJ145" i="1"/>
  <c r="AH145" i="1" s="1"/>
  <c r="Z145" i="1"/>
  <c r="Y145" i="1"/>
  <c r="X145" i="1" s="1"/>
  <c r="T145" i="1"/>
  <c r="Q145" i="1"/>
  <c r="AN144" i="1"/>
  <c r="AM144" i="1"/>
  <c r="AK144" i="1"/>
  <c r="AJ144" i="1"/>
  <c r="AH144" i="1" s="1"/>
  <c r="Z144" i="1"/>
  <c r="X144" i="1" s="1"/>
  <c r="Y144" i="1"/>
  <c r="Q144" i="1"/>
  <c r="AN143" i="1"/>
  <c r="AM143" i="1"/>
  <c r="AK143" i="1"/>
  <c r="AJ143" i="1"/>
  <c r="AI143" i="1"/>
  <c r="AH143" i="1"/>
  <c r="Z143" i="1"/>
  <c r="Y143" i="1"/>
  <c r="X143" i="1"/>
  <c r="Q143" i="1"/>
  <c r="K143" i="1"/>
  <c r="AN142" i="1"/>
  <c r="AM142" i="1"/>
  <c r="AK142" i="1"/>
  <c r="AL142" i="1" s="1"/>
  <c r="AJ142" i="1"/>
  <c r="AI142" i="1"/>
  <c r="AH142" i="1"/>
  <c r="J142" i="1" s="1"/>
  <c r="I142" i="1" s="1"/>
  <c r="Z142" i="1"/>
  <c r="Y142" i="1"/>
  <c r="X142" i="1" s="1"/>
  <c r="Q142" i="1"/>
  <c r="O142" i="1"/>
  <c r="L142" i="1"/>
  <c r="K142" i="1"/>
  <c r="AN141" i="1"/>
  <c r="AM141" i="1"/>
  <c r="AL141" i="1"/>
  <c r="AK141" i="1"/>
  <c r="AJ141" i="1"/>
  <c r="AH141" i="1" s="1"/>
  <c r="O141" i="1" s="1"/>
  <c r="Z141" i="1"/>
  <c r="Y141" i="1"/>
  <c r="X141" i="1" s="1"/>
  <c r="T141" i="1"/>
  <c r="Q141" i="1"/>
  <c r="AN140" i="1"/>
  <c r="AM140" i="1"/>
  <c r="AK140" i="1"/>
  <c r="AJ140" i="1"/>
  <c r="AH140" i="1" s="1"/>
  <c r="O140" i="1" s="1"/>
  <c r="Z140" i="1"/>
  <c r="X140" i="1" s="1"/>
  <c r="Y140" i="1"/>
  <c r="Q140" i="1"/>
  <c r="K140" i="1"/>
  <c r="J140" i="1"/>
  <c r="I140" i="1" s="1"/>
  <c r="AN139" i="1"/>
  <c r="AM139" i="1"/>
  <c r="AK139" i="1"/>
  <c r="AJ139" i="1"/>
  <c r="AH139" i="1"/>
  <c r="Z139" i="1"/>
  <c r="Y139" i="1"/>
  <c r="X139" i="1" s="1"/>
  <c r="Q139" i="1"/>
  <c r="K139" i="1"/>
  <c r="AN138" i="1"/>
  <c r="AM138" i="1"/>
  <c r="AK138" i="1"/>
  <c r="AJ138" i="1"/>
  <c r="AI138" i="1"/>
  <c r="AH138" i="1"/>
  <c r="J138" i="1" s="1"/>
  <c r="Z138" i="1"/>
  <c r="Y138" i="1"/>
  <c r="X138" i="1" s="1"/>
  <c r="Q138" i="1"/>
  <c r="O138" i="1"/>
  <c r="L138" i="1"/>
  <c r="K138" i="1"/>
  <c r="I138" i="1"/>
  <c r="AB138" i="1" s="1"/>
  <c r="AN137" i="1"/>
  <c r="AM137" i="1"/>
  <c r="AL137" i="1"/>
  <c r="AK137" i="1"/>
  <c r="AJ137" i="1"/>
  <c r="AH137" i="1" s="1"/>
  <c r="Z137" i="1"/>
  <c r="Y137" i="1"/>
  <c r="X137" i="1" s="1"/>
  <c r="T137" i="1"/>
  <c r="Q137" i="1"/>
  <c r="AN136" i="1"/>
  <c r="AM136" i="1"/>
  <c r="AK136" i="1"/>
  <c r="AJ136" i="1"/>
  <c r="AH136" i="1" s="1"/>
  <c r="Z136" i="1"/>
  <c r="X136" i="1" s="1"/>
  <c r="Y136" i="1"/>
  <c r="Q136" i="1"/>
  <c r="AN135" i="1"/>
  <c r="AM135" i="1"/>
  <c r="AK135" i="1"/>
  <c r="AJ135" i="1"/>
  <c r="AH135" i="1"/>
  <c r="Z135" i="1"/>
  <c r="Y135" i="1"/>
  <c r="X135" i="1"/>
  <c r="Q135" i="1"/>
  <c r="K135" i="1"/>
  <c r="AN134" i="1"/>
  <c r="T134" i="1" s="1"/>
  <c r="AM134" i="1"/>
  <c r="AK134" i="1"/>
  <c r="AL134" i="1" s="1"/>
  <c r="AJ134" i="1"/>
  <c r="AI134" i="1"/>
  <c r="AH134" i="1"/>
  <c r="J134" i="1" s="1"/>
  <c r="I134" i="1" s="1"/>
  <c r="Z134" i="1"/>
  <c r="Y134" i="1"/>
  <c r="X134" i="1" s="1"/>
  <c r="Q134" i="1"/>
  <c r="O134" i="1"/>
  <c r="L134" i="1"/>
  <c r="K134" i="1"/>
  <c r="AN133" i="1"/>
  <c r="AM133" i="1"/>
  <c r="AL133" i="1" s="1"/>
  <c r="AK133" i="1"/>
  <c r="AJ133" i="1"/>
  <c r="AH133" i="1" s="1"/>
  <c r="K133" i="1" s="1"/>
  <c r="AI133" i="1"/>
  <c r="AC133" i="1"/>
  <c r="Z133" i="1"/>
  <c r="Y133" i="1"/>
  <c r="T133" i="1"/>
  <c r="U133" i="1" s="1"/>
  <c r="V133" i="1" s="1"/>
  <c r="R133" i="1" s="1"/>
  <c r="P133" i="1" s="1"/>
  <c r="S133" i="1" s="1"/>
  <c r="M133" i="1" s="1"/>
  <c r="N133" i="1" s="1"/>
  <c r="Q133" i="1"/>
  <c r="O133" i="1"/>
  <c r="L133" i="1"/>
  <c r="J133" i="1"/>
  <c r="I133" i="1"/>
  <c r="AB133" i="1" s="1"/>
  <c r="AN132" i="1"/>
  <c r="AM132" i="1"/>
  <c r="AL132" i="1"/>
  <c r="AK132" i="1"/>
  <c r="AJ132" i="1"/>
  <c r="AH132" i="1"/>
  <c r="AI132" i="1" s="1"/>
  <c r="Z132" i="1"/>
  <c r="X132" i="1" s="1"/>
  <c r="Y132" i="1"/>
  <c r="T132" i="1"/>
  <c r="Q132" i="1"/>
  <c r="L132" i="1"/>
  <c r="K132" i="1"/>
  <c r="J132" i="1"/>
  <c r="I132" i="1" s="1"/>
  <c r="AN131" i="1"/>
  <c r="AM131" i="1"/>
  <c r="AK131" i="1"/>
  <c r="AJ131" i="1"/>
  <c r="AH131" i="1"/>
  <c r="Z131" i="1"/>
  <c r="Y131" i="1"/>
  <c r="X131" i="1"/>
  <c r="Q131" i="1"/>
  <c r="AN130" i="1"/>
  <c r="AM130" i="1"/>
  <c r="AK130" i="1"/>
  <c r="AJ130" i="1"/>
  <c r="AH130" i="1"/>
  <c r="AI130" i="1" s="1"/>
  <c r="Z130" i="1"/>
  <c r="X130" i="1" s="1"/>
  <c r="Y130" i="1"/>
  <c r="Q130" i="1"/>
  <c r="K130" i="1"/>
  <c r="J130" i="1"/>
  <c r="I130" i="1" s="1"/>
  <c r="AB130" i="1" s="1"/>
  <c r="AN129" i="1"/>
  <c r="AM129" i="1"/>
  <c r="AK129" i="1"/>
  <c r="AL129" i="1" s="1"/>
  <c r="AJ129" i="1"/>
  <c r="AH129" i="1"/>
  <c r="Z129" i="1"/>
  <c r="Y129" i="1"/>
  <c r="X129" i="1" s="1"/>
  <c r="Q129" i="1"/>
  <c r="AN128" i="1"/>
  <c r="T128" i="1" s="1"/>
  <c r="AM128" i="1"/>
  <c r="AL128" i="1"/>
  <c r="AK128" i="1"/>
  <c r="AJ128" i="1"/>
  <c r="AH128" i="1"/>
  <c r="K128" i="1" s="1"/>
  <c r="Z128" i="1"/>
  <c r="Y128" i="1"/>
  <c r="X128" i="1"/>
  <c r="Q128" i="1"/>
  <c r="O128" i="1"/>
  <c r="L128" i="1"/>
  <c r="AN127" i="1"/>
  <c r="AM127" i="1"/>
  <c r="AL127" i="1" s="1"/>
  <c r="AK127" i="1"/>
  <c r="AJ127" i="1"/>
  <c r="AH127" i="1" s="1"/>
  <c r="Z127" i="1"/>
  <c r="Y127" i="1"/>
  <c r="X127" i="1" s="1"/>
  <c r="T127" i="1"/>
  <c r="Q127" i="1"/>
  <c r="L127" i="1"/>
  <c r="AN126" i="1"/>
  <c r="AM126" i="1"/>
  <c r="AK126" i="1"/>
  <c r="AJ126" i="1"/>
  <c r="AH126" i="1" s="1"/>
  <c r="Z126" i="1"/>
  <c r="X126" i="1" s="1"/>
  <c r="Y126" i="1"/>
  <c r="Q126" i="1"/>
  <c r="J126" i="1"/>
  <c r="I126" i="1" s="1"/>
  <c r="AB126" i="1" s="1"/>
  <c r="AN125" i="1"/>
  <c r="AM125" i="1"/>
  <c r="AK125" i="1"/>
  <c r="AL125" i="1" s="1"/>
  <c r="AJ125" i="1"/>
  <c r="AI125" i="1"/>
  <c r="AH125" i="1"/>
  <c r="Z125" i="1"/>
  <c r="Y125" i="1"/>
  <c r="X125" i="1" s="1"/>
  <c r="Q125" i="1"/>
  <c r="AN124" i="1"/>
  <c r="T124" i="1" s="1"/>
  <c r="AM124" i="1"/>
  <c r="AL124" i="1"/>
  <c r="AK124" i="1"/>
  <c r="AJ124" i="1"/>
  <c r="AH124" i="1"/>
  <c r="K124" i="1" s="1"/>
  <c r="Z124" i="1"/>
  <c r="Y124" i="1"/>
  <c r="X124" i="1"/>
  <c r="Q124" i="1"/>
  <c r="O124" i="1"/>
  <c r="L124" i="1"/>
  <c r="AN123" i="1"/>
  <c r="AM123" i="1"/>
  <c r="AL123" i="1"/>
  <c r="AK123" i="1"/>
  <c r="AJ123" i="1"/>
  <c r="AH123" i="1" s="1"/>
  <c r="Z123" i="1"/>
  <c r="Y123" i="1"/>
  <c r="X123" i="1" s="1"/>
  <c r="T123" i="1"/>
  <c r="Q123" i="1"/>
  <c r="L123" i="1"/>
  <c r="AN122" i="1"/>
  <c r="AM122" i="1"/>
  <c r="AK122" i="1"/>
  <c r="AJ122" i="1"/>
  <c r="AH122" i="1" s="1"/>
  <c r="Z122" i="1"/>
  <c r="X122" i="1" s="1"/>
  <c r="Y122" i="1"/>
  <c r="Q122" i="1"/>
  <c r="J122" i="1"/>
  <c r="I122" i="1" s="1"/>
  <c r="AB122" i="1" s="1"/>
  <c r="AN121" i="1"/>
  <c r="AM121" i="1"/>
  <c r="AK121" i="1"/>
  <c r="AL121" i="1" s="1"/>
  <c r="AJ121" i="1"/>
  <c r="AI121" i="1"/>
  <c r="AH121" i="1"/>
  <c r="Z121" i="1"/>
  <c r="Y121" i="1"/>
  <c r="X121" i="1"/>
  <c r="Q121" i="1"/>
  <c r="AN120" i="1"/>
  <c r="T120" i="1" s="1"/>
  <c r="AM120" i="1"/>
  <c r="AL120" i="1"/>
  <c r="AK120" i="1"/>
  <c r="AJ120" i="1"/>
  <c r="AH120" i="1"/>
  <c r="K120" i="1" s="1"/>
  <c r="Z120" i="1"/>
  <c r="Y120" i="1"/>
  <c r="X120" i="1"/>
  <c r="Q120" i="1"/>
  <c r="O120" i="1"/>
  <c r="L120" i="1"/>
  <c r="AN119" i="1"/>
  <c r="AM119" i="1"/>
  <c r="AL119" i="1"/>
  <c r="AK119" i="1"/>
  <c r="AJ119" i="1"/>
  <c r="AH119" i="1" s="1"/>
  <c r="Z119" i="1"/>
  <c r="Y119" i="1"/>
  <c r="X119" i="1" s="1"/>
  <c r="T119" i="1"/>
  <c r="Q119" i="1"/>
  <c r="L119" i="1"/>
  <c r="AN118" i="1"/>
  <c r="AM118" i="1"/>
  <c r="AK118" i="1"/>
  <c r="AJ118" i="1"/>
  <c r="AH118" i="1" s="1"/>
  <c r="Z118" i="1"/>
  <c r="X118" i="1" s="1"/>
  <c r="Y118" i="1"/>
  <c r="Q118" i="1"/>
  <c r="K118" i="1"/>
  <c r="J118" i="1"/>
  <c r="I118" i="1" s="1"/>
  <c r="AB118" i="1" s="1"/>
  <c r="AN117" i="1"/>
  <c r="AM117" i="1"/>
  <c r="AK117" i="1"/>
  <c r="AL117" i="1" s="1"/>
  <c r="AJ117" i="1"/>
  <c r="AH117" i="1"/>
  <c r="Z117" i="1"/>
  <c r="Y117" i="1"/>
  <c r="X117" i="1"/>
  <c r="Q117" i="1"/>
  <c r="AN116" i="1"/>
  <c r="AM116" i="1"/>
  <c r="AL116" i="1"/>
  <c r="AK116" i="1"/>
  <c r="AJ116" i="1"/>
  <c r="AH116" i="1"/>
  <c r="J116" i="1" s="1"/>
  <c r="I116" i="1" s="1"/>
  <c r="AD116" i="1"/>
  <c r="Z116" i="1"/>
  <c r="Y116" i="1"/>
  <c r="X116" i="1"/>
  <c r="V116" i="1"/>
  <c r="T116" i="1"/>
  <c r="U116" i="1" s="1"/>
  <c r="Q116" i="1"/>
  <c r="O116" i="1"/>
  <c r="L116" i="1"/>
  <c r="K116" i="1"/>
  <c r="AN115" i="1"/>
  <c r="T115" i="1" s="1"/>
  <c r="AM115" i="1"/>
  <c r="AL115" i="1" s="1"/>
  <c r="AK115" i="1"/>
  <c r="AJ115" i="1"/>
  <c r="AH115" i="1" s="1"/>
  <c r="AI115" i="1" s="1"/>
  <c r="Z115" i="1"/>
  <c r="Y115" i="1"/>
  <c r="Q115" i="1"/>
  <c r="AN114" i="1"/>
  <c r="AM114" i="1"/>
  <c r="AK114" i="1"/>
  <c r="AJ114" i="1"/>
  <c r="AH114" i="1" s="1"/>
  <c r="Z114" i="1"/>
  <c r="Y114" i="1"/>
  <c r="X114" i="1"/>
  <c r="Q114" i="1"/>
  <c r="L114" i="1"/>
  <c r="K114" i="1"/>
  <c r="AN113" i="1"/>
  <c r="AM113" i="1"/>
  <c r="AK113" i="1"/>
  <c r="AL113" i="1" s="1"/>
  <c r="AJ113" i="1"/>
  <c r="AI113" i="1"/>
  <c r="AH113" i="1"/>
  <c r="Z113" i="1"/>
  <c r="Y113" i="1"/>
  <c r="X113" i="1"/>
  <c r="Q113" i="1"/>
  <c r="J113" i="1"/>
  <c r="I113" i="1" s="1"/>
  <c r="AN112" i="1"/>
  <c r="AM112" i="1"/>
  <c r="AK112" i="1"/>
  <c r="AL112" i="1" s="1"/>
  <c r="AJ112" i="1"/>
  <c r="AH112" i="1"/>
  <c r="Z112" i="1"/>
  <c r="Y112" i="1"/>
  <c r="X112" i="1" s="1"/>
  <c r="Q112" i="1"/>
  <c r="AN111" i="1"/>
  <c r="AM111" i="1"/>
  <c r="AK111" i="1"/>
  <c r="AL111" i="1" s="1"/>
  <c r="AJ111" i="1"/>
  <c r="AH111" i="1" s="1"/>
  <c r="Z111" i="1"/>
  <c r="X111" i="1" s="1"/>
  <c r="Y111" i="1"/>
  <c r="Q111" i="1"/>
  <c r="AN110" i="1"/>
  <c r="AM110" i="1"/>
  <c r="AL110" i="1"/>
  <c r="AK110" i="1"/>
  <c r="AJ110" i="1"/>
  <c r="AH110" i="1"/>
  <c r="J110" i="1" s="1"/>
  <c r="I110" i="1" s="1"/>
  <c r="Z110" i="1"/>
  <c r="Y110" i="1"/>
  <c r="X110" i="1"/>
  <c r="T110" i="1"/>
  <c r="Q110" i="1"/>
  <c r="L110" i="1"/>
  <c r="K110" i="1"/>
  <c r="AN109" i="1"/>
  <c r="AM109" i="1"/>
  <c r="AK109" i="1"/>
  <c r="AL109" i="1" s="1"/>
  <c r="AJ109" i="1"/>
  <c r="AH109" i="1" s="1"/>
  <c r="AI109" i="1"/>
  <c r="Z109" i="1"/>
  <c r="Y109" i="1"/>
  <c r="Q109" i="1"/>
  <c r="AN108" i="1"/>
  <c r="AM108" i="1"/>
  <c r="AL108" i="1"/>
  <c r="AK108" i="1"/>
  <c r="AJ108" i="1"/>
  <c r="AH108" i="1"/>
  <c r="O108" i="1" s="1"/>
  <c r="Z108" i="1"/>
  <c r="Y108" i="1"/>
  <c r="X108" i="1"/>
  <c r="T108" i="1"/>
  <c r="Q108" i="1"/>
  <c r="AN107" i="1"/>
  <c r="AM107" i="1"/>
  <c r="AK107" i="1"/>
  <c r="AL107" i="1" s="1"/>
  <c r="AJ107" i="1"/>
  <c r="AH107" i="1" s="1"/>
  <c r="Z107" i="1"/>
  <c r="X107" i="1" s="1"/>
  <c r="Y107" i="1"/>
  <c r="Q107" i="1"/>
  <c r="AN106" i="1"/>
  <c r="AM106" i="1"/>
  <c r="AK106" i="1"/>
  <c r="AL106" i="1" s="1"/>
  <c r="AJ106" i="1"/>
  <c r="AH106" i="1"/>
  <c r="J106" i="1" s="1"/>
  <c r="I106" i="1" s="1"/>
  <c r="AB106" i="1" s="1"/>
  <c r="Z106" i="1"/>
  <c r="Y106" i="1"/>
  <c r="X106" i="1"/>
  <c r="T106" i="1"/>
  <c r="Q106" i="1"/>
  <c r="L106" i="1"/>
  <c r="K106" i="1"/>
  <c r="AN105" i="1"/>
  <c r="AM105" i="1"/>
  <c r="AK105" i="1"/>
  <c r="AL105" i="1" s="1"/>
  <c r="AJ105" i="1"/>
  <c r="AH105" i="1" s="1"/>
  <c r="AI105" i="1" s="1"/>
  <c r="Z105" i="1"/>
  <c r="Y105" i="1"/>
  <c r="Q105" i="1"/>
  <c r="AN104" i="1"/>
  <c r="AM104" i="1"/>
  <c r="AL104" i="1"/>
  <c r="AK104" i="1"/>
  <c r="AJ104" i="1"/>
  <c r="AH104" i="1"/>
  <c r="Z104" i="1"/>
  <c r="Y104" i="1"/>
  <c r="X104" i="1"/>
  <c r="T104" i="1"/>
  <c r="Q104" i="1"/>
  <c r="O104" i="1"/>
  <c r="AN103" i="1"/>
  <c r="AM103" i="1"/>
  <c r="AK103" i="1"/>
  <c r="AJ103" i="1"/>
  <c r="AH103" i="1" s="1"/>
  <c r="Z103" i="1"/>
  <c r="X103" i="1" s="1"/>
  <c r="Y103" i="1"/>
  <c r="Q103" i="1"/>
  <c r="AN102" i="1"/>
  <c r="AM102" i="1"/>
  <c r="AL102" i="1"/>
  <c r="AK102" i="1"/>
  <c r="AJ102" i="1"/>
  <c r="AH102" i="1"/>
  <c r="J102" i="1" s="1"/>
  <c r="I102" i="1" s="1"/>
  <c r="AB102" i="1"/>
  <c r="Z102" i="1"/>
  <c r="Y102" i="1"/>
  <c r="X102" i="1"/>
  <c r="T102" i="1"/>
  <c r="Q102" i="1"/>
  <c r="L102" i="1"/>
  <c r="K102" i="1"/>
  <c r="AN101" i="1"/>
  <c r="AM101" i="1"/>
  <c r="AK101" i="1"/>
  <c r="AL101" i="1" s="1"/>
  <c r="AJ101" i="1"/>
  <c r="AH101" i="1" s="1"/>
  <c r="AI101" i="1"/>
  <c r="Z101" i="1"/>
  <c r="Y101" i="1"/>
  <c r="X101" i="1" s="1"/>
  <c r="Q101" i="1"/>
  <c r="J101" i="1"/>
  <c r="I101" i="1"/>
  <c r="AB101" i="1" s="1"/>
  <c r="AN100" i="1"/>
  <c r="AM100" i="1"/>
  <c r="AL100" i="1"/>
  <c r="AK100" i="1"/>
  <c r="AJ100" i="1"/>
  <c r="AH100" i="1"/>
  <c r="Z100" i="1"/>
  <c r="Y100" i="1"/>
  <c r="X100" i="1"/>
  <c r="T100" i="1"/>
  <c r="Q100" i="1"/>
  <c r="AN99" i="1"/>
  <c r="AM99" i="1"/>
  <c r="AK99" i="1"/>
  <c r="AL99" i="1" s="1"/>
  <c r="AJ99" i="1"/>
  <c r="AH99" i="1" s="1"/>
  <c r="Z99" i="1"/>
  <c r="X99" i="1" s="1"/>
  <c r="Y99" i="1"/>
  <c r="Q99" i="1"/>
  <c r="AN98" i="1"/>
  <c r="AM98" i="1"/>
  <c r="AK98" i="1"/>
  <c r="AL98" i="1" s="1"/>
  <c r="AJ98" i="1"/>
  <c r="AH98" i="1"/>
  <c r="J98" i="1" s="1"/>
  <c r="I98" i="1" s="1"/>
  <c r="AB98" i="1" s="1"/>
  <c r="Z98" i="1"/>
  <c r="Y98" i="1"/>
  <c r="X98" i="1"/>
  <c r="T98" i="1"/>
  <c r="Q98" i="1"/>
  <c r="L98" i="1"/>
  <c r="K98" i="1"/>
  <c r="AN97" i="1"/>
  <c r="AM97" i="1"/>
  <c r="AK97" i="1"/>
  <c r="AL97" i="1" s="1"/>
  <c r="AJ97" i="1"/>
  <c r="AH97" i="1" s="1"/>
  <c r="AI97" i="1" s="1"/>
  <c r="Z97" i="1"/>
  <c r="Y97" i="1"/>
  <c r="Q97" i="1"/>
  <c r="J97" i="1"/>
  <c r="I97" i="1" s="1"/>
  <c r="AB97" i="1" s="1"/>
  <c r="AN96" i="1"/>
  <c r="AM96" i="1"/>
  <c r="AL96" i="1"/>
  <c r="AK96" i="1"/>
  <c r="AJ96" i="1"/>
  <c r="AH96" i="1"/>
  <c r="Z96" i="1"/>
  <c r="Y96" i="1"/>
  <c r="X96" i="1"/>
  <c r="T96" i="1"/>
  <c r="Q96" i="1"/>
  <c r="AN95" i="1"/>
  <c r="AM95" i="1"/>
  <c r="AK95" i="1"/>
  <c r="AJ95" i="1"/>
  <c r="AH95" i="1" s="1"/>
  <c r="Z95" i="1"/>
  <c r="X95" i="1" s="1"/>
  <c r="Y95" i="1"/>
  <c r="Q95" i="1"/>
  <c r="AN94" i="1"/>
  <c r="AM94" i="1"/>
  <c r="AL94" i="1"/>
  <c r="AK94" i="1"/>
  <c r="AJ94" i="1"/>
  <c r="AH94" i="1"/>
  <c r="J94" i="1" s="1"/>
  <c r="I94" i="1" s="1"/>
  <c r="AB94" i="1"/>
  <c r="Z94" i="1"/>
  <c r="Y94" i="1"/>
  <c r="X94" i="1"/>
  <c r="T94" i="1"/>
  <c r="Q94" i="1"/>
  <c r="L94" i="1"/>
  <c r="K94" i="1"/>
  <c r="AN93" i="1"/>
  <c r="AM93" i="1"/>
  <c r="AK93" i="1"/>
  <c r="AL93" i="1" s="1"/>
  <c r="AJ93" i="1"/>
  <c r="AH93" i="1" s="1"/>
  <c r="AI93" i="1"/>
  <c r="Z93" i="1"/>
  <c r="Y93" i="1"/>
  <c r="X93" i="1" s="1"/>
  <c r="Q93" i="1"/>
  <c r="J93" i="1"/>
  <c r="I93" i="1" s="1"/>
  <c r="AN92" i="1"/>
  <c r="AM92" i="1"/>
  <c r="AL92" i="1"/>
  <c r="AK92" i="1"/>
  <c r="AJ92" i="1"/>
  <c r="AH92" i="1"/>
  <c r="O92" i="1" s="1"/>
  <c r="Z92" i="1"/>
  <c r="Y92" i="1"/>
  <c r="X92" i="1"/>
  <c r="T92" i="1"/>
  <c r="Q92" i="1"/>
  <c r="AN91" i="1"/>
  <c r="AM91" i="1"/>
  <c r="AK91" i="1"/>
  <c r="AL91" i="1" s="1"/>
  <c r="AJ91" i="1"/>
  <c r="AH91" i="1" s="1"/>
  <c r="Z91" i="1"/>
  <c r="X91" i="1" s="1"/>
  <c r="Y91" i="1"/>
  <c r="Q91" i="1"/>
  <c r="AN90" i="1"/>
  <c r="AM90" i="1"/>
  <c r="AL90" i="1"/>
  <c r="AK90" i="1"/>
  <c r="AJ90" i="1"/>
  <c r="AH90" i="1"/>
  <c r="J90" i="1" s="1"/>
  <c r="I90" i="1" s="1"/>
  <c r="AB90" i="1" s="1"/>
  <c r="Z90" i="1"/>
  <c r="Y90" i="1"/>
  <c r="X90" i="1"/>
  <c r="T90" i="1"/>
  <c r="Q90" i="1"/>
  <c r="L90" i="1"/>
  <c r="K90" i="1"/>
  <c r="AN89" i="1"/>
  <c r="AM89" i="1"/>
  <c r="AK89" i="1"/>
  <c r="AL89" i="1" s="1"/>
  <c r="AJ89" i="1"/>
  <c r="AH89" i="1" s="1"/>
  <c r="Z89" i="1"/>
  <c r="Y89" i="1"/>
  <c r="Q89" i="1"/>
  <c r="K89" i="1"/>
  <c r="J89" i="1"/>
  <c r="I89" i="1" s="1"/>
  <c r="AN88" i="1"/>
  <c r="AM88" i="1"/>
  <c r="AL88" i="1"/>
  <c r="AK88" i="1"/>
  <c r="AJ88" i="1"/>
  <c r="AI88" i="1"/>
  <c r="AH88" i="1"/>
  <c r="Z88" i="1"/>
  <c r="Y88" i="1"/>
  <c r="X88" i="1" s="1"/>
  <c r="T88" i="1"/>
  <c r="Q88" i="1"/>
  <c r="AN87" i="1"/>
  <c r="AM87" i="1"/>
  <c r="AK87" i="1"/>
  <c r="AL87" i="1" s="1"/>
  <c r="AJ87" i="1"/>
  <c r="AH87" i="1" s="1"/>
  <c r="Z87" i="1"/>
  <c r="X87" i="1" s="1"/>
  <c r="Y87" i="1"/>
  <c r="Q87" i="1"/>
  <c r="O87" i="1"/>
  <c r="AN86" i="1"/>
  <c r="AM86" i="1"/>
  <c r="AL86" i="1"/>
  <c r="AK86" i="1"/>
  <c r="AJ86" i="1"/>
  <c r="AH86" i="1"/>
  <c r="J86" i="1" s="1"/>
  <c r="I86" i="1" s="1"/>
  <c r="Z86" i="1"/>
  <c r="Y86" i="1"/>
  <c r="X86" i="1"/>
  <c r="T86" i="1"/>
  <c r="Q86" i="1"/>
  <c r="L86" i="1"/>
  <c r="K86" i="1"/>
  <c r="AN85" i="1"/>
  <c r="AM85" i="1"/>
  <c r="AK85" i="1"/>
  <c r="AJ85" i="1"/>
  <c r="AH85" i="1" s="1"/>
  <c r="Z85" i="1"/>
  <c r="Y85" i="1"/>
  <c r="X85" i="1" s="1"/>
  <c r="Q85" i="1"/>
  <c r="K85" i="1"/>
  <c r="AN84" i="1"/>
  <c r="AM84" i="1"/>
  <c r="AL84" i="1"/>
  <c r="AK84" i="1"/>
  <c r="AJ84" i="1"/>
  <c r="AI84" i="1"/>
  <c r="AH84" i="1"/>
  <c r="Z84" i="1"/>
  <c r="Y84" i="1"/>
  <c r="X84" i="1" s="1"/>
  <c r="T84" i="1"/>
  <c r="Q84" i="1"/>
  <c r="O84" i="1"/>
  <c r="AN83" i="1"/>
  <c r="AM83" i="1"/>
  <c r="AK83" i="1"/>
  <c r="AL83" i="1" s="1"/>
  <c r="AJ83" i="1"/>
  <c r="AH83" i="1" s="1"/>
  <c r="Z83" i="1"/>
  <c r="X83" i="1" s="1"/>
  <c r="Y83" i="1"/>
  <c r="Q83" i="1"/>
  <c r="AN82" i="1"/>
  <c r="AM82" i="1"/>
  <c r="AL82" i="1"/>
  <c r="AK82" i="1"/>
  <c r="T82" i="1" s="1"/>
  <c r="AJ82" i="1"/>
  <c r="AH82" i="1"/>
  <c r="J82" i="1" s="1"/>
  <c r="I82" i="1" s="1"/>
  <c r="AB82" i="1" s="1"/>
  <c r="Z82" i="1"/>
  <c r="Y82" i="1"/>
  <c r="X82" i="1"/>
  <c r="Q82" i="1"/>
  <c r="L82" i="1"/>
  <c r="K82" i="1"/>
  <c r="AN81" i="1"/>
  <c r="AM81" i="1"/>
  <c r="AK81" i="1"/>
  <c r="AJ81" i="1"/>
  <c r="AH81" i="1" s="1"/>
  <c r="AI81" i="1" s="1"/>
  <c r="Z81" i="1"/>
  <c r="Y81" i="1"/>
  <c r="X81" i="1" s="1"/>
  <c r="Q81" i="1"/>
  <c r="K81" i="1"/>
  <c r="AN80" i="1"/>
  <c r="AM80" i="1"/>
  <c r="AL80" i="1" s="1"/>
  <c r="AK80" i="1"/>
  <c r="AJ80" i="1"/>
  <c r="AH80" i="1"/>
  <c r="Z80" i="1"/>
  <c r="Y80" i="1"/>
  <c r="X80" i="1" s="1"/>
  <c r="T80" i="1"/>
  <c r="Q80" i="1"/>
  <c r="O80" i="1"/>
  <c r="L80" i="1"/>
  <c r="AN79" i="1"/>
  <c r="AM79" i="1"/>
  <c r="AK79" i="1"/>
  <c r="AJ79" i="1"/>
  <c r="AH79" i="1" s="1"/>
  <c r="Z79" i="1"/>
  <c r="Y79" i="1"/>
  <c r="Q79" i="1"/>
  <c r="O79" i="1"/>
  <c r="K79" i="1"/>
  <c r="J79" i="1"/>
  <c r="I79" i="1" s="1"/>
  <c r="AN78" i="1"/>
  <c r="AM78" i="1"/>
  <c r="AK78" i="1"/>
  <c r="AL78" i="1" s="1"/>
  <c r="AJ78" i="1"/>
  <c r="AI78" i="1"/>
  <c r="AH78" i="1"/>
  <c r="Z78" i="1"/>
  <c r="Y78" i="1"/>
  <c r="X78" i="1" s="1"/>
  <c r="Q78" i="1"/>
  <c r="L78" i="1"/>
  <c r="AN77" i="1"/>
  <c r="AM77" i="1"/>
  <c r="AK77" i="1"/>
  <c r="AJ77" i="1"/>
  <c r="AH77" i="1" s="1"/>
  <c r="L77" i="1" s="1"/>
  <c r="Z77" i="1"/>
  <c r="Y77" i="1"/>
  <c r="X77" i="1" s="1"/>
  <c r="Q77" i="1"/>
  <c r="K77" i="1"/>
  <c r="J77" i="1"/>
  <c r="I77" i="1" s="1"/>
  <c r="AN76" i="1"/>
  <c r="AM76" i="1"/>
  <c r="AL76" i="1" s="1"/>
  <c r="AK76" i="1"/>
  <c r="AJ76" i="1"/>
  <c r="AI76" i="1"/>
  <c r="AH76" i="1"/>
  <c r="Z76" i="1"/>
  <c r="Y76" i="1"/>
  <c r="X76" i="1" s="1"/>
  <c r="T76" i="1"/>
  <c r="Q76" i="1"/>
  <c r="AN75" i="1"/>
  <c r="AM75" i="1"/>
  <c r="AK75" i="1"/>
  <c r="AJ75" i="1"/>
  <c r="AH75" i="1" s="1"/>
  <c r="J75" i="1" s="1"/>
  <c r="I75" i="1" s="1"/>
  <c r="Z75" i="1"/>
  <c r="Y75" i="1"/>
  <c r="Q75" i="1"/>
  <c r="O75" i="1"/>
  <c r="K75" i="1"/>
  <c r="AN74" i="1"/>
  <c r="AM74" i="1"/>
  <c r="AK74" i="1"/>
  <c r="T74" i="1" s="1"/>
  <c r="AJ74" i="1"/>
  <c r="AH74" i="1"/>
  <c r="Z74" i="1"/>
  <c r="Y74" i="1"/>
  <c r="X74" i="1" s="1"/>
  <c r="Q74" i="1"/>
  <c r="L74" i="1"/>
  <c r="K74" i="1"/>
  <c r="AN73" i="1"/>
  <c r="AM73" i="1"/>
  <c r="AK73" i="1"/>
  <c r="AJ73" i="1"/>
  <c r="AH73" i="1" s="1"/>
  <c r="L73" i="1" s="1"/>
  <c r="AI73" i="1"/>
  <c r="Z73" i="1"/>
  <c r="Y73" i="1"/>
  <c r="Q73" i="1"/>
  <c r="J73" i="1"/>
  <c r="I73" i="1" s="1"/>
  <c r="AB73" i="1" s="1"/>
  <c r="AN72" i="1"/>
  <c r="AM72" i="1"/>
  <c r="AL72" i="1" s="1"/>
  <c r="AK72" i="1"/>
  <c r="AJ72" i="1"/>
  <c r="AH72" i="1"/>
  <c r="J72" i="1" s="1"/>
  <c r="Z72" i="1"/>
  <c r="Y72" i="1"/>
  <c r="X72" i="1" s="1"/>
  <c r="T72" i="1"/>
  <c r="Q72" i="1"/>
  <c r="O72" i="1"/>
  <c r="L72" i="1"/>
  <c r="I72" i="1"/>
  <c r="AN71" i="1"/>
  <c r="T71" i="1" s="1"/>
  <c r="AM71" i="1"/>
  <c r="AK71" i="1"/>
  <c r="AJ71" i="1"/>
  <c r="AH71" i="1" s="1"/>
  <c r="AI71" i="1" s="1"/>
  <c r="Z71" i="1"/>
  <c r="Y71" i="1"/>
  <c r="Q71" i="1"/>
  <c r="O71" i="1"/>
  <c r="K71" i="1"/>
  <c r="J71" i="1"/>
  <c r="I71" i="1" s="1"/>
  <c r="AB71" i="1" s="1"/>
  <c r="AN70" i="1"/>
  <c r="AM70" i="1"/>
  <c r="AK70" i="1"/>
  <c r="AL70" i="1" s="1"/>
  <c r="AJ70" i="1"/>
  <c r="AH70" i="1"/>
  <c r="AI70" i="1" s="1"/>
  <c r="Z70" i="1"/>
  <c r="Y70" i="1"/>
  <c r="X70" i="1"/>
  <c r="Q70" i="1"/>
  <c r="AN69" i="1"/>
  <c r="AM69" i="1"/>
  <c r="AK69" i="1"/>
  <c r="AL69" i="1" s="1"/>
  <c r="AJ69" i="1"/>
  <c r="AI69" i="1"/>
  <c r="AH69" i="1"/>
  <c r="L69" i="1" s="1"/>
  <c r="Z69" i="1"/>
  <c r="Y69" i="1"/>
  <c r="X69" i="1" s="1"/>
  <c r="Q69" i="1"/>
  <c r="O69" i="1"/>
  <c r="K69" i="1"/>
  <c r="AN68" i="1"/>
  <c r="AM68" i="1"/>
  <c r="AL68" i="1"/>
  <c r="AK68" i="1"/>
  <c r="AJ68" i="1"/>
  <c r="AH68" i="1" s="1"/>
  <c r="L68" i="1" s="1"/>
  <c r="Z68" i="1"/>
  <c r="Y68" i="1"/>
  <c r="X68" i="1" s="1"/>
  <c r="T68" i="1"/>
  <c r="Q68" i="1"/>
  <c r="AN67" i="1"/>
  <c r="AM67" i="1"/>
  <c r="AK67" i="1"/>
  <c r="AJ67" i="1"/>
  <c r="AH67" i="1" s="1"/>
  <c r="K67" i="1" s="1"/>
  <c r="Z67" i="1"/>
  <c r="Y67" i="1"/>
  <c r="X67" i="1" s="1"/>
  <c r="Q67" i="1"/>
  <c r="AN66" i="1"/>
  <c r="AM66" i="1"/>
  <c r="AK66" i="1"/>
  <c r="AL66" i="1" s="1"/>
  <c r="AJ66" i="1"/>
  <c r="AH66" i="1"/>
  <c r="Z66" i="1"/>
  <c r="Y66" i="1"/>
  <c r="X66" i="1"/>
  <c r="Q66" i="1"/>
  <c r="AN65" i="1"/>
  <c r="AM65" i="1"/>
  <c r="AK65" i="1"/>
  <c r="AL65" i="1" s="1"/>
  <c r="AJ65" i="1"/>
  <c r="AI65" i="1"/>
  <c r="AH65" i="1"/>
  <c r="L65" i="1" s="1"/>
  <c r="Z65" i="1"/>
  <c r="Y65" i="1"/>
  <c r="X65" i="1" s="1"/>
  <c r="Q65" i="1"/>
  <c r="O65" i="1"/>
  <c r="K65" i="1"/>
  <c r="AN64" i="1"/>
  <c r="AM64" i="1"/>
  <c r="AL64" i="1"/>
  <c r="AK64" i="1"/>
  <c r="AJ64" i="1"/>
  <c r="AH64" i="1" s="1"/>
  <c r="Z64" i="1"/>
  <c r="Y64" i="1"/>
  <c r="X64" i="1" s="1"/>
  <c r="T64" i="1"/>
  <c r="Q64" i="1"/>
  <c r="AN63" i="1"/>
  <c r="AM63" i="1"/>
  <c r="AK63" i="1"/>
  <c r="AJ63" i="1"/>
  <c r="AH63" i="1" s="1"/>
  <c r="Z63" i="1"/>
  <c r="Y63" i="1"/>
  <c r="X63" i="1" s="1"/>
  <c r="Q63" i="1"/>
  <c r="J63" i="1"/>
  <c r="I63" i="1" s="1"/>
  <c r="AB63" i="1" s="1"/>
  <c r="AN62" i="1"/>
  <c r="AM62" i="1"/>
  <c r="AK62" i="1"/>
  <c r="AL62" i="1" s="1"/>
  <c r="AJ62" i="1"/>
  <c r="AI62" i="1"/>
  <c r="AH62" i="1"/>
  <c r="Z62" i="1"/>
  <c r="Y62" i="1"/>
  <c r="X62" i="1"/>
  <c r="Q62" i="1"/>
  <c r="AN61" i="1"/>
  <c r="AM61" i="1"/>
  <c r="AK61" i="1"/>
  <c r="AL61" i="1" s="1"/>
  <c r="AJ61" i="1"/>
  <c r="AI61" i="1"/>
  <c r="AH61" i="1"/>
  <c r="L61" i="1" s="1"/>
  <c r="Z61" i="1"/>
  <c r="Y61" i="1"/>
  <c r="X61" i="1" s="1"/>
  <c r="Q61" i="1"/>
  <c r="O61" i="1"/>
  <c r="K61" i="1"/>
  <c r="AN60" i="1"/>
  <c r="AM60" i="1"/>
  <c r="AL60" i="1" s="1"/>
  <c r="AK60" i="1"/>
  <c r="AJ60" i="1"/>
  <c r="AH60" i="1" s="1"/>
  <c r="Z60" i="1"/>
  <c r="Y60" i="1"/>
  <c r="X60" i="1" s="1"/>
  <c r="T60" i="1"/>
  <c r="Q60" i="1"/>
  <c r="L60" i="1"/>
  <c r="AN59" i="1"/>
  <c r="AM59" i="1"/>
  <c r="AK59" i="1"/>
  <c r="AJ59" i="1"/>
  <c r="AH59" i="1" s="1"/>
  <c r="Z59" i="1"/>
  <c r="Y59" i="1"/>
  <c r="X59" i="1" s="1"/>
  <c r="Q59" i="1"/>
  <c r="K59" i="1"/>
  <c r="J59" i="1"/>
  <c r="I59" i="1" s="1"/>
  <c r="AB59" i="1" s="1"/>
  <c r="AN58" i="1"/>
  <c r="AM58" i="1"/>
  <c r="AK58" i="1"/>
  <c r="AL58" i="1" s="1"/>
  <c r="AJ58" i="1"/>
  <c r="AI58" i="1"/>
  <c r="AH58" i="1"/>
  <c r="Z58" i="1"/>
  <c r="Y58" i="1"/>
  <c r="X58" i="1"/>
  <c r="Q58" i="1"/>
  <c r="O58" i="1"/>
  <c r="AN57" i="1"/>
  <c r="AM57" i="1"/>
  <c r="AK57" i="1"/>
  <c r="AJ57" i="1"/>
  <c r="AI57" i="1"/>
  <c r="AH57" i="1"/>
  <c r="L57" i="1" s="1"/>
  <c r="Z57" i="1"/>
  <c r="Y57" i="1"/>
  <c r="X57" i="1" s="1"/>
  <c r="Q57" i="1"/>
  <c r="O57" i="1"/>
  <c r="K57" i="1"/>
  <c r="AN56" i="1"/>
  <c r="AM56" i="1"/>
  <c r="AK56" i="1"/>
  <c r="AL56" i="1" s="1"/>
  <c r="AJ56" i="1"/>
  <c r="AH56" i="1" s="1"/>
  <c r="AI56" i="1"/>
  <c r="Z56" i="1"/>
  <c r="Y56" i="1"/>
  <c r="X56" i="1" s="1"/>
  <c r="T56" i="1"/>
  <c r="Q56" i="1"/>
  <c r="AN55" i="1"/>
  <c r="AM55" i="1"/>
  <c r="AK55" i="1"/>
  <c r="AJ55" i="1"/>
  <c r="AH55" i="1" s="1"/>
  <c r="L55" i="1" s="1"/>
  <c r="AI55" i="1"/>
  <c r="Z55" i="1"/>
  <c r="Y55" i="1"/>
  <c r="X55" i="1" s="1"/>
  <c r="Q55" i="1"/>
  <c r="O55" i="1"/>
  <c r="AN54" i="1"/>
  <c r="AM54" i="1"/>
  <c r="AK54" i="1"/>
  <c r="AJ54" i="1"/>
  <c r="AI54" i="1"/>
  <c r="AH54" i="1"/>
  <c r="Z54" i="1"/>
  <c r="Y54" i="1"/>
  <c r="X54" i="1" s="1"/>
  <c r="Q54" i="1"/>
  <c r="O54" i="1"/>
  <c r="AN53" i="1"/>
  <c r="AM53" i="1"/>
  <c r="AK53" i="1"/>
  <c r="AJ53" i="1"/>
  <c r="AI53" i="1"/>
  <c r="AH53" i="1"/>
  <c r="L53" i="1" s="1"/>
  <c r="Z53" i="1"/>
  <c r="Y53" i="1"/>
  <c r="X53" i="1" s="1"/>
  <c r="Q53" i="1"/>
  <c r="O53" i="1"/>
  <c r="K53" i="1"/>
  <c r="AN52" i="1"/>
  <c r="AM52" i="1"/>
  <c r="AL52" i="1"/>
  <c r="AK52" i="1"/>
  <c r="AJ52" i="1"/>
  <c r="AH52" i="1" s="1"/>
  <c r="AI52" i="1" s="1"/>
  <c r="Z52" i="1"/>
  <c r="Y52" i="1"/>
  <c r="X52" i="1" s="1"/>
  <c r="T52" i="1"/>
  <c r="Q52" i="1"/>
  <c r="K52" i="1"/>
  <c r="AN51" i="1"/>
  <c r="AM51" i="1"/>
  <c r="AK51" i="1"/>
  <c r="AJ51" i="1"/>
  <c r="AH51" i="1" s="1"/>
  <c r="L51" i="1" s="1"/>
  <c r="Z51" i="1"/>
  <c r="Y51" i="1"/>
  <c r="Q51" i="1"/>
  <c r="O51" i="1"/>
  <c r="K51" i="1"/>
  <c r="J51" i="1"/>
  <c r="I51" i="1" s="1"/>
  <c r="AN50" i="1"/>
  <c r="AM50" i="1"/>
  <c r="AK50" i="1"/>
  <c r="AJ50" i="1"/>
  <c r="AH50" i="1"/>
  <c r="AI50" i="1" s="1"/>
  <c r="Z50" i="1"/>
  <c r="Y50" i="1"/>
  <c r="X50" i="1" s="1"/>
  <c r="Q50" i="1"/>
  <c r="AN49" i="1"/>
  <c r="AM49" i="1"/>
  <c r="AK49" i="1"/>
  <c r="AJ49" i="1"/>
  <c r="AI49" i="1"/>
  <c r="AH49" i="1"/>
  <c r="L49" i="1" s="1"/>
  <c r="Z49" i="1"/>
  <c r="Y49" i="1"/>
  <c r="X49" i="1" s="1"/>
  <c r="Q49" i="1"/>
  <c r="O49" i="1"/>
  <c r="K49" i="1"/>
  <c r="AN48" i="1"/>
  <c r="AM48" i="1"/>
  <c r="AL48" i="1" s="1"/>
  <c r="AK48" i="1"/>
  <c r="AJ48" i="1"/>
  <c r="AH48" i="1" s="1"/>
  <c r="AI48" i="1"/>
  <c r="Z48" i="1"/>
  <c r="Y48" i="1"/>
  <c r="X48" i="1" s="1"/>
  <c r="T48" i="1"/>
  <c r="Q48" i="1"/>
  <c r="L48" i="1"/>
  <c r="K48" i="1"/>
  <c r="AN47" i="1"/>
  <c r="AM47" i="1"/>
  <c r="AK47" i="1"/>
  <c r="AJ47" i="1"/>
  <c r="AH47" i="1" s="1"/>
  <c r="L47" i="1" s="1"/>
  <c r="AI47" i="1"/>
  <c r="Z47" i="1"/>
  <c r="Y47" i="1"/>
  <c r="Q47" i="1"/>
  <c r="AN46" i="1"/>
  <c r="AM46" i="1"/>
  <c r="AK46" i="1"/>
  <c r="AL46" i="1" s="1"/>
  <c r="AJ46" i="1"/>
  <c r="AH46" i="1"/>
  <c r="O46" i="1" s="1"/>
  <c r="Z46" i="1"/>
  <c r="Y46" i="1"/>
  <c r="X46" i="1"/>
  <c r="Q46" i="1"/>
  <c r="AN45" i="1"/>
  <c r="AM45" i="1"/>
  <c r="AK45" i="1"/>
  <c r="AJ45" i="1"/>
  <c r="AI45" i="1"/>
  <c r="AH45" i="1"/>
  <c r="L45" i="1" s="1"/>
  <c r="Z45" i="1"/>
  <c r="Y45" i="1"/>
  <c r="X45" i="1" s="1"/>
  <c r="Q45" i="1"/>
  <c r="O45" i="1"/>
  <c r="K45" i="1"/>
  <c r="AN44" i="1"/>
  <c r="AM44" i="1"/>
  <c r="AK44" i="1"/>
  <c r="AL44" i="1" s="1"/>
  <c r="AJ44" i="1"/>
  <c r="AH44" i="1" s="1"/>
  <c r="Z44" i="1"/>
  <c r="Y44" i="1"/>
  <c r="X44" i="1" s="1"/>
  <c r="T44" i="1"/>
  <c r="Q44" i="1"/>
  <c r="AN43" i="1"/>
  <c r="AM43" i="1"/>
  <c r="AK43" i="1"/>
  <c r="AJ43" i="1"/>
  <c r="AH43" i="1" s="1"/>
  <c r="L43" i="1" s="1"/>
  <c r="Z43" i="1"/>
  <c r="Y43" i="1"/>
  <c r="X43" i="1" s="1"/>
  <c r="Q43" i="1"/>
  <c r="AN42" i="1"/>
  <c r="AM42" i="1"/>
  <c r="AK42" i="1"/>
  <c r="AL42" i="1" s="1"/>
  <c r="AJ42" i="1"/>
  <c r="AH42" i="1"/>
  <c r="Z42" i="1"/>
  <c r="Y42" i="1"/>
  <c r="X42" i="1"/>
  <c r="Q42" i="1"/>
  <c r="O42" i="1"/>
  <c r="AN41" i="1"/>
  <c r="AM41" i="1"/>
  <c r="AK41" i="1"/>
  <c r="AJ41" i="1"/>
  <c r="AI41" i="1"/>
  <c r="AH41" i="1"/>
  <c r="L41" i="1" s="1"/>
  <c r="Z41" i="1"/>
  <c r="Y41" i="1"/>
  <c r="X41" i="1" s="1"/>
  <c r="Q41" i="1"/>
  <c r="O41" i="1"/>
  <c r="K41" i="1"/>
  <c r="AN40" i="1"/>
  <c r="AM40" i="1"/>
  <c r="AL40" i="1"/>
  <c r="AK40" i="1"/>
  <c r="T40" i="1" s="1"/>
  <c r="AJ40" i="1"/>
  <c r="AH40" i="1" s="1"/>
  <c r="J40" i="1" s="1"/>
  <c r="AI40" i="1"/>
  <c r="AB40" i="1"/>
  <c r="Z40" i="1"/>
  <c r="Y40" i="1"/>
  <c r="X40" i="1" s="1"/>
  <c r="Q40" i="1"/>
  <c r="O40" i="1"/>
  <c r="L40" i="1"/>
  <c r="K40" i="1"/>
  <c r="I40" i="1"/>
  <c r="AN39" i="1"/>
  <c r="AM39" i="1"/>
  <c r="AK39" i="1"/>
  <c r="AJ39" i="1"/>
  <c r="AH39" i="1" s="1"/>
  <c r="L39" i="1" s="1"/>
  <c r="AI39" i="1"/>
  <c r="Z39" i="1"/>
  <c r="Y39" i="1"/>
  <c r="X39" i="1" s="1"/>
  <c r="Q39" i="1"/>
  <c r="K39" i="1"/>
  <c r="J39" i="1"/>
  <c r="I39" i="1" s="1"/>
  <c r="AN38" i="1"/>
  <c r="AM38" i="1"/>
  <c r="AK38" i="1"/>
  <c r="AJ38" i="1"/>
  <c r="AH38" i="1"/>
  <c r="O38" i="1" s="1"/>
  <c r="Z38" i="1"/>
  <c r="Y38" i="1"/>
  <c r="X38" i="1" s="1"/>
  <c r="Q38" i="1"/>
  <c r="AN37" i="1"/>
  <c r="AM37" i="1"/>
  <c r="AK37" i="1"/>
  <c r="AJ37" i="1"/>
  <c r="AI37" i="1"/>
  <c r="AH37" i="1"/>
  <c r="L37" i="1" s="1"/>
  <c r="Z37" i="1"/>
  <c r="Y37" i="1"/>
  <c r="X37" i="1" s="1"/>
  <c r="Q37" i="1"/>
  <c r="O37" i="1"/>
  <c r="K37" i="1"/>
  <c r="AN36" i="1"/>
  <c r="AM36" i="1"/>
  <c r="AK36" i="1"/>
  <c r="T36" i="1" s="1"/>
  <c r="AJ36" i="1"/>
  <c r="AH36" i="1" s="1"/>
  <c r="J36" i="1" s="1"/>
  <c r="I36" i="1" s="1"/>
  <c r="AI36" i="1"/>
  <c r="Z36" i="1"/>
  <c r="Y36" i="1"/>
  <c r="X36" i="1" s="1"/>
  <c r="Q36" i="1"/>
  <c r="O36" i="1"/>
  <c r="AN35" i="1"/>
  <c r="AM35" i="1"/>
  <c r="AL35" i="1"/>
  <c r="AK35" i="1"/>
  <c r="T35" i="1" s="1"/>
  <c r="AJ35" i="1"/>
  <c r="AH35" i="1" s="1"/>
  <c r="O35" i="1" s="1"/>
  <c r="Z35" i="1"/>
  <c r="Y35" i="1"/>
  <c r="Q35" i="1"/>
  <c r="AN34" i="1"/>
  <c r="T34" i="1" s="1"/>
  <c r="AM34" i="1"/>
  <c r="AL34" i="1"/>
  <c r="AK34" i="1"/>
  <c r="AJ34" i="1"/>
  <c r="AH34" i="1"/>
  <c r="J34" i="1" s="1"/>
  <c r="I34" i="1" s="1"/>
  <c r="Z34" i="1"/>
  <c r="Y34" i="1"/>
  <c r="X34" i="1"/>
  <c r="Q34" i="1"/>
  <c r="O34" i="1"/>
  <c r="L34" i="1"/>
  <c r="K34" i="1"/>
  <c r="AN33" i="1"/>
  <c r="AM33" i="1"/>
  <c r="AL33" i="1"/>
  <c r="AK33" i="1"/>
  <c r="AJ33" i="1"/>
  <c r="AH33" i="1" s="1"/>
  <c r="Z33" i="1"/>
  <c r="Y33" i="1"/>
  <c r="X33" i="1" s="1"/>
  <c r="T33" i="1"/>
  <c r="Q33" i="1"/>
  <c r="AN32" i="1"/>
  <c r="AM32" i="1"/>
  <c r="AK32" i="1"/>
  <c r="AL32" i="1" s="1"/>
  <c r="AJ32" i="1"/>
  <c r="AH32" i="1" s="1"/>
  <c r="Z32" i="1"/>
  <c r="X32" i="1" s="1"/>
  <c r="Y32" i="1"/>
  <c r="Q32" i="1"/>
  <c r="AN31" i="1"/>
  <c r="T31" i="1" s="1"/>
  <c r="AM31" i="1"/>
  <c r="AK31" i="1"/>
  <c r="AL31" i="1" s="1"/>
  <c r="AJ31" i="1"/>
  <c r="AH31" i="1"/>
  <c r="O31" i="1" s="1"/>
  <c r="Z31" i="1"/>
  <c r="Y31" i="1"/>
  <c r="X31" i="1"/>
  <c r="Q31" i="1"/>
  <c r="AN30" i="1"/>
  <c r="T30" i="1" s="1"/>
  <c r="AM30" i="1"/>
  <c r="AL30" i="1"/>
  <c r="AK30" i="1"/>
  <c r="AJ30" i="1"/>
  <c r="AH30" i="1"/>
  <c r="J30" i="1" s="1"/>
  <c r="I30" i="1" s="1"/>
  <c r="Z30" i="1"/>
  <c r="Y30" i="1"/>
  <c r="X30" i="1"/>
  <c r="Q30" i="1"/>
  <c r="O30" i="1"/>
  <c r="L30" i="1"/>
  <c r="K30" i="1"/>
  <c r="AN29" i="1"/>
  <c r="AM29" i="1"/>
  <c r="AL29" i="1"/>
  <c r="AK29" i="1"/>
  <c r="AJ29" i="1"/>
  <c r="AH29" i="1" s="1"/>
  <c r="Z29" i="1"/>
  <c r="Y29" i="1"/>
  <c r="X29" i="1" s="1"/>
  <c r="T29" i="1"/>
  <c r="Q29" i="1"/>
  <c r="AN28" i="1"/>
  <c r="AM28" i="1"/>
  <c r="AK28" i="1"/>
  <c r="AL28" i="1" s="1"/>
  <c r="AJ28" i="1"/>
  <c r="AH28" i="1" s="1"/>
  <c r="Z28" i="1"/>
  <c r="X28" i="1" s="1"/>
  <c r="Y28" i="1"/>
  <c r="Q28" i="1"/>
  <c r="AN27" i="1"/>
  <c r="AM27" i="1"/>
  <c r="AK27" i="1"/>
  <c r="AL27" i="1" s="1"/>
  <c r="AJ27" i="1"/>
  <c r="AH27" i="1"/>
  <c r="O27" i="1" s="1"/>
  <c r="Z27" i="1"/>
  <c r="Y27" i="1"/>
  <c r="X27" i="1"/>
  <c r="Q27" i="1"/>
  <c r="AN26" i="1"/>
  <c r="T26" i="1" s="1"/>
  <c r="AM26" i="1"/>
  <c r="AL26" i="1"/>
  <c r="AK26" i="1"/>
  <c r="AJ26" i="1"/>
  <c r="AH26" i="1"/>
  <c r="J26" i="1" s="1"/>
  <c r="I26" i="1" s="1"/>
  <c r="Z26" i="1"/>
  <c r="Y26" i="1"/>
  <c r="X26" i="1"/>
  <c r="Q26" i="1"/>
  <c r="O26" i="1"/>
  <c r="L26" i="1"/>
  <c r="K26" i="1"/>
  <c r="AN25" i="1"/>
  <c r="AM25" i="1"/>
  <c r="AL25" i="1"/>
  <c r="AK25" i="1"/>
  <c r="AJ25" i="1"/>
  <c r="AH25" i="1" s="1"/>
  <c r="Z25" i="1"/>
  <c r="Y25" i="1"/>
  <c r="X25" i="1" s="1"/>
  <c r="T25" i="1"/>
  <c r="Q25" i="1"/>
  <c r="AN24" i="1"/>
  <c r="AM24" i="1"/>
  <c r="AK24" i="1"/>
  <c r="AL24" i="1" s="1"/>
  <c r="AJ24" i="1"/>
  <c r="AH24" i="1" s="1"/>
  <c r="Z24" i="1"/>
  <c r="X24" i="1" s="1"/>
  <c r="Y24" i="1"/>
  <c r="Q24" i="1"/>
  <c r="AN23" i="1"/>
  <c r="T23" i="1" s="1"/>
  <c r="AM23" i="1"/>
  <c r="AK23" i="1"/>
  <c r="AL23" i="1" s="1"/>
  <c r="AJ23" i="1"/>
  <c r="AH23" i="1"/>
  <c r="O23" i="1" s="1"/>
  <c r="Z23" i="1"/>
  <c r="Y23" i="1"/>
  <c r="X23" i="1"/>
  <c r="Q23" i="1"/>
  <c r="AN22" i="1"/>
  <c r="T22" i="1" s="1"/>
  <c r="AM22" i="1"/>
  <c r="AL22" i="1"/>
  <c r="AK22" i="1"/>
  <c r="AJ22" i="1"/>
  <c r="AH22" i="1"/>
  <c r="J22" i="1" s="1"/>
  <c r="I22" i="1" s="1"/>
  <c r="Z22" i="1"/>
  <c r="Y22" i="1"/>
  <c r="X22" i="1"/>
  <c r="Q22" i="1"/>
  <c r="O22" i="1"/>
  <c r="L22" i="1"/>
  <c r="K22" i="1"/>
  <c r="AN21" i="1"/>
  <c r="AM21" i="1"/>
  <c r="AL21" i="1"/>
  <c r="AK21" i="1"/>
  <c r="AJ21" i="1"/>
  <c r="AH21" i="1" s="1"/>
  <c r="Z21" i="1"/>
  <c r="Y21" i="1"/>
  <c r="X21" i="1" s="1"/>
  <c r="T21" i="1"/>
  <c r="Q21" i="1"/>
  <c r="AN20" i="1"/>
  <c r="AM20" i="1"/>
  <c r="AK20" i="1"/>
  <c r="AL20" i="1" s="1"/>
  <c r="AJ20" i="1"/>
  <c r="AH20" i="1" s="1"/>
  <c r="Z20" i="1"/>
  <c r="X20" i="1" s="1"/>
  <c r="Y20" i="1"/>
  <c r="Q20" i="1"/>
  <c r="AN19" i="1"/>
  <c r="AM19" i="1"/>
  <c r="AK19" i="1"/>
  <c r="AL19" i="1" s="1"/>
  <c r="AJ19" i="1"/>
  <c r="AH19" i="1"/>
  <c r="O19" i="1" s="1"/>
  <c r="Z19" i="1"/>
  <c r="Y19" i="1"/>
  <c r="X19" i="1"/>
  <c r="Q19" i="1"/>
  <c r="AN18" i="1"/>
  <c r="T18" i="1" s="1"/>
  <c r="AM18" i="1"/>
  <c r="AL18" i="1"/>
  <c r="AK18" i="1"/>
  <c r="AJ18" i="1"/>
  <c r="AH18" i="1"/>
  <c r="J18" i="1" s="1"/>
  <c r="I18" i="1" s="1"/>
  <c r="Z18" i="1"/>
  <c r="Y18" i="1"/>
  <c r="X18" i="1"/>
  <c r="Q18" i="1"/>
  <c r="O18" i="1"/>
  <c r="L18" i="1"/>
  <c r="K18" i="1"/>
  <c r="AN17" i="1"/>
  <c r="AM17" i="1"/>
  <c r="AL17" i="1"/>
  <c r="AK17" i="1"/>
  <c r="AJ17" i="1"/>
  <c r="AH17" i="1" s="1"/>
  <c r="Z17" i="1"/>
  <c r="Y17" i="1"/>
  <c r="X17" i="1" s="1"/>
  <c r="T17" i="1"/>
  <c r="Q17" i="1"/>
  <c r="AB22" i="1" l="1"/>
  <c r="AI28" i="1"/>
  <c r="O28" i="1"/>
  <c r="K28" i="1"/>
  <c r="J28" i="1"/>
  <c r="I28" i="1" s="1"/>
  <c r="L28" i="1"/>
  <c r="K29" i="1"/>
  <c r="J29" i="1"/>
  <c r="I29" i="1" s="1"/>
  <c r="AI29" i="1"/>
  <c r="O29" i="1"/>
  <c r="L29" i="1"/>
  <c r="U40" i="1"/>
  <c r="V40" i="1" s="1"/>
  <c r="U30" i="1"/>
  <c r="V30" i="1" s="1"/>
  <c r="AB18" i="1"/>
  <c r="AI24" i="1"/>
  <c r="J24" i="1"/>
  <c r="I24" i="1" s="1"/>
  <c r="O24" i="1"/>
  <c r="K24" i="1"/>
  <c r="L24" i="1"/>
  <c r="K25" i="1"/>
  <c r="J25" i="1"/>
  <c r="I25" i="1" s="1"/>
  <c r="L25" i="1"/>
  <c r="AI25" i="1"/>
  <c r="O25" i="1"/>
  <c r="U31" i="1"/>
  <c r="V31" i="1" s="1"/>
  <c r="AB34" i="1"/>
  <c r="AB51" i="1"/>
  <c r="U26" i="1"/>
  <c r="V26" i="1" s="1"/>
  <c r="AI20" i="1"/>
  <c r="O20" i="1"/>
  <c r="K20" i="1"/>
  <c r="L20" i="1"/>
  <c r="J20" i="1"/>
  <c r="I20" i="1" s="1"/>
  <c r="K21" i="1"/>
  <c r="J21" i="1"/>
  <c r="I21" i="1" s="1"/>
  <c r="AI21" i="1"/>
  <c r="O21" i="1"/>
  <c r="L21" i="1"/>
  <c r="AB30" i="1"/>
  <c r="AB39" i="1"/>
  <c r="U22" i="1"/>
  <c r="V22" i="1" s="1"/>
  <c r="AB36" i="1"/>
  <c r="K17" i="1"/>
  <c r="J17" i="1"/>
  <c r="I17" i="1" s="1"/>
  <c r="AI17" i="1"/>
  <c r="L17" i="1"/>
  <c r="O17" i="1"/>
  <c r="U23" i="1"/>
  <c r="V23" i="1" s="1"/>
  <c r="AB26" i="1"/>
  <c r="R26" i="1"/>
  <c r="P26" i="1" s="1"/>
  <c r="S26" i="1" s="1"/>
  <c r="M26" i="1" s="1"/>
  <c r="N26" i="1" s="1"/>
  <c r="AI32" i="1"/>
  <c r="O32" i="1"/>
  <c r="K32" i="1"/>
  <c r="L32" i="1"/>
  <c r="J32" i="1"/>
  <c r="I32" i="1" s="1"/>
  <c r="K33" i="1"/>
  <c r="J33" i="1"/>
  <c r="I33" i="1" s="1"/>
  <c r="AI33" i="1"/>
  <c r="O33" i="1"/>
  <c r="L33" i="1"/>
  <c r="U36" i="1"/>
  <c r="V36" i="1" s="1"/>
  <c r="AC36" i="1" s="1"/>
  <c r="U18" i="1"/>
  <c r="V18" i="1" s="1"/>
  <c r="U34" i="1"/>
  <c r="V34" i="1" s="1"/>
  <c r="U25" i="1"/>
  <c r="V25" i="1" s="1"/>
  <c r="AL36" i="1"/>
  <c r="AL74" i="1"/>
  <c r="J19" i="1"/>
  <c r="I19" i="1" s="1"/>
  <c r="T20" i="1"/>
  <c r="J23" i="1"/>
  <c r="I23" i="1" s="1"/>
  <c r="T24" i="1"/>
  <c r="J27" i="1"/>
  <c r="I27" i="1" s="1"/>
  <c r="T28" i="1"/>
  <c r="J31" i="1"/>
  <c r="I31" i="1" s="1"/>
  <c r="T32" i="1"/>
  <c r="J35" i="1"/>
  <c r="I35" i="1" s="1"/>
  <c r="AI38" i="1"/>
  <c r="J43" i="1"/>
  <c r="I43" i="1" s="1"/>
  <c r="AL47" i="1"/>
  <c r="T47" i="1"/>
  <c r="AL49" i="1"/>
  <c r="T49" i="1"/>
  <c r="L52" i="1"/>
  <c r="J60" i="1"/>
  <c r="I60" i="1" s="1"/>
  <c r="AI60" i="1"/>
  <c r="O60" i="1"/>
  <c r="K60" i="1"/>
  <c r="AL67" i="1"/>
  <c r="T67" i="1"/>
  <c r="U72" i="1"/>
  <c r="V72" i="1" s="1"/>
  <c r="R72" i="1" s="1"/>
  <c r="P72" i="1" s="1"/>
  <c r="S72" i="1" s="1"/>
  <c r="M72" i="1" s="1"/>
  <c r="N72" i="1" s="1"/>
  <c r="AB75" i="1"/>
  <c r="AL77" i="1"/>
  <c r="T77" i="1"/>
  <c r="AB79" i="1"/>
  <c r="L179" i="1"/>
  <c r="K179" i="1"/>
  <c r="J179" i="1"/>
  <c r="I179" i="1" s="1"/>
  <c r="AI179" i="1"/>
  <c r="O179" i="1"/>
  <c r="U180" i="1"/>
  <c r="V180" i="1" s="1"/>
  <c r="AL39" i="1"/>
  <c r="T39" i="1"/>
  <c r="J44" i="1"/>
  <c r="I44" i="1" s="1"/>
  <c r="U44" i="1" s="1"/>
  <c r="V44" i="1" s="1"/>
  <c r="O44" i="1"/>
  <c r="AL55" i="1"/>
  <c r="T55" i="1"/>
  <c r="J64" i="1"/>
  <c r="I64" i="1" s="1"/>
  <c r="AI64" i="1"/>
  <c r="O64" i="1"/>
  <c r="K64" i="1"/>
  <c r="AB86" i="1"/>
  <c r="U21" i="1"/>
  <c r="V21" i="1" s="1"/>
  <c r="AI23" i="1"/>
  <c r="U29" i="1"/>
  <c r="V29" i="1" s="1"/>
  <c r="AI31" i="1"/>
  <c r="AI18" i="1"/>
  <c r="K19" i="1"/>
  <c r="AI22" i="1"/>
  <c r="K23" i="1"/>
  <c r="AI26" i="1"/>
  <c r="K27" i="1"/>
  <c r="AI30" i="1"/>
  <c r="K31" i="1"/>
  <c r="AI34" i="1"/>
  <c r="K35" i="1"/>
  <c r="K38" i="1"/>
  <c r="O39" i="1"/>
  <c r="R40" i="1"/>
  <c r="P40" i="1" s="1"/>
  <c r="S40" i="1" s="1"/>
  <c r="M40" i="1" s="1"/>
  <c r="N40" i="1" s="1"/>
  <c r="L42" i="1"/>
  <c r="K42" i="1"/>
  <c r="J42" i="1"/>
  <c r="I42" i="1" s="1"/>
  <c r="K43" i="1"/>
  <c r="K44" i="1"/>
  <c r="J48" i="1"/>
  <c r="I48" i="1" s="1"/>
  <c r="O48" i="1"/>
  <c r="AI51" i="1"/>
  <c r="J55" i="1"/>
  <c r="I55" i="1" s="1"/>
  <c r="O63" i="1"/>
  <c r="L63" i="1"/>
  <c r="AI63" i="1"/>
  <c r="U64" i="1"/>
  <c r="V64" i="1" s="1"/>
  <c r="L66" i="1"/>
  <c r="K66" i="1"/>
  <c r="J66" i="1"/>
  <c r="I66" i="1" s="1"/>
  <c r="O66" i="1"/>
  <c r="AB77" i="1"/>
  <c r="AI27" i="1"/>
  <c r="J56" i="1"/>
  <c r="I56" i="1" s="1"/>
  <c r="U56" i="1" s="1"/>
  <c r="V56" i="1" s="1"/>
  <c r="O56" i="1"/>
  <c r="O67" i="1"/>
  <c r="L67" i="1"/>
  <c r="AI67" i="1"/>
  <c r="L19" i="1"/>
  <c r="T19" i="1"/>
  <c r="L23" i="1"/>
  <c r="L27" i="1"/>
  <c r="T27" i="1"/>
  <c r="L31" i="1"/>
  <c r="L35" i="1"/>
  <c r="K36" i="1"/>
  <c r="AL38" i="1"/>
  <c r="T38" i="1"/>
  <c r="AL41" i="1"/>
  <c r="T41" i="1"/>
  <c r="AI42" i="1"/>
  <c r="O43" i="1"/>
  <c r="L44" i="1"/>
  <c r="X47" i="1"/>
  <c r="U48" i="1"/>
  <c r="V48" i="1" s="1"/>
  <c r="AC48" i="1" s="1"/>
  <c r="AL50" i="1"/>
  <c r="L54" i="1"/>
  <c r="K54" i="1"/>
  <c r="J54" i="1"/>
  <c r="I54" i="1" s="1"/>
  <c r="K55" i="1"/>
  <c r="K56" i="1"/>
  <c r="K63" i="1"/>
  <c r="AL63" i="1"/>
  <c r="T63" i="1"/>
  <c r="AI66" i="1"/>
  <c r="U71" i="1"/>
  <c r="V71" i="1" s="1"/>
  <c r="U86" i="1"/>
  <c r="V86" i="1" s="1"/>
  <c r="AB89" i="1"/>
  <c r="L96" i="1"/>
  <c r="K96" i="1"/>
  <c r="J96" i="1"/>
  <c r="I96" i="1" s="1"/>
  <c r="U96" i="1" s="1"/>
  <c r="V96" i="1" s="1"/>
  <c r="AI96" i="1"/>
  <c r="O96" i="1"/>
  <c r="AI35" i="1"/>
  <c r="L36" i="1"/>
  <c r="AI43" i="1"/>
  <c r="J47" i="1"/>
  <c r="I47" i="1" s="1"/>
  <c r="AL51" i="1"/>
  <c r="T51" i="1"/>
  <c r="AL53" i="1"/>
  <c r="T53" i="1"/>
  <c r="L56" i="1"/>
  <c r="O59" i="1"/>
  <c r="L59" i="1"/>
  <c r="AI59" i="1"/>
  <c r="L62" i="1"/>
  <c r="K62" i="1"/>
  <c r="J62" i="1"/>
  <c r="I62" i="1" s="1"/>
  <c r="O62" i="1"/>
  <c r="AB72" i="1"/>
  <c r="K76" i="1"/>
  <c r="J76" i="1"/>
  <c r="I76" i="1" s="1"/>
  <c r="O76" i="1"/>
  <c r="L76" i="1"/>
  <c r="U82" i="1"/>
  <c r="V82" i="1" s="1"/>
  <c r="AL85" i="1"/>
  <c r="T85" i="1"/>
  <c r="L88" i="1"/>
  <c r="K88" i="1"/>
  <c r="J88" i="1"/>
  <c r="I88" i="1" s="1"/>
  <c r="O88" i="1"/>
  <c r="L103" i="1"/>
  <c r="K103" i="1"/>
  <c r="J103" i="1"/>
  <c r="I103" i="1" s="1"/>
  <c r="AI103" i="1"/>
  <c r="O103" i="1"/>
  <c r="AL57" i="1"/>
  <c r="T57" i="1"/>
  <c r="AI19" i="1"/>
  <c r="L38" i="1"/>
  <c r="J38" i="1"/>
  <c r="I38" i="1" s="1"/>
  <c r="L50" i="1"/>
  <c r="K50" i="1"/>
  <c r="J50" i="1"/>
  <c r="I50" i="1" s="1"/>
  <c r="L46" i="1"/>
  <c r="K46" i="1"/>
  <c r="J46" i="1"/>
  <c r="I46" i="1" s="1"/>
  <c r="K47" i="1"/>
  <c r="J52" i="1"/>
  <c r="I52" i="1" s="1"/>
  <c r="O52" i="1"/>
  <c r="AL59" i="1"/>
  <c r="T59" i="1"/>
  <c r="J68" i="1"/>
  <c r="I68" i="1" s="1"/>
  <c r="U68" i="1" s="1"/>
  <c r="V68" i="1" s="1"/>
  <c r="AI68" i="1"/>
  <c r="O68" i="1"/>
  <c r="K68" i="1"/>
  <c r="L83" i="1"/>
  <c r="K83" i="1"/>
  <c r="J83" i="1"/>
  <c r="I83" i="1" s="1"/>
  <c r="AI83" i="1"/>
  <c r="O83" i="1"/>
  <c r="L107" i="1"/>
  <c r="K107" i="1"/>
  <c r="J107" i="1"/>
  <c r="I107" i="1" s="1"/>
  <c r="AI107" i="1"/>
  <c r="O107" i="1"/>
  <c r="AB110" i="1"/>
  <c r="K137" i="1"/>
  <c r="O137" i="1"/>
  <c r="L137" i="1"/>
  <c r="J137" i="1"/>
  <c r="I137" i="1" s="1"/>
  <c r="AI137" i="1"/>
  <c r="T138" i="1"/>
  <c r="AL138" i="1"/>
  <c r="J67" i="1"/>
  <c r="I67" i="1" s="1"/>
  <c r="L70" i="1"/>
  <c r="K70" i="1"/>
  <c r="J70" i="1"/>
  <c r="I70" i="1" s="1"/>
  <c r="O70" i="1"/>
  <c r="L92" i="1"/>
  <c r="K92" i="1"/>
  <c r="J92" i="1"/>
  <c r="I92" i="1" s="1"/>
  <c r="AI92" i="1"/>
  <c r="X35" i="1"/>
  <c r="AL37" i="1"/>
  <c r="T37" i="1"/>
  <c r="AL43" i="1"/>
  <c r="T43" i="1"/>
  <c r="AI44" i="1"/>
  <c r="AL45" i="1"/>
  <c r="T45" i="1"/>
  <c r="AI46" i="1"/>
  <c r="O47" i="1"/>
  <c r="O50" i="1"/>
  <c r="X51" i="1"/>
  <c r="U52" i="1"/>
  <c r="V52" i="1" s="1"/>
  <c r="AC52" i="1" s="1"/>
  <c r="AL54" i="1"/>
  <c r="L58" i="1"/>
  <c r="K58" i="1"/>
  <c r="J58" i="1"/>
  <c r="I58" i="1" s="1"/>
  <c r="L64" i="1"/>
  <c r="AB93" i="1"/>
  <c r="X105" i="1"/>
  <c r="L112" i="1"/>
  <c r="K112" i="1"/>
  <c r="J112" i="1"/>
  <c r="I112" i="1" s="1"/>
  <c r="O112" i="1"/>
  <c r="AI112" i="1"/>
  <c r="X75" i="1"/>
  <c r="O85" i="1"/>
  <c r="L85" i="1"/>
  <c r="O89" i="1"/>
  <c r="L89" i="1"/>
  <c r="U90" i="1"/>
  <c r="V90" i="1" s="1"/>
  <c r="L100" i="1"/>
  <c r="K100" i="1"/>
  <c r="J100" i="1"/>
  <c r="I100" i="1" s="1"/>
  <c r="AI100" i="1"/>
  <c r="X109" i="1"/>
  <c r="L111" i="1"/>
  <c r="K111" i="1"/>
  <c r="J111" i="1"/>
  <c r="I111" i="1" s="1"/>
  <c r="AI111" i="1"/>
  <c r="O111" i="1"/>
  <c r="AB113" i="1"/>
  <c r="L113" i="1"/>
  <c r="K113" i="1"/>
  <c r="O113" i="1"/>
  <c r="AC116" i="1"/>
  <c r="W116" i="1"/>
  <c r="AA116" i="1" s="1"/>
  <c r="L71" i="1"/>
  <c r="K72" i="1"/>
  <c r="T78" i="1"/>
  <c r="J78" i="1"/>
  <c r="I78" i="1" s="1"/>
  <c r="O78" i="1"/>
  <c r="L79" i="1"/>
  <c r="AI79" i="1"/>
  <c r="L87" i="1"/>
  <c r="K87" i="1"/>
  <c r="J87" i="1"/>
  <c r="I87" i="1" s="1"/>
  <c r="AI87" i="1"/>
  <c r="X97" i="1"/>
  <c r="L99" i="1"/>
  <c r="K99" i="1"/>
  <c r="J99" i="1"/>
  <c r="I99" i="1" s="1"/>
  <c r="AI99" i="1"/>
  <c r="O99" i="1"/>
  <c r="AL103" i="1"/>
  <c r="O109" i="1"/>
  <c r="L109" i="1"/>
  <c r="K109" i="1"/>
  <c r="U110" i="1"/>
  <c r="V110" i="1" s="1"/>
  <c r="R110" i="1" s="1"/>
  <c r="P110" i="1" s="1"/>
  <c r="S110" i="1" s="1"/>
  <c r="M110" i="1" s="1"/>
  <c r="N110" i="1" s="1"/>
  <c r="O117" i="1"/>
  <c r="L117" i="1"/>
  <c r="K117" i="1"/>
  <c r="J117" i="1"/>
  <c r="I117" i="1" s="1"/>
  <c r="AI117" i="1"/>
  <c r="O121" i="1"/>
  <c r="L121" i="1"/>
  <c r="K121" i="1"/>
  <c r="J121" i="1"/>
  <c r="I121" i="1" s="1"/>
  <c r="AL73" i="1"/>
  <c r="T73" i="1"/>
  <c r="O77" i="1"/>
  <c r="AL79" i="1"/>
  <c r="T79" i="1"/>
  <c r="U92" i="1"/>
  <c r="V92" i="1" s="1"/>
  <c r="AC92" i="1" s="1"/>
  <c r="L95" i="1"/>
  <c r="K95" i="1"/>
  <c r="J95" i="1"/>
  <c r="I95" i="1" s="1"/>
  <c r="AI95" i="1"/>
  <c r="O95" i="1"/>
  <c r="O105" i="1"/>
  <c r="L105" i="1"/>
  <c r="K105" i="1"/>
  <c r="U106" i="1"/>
  <c r="V106" i="1" s="1"/>
  <c r="R134" i="1"/>
  <c r="P134" i="1" s="1"/>
  <c r="S134" i="1" s="1"/>
  <c r="M134" i="1" s="1"/>
  <c r="N134" i="1" s="1"/>
  <c r="AB134" i="1"/>
  <c r="J37" i="1"/>
  <c r="I37" i="1" s="1"/>
  <c r="J41" i="1"/>
  <c r="I41" i="1" s="1"/>
  <c r="T42" i="1"/>
  <c r="J45" i="1"/>
  <c r="I45" i="1" s="1"/>
  <c r="T46" i="1"/>
  <c r="J49" i="1"/>
  <c r="I49" i="1" s="1"/>
  <c r="T50" i="1"/>
  <c r="J53" i="1"/>
  <c r="I53" i="1" s="1"/>
  <c r="T54" i="1"/>
  <c r="J57" i="1"/>
  <c r="I57" i="1" s="1"/>
  <c r="T58" i="1"/>
  <c r="J61" i="1"/>
  <c r="I61" i="1" s="1"/>
  <c r="T62" i="1"/>
  <c r="J65" i="1"/>
  <c r="I65" i="1" s="1"/>
  <c r="T66" i="1"/>
  <c r="J69" i="1"/>
  <c r="I69" i="1" s="1"/>
  <c r="T70" i="1"/>
  <c r="AI72" i="1"/>
  <c r="K73" i="1"/>
  <c r="X73" i="1"/>
  <c r="K78" i="1"/>
  <c r="X79" i="1"/>
  <c r="J81" i="1"/>
  <c r="I81" i="1" s="1"/>
  <c r="X89" i="1"/>
  <c r="L91" i="1"/>
  <c r="K91" i="1"/>
  <c r="J91" i="1"/>
  <c r="I91" i="1" s="1"/>
  <c r="AI91" i="1"/>
  <c r="O91" i="1"/>
  <c r="R94" i="1"/>
  <c r="P94" i="1" s="1"/>
  <c r="S94" i="1" s="1"/>
  <c r="M94" i="1" s="1"/>
  <c r="N94" i="1" s="1"/>
  <c r="AL95" i="1"/>
  <c r="O101" i="1"/>
  <c r="L101" i="1"/>
  <c r="K101" i="1"/>
  <c r="U102" i="1"/>
  <c r="V102" i="1" s="1"/>
  <c r="J109" i="1"/>
  <c r="I109" i="1" s="1"/>
  <c r="AI114" i="1"/>
  <c r="J114" i="1"/>
  <c r="I114" i="1" s="1"/>
  <c r="O114" i="1"/>
  <c r="AB140" i="1"/>
  <c r="J74" i="1"/>
  <c r="I74" i="1" s="1"/>
  <c r="O74" i="1"/>
  <c r="L75" i="1"/>
  <c r="AI75" i="1"/>
  <c r="K80" i="1"/>
  <c r="J80" i="1"/>
  <c r="I80" i="1" s="1"/>
  <c r="O81" i="1"/>
  <c r="L81" i="1"/>
  <c r="O97" i="1"/>
  <c r="L97" i="1"/>
  <c r="K97" i="1"/>
  <c r="U98" i="1"/>
  <c r="V98" i="1" s="1"/>
  <c r="J105" i="1"/>
  <c r="I105" i="1" s="1"/>
  <c r="L108" i="1"/>
  <c r="K108" i="1"/>
  <c r="J108" i="1"/>
  <c r="I108" i="1" s="1"/>
  <c r="AI108" i="1"/>
  <c r="T114" i="1"/>
  <c r="AL114" i="1"/>
  <c r="AL118" i="1"/>
  <c r="T118" i="1"/>
  <c r="T61" i="1"/>
  <c r="T65" i="1"/>
  <c r="T69" i="1"/>
  <c r="X71" i="1"/>
  <c r="AL71" i="1"/>
  <c r="O73" i="1"/>
  <c r="AI74" i="1"/>
  <c r="AL75" i="1"/>
  <c r="T75" i="1"/>
  <c r="AI77" i="1"/>
  <c r="AI80" i="1"/>
  <c r="AL81" i="1"/>
  <c r="T81" i="1"/>
  <c r="R82" i="1"/>
  <c r="P82" i="1" s="1"/>
  <c r="S82" i="1" s="1"/>
  <c r="M82" i="1" s="1"/>
  <c r="N82" i="1" s="1"/>
  <c r="L84" i="1"/>
  <c r="K84" i="1"/>
  <c r="J84" i="1"/>
  <c r="I84" i="1" s="1"/>
  <c r="U84" i="1" s="1"/>
  <c r="V84" i="1" s="1"/>
  <c r="J85" i="1"/>
  <c r="I85" i="1" s="1"/>
  <c r="AI85" i="1"/>
  <c r="AI89" i="1"/>
  <c r="O93" i="1"/>
  <c r="L93" i="1"/>
  <c r="K93" i="1"/>
  <c r="U94" i="1"/>
  <c r="V94" i="1" s="1"/>
  <c r="O100" i="1"/>
  <c r="L104" i="1"/>
  <c r="K104" i="1"/>
  <c r="J104" i="1"/>
  <c r="I104" i="1" s="1"/>
  <c r="AI104" i="1"/>
  <c r="R116" i="1"/>
  <c r="P116" i="1" s="1"/>
  <c r="S116" i="1" s="1"/>
  <c r="M116" i="1" s="1"/>
  <c r="N116" i="1" s="1"/>
  <c r="K127" i="1"/>
  <c r="J127" i="1"/>
  <c r="I127" i="1" s="1"/>
  <c r="AI127" i="1"/>
  <c r="O127" i="1"/>
  <c r="L131" i="1"/>
  <c r="K131" i="1"/>
  <c r="J131" i="1"/>
  <c r="I131" i="1" s="1"/>
  <c r="AI131" i="1"/>
  <c r="O131" i="1"/>
  <c r="AI144" i="1"/>
  <c r="O144" i="1"/>
  <c r="L144" i="1"/>
  <c r="K144" i="1"/>
  <c r="J144" i="1"/>
  <c r="I144" i="1" s="1"/>
  <c r="T89" i="1"/>
  <c r="T93" i="1"/>
  <c r="T97" i="1"/>
  <c r="T101" i="1"/>
  <c r="T105" i="1"/>
  <c r="T109" i="1"/>
  <c r="K123" i="1"/>
  <c r="J123" i="1"/>
  <c r="I123" i="1" s="1"/>
  <c r="AI123" i="1"/>
  <c r="O123" i="1"/>
  <c r="AL144" i="1"/>
  <c r="T144" i="1"/>
  <c r="K145" i="1"/>
  <c r="J145" i="1"/>
  <c r="I145" i="1" s="1"/>
  <c r="AI145" i="1"/>
  <c r="O145" i="1"/>
  <c r="L145" i="1"/>
  <c r="T200" i="1"/>
  <c r="AL200" i="1"/>
  <c r="O82" i="1"/>
  <c r="O86" i="1"/>
  <c r="O90" i="1"/>
  <c r="O94" i="1"/>
  <c r="O98" i="1"/>
  <c r="O102" i="1"/>
  <c r="O106" i="1"/>
  <c r="O110" i="1"/>
  <c r="T112" i="1"/>
  <c r="K119" i="1"/>
  <c r="J119" i="1"/>
  <c r="I119" i="1" s="1"/>
  <c r="AI119" i="1"/>
  <c r="O119" i="1"/>
  <c r="U132" i="1"/>
  <c r="V132" i="1" s="1"/>
  <c r="AB142" i="1"/>
  <c r="L146" i="1"/>
  <c r="K146" i="1"/>
  <c r="J146" i="1"/>
  <c r="I146" i="1" s="1"/>
  <c r="AI146" i="1"/>
  <c r="O146" i="1"/>
  <c r="L154" i="1"/>
  <c r="K154" i="1"/>
  <c r="J154" i="1"/>
  <c r="I154" i="1" s="1"/>
  <c r="O154" i="1"/>
  <c r="AI154" i="1"/>
  <c r="K115" i="1"/>
  <c r="O115" i="1"/>
  <c r="AI126" i="1"/>
  <c r="O126" i="1"/>
  <c r="L126" i="1"/>
  <c r="AD133" i="1"/>
  <c r="AE133" i="1" s="1"/>
  <c r="W133" i="1"/>
  <c r="AA133" i="1" s="1"/>
  <c r="U134" i="1"/>
  <c r="V134" i="1" s="1"/>
  <c r="O151" i="1"/>
  <c r="L151" i="1"/>
  <c r="J151" i="1"/>
  <c r="I151" i="1" s="1"/>
  <c r="AI151" i="1"/>
  <c r="AB177" i="1"/>
  <c r="AI82" i="1"/>
  <c r="AI86" i="1"/>
  <c r="AI90" i="1"/>
  <c r="AI94" i="1"/>
  <c r="AI98" i="1"/>
  <c r="AI102" i="1"/>
  <c r="AI106" i="1"/>
  <c r="AI110" i="1"/>
  <c r="J115" i="1"/>
  <c r="I115" i="1" s="1"/>
  <c r="AI122" i="1"/>
  <c r="O122" i="1"/>
  <c r="L122" i="1"/>
  <c r="U123" i="1"/>
  <c r="V123" i="1" s="1"/>
  <c r="K126" i="1"/>
  <c r="AL126" i="1"/>
  <c r="T126" i="1"/>
  <c r="O129" i="1"/>
  <c r="L129" i="1"/>
  <c r="K129" i="1"/>
  <c r="J129" i="1"/>
  <c r="I129" i="1" s="1"/>
  <c r="AL130" i="1"/>
  <c r="T130" i="1"/>
  <c r="AL135" i="1"/>
  <c r="T135" i="1"/>
  <c r="AI136" i="1"/>
  <c r="L136" i="1"/>
  <c r="O136" i="1"/>
  <c r="K136" i="1"/>
  <c r="J136" i="1"/>
  <c r="I136" i="1" s="1"/>
  <c r="AL169" i="1"/>
  <c r="T169" i="1"/>
  <c r="AB193" i="1"/>
  <c r="T83" i="1"/>
  <c r="T87" i="1"/>
  <c r="T91" i="1"/>
  <c r="T95" i="1"/>
  <c r="T99" i="1"/>
  <c r="T103" i="1"/>
  <c r="T107" i="1"/>
  <c r="T111" i="1"/>
  <c r="L115" i="1"/>
  <c r="X115" i="1"/>
  <c r="AB116" i="1"/>
  <c r="AE116" i="1" s="1"/>
  <c r="AI118" i="1"/>
  <c r="O118" i="1"/>
  <c r="L118" i="1"/>
  <c r="U119" i="1"/>
  <c r="V119" i="1" s="1"/>
  <c r="K122" i="1"/>
  <c r="AL122" i="1"/>
  <c r="T122" i="1"/>
  <c r="O125" i="1"/>
  <c r="L125" i="1"/>
  <c r="K125" i="1"/>
  <c r="J125" i="1"/>
  <c r="I125" i="1" s="1"/>
  <c r="AI129" i="1"/>
  <c r="R132" i="1"/>
  <c r="P132" i="1" s="1"/>
  <c r="S132" i="1" s="1"/>
  <c r="M132" i="1" s="1"/>
  <c r="N132" i="1" s="1"/>
  <c r="AB132" i="1"/>
  <c r="K151" i="1"/>
  <c r="O159" i="1"/>
  <c r="L159" i="1"/>
  <c r="J159" i="1"/>
  <c r="I159" i="1" s="1"/>
  <c r="AI159" i="1"/>
  <c r="L130" i="1"/>
  <c r="O139" i="1"/>
  <c r="L139" i="1"/>
  <c r="J139" i="1"/>
  <c r="I139" i="1" s="1"/>
  <c r="AL143" i="1"/>
  <c r="T143" i="1"/>
  <c r="AI148" i="1"/>
  <c r="O148" i="1"/>
  <c r="L148" i="1"/>
  <c r="K148" i="1"/>
  <c r="AC154" i="1"/>
  <c r="AI156" i="1"/>
  <c r="O156" i="1"/>
  <c r="L156" i="1"/>
  <c r="K156" i="1"/>
  <c r="AB162" i="1"/>
  <c r="R162" i="1"/>
  <c r="P162" i="1" s="1"/>
  <c r="S162" i="1" s="1"/>
  <c r="M162" i="1" s="1"/>
  <c r="N162" i="1" s="1"/>
  <c r="AI173" i="1"/>
  <c r="O173" i="1"/>
  <c r="L173" i="1"/>
  <c r="K173" i="1"/>
  <c r="AI116" i="1"/>
  <c r="AI120" i="1"/>
  <c r="AI124" i="1"/>
  <c r="AI128" i="1"/>
  <c r="AI139" i="1"/>
  <c r="L141" i="1"/>
  <c r="AL148" i="1"/>
  <c r="AL151" i="1"/>
  <c r="T151" i="1"/>
  <c r="K153" i="1"/>
  <c r="J153" i="1"/>
  <c r="I153" i="1" s="1"/>
  <c r="U153" i="1" s="1"/>
  <c r="V153" i="1" s="1"/>
  <c r="AI153" i="1"/>
  <c r="AL159" i="1"/>
  <c r="T159" i="1"/>
  <c r="O165" i="1"/>
  <c r="L165" i="1"/>
  <c r="K165" i="1"/>
  <c r="J165" i="1"/>
  <c r="I165" i="1" s="1"/>
  <c r="U166" i="1"/>
  <c r="V166" i="1" s="1"/>
  <c r="U171" i="1"/>
  <c r="V171" i="1" s="1"/>
  <c r="T113" i="1"/>
  <c r="T117" i="1"/>
  <c r="J120" i="1"/>
  <c r="I120" i="1" s="1"/>
  <c r="T121" i="1"/>
  <c r="J124" i="1"/>
  <c r="I124" i="1" s="1"/>
  <c r="U124" i="1" s="1"/>
  <c r="V124" i="1" s="1"/>
  <c r="T125" i="1"/>
  <c r="J128" i="1"/>
  <c r="I128" i="1" s="1"/>
  <c r="T129" i="1"/>
  <c r="AL131" i="1"/>
  <c r="T131" i="1"/>
  <c r="O132" i="1"/>
  <c r="L150" i="1"/>
  <c r="K150" i="1"/>
  <c r="J150" i="1"/>
  <c r="I150" i="1" s="1"/>
  <c r="U150" i="1" s="1"/>
  <c r="V150" i="1" s="1"/>
  <c r="O150" i="1"/>
  <c r="U154" i="1"/>
  <c r="V154" i="1" s="1"/>
  <c r="L158" i="1"/>
  <c r="K158" i="1"/>
  <c r="J158" i="1"/>
  <c r="I158" i="1" s="1"/>
  <c r="O158" i="1"/>
  <c r="AD170" i="1"/>
  <c r="W170" i="1"/>
  <c r="AA170" i="1" s="1"/>
  <c r="AC170" i="1"/>
  <c r="O130" i="1"/>
  <c r="X133" i="1"/>
  <c r="AC134" i="1"/>
  <c r="AL139" i="1"/>
  <c r="T139" i="1"/>
  <c r="O147" i="1"/>
  <c r="L147" i="1"/>
  <c r="J147" i="1"/>
  <c r="I147" i="1" s="1"/>
  <c r="AI147" i="1"/>
  <c r="O155" i="1"/>
  <c r="L155" i="1"/>
  <c r="J155" i="1"/>
  <c r="I155" i="1" s="1"/>
  <c r="AI155" i="1"/>
  <c r="J173" i="1"/>
  <c r="I173" i="1" s="1"/>
  <c r="AI177" i="1"/>
  <c r="O177" i="1"/>
  <c r="L177" i="1"/>
  <c r="K177" i="1"/>
  <c r="R180" i="1"/>
  <c r="P180" i="1" s="1"/>
  <c r="S180" i="1" s="1"/>
  <c r="AB180" i="1"/>
  <c r="T198" i="1"/>
  <c r="AL198" i="1"/>
  <c r="O135" i="1"/>
  <c r="L135" i="1"/>
  <c r="J135" i="1"/>
  <c r="I135" i="1" s="1"/>
  <c r="AL136" i="1"/>
  <c r="T136" i="1"/>
  <c r="AI140" i="1"/>
  <c r="L140" i="1"/>
  <c r="AI152" i="1"/>
  <c r="O152" i="1"/>
  <c r="L152" i="1"/>
  <c r="K152" i="1"/>
  <c r="AB160" i="1"/>
  <c r="L161" i="1"/>
  <c r="O161" i="1"/>
  <c r="AI161" i="1"/>
  <c r="K161" i="1"/>
  <c r="J161" i="1"/>
  <c r="I161" i="1" s="1"/>
  <c r="AD162" i="1"/>
  <c r="AC162" i="1"/>
  <c r="W162" i="1"/>
  <c r="AA162" i="1" s="1"/>
  <c r="AL168" i="1"/>
  <c r="T168" i="1"/>
  <c r="U175" i="1"/>
  <c r="V175" i="1" s="1"/>
  <c r="U181" i="1"/>
  <c r="V181" i="1" s="1"/>
  <c r="AL209" i="1"/>
  <c r="T209" i="1"/>
  <c r="AI135" i="1"/>
  <c r="AL140" i="1"/>
  <c r="T140" i="1"/>
  <c r="K141" i="1"/>
  <c r="J141" i="1"/>
  <c r="I141" i="1" s="1"/>
  <c r="AI141" i="1"/>
  <c r="O143" i="1"/>
  <c r="L143" i="1"/>
  <c r="J143" i="1"/>
  <c r="I143" i="1" s="1"/>
  <c r="AL147" i="1"/>
  <c r="T147" i="1"/>
  <c r="K149" i="1"/>
  <c r="J149" i="1"/>
  <c r="I149" i="1" s="1"/>
  <c r="U149" i="1" s="1"/>
  <c r="V149" i="1" s="1"/>
  <c r="AI149" i="1"/>
  <c r="AL152" i="1"/>
  <c r="AL155" i="1"/>
  <c r="T155" i="1"/>
  <c r="K157" i="1"/>
  <c r="J157" i="1"/>
  <c r="I157" i="1" s="1"/>
  <c r="AI157" i="1"/>
  <c r="AB166" i="1"/>
  <c r="R166" i="1"/>
  <c r="P166" i="1" s="1"/>
  <c r="S166" i="1" s="1"/>
  <c r="M166" i="1" s="1"/>
  <c r="N166" i="1" s="1"/>
  <c r="AL164" i="1"/>
  <c r="T164" i="1"/>
  <c r="AI169" i="1"/>
  <c r="O169" i="1"/>
  <c r="L169" i="1"/>
  <c r="AB171" i="1"/>
  <c r="R171" i="1"/>
  <c r="P171" i="1" s="1"/>
  <c r="S171" i="1" s="1"/>
  <c r="M171" i="1" s="1"/>
  <c r="N171" i="1" s="1"/>
  <c r="AL173" i="1"/>
  <c r="T173" i="1"/>
  <c r="AL177" i="1"/>
  <c r="T177" i="1"/>
  <c r="O180" i="1"/>
  <c r="AI180" i="1"/>
  <c r="L180" i="1"/>
  <c r="K184" i="1"/>
  <c r="O184" i="1"/>
  <c r="L184" i="1"/>
  <c r="AI184" i="1"/>
  <c r="J184" i="1"/>
  <c r="I184" i="1" s="1"/>
  <c r="R186" i="1"/>
  <c r="P186" i="1" s="1"/>
  <c r="S186" i="1" s="1"/>
  <c r="M186" i="1" s="1"/>
  <c r="N186" i="1" s="1"/>
  <c r="AB186" i="1"/>
  <c r="U188" i="1"/>
  <c r="V188" i="1" s="1"/>
  <c r="R188" i="1" s="1"/>
  <c r="P188" i="1" s="1"/>
  <c r="S188" i="1" s="1"/>
  <c r="M188" i="1" s="1"/>
  <c r="N188" i="1" s="1"/>
  <c r="AB188" i="1"/>
  <c r="AL201" i="1"/>
  <c r="T201" i="1"/>
  <c r="T148" i="1"/>
  <c r="T152" i="1"/>
  <c r="T156" i="1"/>
  <c r="L162" i="1"/>
  <c r="L166" i="1"/>
  <c r="O172" i="1"/>
  <c r="L172" i="1"/>
  <c r="K172" i="1"/>
  <c r="J172" i="1"/>
  <c r="I172" i="1" s="1"/>
  <c r="O176" i="1"/>
  <c r="L176" i="1"/>
  <c r="K176" i="1"/>
  <c r="J176" i="1"/>
  <c r="I176" i="1" s="1"/>
  <c r="AC180" i="1"/>
  <c r="L211" i="1"/>
  <c r="K211" i="1"/>
  <c r="AI211" i="1"/>
  <c r="O211" i="1"/>
  <c r="J211" i="1"/>
  <c r="I211" i="1" s="1"/>
  <c r="AL161" i="1"/>
  <c r="T161" i="1"/>
  <c r="O162" i="1"/>
  <c r="O166" i="1"/>
  <c r="J169" i="1"/>
  <c r="I169" i="1" s="1"/>
  <c r="K170" i="1"/>
  <c r="M170" i="1" s="1"/>
  <c r="N170" i="1" s="1"/>
  <c r="AI170" i="1"/>
  <c r="AL195" i="1"/>
  <c r="O224" i="1"/>
  <c r="K224" i="1"/>
  <c r="J224" i="1"/>
  <c r="I224" i="1" s="1"/>
  <c r="L224" i="1"/>
  <c r="AI224" i="1"/>
  <c r="AL160" i="1"/>
  <c r="T160" i="1"/>
  <c r="AL165" i="1"/>
  <c r="T165" i="1"/>
  <c r="L168" i="1"/>
  <c r="J168" i="1"/>
  <c r="I168" i="1" s="1"/>
  <c r="K169" i="1"/>
  <c r="K174" i="1"/>
  <c r="J174" i="1"/>
  <c r="I174" i="1" s="1"/>
  <c r="AI174" i="1"/>
  <c r="O174" i="1"/>
  <c r="AB175" i="1"/>
  <c r="R175" i="1"/>
  <c r="P175" i="1" s="1"/>
  <c r="S175" i="1" s="1"/>
  <c r="M175" i="1" s="1"/>
  <c r="N175" i="1" s="1"/>
  <c r="K178" i="1"/>
  <c r="J178" i="1"/>
  <c r="I178" i="1" s="1"/>
  <c r="AI178" i="1"/>
  <c r="O178" i="1"/>
  <c r="U179" i="1"/>
  <c r="V179" i="1" s="1"/>
  <c r="U186" i="1"/>
  <c r="V186" i="1" s="1"/>
  <c r="AL205" i="1"/>
  <c r="T205" i="1"/>
  <c r="L207" i="1"/>
  <c r="K207" i="1"/>
  <c r="AI207" i="1"/>
  <c r="O207" i="1"/>
  <c r="J207" i="1"/>
  <c r="I207" i="1" s="1"/>
  <c r="T142" i="1"/>
  <c r="T146" i="1"/>
  <c r="R163" i="1"/>
  <c r="P163" i="1" s="1"/>
  <c r="S163" i="1" s="1"/>
  <c r="M163" i="1" s="1"/>
  <c r="N163" i="1" s="1"/>
  <c r="L164" i="1"/>
  <c r="J164" i="1"/>
  <c r="I164" i="1" s="1"/>
  <c r="R167" i="1"/>
  <c r="P167" i="1" s="1"/>
  <c r="S167" i="1" s="1"/>
  <c r="M167" i="1" s="1"/>
  <c r="N167" i="1" s="1"/>
  <c r="U167" i="1"/>
  <c r="V167" i="1" s="1"/>
  <c r="AC171" i="1"/>
  <c r="AC175" i="1"/>
  <c r="AB181" i="1"/>
  <c r="R181" i="1"/>
  <c r="P181" i="1" s="1"/>
  <c r="S181" i="1" s="1"/>
  <c r="L183" i="1"/>
  <c r="AI183" i="1"/>
  <c r="O183" i="1"/>
  <c r="K183" i="1"/>
  <c r="AB185" i="1"/>
  <c r="U190" i="1"/>
  <c r="V190" i="1" s="1"/>
  <c r="U163" i="1"/>
  <c r="V163" i="1" s="1"/>
  <c r="AC163" i="1" s="1"/>
  <c r="AI164" i="1"/>
  <c r="K168" i="1"/>
  <c r="AL187" i="1"/>
  <c r="AL189" i="1"/>
  <c r="T189" i="1"/>
  <c r="K181" i="1"/>
  <c r="AI181" i="1"/>
  <c r="J182" i="1"/>
  <c r="I182" i="1" s="1"/>
  <c r="O182" i="1"/>
  <c r="L192" i="1"/>
  <c r="K192" i="1"/>
  <c r="J192" i="1"/>
  <c r="I192" i="1" s="1"/>
  <c r="O193" i="1"/>
  <c r="L193" i="1"/>
  <c r="L199" i="1"/>
  <c r="AI199" i="1"/>
  <c r="K199" i="1"/>
  <c r="J199" i="1"/>
  <c r="I199" i="1" s="1"/>
  <c r="AI192" i="1"/>
  <c r="AL193" i="1"/>
  <c r="T193" i="1"/>
  <c r="T194" i="1"/>
  <c r="AL199" i="1"/>
  <c r="T199" i="1"/>
  <c r="L222" i="1"/>
  <c r="K222" i="1"/>
  <c r="J222" i="1"/>
  <c r="I222" i="1" s="1"/>
  <c r="AI222" i="1"/>
  <c r="O222" i="1"/>
  <c r="T172" i="1"/>
  <c r="T176" i="1"/>
  <c r="AL179" i="1"/>
  <c r="X181" i="1"/>
  <c r="J197" i="1"/>
  <c r="I197" i="1" s="1"/>
  <c r="X200" i="1"/>
  <c r="AL191" i="1"/>
  <c r="L196" i="1"/>
  <c r="K196" i="1"/>
  <c r="J196" i="1"/>
  <c r="I196" i="1" s="1"/>
  <c r="O197" i="1"/>
  <c r="L197" i="1"/>
  <c r="O199" i="1"/>
  <c r="L218" i="1"/>
  <c r="K218" i="1"/>
  <c r="J218" i="1"/>
  <c r="I218" i="1" s="1"/>
  <c r="AI218" i="1"/>
  <c r="O218" i="1"/>
  <c r="AC181" i="1"/>
  <c r="AL183" i="1"/>
  <c r="T183" i="1"/>
  <c r="L187" i="1"/>
  <c r="K187" i="1"/>
  <c r="J187" i="1"/>
  <c r="I187" i="1" s="1"/>
  <c r="AI187" i="1"/>
  <c r="AI196" i="1"/>
  <c r="AL197" i="1"/>
  <c r="T197" i="1"/>
  <c r="AB200" i="1"/>
  <c r="U208" i="1"/>
  <c r="V208" i="1" s="1"/>
  <c r="T185" i="1"/>
  <c r="AC188" i="1"/>
  <c r="L188" i="1"/>
  <c r="K188" i="1"/>
  <c r="O189" i="1"/>
  <c r="L189" i="1"/>
  <c r="R190" i="1"/>
  <c r="P190" i="1" s="1"/>
  <c r="S190" i="1" s="1"/>
  <c r="M190" i="1" s="1"/>
  <c r="N190" i="1" s="1"/>
  <c r="AB203" i="1"/>
  <c r="L214" i="1"/>
  <c r="K214" i="1"/>
  <c r="J214" i="1"/>
  <c r="I214" i="1" s="1"/>
  <c r="AI214" i="1"/>
  <c r="O214" i="1"/>
  <c r="O220" i="1"/>
  <c r="K220" i="1"/>
  <c r="J220" i="1"/>
  <c r="I220" i="1" s="1"/>
  <c r="U220" i="1" s="1"/>
  <c r="V220" i="1" s="1"/>
  <c r="AB221" i="1"/>
  <c r="AB225" i="1"/>
  <c r="L202" i="1"/>
  <c r="J202" i="1"/>
  <c r="I202" i="1" s="1"/>
  <c r="L210" i="1"/>
  <c r="K210" i="1"/>
  <c r="J210" i="1"/>
  <c r="I210" i="1" s="1"/>
  <c r="AI210" i="1"/>
  <c r="O210" i="1"/>
  <c r="O216" i="1"/>
  <c r="K216" i="1"/>
  <c r="J216" i="1"/>
  <c r="I216" i="1" s="1"/>
  <c r="AB217" i="1"/>
  <c r="L220" i="1"/>
  <c r="O186" i="1"/>
  <c r="O190" i="1"/>
  <c r="AI191" i="1"/>
  <c r="O194" i="1"/>
  <c r="AI195" i="1"/>
  <c r="O198" i="1"/>
  <c r="AB201" i="1"/>
  <c r="AI202" i="1"/>
  <c r="O203" i="1"/>
  <c r="L206" i="1"/>
  <c r="K206" i="1"/>
  <c r="J206" i="1"/>
  <c r="I206" i="1" s="1"/>
  <c r="AI206" i="1"/>
  <c r="O206" i="1"/>
  <c r="O212" i="1"/>
  <c r="K212" i="1"/>
  <c r="J212" i="1"/>
  <c r="I212" i="1" s="1"/>
  <c r="AB213" i="1"/>
  <c r="AL214" i="1"/>
  <c r="L216" i="1"/>
  <c r="AL225" i="1"/>
  <c r="T225" i="1"/>
  <c r="L227" i="1"/>
  <c r="K227" i="1"/>
  <c r="AI227" i="1"/>
  <c r="J191" i="1"/>
  <c r="I191" i="1" s="1"/>
  <c r="J195" i="1"/>
  <c r="I195" i="1" s="1"/>
  <c r="K202" i="1"/>
  <c r="AI203" i="1"/>
  <c r="O208" i="1"/>
  <c r="K208" i="1"/>
  <c r="J208" i="1"/>
  <c r="I208" i="1" s="1"/>
  <c r="AB209" i="1"/>
  <c r="AL221" i="1"/>
  <c r="T221" i="1"/>
  <c r="L223" i="1"/>
  <c r="K223" i="1"/>
  <c r="AI223" i="1"/>
  <c r="K191" i="1"/>
  <c r="K195" i="1"/>
  <c r="O204" i="1"/>
  <c r="J204" i="1"/>
  <c r="I204" i="1" s="1"/>
  <c r="AB205" i="1"/>
  <c r="L208" i="1"/>
  <c r="U216" i="1"/>
  <c r="V216" i="1" s="1"/>
  <c r="AL217" i="1"/>
  <c r="T217" i="1"/>
  <c r="L219" i="1"/>
  <c r="K219" i="1"/>
  <c r="AI219" i="1"/>
  <c r="O223" i="1"/>
  <c r="T187" i="1"/>
  <c r="T191" i="1"/>
  <c r="T195" i="1"/>
  <c r="O202" i="1"/>
  <c r="AL203" i="1"/>
  <c r="T203" i="1"/>
  <c r="U212" i="1"/>
  <c r="V212" i="1" s="1"/>
  <c r="AL213" i="1"/>
  <c r="T213" i="1"/>
  <c r="L215" i="1"/>
  <c r="K215" i="1"/>
  <c r="AI215" i="1"/>
  <c r="O219" i="1"/>
  <c r="L226" i="1"/>
  <c r="K226" i="1"/>
  <c r="J226" i="1"/>
  <c r="I226" i="1" s="1"/>
  <c r="AI226" i="1"/>
  <c r="O226" i="1"/>
  <c r="T207" i="1"/>
  <c r="T211" i="1"/>
  <c r="T215" i="1"/>
  <c r="T219" i="1"/>
  <c r="T223" i="1"/>
  <c r="T227" i="1"/>
  <c r="AI225" i="1"/>
  <c r="T202" i="1"/>
  <c r="T206" i="1"/>
  <c r="T210" i="1"/>
  <c r="T214" i="1"/>
  <c r="T218" i="1"/>
  <c r="T222" i="1"/>
  <c r="T226" i="1"/>
  <c r="W150" i="1" l="1"/>
  <c r="AA150" i="1" s="1"/>
  <c r="AD150" i="1"/>
  <c r="AC150" i="1"/>
  <c r="AD96" i="1"/>
  <c r="W96" i="1"/>
  <c r="AA96" i="1" s="1"/>
  <c r="AC96" i="1"/>
  <c r="W220" i="1"/>
  <c r="AA220" i="1" s="1"/>
  <c r="AD220" i="1"/>
  <c r="AC220" i="1"/>
  <c r="W124" i="1"/>
  <c r="AA124" i="1" s="1"/>
  <c r="AD124" i="1"/>
  <c r="AC124" i="1"/>
  <c r="AD84" i="1"/>
  <c r="W84" i="1"/>
  <c r="AA84" i="1" s="1"/>
  <c r="AC84" i="1"/>
  <c r="AD149" i="1"/>
  <c r="AC149" i="1"/>
  <c r="W149" i="1"/>
  <c r="AA149" i="1" s="1"/>
  <c r="W44" i="1"/>
  <c r="AA44" i="1" s="1"/>
  <c r="AD44" i="1"/>
  <c r="AC44" i="1"/>
  <c r="W68" i="1"/>
  <c r="AA68" i="1" s="1"/>
  <c r="AD68" i="1"/>
  <c r="AC68" i="1"/>
  <c r="W56" i="1"/>
  <c r="AA56" i="1" s="1"/>
  <c r="AD56" i="1"/>
  <c r="AC56" i="1"/>
  <c r="AD153" i="1"/>
  <c r="AC153" i="1"/>
  <c r="W153" i="1"/>
  <c r="AA153" i="1" s="1"/>
  <c r="U223" i="1"/>
  <c r="V223" i="1" s="1"/>
  <c r="U217" i="1"/>
  <c r="V217" i="1" s="1"/>
  <c r="U221" i="1"/>
  <c r="V221" i="1" s="1"/>
  <c r="U192" i="1"/>
  <c r="V192" i="1" s="1"/>
  <c r="AB192" i="1"/>
  <c r="R192" i="1"/>
  <c r="P192" i="1" s="1"/>
  <c r="S192" i="1" s="1"/>
  <c r="M192" i="1" s="1"/>
  <c r="N192" i="1" s="1"/>
  <c r="AB168" i="1"/>
  <c r="AC18" i="1"/>
  <c r="W18" i="1"/>
  <c r="AA18" i="1" s="1"/>
  <c r="AD18" i="1"/>
  <c r="AE18" i="1" s="1"/>
  <c r="AB17" i="1"/>
  <c r="AC22" i="1"/>
  <c r="AD22" i="1"/>
  <c r="W22" i="1"/>
  <c r="AA22" i="1" s="1"/>
  <c r="U218" i="1"/>
  <c r="V218" i="1" s="1"/>
  <c r="U219" i="1"/>
  <c r="V219" i="1" s="1"/>
  <c r="U191" i="1"/>
  <c r="V191" i="1" s="1"/>
  <c r="R216" i="1"/>
  <c r="P216" i="1" s="1"/>
  <c r="S216" i="1" s="1"/>
  <c r="M216" i="1" s="1"/>
  <c r="N216" i="1" s="1"/>
  <c r="AB216" i="1"/>
  <c r="U185" i="1"/>
  <c r="V185" i="1" s="1"/>
  <c r="U199" i="1"/>
  <c r="V199" i="1" s="1"/>
  <c r="R199" i="1" s="1"/>
  <c r="P199" i="1" s="1"/>
  <c r="S199" i="1" s="1"/>
  <c r="M199" i="1" s="1"/>
  <c r="N199" i="1" s="1"/>
  <c r="AB199" i="1"/>
  <c r="U146" i="1"/>
  <c r="V146" i="1" s="1"/>
  <c r="AB169" i="1"/>
  <c r="R169" i="1"/>
  <c r="P169" i="1" s="1"/>
  <c r="S169" i="1" s="1"/>
  <c r="M169" i="1" s="1"/>
  <c r="N169" i="1" s="1"/>
  <c r="U152" i="1"/>
  <c r="V152" i="1" s="1"/>
  <c r="AB173" i="1"/>
  <c r="AB158" i="1"/>
  <c r="U121" i="1"/>
  <c r="V121" i="1" s="1"/>
  <c r="AB125" i="1"/>
  <c r="U103" i="1"/>
  <c r="V103" i="1" s="1"/>
  <c r="U169" i="1"/>
  <c r="V169" i="1" s="1"/>
  <c r="R119" i="1"/>
  <c r="P119" i="1" s="1"/>
  <c r="S119" i="1" s="1"/>
  <c r="M119" i="1" s="1"/>
  <c r="N119" i="1" s="1"/>
  <c r="AB119" i="1"/>
  <c r="U97" i="1"/>
  <c r="V97" i="1" s="1"/>
  <c r="U66" i="1"/>
  <c r="V66" i="1" s="1"/>
  <c r="U50" i="1"/>
  <c r="V50" i="1" s="1"/>
  <c r="U73" i="1"/>
  <c r="V73" i="1" s="1"/>
  <c r="AB117" i="1"/>
  <c r="AB58" i="1"/>
  <c r="AB103" i="1"/>
  <c r="U38" i="1"/>
  <c r="V38" i="1" s="1"/>
  <c r="U19" i="1"/>
  <c r="V19" i="1" s="1"/>
  <c r="AB35" i="1"/>
  <c r="AB19" i="1"/>
  <c r="AB33" i="1"/>
  <c r="AC26" i="1"/>
  <c r="AD26" i="1"/>
  <c r="W26" i="1"/>
  <c r="AA26" i="1" s="1"/>
  <c r="W31" i="1"/>
  <c r="AA31" i="1" s="1"/>
  <c r="AD31" i="1"/>
  <c r="AD40" i="1"/>
  <c r="W40" i="1"/>
  <c r="AA40" i="1" s="1"/>
  <c r="AB28" i="1"/>
  <c r="R28" i="1"/>
  <c r="P28" i="1" s="1"/>
  <c r="S28" i="1" s="1"/>
  <c r="M28" i="1" s="1"/>
  <c r="N28" i="1" s="1"/>
  <c r="AB206" i="1"/>
  <c r="U172" i="1"/>
  <c r="V172" i="1" s="1"/>
  <c r="AB165" i="1"/>
  <c r="AB87" i="1"/>
  <c r="U214" i="1"/>
  <c r="V214" i="1" s="1"/>
  <c r="U215" i="1"/>
  <c r="V215" i="1" s="1"/>
  <c r="W212" i="1"/>
  <c r="AA212" i="1" s="1"/>
  <c r="AD212" i="1"/>
  <c r="U187" i="1"/>
  <c r="V187" i="1" s="1"/>
  <c r="W216" i="1"/>
  <c r="AA216" i="1" s="1"/>
  <c r="AD216" i="1"/>
  <c r="U225" i="1"/>
  <c r="V225" i="1" s="1"/>
  <c r="AB202" i="1"/>
  <c r="W208" i="1"/>
  <c r="AA208" i="1" s="1"/>
  <c r="AD208" i="1"/>
  <c r="U142" i="1"/>
  <c r="V142" i="1" s="1"/>
  <c r="U165" i="1"/>
  <c r="V165" i="1" s="1"/>
  <c r="AB172" i="1"/>
  <c r="U148" i="1"/>
  <c r="V148" i="1" s="1"/>
  <c r="R149" i="1"/>
  <c r="P149" i="1" s="1"/>
  <c r="S149" i="1" s="1"/>
  <c r="M149" i="1" s="1"/>
  <c r="N149" i="1" s="1"/>
  <c r="AB149" i="1"/>
  <c r="U198" i="1"/>
  <c r="V198" i="1" s="1"/>
  <c r="AB120" i="1"/>
  <c r="R120" i="1"/>
  <c r="P120" i="1" s="1"/>
  <c r="S120" i="1" s="1"/>
  <c r="M120" i="1" s="1"/>
  <c r="N120" i="1" s="1"/>
  <c r="U151" i="1"/>
  <c r="V151" i="1" s="1"/>
  <c r="U99" i="1"/>
  <c r="V99" i="1" s="1"/>
  <c r="U135" i="1"/>
  <c r="V135" i="1" s="1"/>
  <c r="AB145" i="1"/>
  <c r="U145" i="1"/>
  <c r="V145" i="1" s="1"/>
  <c r="U93" i="1"/>
  <c r="V93" i="1" s="1"/>
  <c r="U120" i="1"/>
  <c r="V120" i="1" s="1"/>
  <c r="AB108" i="1"/>
  <c r="R108" i="1"/>
  <c r="P108" i="1" s="1"/>
  <c r="S108" i="1" s="1"/>
  <c r="M108" i="1" s="1"/>
  <c r="N108" i="1" s="1"/>
  <c r="AB109" i="1"/>
  <c r="AB65" i="1"/>
  <c r="AB49" i="1"/>
  <c r="W106" i="1"/>
  <c r="AA106" i="1" s="1"/>
  <c r="AD106" i="1"/>
  <c r="AE106" i="1" s="1"/>
  <c r="AC106" i="1"/>
  <c r="AB95" i="1"/>
  <c r="W90" i="1"/>
  <c r="AA90" i="1" s="1"/>
  <c r="AD90" i="1"/>
  <c r="AE90" i="1" s="1"/>
  <c r="AC90" i="1"/>
  <c r="U45" i="1"/>
  <c r="V45" i="1" s="1"/>
  <c r="AB67" i="1"/>
  <c r="R68" i="1"/>
  <c r="P68" i="1" s="1"/>
  <c r="S68" i="1" s="1"/>
  <c r="M68" i="1" s="1"/>
  <c r="N68" i="1" s="1"/>
  <c r="AB68" i="1"/>
  <c r="AB46" i="1"/>
  <c r="W82" i="1"/>
  <c r="AA82" i="1" s="1"/>
  <c r="AD82" i="1"/>
  <c r="AE82" i="1" s="1"/>
  <c r="AC82" i="1"/>
  <c r="W86" i="1"/>
  <c r="AA86" i="1" s="1"/>
  <c r="AD86" i="1"/>
  <c r="AC86" i="1"/>
  <c r="W48" i="1"/>
  <c r="AA48" i="1" s="1"/>
  <c r="AD48" i="1"/>
  <c r="U67" i="1"/>
  <c r="V67" i="1" s="1"/>
  <c r="U32" i="1"/>
  <c r="V32" i="1" s="1"/>
  <c r="W23" i="1"/>
  <c r="AA23" i="1" s="1"/>
  <c r="AD23" i="1"/>
  <c r="AB226" i="1"/>
  <c r="U195" i="1"/>
  <c r="V195" i="1" s="1"/>
  <c r="U205" i="1"/>
  <c r="V205" i="1" s="1"/>
  <c r="AB224" i="1"/>
  <c r="U156" i="1"/>
  <c r="V156" i="1" s="1"/>
  <c r="AB124" i="1"/>
  <c r="R124" i="1"/>
  <c r="P124" i="1" s="1"/>
  <c r="S124" i="1" s="1"/>
  <c r="M124" i="1" s="1"/>
  <c r="N124" i="1" s="1"/>
  <c r="AB114" i="1"/>
  <c r="U63" i="1"/>
  <c r="V63" i="1" s="1"/>
  <c r="AB66" i="1"/>
  <c r="R66" i="1"/>
  <c r="P66" i="1" s="1"/>
  <c r="S66" i="1" s="1"/>
  <c r="M66" i="1" s="1"/>
  <c r="N66" i="1" s="1"/>
  <c r="U39" i="1"/>
  <c r="V39" i="1" s="1"/>
  <c r="U20" i="1"/>
  <c r="V20" i="1" s="1"/>
  <c r="U210" i="1"/>
  <c r="V210" i="1" s="1"/>
  <c r="U211" i="1"/>
  <c r="V211" i="1" s="1"/>
  <c r="R212" i="1"/>
  <c r="P212" i="1" s="1"/>
  <c r="S212" i="1" s="1"/>
  <c r="M212" i="1" s="1"/>
  <c r="N212" i="1" s="1"/>
  <c r="AB212" i="1"/>
  <c r="AB197" i="1"/>
  <c r="AB222" i="1"/>
  <c r="U194" i="1"/>
  <c r="V194" i="1" s="1"/>
  <c r="AB207" i="1"/>
  <c r="R207" i="1"/>
  <c r="P207" i="1" s="1"/>
  <c r="S207" i="1" s="1"/>
  <c r="M207" i="1" s="1"/>
  <c r="N207" i="1" s="1"/>
  <c r="W186" i="1"/>
  <c r="AA186" i="1" s="1"/>
  <c r="AC186" i="1"/>
  <c r="AD186" i="1"/>
  <c r="AE186" i="1" s="1"/>
  <c r="AB184" i="1"/>
  <c r="U184" i="1"/>
  <c r="V184" i="1" s="1"/>
  <c r="R184" i="1"/>
  <c r="P184" i="1" s="1"/>
  <c r="S184" i="1" s="1"/>
  <c r="M184" i="1" s="1"/>
  <c r="N184" i="1" s="1"/>
  <c r="AB157" i="1"/>
  <c r="AB141" i="1"/>
  <c r="U141" i="1"/>
  <c r="V141" i="1" s="1"/>
  <c r="W181" i="1"/>
  <c r="AA181" i="1" s="1"/>
  <c r="AD181" i="1"/>
  <c r="AE181" i="1" s="1"/>
  <c r="AE162" i="1"/>
  <c r="U131" i="1"/>
  <c r="V131" i="1" s="1"/>
  <c r="U117" i="1"/>
  <c r="V117" i="1" s="1"/>
  <c r="R117" i="1" s="1"/>
  <c r="P117" i="1" s="1"/>
  <c r="S117" i="1" s="1"/>
  <c r="M117" i="1" s="1"/>
  <c r="N117" i="1" s="1"/>
  <c r="U95" i="1"/>
  <c r="V95" i="1" s="1"/>
  <c r="U126" i="1"/>
  <c r="V126" i="1" s="1"/>
  <c r="AB115" i="1"/>
  <c r="AD132" i="1"/>
  <c r="W132" i="1"/>
  <c r="AA132" i="1" s="1"/>
  <c r="AC132" i="1"/>
  <c r="R123" i="1"/>
  <c r="P123" i="1" s="1"/>
  <c r="S123" i="1" s="1"/>
  <c r="M123" i="1" s="1"/>
  <c r="N123" i="1" s="1"/>
  <c r="AB123" i="1"/>
  <c r="U89" i="1"/>
  <c r="V89" i="1" s="1"/>
  <c r="AB104" i="1"/>
  <c r="U81" i="1"/>
  <c r="V81" i="1" s="1"/>
  <c r="U118" i="1"/>
  <c r="V118" i="1" s="1"/>
  <c r="R90" i="1"/>
  <c r="P90" i="1" s="1"/>
  <c r="S90" i="1" s="1"/>
  <c r="M90" i="1" s="1"/>
  <c r="N90" i="1" s="1"/>
  <c r="AB74" i="1"/>
  <c r="W102" i="1"/>
  <c r="AA102" i="1" s="1"/>
  <c r="AD102" i="1"/>
  <c r="AC102" i="1"/>
  <c r="U62" i="1"/>
  <c r="V62" i="1" s="1"/>
  <c r="U46" i="1"/>
  <c r="V46" i="1" s="1"/>
  <c r="U158" i="1"/>
  <c r="V158" i="1" s="1"/>
  <c r="U108" i="1"/>
  <c r="V108" i="1" s="1"/>
  <c r="AB92" i="1"/>
  <c r="R92" i="1"/>
  <c r="P92" i="1" s="1"/>
  <c r="S92" i="1" s="1"/>
  <c r="M92" i="1" s="1"/>
  <c r="N92" i="1" s="1"/>
  <c r="U59" i="1"/>
  <c r="V59" i="1" s="1"/>
  <c r="W64" i="1"/>
  <c r="AA64" i="1" s="1"/>
  <c r="AD64" i="1"/>
  <c r="AC64" i="1"/>
  <c r="R48" i="1"/>
  <c r="P48" i="1" s="1"/>
  <c r="S48" i="1" s="1"/>
  <c r="M48" i="1" s="1"/>
  <c r="N48" i="1" s="1"/>
  <c r="AB48" i="1"/>
  <c r="W29" i="1"/>
  <c r="AA29" i="1" s="1"/>
  <c r="AC29" i="1"/>
  <c r="AD29" i="1"/>
  <c r="R64" i="1"/>
  <c r="P64" i="1" s="1"/>
  <c r="S64" i="1" s="1"/>
  <c r="M64" i="1" s="1"/>
  <c r="N64" i="1" s="1"/>
  <c r="AB64" i="1"/>
  <c r="AD180" i="1"/>
  <c r="AE180" i="1" s="1"/>
  <c r="W180" i="1"/>
  <c r="AA180" i="1" s="1"/>
  <c r="U49" i="1"/>
  <c r="V49" i="1" s="1"/>
  <c r="R49" i="1" s="1"/>
  <c r="P49" i="1" s="1"/>
  <c r="S49" i="1" s="1"/>
  <c r="M49" i="1" s="1"/>
  <c r="N49" i="1" s="1"/>
  <c r="AB31" i="1"/>
  <c r="R31" i="1"/>
  <c r="P31" i="1" s="1"/>
  <c r="S31" i="1" s="1"/>
  <c r="M31" i="1" s="1"/>
  <c r="N31" i="1" s="1"/>
  <c r="AB32" i="1"/>
  <c r="R32" i="1"/>
  <c r="P32" i="1" s="1"/>
  <c r="S32" i="1" s="1"/>
  <c r="M32" i="1" s="1"/>
  <c r="N32" i="1" s="1"/>
  <c r="AC31" i="1"/>
  <c r="U101" i="1"/>
  <c r="V101" i="1" s="1"/>
  <c r="U61" i="1"/>
  <c r="V61" i="1" s="1"/>
  <c r="AB81" i="1"/>
  <c r="R81" i="1"/>
  <c r="P81" i="1" s="1"/>
  <c r="S81" i="1" s="1"/>
  <c r="M81" i="1" s="1"/>
  <c r="N81" i="1" s="1"/>
  <c r="U85" i="1"/>
  <c r="V85" i="1" s="1"/>
  <c r="U206" i="1"/>
  <c r="V206" i="1" s="1"/>
  <c r="R206" i="1" s="1"/>
  <c r="P206" i="1" s="1"/>
  <c r="S206" i="1" s="1"/>
  <c r="M206" i="1" s="1"/>
  <c r="N206" i="1" s="1"/>
  <c r="U207" i="1"/>
  <c r="V207" i="1" s="1"/>
  <c r="AC208" i="1"/>
  <c r="AC212" i="1"/>
  <c r="AC216" i="1"/>
  <c r="U224" i="1"/>
  <c r="V224" i="1" s="1"/>
  <c r="U196" i="1"/>
  <c r="V196" i="1" s="1"/>
  <c r="AB196" i="1"/>
  <c r="R196" i="1"/>
  <c r="P196" i="1" s="1"/>
  <c r="S196" i="1" s="1"/>
  <c r="M196" i="1" s="1"/>
  <c r="N196" i="1" s="1"/>
  <c r="U193" i="1"/>
  <c r="V193" i="1" s="1"/>
  <c r="AB182" i="1"/>
  <c r="AD167" i="1"/>
  <c r="AE167" i="1" s="1"/>
  <c r="W167" i="1"/>
  <c r="AA167" i="1" s="1"/>
  <c r="AD179" i="1"/>
  <c r="W179" i="1"/>
  <c r="AA179" i="1" s="1"/>
  <c r="U160" i="1"/>
  <c r="V160" i="1" s="1"/>
  <c r="U182" i="1"/>
  <c r="V182" i="1" s="1"/>
  <c r="U201" i="1"/>
  <c r="V201" i="1" s="1"/>
  <c r="U177" i="1"/>
  <c r="V177" i="1" s="1"/>
  <c r="U147" i="1"/>
  <c r="V147" i="1" s="1"/>
  <c r="AB161" i="1"/>
  <c r="U136" i="1"/>
  <c r="V136" i="1" s="1"/>
  <c r="M180" i="1"/>
  <c r="N180" i="1" s="1"/>
  <c r="AB147" i="1"/>
  <c r="U113" i="1"/>
  <c r="V113" i="1" s="1"/>
  <c r="U159" i="1"/>
  <c r="V159" i="1" s="1"/>
  <c r="AB159" i="1"/>
  <c r="U91" i="1"/>
  <c r="V91" i="1" s="1"/>
  <c r="U130" i="1"/>
  <c r="V130" i="1" s="1"/>
  <c r="AD134" i="1"/>
  <c r="AE134" i="1" s="1"/>
  <c r="W134" i="1"/>
  <c r="AA134" i="1" s="1"/>
  <c r="AB146" i="1"/>
  <c r="R146" i="1"/>
  <c r="P146" i="1" s="1"/>
  <c r="S146" i="1" s="1"/>
  <c r="M146" i="1" s="1"/>
  <c r="N146" i="1" s="1"/>
  <c r="U112" i="1"/>
  <c r="V112" i="1" s="1"/>
  <c r="U144" i="1"/>
  <c r="V144" i="1" s="1"/>
  <c r="AC167" i="1"/>
  <c r="U127" i="1"/>
  <c r="V127" i="1" s="1"/>
  <c r="AB127" i="1"/>
  <c r="AB91" i="1"/>
  <c r="R91" i="1"/>
  <c r="P91" i="1" s="1"/>
  <c r="S91" i="1" s="1"/>
  <c r="M91" i="1" s="1"/>
  <c r="N91" i="1" s="1"/>
  <c r="AB61" i="1"/>
  <c r="R61" i="1"/>
  <c r="P61" i="1" s="1"/>
  <c r="S61" i="1" s="1"/>
  <c r="M61" i="1" s="1"/>
  <c r="N61" i="1" s="1"/>
  <c r="AB45" i="1"/>
  <c r="R45" i="1"/>
  <c r="P45" i="1" s="1"/>
  <c r="S45" i="1" s="1"/>
  <c r="M45" i="1" s="1"/>
  <c r="N45" i="1" s="1"/>
  <c r="AB121" i="1"/>
  <c r="R121" i="1"/>
  <c r="P121" i="1" s="1"/>
  <c r="S121" i="1" s="1"/>
  <c r="M121" i="1" s="1"/>
  <c r="N121" i="1" s="1"/>
  <c r="R102" i="1"/>
  <c r="P102" i="1" s="1"/>
  <c r="S102" i="1" s="1"/>
  <c r="M102" i="1" s="1"/>
  <c r="N102" i="1" s="1"/>
  <c r="U138" i="1"/>
  <c r="V138" i="1" s="1"/>
  <c r="AB83" i="1"/>
  <c r="U57" i="1"/>
  <c r="V57" i="1" s="1"/>
  <c r="U53" i="1"/>
  <c r="V53" i="1" s="1"/>
  <c r="U115" i="1"/>
  <c r="V115" i="1" s="1"/>
  <c r="R115" i="1" s="1"/>
  <c r="P115" i="1" s="1"/>
  <c r="S115" i="1" s="1"/>
  <c r="M115" i="1" s="1"/>
  <c r="N115" i="1" s="1"/>
  <c r="U55" i="1"/>
  <c r="V55" i="1" s="1"/>
  <c r="U77" i="1"/>
  <c r="V77" i="1" s="1"/>
  <c r="U28" i="1"/>
  <c r="V28" i="1" s="1"/>
  <c r="AC34" i="1"/>
  <c r="AD34" i="1"/>
  <c r="AE34" i="1" s="1"/>
  <c r="W34" i="1"/>
  <c r="AA34" i="1" s="1"/>
  <c r="W36" i="1"/>
  <c r="AA36" i="1" s="1"/>
  <c r="AD36" i="1"/>
  <c r="AE36" i="1" s="1"/>
  <c r="AC23" i="1"/>
  <c r="R36" i="1"/>
  <c r="P36" i="1" s="1"/>
  <c r="S36" i="1" s="1"/>
  <c r="M36" i="1" s="1"/>
  <c r="N36" i="1" s="1"/>
  <c r="AB24" i="1"/>
  <c r="AC30" i="1"/>
  <c r="W30" i="1"/>
  <c r="AA30" i="1" s="1"/>
  <c r="AD30" i="1"/>
  <c r="U202" i="1"/>
  <c r="V202" i="1" s="1"/>
  <c r="U203" i="1"/>
  <c r="V203" i="1" s="1"/>
  <c r="AB195" i="1"/>
  <c r="R195" i="1"/>
  <c r="P195" i="1" s="1"/>
  <c r="S195" i="1" s="1"/>
  <c r="M195" i="1" s="1"/>
  <c r="N195" i="1" s="1"/>
  <c r="AB214" i="1"/>
  <c r="R214" i="1"/>
  <c r="P214" i="1" s="1"/>
  <c r="S214" i="1" s="1"/>
  <c r="M214" i="1" s="1"/>
  <c r="N214" i="1" s="1"/>
  <c r="AB187" i="1"/>
  <c r="R187" i="1"/>
  <c r="P187" i="1" s="1"/>
  <c r="S187" i="1" s="1"/>
  <c r="M187" i="1" s="1"/>
  <c r="N187" i="1" s="1"/>
  <c r="AB218" i="1"/>
  <c r="R218" i="1"/>
  <c r="P218" i="1" s="1"/>
  <c r="S218" i="1" s="1"/>
  <c r="M218" i="1" s="1"/>
  <c r="N218" i="1" s="1"/>
  <c r="AB174" i="1"/>
  <c r="U174" i="1"/>
  <c r="V174" i="1" s="1"/>
  <c r="U161" i="1"/>
  <c r="V161" i="1" s="1"/>
  <c r="R161" i="1" s="1"/>
  <c r="P161" i="1" s="1"/>
  <c r="S161" i="1" s="1"/>
  <c r="M161" i="1" s="1"/>
  <c r="N161" i="1" s="1"/>
  <c r="U164" i="1"/>
  <c r="V164" i="1" s="1"/>
  <c r="U155" i="1"/>
  <c r="V155" i="1" s="1"/>
  <c r="U140" i="1"/>
  <c r="V140" i="1" s="1"/>
  <c r="AD175" i="1"/>
  <c r="AE175" i="1" s="1"/>
  <c r="W175" i="1"/>
  <c r="AA175" i="1" s="1"/>
  <c r="W154" i="1"/>
  <c r="AA154" i="1" s="1"/>
  <c r="AD154" i="1"/>
  <c r="U129" i="1"/>
  <c r="V129" i="1" s="1"/>
  <c r="U143" i="1"/>
  <c r="V143" i="1" s="1"/>
  <c r="U122" i="1"/>
  <c r="V122" i="1" s="1"/>
  <c r="U87" i="1"/>
  <c r="V87" i="1" s="1"/>
  <c r="AB136" i="1"/>
  <c r="AB131" i="1"/>
  <c r="R131" i="1"/>
  <c r="P131" i="1" s="1"/>
  <c r="S131" i="1" s="1"/>
  <c r="M131" i="1" s="1"/>
  <c r="N131" i="1" s="1"/>
  <c r="AB105" i="1"/>
  <c r="U58" i="1"/>
  <c r="V58" i="1" s="1"/>
  <c r="U42" i="1"/>
  <c r="V42" i="1" s="1"/>
  <c r="AD92" i="1"/>
  <c r="AE92" i="1" s="1"/>
  <c r="W92" i="1"/>
  <c r="AA92" i="1" s="1"/>
  <c r="U157" i="1"/>
  <c r="V157" i="1" s="1"/>
  <c r="R157" i="1" s="1"/>
  <c r="P157" i="1" s="1"/>
  <c r="S157" i="1" s="1"/>
  <c r="M157" i="1" s="1"/>
  <c r="N157" i="1" s="1"/>
  <c r="W52" i="1"/>
  <c r="AA52" i="1" s="1"/>
  <c r="AD52" i="1"/>
  <c r="U43" i="1"/>
  <c r="V43" i="1" s="1"/>
  <c r="AB50" i="1"/>
  <c r="R50" i="1"/>
  <c r="P50" i="1" s="1"/>
  <c r="S50" i="1" s="1"/>
  <c r="M50" i="1" s="1"/>
  <c r="N50" i="1" s="1"/>
  <c r="AB88" i="1"/>
  <c r="AB62" i="1"/>
  <c r="R62" i="1"/>
  <c r="P62" i="1" s="1"/>
  <c r="S62" i="1" s="1"/>
  <c r="M62" i="1" s="1"/>
  <c r="N62" i="1" s="1"/>
  <c r="U74" i="1"/>
  <c r="V74" i="1" s="1"/>
  <c r="AB96" i="1"/>
  <c r="R96" i="1"/>
  <c r="P96" i="1" s="1"/>
  <c r="S96" i="1" s="1"/>
  <c r="M96" i="1" s="1"/>
  <c r="N96" i="1" s="1"/>
  <c r="W71" i="1"/>
  <c r="AA71" i="1" s="1"/>
  <c r="AD71" i="1"/>
  <c r="AE71" i="1" s="1"/>
  <c r="R71" i="1"/>
  <c r="P71" i="1" s="1"/>
  <c r="S71" i="1" s="1"/>
  <c r="M71" i="1" s="1"/>
  <c r="N71" i="1" s="1"/>
  <c r="AC71" i="1"/>
  <c r="W21" i="1"/>
  <c r="AA21" i="1" s="1"/>
  <c r="AC21" i="1"/>
  <c r="AD21" i="1"/>
  <c r="U47" i="1"/>
  <c r="V47" i="1" s="1"/>
  <c r="AB27" i="1"/>
  <c r="AC25" i="1"/>
  <c r="W25" i="1"/>
  <c r="AA25" i="1" s="1"/>
  <c r="AD25" i="1"/>
  <c r="R21" i="1"/>
  <c r="P21" i="1" s="1"/>
  <c r="S21" i="1" s="1"/>
  <c r="M21" i="1" s="1"/>
  <c r="N21" i="1" s="1"/>
  <c r="AB21" i="1"/>
  <c r="R22" i="1"/>
  <c r="P22" i="1" s="1"/>
  <c r="S22" i="1" s="1"/>
  <c r="M22" i="1" s="1"/>
  <c r="N22" i="1" s="1"/>
  <c r="AD188" i="1"/>
  <c r="AE188" i="1" s="1"/>
  <c r="W188" i="1"/>
  <c r="AA188" i="1" s="1"/>
  <c r="W119" i="1"/>
  <c r="AA119" i="1" s="1"/>
  <c r="AD119" i="1"/>
  <c r="AC119" i="1"/>
  <c r="AB151" i="1"/>
  <c r="AB53" i="1"/>
  <c r="R53" i="1"/>
  <c r="P53" i="1" s="1"/>
  <c r="S53" i="1" s="1"/>
  <c r="M53" i="1" s="1"/>
  <c r="N53" i="1" s="1"/>
  <c r="AB38" i="1"/>
  <c r="R38" i="1"/>
  <c r="P38" i="1" s="1"/>
  <c r="S38" i="1" s="1"/>
  <c r="M38" i="1" s="1"/>
  <c r="N38" i="1" s="1"/>
  <c r="R56" i="1"/>
  <c r="P56" i="1" s="1"/>
  <c r="S56" i="1" s="1"/>
  <c r="M56" i="1" s="1"/>
  <c r="N56" i="1" s="1"/>
  <c r="AB56" i="1"/>
  <c r="U60" i="1"/>
  <c r="V60" i="1" s="1"/>
  <c r="AB60" i="1"/>
  <c r="AB191" i="1"/>
  <c r="R191" i="1"/>
  <c r="P191" i="1" s="1"/>
  <c r="S191" i="1" s="1"/>
  <c r="M191" i="1" s="1"/>
  <c r="N191" i="1" s="1"/>
  <c r="AB210" i="1"/>
  <c r="R210" i="1"/>
  <c r="P210" i="1" s="1"/>
  <c r="S210" i="1" s="1"/>
  <c r="M210" i="1" s="1"/>
  <c r="N210" i="1" s="1"/>
  <c r="AD163" i="1"/>
  <c r="AE163" i="1" s="1"/>
  <c r="W163" i="1"/>
  <c r="AA163" i="1" s="1"/>
  <c r="M181" i="1"/>
  <c r="N181" i="1" s="1"/>
  <c r="AB164" i="1"/>
  <c r="R164" i="1"/>
  <c r="P164" i="1" s="1"/>
  <c r="S164" i="1" s="1"/>
  <c r="M164" i="1" s="1"/>
  <c r="N164" i="1" s="1"/>
  <c r="AC179" i="1"/>
  <c r="AB176" i="1"/>
  <c r="R176" i="1"/>
  <c r="P176" i="1" s="1"/>
  <c r="S176" i="1" s="1"/>
  <c r="M176" i="1" s="1"/>
  <c r="N176" i="1" s="1"/>
  <c r="U173" i="1"/>
  <c r="V173" i="1" s="1"/>
  <c r="R173" i="1" s="1"/>
  <c r="P173" i="1" s="1"/>
  <c r="S173" i="1" s="1"/>
  <c r="M173" i="1" s="1"/>
  <c r="N173" i="1" s="1"/>
  <c r="U168" i="1"/>
  <c r="V168" i="1" s="1"/>
  <c r="AB135" i="1"/>
  <c r="R135" i="1"/>
  <c r="P135" i="1" s="1"/>
  <c r="S135" i="1" s="1"/>
  <c r="M135" i="1" s="1"/>
  <c r="N135" i="1" s="1"/>
  <c r="AB155" i="1"/>
  <c r="R155" i="1"/>
  <c r="P155" i="1" s="1"/>
  <c r="S155" i="1" s="1"/>
  <c r="M155" i="1" s="1"/>
  <c r="N155" i="1" s="1"/>
  <c r="AB128" i="1"/>
  <c r="AD171" i="1"/>
  <c r="AE171" i="1" s="1"/>
  <c r="W171" i="1"/>
  <c r="AA171" i="1" s="1"/>
  <c r="U83" i="1"/>
  <c r="V83" i="1" s="1"/>
  <c r="R83" i="1" s="1"/>
  <c r="P83" i="1" s="1"/>
  <c r="S83" i="1" s="1"/>
  <c r="M83" i="1" s="1"/>
  <c r="N83" i="1" s="1"/>
  <c r="W123" i="1"/>
  <c r="AA123" i="1" s="1"/>
  <c r="AD123" i="1"/>
  <c r="AE123" i="1" s="1"/>
  <c r="AC123" i="1"/>
  <c r="U200" i="1"/>
  <c r="V200" i="1" s="1"/>
  <c r="U109" i="1"/>
  <c r="V109" i="1" s="1"/>
  <c r="AB144" i="1"/>
  <c r="R144" i="1"/>
  <c r="P144" i="1" s="1"/>
  <c r="S144" i="1" s="1"/>
  <c r="M144" i="1" s="1"/>
  <c r="N144" i="1" s="1"/>
  <c r="AB85" i="1"/>
  <c r="R85" i="1"/>
  <c r="P85" i="1" s="1"/>
  <c r="S85" i="1" s="1"/>
  <c r="M85" i="1" s="1"/>
  <c r="N85" i="1" s="1"/>
  <c r="U69" i="1"/>
  <c r="V69" i="1" s="1"/>
  <c r="U114" i="1"/>
  <c r="V114" i="1" s="1"/>
  <c r="W98" i="1"/>
  <c r="AA98" i="1" s="1"/>
  <c r="AD98" i="1"/>
  <c r="AC98" i="1"/>
  <c r="R80" i="1"/>
  <c r="P80" i="1" s="1"/>
  <c r="S80" i="1" s="1"/>
  <c r="M80" i="1" s="1"/>
  <c r="N80" i="1" s="1"/>
  <c r="U80" i="1"/>
  <c r="V80" i="1" s="1"/>
  <c r="AB80" i="1"/>
  <c r="AB57" i="1"/>
  <c r="R57" i="1"/>
  <c r="P57" i="1" s="1"/>
  <c r="S57" i="1" s="1"/>
  <c r="M57" i="1" s="1"/>
  <c r="N57" i="1" s="1"/>
  <c r="AB41" i="1"/>
  <c r="U79" i="1"/>
  <c r="V79" i="1" s="1"/>
  <c r="W110" i="1"/>
  <c r="AA110" i="1" s="1"/>
  <c r="AD110" i="1"/>
  <c r="AC110" i="1"/>
  <c r="U88" i="1"/>
  <c r="V88" i="1" s="1"/>
  <c r="R88" i="1" s="1"/>
  <c r="P88" i="1" s="1"/>
  <c r="S88" i="1" s="1"/>
  <c r="M88" i="1" s="1"/>
  <c r="N88" i="1" s="1"/>
  <c r="AB78" i="1"/>
  <c r="R112" i="1"/>
  <c r="P112" i="1" s="1"/>
  <c r="S112" i="1" s="1"/>
  <c r="M112" i="1" s="1"/>
  <c r="N112" i="1" s="1"/>
  <c r="AB112" i="1"/>
  <c r="AB137" i="1"/>
  <c r="U137" i="1"/>
  <c r="V137" i="1" s="1"/>
  <c r="R106" i="1"/>
  <c r="P106" i="1" s="1"/>
  <c r="S106" i="1" s="1"/>
  <c r="M106" i="1" s="1"/>
  <c r="N106" i="1" s="1"/>
  <c r="AB76" i="1"/>
  <c r="U76" i="1"/>
  <c r="V76" i="1" s="1"/>
  <c r="U51" i="1"/>
  <c r="V51" i="1" s="1"/>
  <c r="AB54" i="1"/>
  <c r="U27" i="1"/>
  <c r="V27" i="1" s="1"/>
  <c r="U104" i="1"/>
  <c r="V104" i="1" s="1"/>
  <c r="AB179" i="1"/>
  <c r="R179" i="1"/>
  <c r="P179" i="1" s="1"/>
  <c r="S179" i="1" s="1"/>
  <c r="M179" i="1" s="1"/>
  <c r="N179" i="1" s="1"/>
  <c r="U24" i="1"/>
  <c r="V24" i="1" s="1"/>
  <c r="U17" i="1"/>
  <c r="V17" i="1" s="1"/>
  <c r="R17" i="1" s="1"/>
  <c r="P17" i="1" s="1"/>
  <c r="S17" i="1" s="1"/>
  <c r="M17" i="1" s="1"/>
  <c r="N17" i="1" s="1"/>
  <c r="U35" i="1"/>
  <c r="V35" i="1" s="1"/>
  <c r="R35" i="1" s="1"/>
  <c r="P35" i="1" s="1"/>
  <c r="S35" i="1" s="1"/>
  <c r="M35" i="1" s="1"/>
  <c r="N35" i="1" s="1"/>
  <c r="U33" i="1"/>
  <c r="V33" i="1" s="1"/>
  <c r="AC40" i="1"/>
  <c r="R18" i="1"/>
  <c r="P18" i="1" s="1"/>
  <c r="S18" i="1" s="1"/>
  <c r="M18" i="1" s="1"/>
  <c r="N18" i="1" s="1"/>
  <c r="R29" i="1"/>
  <c r="P29" i="1" s="1"/>
  <c r="S29" i="1" s="1"/>
  <c r="M29" i="1" s="1"/>
  <c r="N29" i="1" s="1"/>
  <c r="AB29" i="1"/>
  <c r="U222" i="1"/>
  <c r="V222" i="1" s="1"/>
  <c r="R222" i="1" s="1"/>
  <c r="P222" i="1" s="1"/>
  <c r="S222" i="1" s="1"/>
  <c r="M222" i="1" s="1"/>
  <c r="N222" i="1" s="1"/>
  <c r="U213" i="1"/>
  <c r="V213" i="1" s="1"/>
  <c r="AB204" i="1"/>
  <c r="R220" i="1"/>
  <c r="P220" i="1" s="1"/>
  <c r="S220" i="1" s="1"/>
  <c r="M220" i="1" s="1"/>
  <c r="N220" i="1" s="1"/>
  <c r="AB220" i="1"/>
  <c r="U183" i="1"/>
  <c r="V183" i="1" s="1"/>
  <c r="U204" i="1"/>
  <c r="V204" i="1" s="1"/>
  <c r="R204" i="1" s="1"/>
  <c r="P204" i="1" s="1"/>
  <c r="S204" i="1" s="1"/>
  <c r="M204" i="1" s="1"/>
  <c r="N204" i="1" s="1"/>
  <c r="U209" i="1"/>
  <c r="V209" i="1" s="1"/>
  <c r="R153" i="1"/>
  <c r="P153" i="1" s="1"/>
  <c r="S153" i="1" s="1"/>
  <c r="M153" i="1" s="1"/>
  <c r="N153" i="1" s="1"/>
  <c r="AB153" i="1"/>
  <c r="U107" i="1"/>
  <c r="V107" i="1" s="1"/>
  <c r="U75" i="1"/>
  <c r="V75" i="1" s="1"/>
  <c r="AB69" i="1"/>
  <c r="R69" i="1"/>
  <c r="P69" i="1" s="1"/>
  <c r="S69" i="1" s="1"/>
  <c r="M69" i="1" s="1"/>
  <c r="N69" i="1" s="1"/>
  <c r="AB47" i="1"/>
  <c r="R47" i="1"/>
  <c r="P47" i="1" s="1"/>
  <c r="S47" i="1" s="1"/>
  <c r="M47" i="1" s="1"/>
  <c r="N47" i="1" s="1"/>
  <c r="AD72" i="1"/>
  <c r="W72" i="1"/>
  <c r="AA72" i="1" s="1"/>
  <c r="AC72" i="1"/>
  <c r="U226" i="1"/>
  <c r="V226" i="1" s="1"/>
  <c r="R226" i="1" s="1"/>
  <c r="P226" i="1" s="1"/>
  <c r="S226" i="1" s="1"/>
  <c r="M226" i="1" s="1"/>
  <c r="N226" i="1" s="1"/>
  <c r="U227" i="1"/>
  <c r="V227" i="1" s="1"/>
  <c r="R208" i="1"/>
  <c r="P208" i="1" s="1"/>
  <c r="S208" i="1" s="1"/>
  <c r="M208" i="1" s="1"/>
  <c r="N208" i="1" s="1"/>
  <c r="AB208" i="1"/>
  <c r="U197" i="1"/>
  <c r="V197" i="1" s="1"/>
  <c r="U176" i="1"/>
  <c r="V176" i="1" s="1"/>
  <c r="U189" i="1"/>
  <c r="V189" i="1" s="1"/>
  <c r="W190" i="1"/>
  <c r="AA190" i="1" s="1"/>
  <c r="AD190" i="1"/>
  <c r="AC190" i="1"/>
  <c r="R178" i="1"/>
  <c r="P178" i="1" s="1"/>
  <c r="S178" i="1" s="1"/>
  <c r="M178" i="1" s="1"/>
  <c r="N178" i="1" s="1"/>
  <c r="AB178" i="1"/>
  <c r="U178" i="1"/>
  <c r="V178" i="1" s="1"/>
  <c r="AB211" i="1"/>
  <c r="R211" i="1"/>
  <c r="P211" i="1" s="1"/>
  <c r="S211" i="1" s="1"/>
  <c r="M211" i="1" s="1"/>
  <c r="N211" i="1" s="1"/>
  <c r="AB143" i="1"/>
  <c r="U139" i="1"/>
  <c r="V139" i="1" s="1"/>
  <c r="R139" i="1" s="1"/>
  <c r="P139" i="1" s="1"/>
  <c r="S139" i="1" s="1"/>
  <c r="M139" i="1" s="1"/>
  <c r="N139" i="1" s="1"/>
  <c r="AE170" i="1"/>
  <c r="AB150" i="1"/>
  <c r="R150" i="1"/>
  <c r="P150" i="1" s="1"/>
  <c r="S150" i="1" s="1"/>
  <c r="M150" i="1" s="1"/>
  <c r="N150" i="1" s="1"/>
  <c r="U125" i="1"/>
  <c r="V125" i="1" s="1"/>
  <c r="AD166" i="1"/>
  <c r="AC166" i="1"/>
  <c r="W166" i="1"/>
  <c r="AA166" i="1" s="1"/>
  <c r="AB139" i="1"/>
  <c r="U128" i="1"/>
  <c r="V128" i="1" s="1"/>
  <c r="U111" i="1"/>
  <c r="V111" i="1" s="1"/>
  <c r="AB129" i="1"/>
  <c r="R129" i="1"/>
  <c r="P129" i="1" s="1"/>
  <c r="S129" i="1" s="1"/>
  <c r="M129" i="1" s="1"/>
  <c r="N129" i="1" s="1"/>
  <c r="AB154" i="1"/>
  <c r="R154" i="1"/>
  <c r="P154" i="1" s="1"/>
  <c r="S154" i="1" s="1"/>
  <c r="M154" i="1" s="1"/>
  <c r="N154" i="1" s="1"/>
  <c r="U105" i="1"/>
  <c r="V105" i="1" s="1"/>
  <c r="W94" i="1"/>
  <c r="AA94" i="1" s="1"/>
  <c r="AD94" i="1"/>
  <c r="AE94" i="1" s="1"/>
  <c r="AC94" i="1"/>
  <c r="AB84" i="1"/>
  <c r="R84" i="1"/>
  <c r="P84" i="1" s="1"/>
  <c r="S84" i="1" s="1"/>
  <c r="M84" i="1" s="1"/>
  <c r="N84" i="1" s="1"/>
  <c r="U65" i="1"/>
  <c r="V65" i="1" s="1"/>
  <c r="U70" i="1"/>
  <c r="V70" i="1" s="1"/>
  <c r="U54" i="1"/>
  <c r="V54" i="1" s="1"/>
  <c r="AB37" i="1"/>
  <c r="R37" i="1"/>
  <c r="P37" i="1" s="1"/>
  <c r="S37" i="1" s="1"/>
  <c r="M37" i="1" s="1"/>
  <c r="N37" i="1" s="1"/>
  <c r="R98" i="1"/>
  <c r="P98" i="1" s="1"/>
  <c r="S98" i="1" s="1"/>
  <c r="M98" i="1" s="1"/>
  <c r="N98" i="1" s="1"/>
  <c r="AB99" i="1"/>
  <c r="R99" i="1"/>
  <c r="P99" i="1" s="1"/>
  <c r="S99" i="1" s="1"/>
  <c r="M99" i="1" s="1"/>
  <c r="N99" i="1" s="1"/>
  <c r="U78" i="1"/>
  <c r="V78" i="1" s="1"/>
  <c r="AB111" i="1"/>
  <c r="AB100" i="1"/>
  <c r="R100" i="1"/>
  <c r="P100" i="1" s="1"/>
  <c r="S100" i="1" s="1"/>
  <c r="M100" i="1" s="1"/>
  <c r="N100" i="1" s="1"/>
  <c r="U37" i="1"/>
  <c r="V37" i="1" s="1"/>
  <c r="AB70" i="1"/>
  <c r="R70" i="1"/>
  <c r="P70" i="1" s="1"/>
  <c r="S70" i="1" s="1"/>
  <c r="M70" i="1" s="1"/>
  <c r="N70" i="1" s="1"/>
  <c r="AB107" i="1"/>
  <c r="R107" i="1"/>
  <c r="P107" i="1" s="1"/>
  <c r="S107" i="1" s="1"/>
  <c r="M107" i="1" s="1"/>
  <c r="N107" i="1" s="1"/>
  <c r="R52" i="1"/>
  <c r="P52" i="1" s="1"/>
  <c r="S52" i="1" s="1"/>
  <c r="M52" i="1" s="1"/>
  <c r="N52" i="1" s="1"/>
  <c r="AB52" i="1"/>
  <c r="U41" i="1"/>
  <c r="V41" i="1" s="1"/>
  <c r="U100" i="1"/>
  <c r="V100" i="1" s="1"/>
  <c r="AB55" i="1"/>
  <c r="AB42" i="1"/>
  <c r="R42" i="1"/>
  <c r="P42" i="1" s="1"/>
  <c r="S42" i="1" s="1"/>
  <c r="M42" i="1" s="1"/>
  <c r="N42" i="1" s="1"/>
  <c r="R86" i="1"/>
  <c r="P86" i="1" s="1"/>
  <c r="S86" i="1" s="1"/>
  <c r="M86" i="1" s="1"/>
  <c r="N86" i="1" s="1"/>
  <c r="R44" i="1"/>
  <c r="P44" i="1" s="1"/>
  <c r="S44" i="1" s="1"/>
  <c r="M44" i="1" s="1"/>
  <c r="N44" i="1" s="1"/>
  <c r="AB44" i="1"/>
  <c r="AB43" i="1"/>
  <c r="R43" i="1"/>
  <c r="P43" i="1" s="1"/>
  <c r="S43" i="1" s="1"/>
  <c r="M43" i="1" s="1"/>
  <c r="N43" i="1" s="1"/>
  <c r="AB23" i="1"/>
  <c r="R23" i="1"/>
  <c r="P23" i="1" s="1"/>
  <c r="S23" i="1" s="1"/>
  <c r="M23" i="1" s="1"/>
  <c r="N23" i="1" s="1"/>
  <c r="R30" i="1"/>
  <c r="P30" i="1" s="1"/>
  <c r="S30" i="1" s="1"/>
  <c r="M30" i="1" s="1"/>
  <c r="N30" i="1" s="1"/>
  <c r="R20" i="1"/>
  <c r="P20" i="1" s="1"/>
  <c r="S20" i="1" s="1"/>
  <c r="M20" i="1" s="1"/>
  <c r="N20" i="1" s="1"/>
  <c r="AB20" i="1"/>
  <c r="R34" i="1"/>
  <c r="P34" i="1" s="1"/>
  <c r="S34" i="1" s="1"/>
  <c r="M34" i="1" s="1"/>
  <c r="N34" i="1" s="1"/>
  <c r="R25" i="1"/>
  <c r="P25" i="1" s="1"/>
  <c r="S25" i="1" s="1"/>
  <c r="M25" i="1" s="1"/>
  <c r="N25" i="1" s="1"/>
  <c r="AB25" i="1"/>
  <c r="W78" i="1" l="1"/>
  <c r="AA78" i="1" s="1"/>
  <c r="AD78" i="1"/>
  <c r="AE78" i="1" s="1"/>
  <c r="AC78" i="1"/>
  <c r="AD54" i="1"/>
  <c r="W54" i="1"/>
  <c r="AA54" i="1" s="1"/>
  <c r="AC54" i="1"/>
  <c r="W111" i="1"/>
  <c r="AA111" i="1" s="1"/>
  <c r="AD111" i="1"/>
  <c r="AE111" i="1" s="1"/>
  <c r="AC111" i="1"/>
  <c r="W125" i="1"/>
  <c r="AA125" i="1" s="1"/>
  <c r="AD125" i="1"/>
  <c r="AC125" i="1"/>
  <c r="AD51" i="1"/>
  <c r="W51" i="1"/>
  <c r="AA51" i="1" s="1"/>
  <c r="R51" i="1"/>
  <c r="P51" i="1" s="1"/>
  <c r="S51" i="1" s="1"/>
  <c r="M51" i="1" s="1"/>
  <c r="N51" i="1" s="1"/>
  <c r="AC51" i="1"/>
  <c r="AE25" i="1"/>
  <c r="W74" i="1"/>
  <c r="AA74" i="1" s="1"/>
  <c r="AD74" i="1"/>
  <c r="AC74" i="1"/>
  <c r="AD43" i="1"/>
  <c r="W43" i="1"/>
  <c r="AA43" i="1" s="1"/>
  <c r="AC43" i="1"/>
  <c r="AD58" i="1"/>
  <c r="AE58" i="1" s="1"/>
  <c r="W58" i="1"/>
  <c r="AA58" i="1" s="1"/>
  <c r="AC58" i="1"/>
  <c r="AE154" i="1"/>
  <c r="AD203" i="1"/>
  <c r="W203" i="1"/>
  <c r="AA203" i="1" s="1"/>
  <c r="AC203" i="1"/>
  <c r="R203" i="1"/>
  <c r="P203" i="1" s="1"/>
  <c r="S203" i="1" s="1"/>
  <c r="M203" i="1" s="1"/>
  <c r="N203" i="1" s="1"/>
  <c r="W57" i="1"/>
  <c r="AA57" i="1" s="1"/>
  <c r="AD57" i="1"/>
  <c r="AE57" i="1" s="1"/>
  <c r="AC57" i="1"/>
  <c r="W127" i="1"/>
  <c r="AA127" i="1" s="1"/>
  <c r="AD127" i="1"/>
  <c r="AC127" i="1"/>
  <c r="W201" i="1"/>
  <c r="AA201" i="1" s="1"/>
  <c r="AD201" i="1"/>
  <c r="AE201" i="1" s="1"/>
  <c r="AC201" i="1"/>
  <c r="R201" i="1"/>
  <c r="P201" i="1" s="1"/>
  <c r="S201" i="1" s="1"/>
  <c r="M201" i="1" s="1"/>
  <c r="N201" i="1" s="1"/>
  <c r="W224" i="1"/>
  <c r="AA224" i="1" s="1"/>
  <c r="AD224" i="1"/>
  <c r="AC224" i="1"/>
  <c r="W85" i="1"/>
  <c r="AA85" i="1" s="1"/>
  <c r="AD85" i="1"/>
  <c r="AC85" i="1"/>
  <c r="W158" i="1"/>
  <c r="AA158" i="1" s="1"/>
  <c r="AD158" i="1"/>
  <c r="AE158" i="1" s="1"/>
  <c r="AC158" i="1"/>
  <c r="W195" i="1"/>
  <c r="AA195" i="1" s="1"/>
  <c r="AD195" i="1"/>
  <c r="AE195" i="1" s="1"/>
  <c r="AC195" i="1"/>
  <c r="W67" i="1"/>
  <c r="AA67" i="1" s="1"/>
  <c r="AD67" i="1"/>
  <c r="AE67" i="1" s="1"/>
  <c r="AC67" i="1"/>
  <c r="W45" i="1"/>
  <c r="AA45" i="1" s="1"/>
  <c r="AD45" i="1"/>
  <c r="AE45" i="1" s="1"/>
  <c r="AC45" i="1"/>
  <c r="W135" i="1"/>
  <c r="AA135" i="1" s="1"/>
  <c r="AD135" i="1"/>
  <c r="AC135" i="1"/>
  <c r="W198" i="1"/>
  <c r="AA198" i="1" s="1"/>
  <c r="AD198" i="1"/>
  <c r="AC198" i="1"/>
  <c r="R198" i="1"/>
  <c r="P198" i="1" s="1"/>
  <c r="S198" i="1" s="1"/>
  <c r="M198" i="1" s="1"/>
  <c r="N198" i="1" s="1"/>
  <c r="W165" i="1"/>
  <c r="AA165" i="1" s="1"/>
  <c r="AD165" i="1"/>
  <c r="AE165" i="1" s="1"/>
  <c r="AC165" i="1"/>
  <c r="W225" i="1"/>
  <c r="AA225" i="1" s="1"/>
  <c r="AC225" i="1"/>
  <c r="AD225" i="1"/>
  <c r="R225" i="1"/>
  <c r="P225" i="1" s="1"/>
  <c r="S225" i="1" s="1"/>
  <c r="M225" i="1" s="1"/>
  <c r="N225" i="1" s="1"/>
  <c r="W172" i="1"/>
  <c r="AA172" i="1" s="1"/>
  <c r="AD172" i="1"/>
  <c r="AC172" i="1"/>
  <c r="AE31" i="1"/>
  <c r="AD50" i="1"/>
  <c r="AE50" i="1" s="1"/>
  <c r="W50" i="1"/>
  <c r="AA50" i="1" s="1"/>
  <c r="AC50" i="1"/>
  <c r="AD146" i="1"/>
  <c r="AE146" i="1" s="1"/>
  <c r="W146" i="1"/>
  <c r="AA146" i="1" s="1"/>
  <c r="AC146" i="1"/>
  <c r="AE22" i="1"/>
  <c r="AE149" i="1"/>
  <c r="AE220" i="1"/>
  <c r="AD100" i="1"/>
  <c r="AE100" i="1" s="1"/>
  <c r="W100" i="1"/>
  <c r="AA100" i="1" s="1"/>
  <c r="AC100" i="1"/>
  <c r="W189" i="1"/>
  <c r="AA189" i="1" s="1"/>
  <c r="AD189" i="1"/>
  <c r="AE189" i="1" s="1"/>
  <c r="R189" i="1"/>
  <c r="P189" i="1" s="1"/>
  <c r="S189" i="1" s="1"/>
  <c r="M189" i="1" s="1"/>
  <c r="N189" i="1" s="1"/>
  <c r="AC189" i="1"/>
  <c r="AD76" i="1"/>
  <c r="AE76" i="1" s="1"/>
  <c r="W76" i="1"/>
  <c r="AA76" i="1" s="1"/>
  <c r="AC76" i="1"/>
  <c r="W79" i="1"/>
  <c r="AA79" i="1" s="1"/>
  <c r="AC79" i="1"/>
  <c r="AD79" i="1"/>
  <c r="R79" i="1"/>
  <c r="P79" i="1" s="1"/>
  <c r="S79" i="1" s="1"/>
  <c r="M79" i="1" s="1"/>
  <c r="N79" i="1" s="1"/>
  <c r="AE119" i="1"/>
  <c r="AE52" i="1"/>
  <c r="W87" i="1"/>
  <c r="AA87" i="1" s="1"/>
  <c r="AC87" i="1"/>
  <c r="AD87" i="1"/>
  <c r="AE87" i="1" s="1"/>
  <c r="W164" i="1"/>
  <c r="AA164" i="1" s="1"/>
  <c r="AD164" i="1"/>
  <c r="AC164" i="1"/>
  <c r="R127" i="1"/>
  <c r="P127" i="1" s="1"/>
  <c r="S127" i="1" s="1"/>
  <c r="M127" i="1" s="1"/>
  <c r="N127" i="1" s="1"/>
  <c r="W159" i="1"/>
  <c r="AA159" i="1" s="1"/>
  <c r="AD159" i="1"/>
  <c r="AE159" i="1" s="1"/>
  <c r="AC159" i="1"/>
  <c r="AD136" i="1"/>
  <c r="AE136" i="1" s="1"/>
  <c r="W136" i="1"/>
  <c r="AA136" i="1" s="1"/>
  <c r="AC136" i="1"/>
  <c r="AE64" i="1"/>
  <c r="R74" i="1"/>
  <c r="P74" i="1" s="1"/>
  <c r="S74" i="1" s="1"/>
  <c r="M74" i="1" s="1"/>
  <c r="N74" i="1" s="1"/>
  <c r="W89" i="1"/>
  <c r="AA89" i="1" s="1"/>
  <c r="AD89" i="1"/>
  <c r="AE89" i="1" s="1"/>
  <c r="R89" i="1"/>
  <c r="P89" i="1" s="1"/>
  <c r="S89" i="1" s="1"/>
  <c r="M89" i="1" s="1"/>
  <c r="N89" i="1" s="1"/>
  <c r="AC89" i="1"/>
  <c r="AD131" i="1"/>
  <c r="AE131" i="1" s="1"/>
  <c r="AC131" i="1"/>
  <c r="W131" i="1"/>
  <c r="AA131" i="1" s="1"/>
  <c r="AD39" i="1"/>
  <c r="W39" i="1"/>
  <c r="AA39" i="1" s="1"/>
  <c r="AC39" i="1"/>
  <c r="R39" i="1"/>
  <c r="P39" i="1" s="1"/>
  <c r="S39" i="1" s="1"/>
  <c r="M39" i="1" s="1"/>
  <c r="N39" i="1" s="1"/>
  <c r="AD215" i="1"/>
  <c r="AE215" i="1" s="1"/>
  <c r="W215" i="1"/>
  <c r="AA215" i="1" s="1"/>
  <c r="R215" i="1"/>
  <c r="P215" i="1" s="1"/>
  <c r="S215" i="1" s="1"/>
  <c r="M215" i="1" s="1"/>
  <c r="N215" i="1" s="1"/>
  <c r="AC215" i="1"/>
  <c r="R58" i="1"/>
  <c r="P58" i="1" s="1"/>
  <c r="S58" i="1" s="1"/>
  <c r="M58" i="1" s="1"/>
  <c r="N58" i="1" s="1"/>
  <c r="W103" i="1"/>
  <c r="AA103" i="1" s="1"/>
  <c r="AC103" i="1"/>
  <c r="AD103" i="1"/>
  <c r="W191" i="1"/>
  <c r="AA191" i="1" s="1"/>
  <c r="AD191" i="1"/>
  <c r="AE191" i="1" s="1"/>
  <c r="AC191" i="1"/>
  <c r="AD223" i="1"/>
  <c r="W223" i="1"/>
  <c r="AA223" i="1" s="1"/>
  <c r="R223" i="1"/>
  <c r="P223" i="1" s="1"/>
  <c r="S223" i="1" s="1"/>
  <c r="M223" i="1" s="1"/>
  <c r="N223" i="1" s="1"/>
  <c r="AC223" i="1"/>
  <c r="AE68" i="1"/>
  <c r="AD41" i="1"/>
  <c r="AE41" i="1" s="1"/>
  <c r="W41" i="1"/>
  <c r="AA41" i="1" s="1"/>
  <c r="AC41" i="1"/>
  <c r="W37" i="1"/>
  <c r="AA37" i="1" s="1"/>
  <c r="AD37" i="1"/>
  <c r="AC37" i="1"/>
  <c r="AD70" i="1"/>
  <c r="AE70" i="1" s="1"/>
  <c r="W70" i="1"/>
  <c r="AA70" i="1" s="1"/>
  <c r="AC70" i="1"/>
  <c r="W105" i="1"/>
  <c r="AA105" i="1" s="1"/>
  <c r="AD105" i="1"/>
  <c r="AC105" i="1"/>
  <c r="W128" i="1"/>
  <c r="AA128" i="1" s="1"/>
  <c r="AD128" i="1"/>
  <c r="AC128" i="1"/>
  <c r="AD227" i="1"/>
  <c r="AE227" i="1" s="1"/>
  <c r="W227" i="1"/>
  <c r="AA227" i="1" s="1"/>
  <c r="R227" i="1"/>
  <c r="P227" i="1" s="1"/>
  <c r="S227" i="1" s="1"/>
  <c r="M227" i="1" s="1"/>
  <c r="N227" i="1" s="1"/>
  <c r="AC227" i="1"/>
  <c r="W209" i="1"/>
  <c r="AA209" i="1" s="1"/>
  <c r="AC209" i="1"/>
  <c r="AD209" i="1"/>
  <c r="R209" i="1"/>
  <c r="P209" i="1" s="1"/>
  <c r="S209" i="1" s="1"/>
  <c r="M209" i="1" s="1"/>
  <c r="N209" i="1" s="1"/>
  <c r="AD104" i="1"/>
  <c r="W104" i="1"/>
  <c r="AA104" i="1" s="1"/>
  <c r="AC104" i="1"/>
  <c r="R41" i="1"/>
  <c r="P41" i="1" s="1"/>
  <c r="S41" i="1" s="1"/>
  <c r="M41" i="1" s="1"/>
  <c r="N41" i="1" s="1"/>
  <c r="AE98" i="1"/>
  <c r="R105" i="1"/>
  <c r="P105" i="1" s="1"/>
  <c r="S105" i="1" s="1"/>
  <c r="M105" i="1" s="1"/>
  <c r="N105" i="1" s="1"/>
  <c r="W122" i="1"/>
  <c r="AA122" i="1" s="1"/>
  <c r="AD122" i="1"/>
  <c r="AE122" i="1" s="1"/>
  <c r="R122" i="1"/>
  <c r="P122" i="1" s="1"/>
  <c r="S122" i="1" s="1"/>
  <c r="M122" i="1" s="1"/>
  <c r="N122" i="1" s="1"/>
  <c r="AC122" i="1"/>
  <c r="AD202" i="1"/>
  <c r="AE202" i="1" s="1"/>
  <c r="W202" i="1"/>
  <c r="AA202" i="1" s="1"/>
  <c r="AC202" i="1"/>
  <c r="AD77" i="1"/>
  <c r="AE77" i="1" s="1"/>
  <c r="W77" i="1"/>
  <c r="AA77" i="1" s="1"/>
  <c r="R77" i="1"/>
  <c r="P77" i="1" s="1"/>
  <c r="S77" i="1" s="1"/>
  <c r="M77" i="1" s="1"/>
  <c r="N77" i="1" s="1"/>
  <c r="AC77" i="1"/>
  <c r="W182" i="1"/>
  <c r="AA182" i="1" s="1"/>
  <c r="AD182" i="1"/>
  <c r="AE182" i="1" s="1"/>
  <c r="AC182" i="1"/>
  <c r="R182" i="1"/>
  <c r="P182" i="1" s="1"/>
  <c r="S182" i="1" s="1"/>
  <c r="M182" i="1" s="1"/>
  <c r="N182" i="1" s="1"/>
  <c r="AD46" i="1"/>
  <c r="W46" i="1"/>
  <c r="AA46" i="1" s="1"/>
  <c r="AC46" i="1"/>
  <c r="W126" i="1"/>
  <c r="AA126" i="1" s="1"/>
  <c r="AD126" i="1"/>
  <c r="R126" i="1"/>
  <c r="P126" i="1" s="1"/>
  <c r="S126" i="1" s="1"/>
  <c r="M126" i="1" s="1"/>
  <c r="N126" i="1" s="1"/>
  <c r="AC126" i="1"/>
  <c r="W194" i="1"/>
  <c r="AA194" i="1" s="1"/>
  <c r="AD194" i="1"/>
  <c r="AE194" i="1" s="1"/>
  <c r="AC194" i="1"/>
  <c r="R194" i="1"/>
  <c r="P194" i="1" s="1"/>
  <c r="S194" i="1" s="1"/>
  <c r="M194" i="1" s="1"/>
  <c r="N194" i="1" s="1"/>
  <c r="W156" i="1"/>
  <c r="AA156" i="1" s="1"/>
  <c r="AD156" i="1"/>
  <c r="AC156" i="1"/>
  <c r="R156" i="1"/>
  <c r="P156" i="1" s="1"/>
  <c r="S156" i="1" s="1"/>
  <c r="M156" i="1" s="1"/>
  <c r="N156" i="1" s="1"/>
  <c r="AE48" i="1"/>
  <c r="R46" i="1"/>
  <c r="P46" i="1" s="1"/>
  <c r="S46" i="1" s="1"/>
  <c r="M46" i="1" s="1"/>
  <c r="N46" i="1" s="1"/>
  <c r="AC120" i="1"/>
  <c r="W120" i="1"/>
  <c r="AA120" i="1" s="1"/>
  <c r="AD120" i="1"/>
  <c r="W99" i="1"/>
  <c r="AA99" i="1" s="1"/>
  <c r="AD99" i="1"/>
  <c r="AE99" i="1" s="1"/>
  <c r="AC99" i="1"/>
  <c r="AE216" i="1"/>
  <c r="W214" i="1"/>
  <c r="AA214" i="1" s="1"/>
  <c r="AD214" i="1"/>
  <c r="AC214" i="1"/>
  <c r="AD66" i="1"/>
  <c r="W66" i="1"/>
  <c r="AA66" i="1" s="1"/>
  <c r="AC66" i="1"/>
  <c r="W178" i="1"/>
  <c r="AA178" i="1" s="1"/>
  <c r="AD178" i="1"/>
  <c r="AC178" i="1"/>
  <c r="W176" i="1"/>
  <c r="AA176" i="1" s="1"/>
  <c r="AD176" i="1"/>
  <c r="AE176" i="1" s="1"/>
  <c r="AC176" i="1"/>
  <c r="W226" i="1"/>
  <c r="AA226" i="1" s="1"/>
  <c r="AD226" i="1"/>
  <c r="AE226" i="1" s="1"/>
  <c r="AC226" i="1"/>
  <c r="W213" i="1"/>
  <c r="AA213" i="1" s="1"/>
  <c r="AC213" i="1"/>
  <c r="AD213" i="1"/>
  <c r="R213" i="1"/>
  <c r="P213" i="1" s="1"/>
  <c r="S213" i="1" s="1"/>
  <c r="M213" i="1" s="1"/>
  <c r="N213" i="1" s="1"/>
  <c r="AC33" i="1"/>
  <c r="W33" i="1"/>
  <c r="AA33" i="1" s="1"/>
  <c r="AD33" i="1"/>
  <c r="AE33" i="1" s="1"/>
  <c r="W27" i="1"/>
  <c r="AA27" i="1" s="1"/>
  <c r="AD27" i="1"/>
  <c r="AC27" i="1"/>
  <c r="R76" i="1"/>
  <c r="P76" i="1" s="1"/>
  <c r="S76" i="1" s="1"/>
  <c r="M76" i="1" s="1"/>
  <c r="N76" i="1" s="1"/>
  <c r="R78" i="1"/>
  <c r="P78" i="1" s="1"/>
  <c r="S78" i="1" s="1"/>
  <c r="M78" i="1" s="1"/>
  <c r="N78" i="1" s="1"/>
  <c r="AD83" i="1"/>
  <c r="AE83" i="1" s="1"/>
  <c r="AC83" i="1"/>
  <c r="W83" i="1"/>
  <c r="AA83" i="1" s="1"/>
  <c r="R27" i="1"/>
  <c r="P27" i="1" s="1"/>
  <c r="S27" i="1" s="1"/>
  <c r="M27" i="1" s="1"/>
  <c r="N27" i="1" s="1"/>
  <c r="AD157" i="1"/>
  <c r="AC157" i="1"/>
  <c r="W157" i="1"/>
  <c r="AA157" i="1" s="1"/>
  <c r="AD161" i="1"/>
  <c r="AE161" i="1" s="1"/>
  <c r="W161" i="1"/>
  <c r="AA161" i="1" s="1"/>
  <c r="AC161" i="1"/>
  <c r="AE30" i="1"/>
  <c r="W144" i="1"/>
  <c r="AA144" i="1" s="1"/>
  <c r="AD144" i="1"/>
  <c r="AC144" i="1"/>
  <c r="W130" i="1"/>
  <c r="AA130" i="1" s="1"/>
  <c r="AD130" i="1"/>
  <c r="AE130" i="1" s="1"/>
  <c r="AC130" i="1"/>
  <c r="R130" i="1"/>
  <c r="P130" i="1" s="1"/>
  <c r="S130" i="1" s="1"/>
  <c r="M130" i="1" s="1"/>
  <c r="N130" i="1" s="1"/>
  <c r="AD113" i="1"/>
  <c r="W113" i="1"/>
  <c r="AA113" i="1" s="1"/>
  <c r="R113" i="1"/>
  <c r="P113" i="1" s="1"/>
  <c r="S113" i="1" s="1"/>
  <c r="M113" i="1" s="1"/>
  <c r="N113" i="1" s="1"/>
  <c r="AC113" i="1"/>
  <c r="W160" i="1"/>
  <c r="AA160" i="1" s="1"/>
  <c r="AD160" i="1"/>
  <c r="AE160" i="1" s="1"/>
  <c r="AC160" i="1"/>
  <c r="R160" i="1"/>
  <c r="P160" i="1" s="1"/>
  <c r="S160" i="1" s="1"/>
  <c r="M160" i="1" s="1"/>
  <c r="N160" i="1" s="1"/>
  <c r="W193" i="1"/>
  <c r="AA193" i="1" s="1"/>
  <c r="AD193" i="1"/>
  <c r="AE193" i="1" s="1"/>
  <c r="R193" i="1"/>
  <c r="P193" i="1" s="1"/>
  <c r="S193" i="1" s="1"/>
  <c r="M193" i="1" s="1"/>
  <c r="N193" i="1" s="1"/>
  <c r="AC193" i="1"/>
  <c r="AE29" i="1"/>
  <c r="W59" i="1"/>
  <c r="AA59" i="1" s="1"/>
  <c r="AD59" i="1"/>
  <c r="R59" i="1"/>
  <c r="P59" i="1" s="1"/>
  <c r="S59" i="1" s="1"/>
  <c r="M59" i="1" s="1"/>
  <c r="N59" i="1" s="1"/>
  <c r="AC59" i="1"/>
  <c r="W118" i="1"/>
  <c r="AA118" i="1" s="1"/>
  <c r="AD118" i="1"/>
  <c r="R118" i="1"/>
  <c r="P118" i="1" s="1"/>
  <c r="S118" i="1" s="1"/>
  <c r="M118" i="1" s="1"/>
  <c r="N118" i="1" s="1"/>
  <c r="AC118" i="1"/>
  <c r="AD184" i="1"/>
  <c r="AE184" i="1" s="1"/>
  <c r="W184" i="1"/>
  <c r="AA184" i="1" s="1"/>
  <c r="AC184" i="1"/>
  <c r="AD211" i="1"/>
  <c r="W211" i="1"/>
  <c r="AA211" i="1" s="1"/>
  <c r="AC211" i="1"/>
  <c r="W93" i="1"/>
  <c r="AA93" i="1" s="1"/>
  <c r="AD93" i="1"/>
  <c r="AC93" i="1"/>
  <c r="R93" i="1"/>
  <c r="P93" i="1" s="1"/>
  <c r="S93" i="1" s="1"/>
  <c r="M93" i="1" s="1"/>
  <c r="N93" i="1" s="1"/>
  <c r="AD142" i="1"/>
  <c r="AE142" i="1" s="1"/>
  <c r="W142" i="1"/>
  <c r="AA142" i="1" s="1"/>
  <c r="R142" i="1"/>
  <c r="P142" i="1" s="1"/>
  <c r="S142" i="1" s="1"/>
  <c r="M142" i="1" s="1"/>
  <c r="N142" i="1" s="1"/>
  <c r="AC142" i="1"/>
  <c r="AE26" i="1"/>
  <c r="W19" i="1"/>
  <c r="AA19" i="1" s="1"/>
  <c r="AD19" i="1"/>
  <c r="AE19" i="1" s="1"/>
  <c r="AC19" i="1"/>
  <c r="W97" i="1"/>
  <c r="AA97" i="1" s="1"/>
  <c r="AD97" i="1"/>
  <c r="AC97" i="1"/>
  <c r="R97" i="1"/>
  <c r="P97" i="1" s="1"/>
  <c r="S97" i="1" s="1"/>
  <c r="M97" i="1" s="1"/>
  <c r="N97" i="1" s="1"/>
  <c r="R125" i="1"/>
  <c r="P125" i="1" s="1"/>
  <c r="S125" i="1" s="1"/>
  <c r="M125" i="1" s="1"/>
  <c r="N125" i="1" s="1"/>
  <c r="W152" i="1"/>
  <c r="AA152" i="1" s="1"/>
  <c r="AD152" i="1"/>
  <c r="AE152" i="1" s="1"/>
  <c r="AC152" i="1"/>
  <c r="R152" i="1"/>
  <c r="P152" i="1" s="1"/>
  <c r="S152" i="1" s="1"/>
  <c r="M152" i="1" s="1"/>
  <c r="N152" i="1" s="1"/>
  <c r="AD192" i="1"/>
  <c r="W192" i="1"/>
  <c r="AA192" i="1" s="1"/>
  <c r="AC192" i="1"/>
  <c r="AE84" i="1"/>
  <c r="AC65" i="1"/>
  <c r="AD65" i="1"/>
  <c r="AE65" i="1" s="1"/>
  <c r="W65" i="1"/>
  <c r="AA65" i="1" s="1"/>
  <c r="W75" i="1"/>
  <c r="AA75" i="1" s="1"/>
  <c r="AD75" i="1"/>
  <c r="AC75" i="1"/>
  <c r="R75" i="1"/>
  <c r="P75" i="1" s="1"/>
  <c r="S75" i="1" s="1"/>
  <c r="M75" i="1" s="1"/>
  <c r="N75" i="1" s="1"/>
  <c r="W204" i="1"/>
  <c r="AA204" i="1" s="1"/>
  <c r="AD204" i="1"/>
  <c r="AC204" i="1"/>
  <c r="AD35" i="1"/>
  <c r="W35" i="1"/>
  <c r="AA35" i="1" s="1"/>
  <c r="AC35" i="1"/>
  <c r="AD88" i="1"/>
  <c r="AE88" i="1" s="1"/>
  <c r="W88" i="1"/>
  <c r="AA88" i="1" s="1"/>
  <c r="AC88" i="1"/>
  <c r="W109" i="1"/>
  <c r="AA109" i="1" s="1"/>
  <c r="AD109" i="1"/>
  <c r="AE109" i="1" s="1"/>
  <c r="AC109" i="1"/>
  <c r="W143" i="1"/>
  <c r="AA143" i="1" s="1"/>
  <c r="AD143" i="1"/>
  <c r="AC143" i="1"/>
  <c r="W174" i="1"/>
  <c r="AA174" i="1" s="1"/>
  <c r="AD174" i="1"/>
  <c r="AE174" i="1" s="1"/>
  <c r="AC174" i="1"/>
  <c r="AD55" i="1"/>
  <c r="AE55" i="1" s="1"/>
  <c r="W55" i="1"/>
  <c r="AA55" i="1" s="1"/>
  <c r="AC55" i="1"/>
  <c r="W147" i="1"/>
  <c r="AA147" i="1" s="1"/>
  <c r="AD147" i="1"/>
  <c r="AE147" i="1" s="1"/>
  <c r="AC147" i="1"/>
  <c r="AD62" i="1"/>
  <c r="W62" i="1"/>
  <c r="AA62" i="1" s="1"/>
  <c r="AC62" i="1"/>
  <c r="W95" i="1"/>
  <c r="AA95" i="1" s="1"/>
  <c r="AD95" i="1"/>
  <c r="AE95" i="1" s="1"/>
  <c r="AC95" i="1"/>
  <c r="W210" i="1"/>
  <c r="AA210" i="1" s="1"/>
  <c r="AD210" i="1"/>
  <c r="AC210" i="1"/>
  <c r="W63" i="1"/>
  <c r="AA63" i="1" s="1"/>
  <c r="AD63" i="1"/>
  <c r="AE63" i="1" s="1"/>
  <c r="R63" i="1"/>
  <c r="P63" i="1" s="1"/>
  <c r="S63" i="1" s="1"/>
  <c r="M63" i="1" s="1"/>
  <c r="N63" i="1" s="1"/>
  <c r="AC63" i="1"/>
  <c r="AE23" i="1"/>
  <c r="R65" i="1"/>
  <c r="P65" i="1" s="1"/>
  <c r="S65" i="1" s="1"/>
  <c r="M65" i="1" s="1"/>
  <c r="N65" i="1" s="1"/>
  <c r="W151" i="1"/>
  <c r="AA151" i="1" s="1"/>
  <c r="AD151" i="1"/>
  <c r="AE151" i="1" s="1"/>
  <c r="AC151" i="1"/>
  <c r="W148" i="1"/>
  <c r="AA148" i="1" s="1"/>
  <c r="AD148" i="1"/>
  <c r="AC148" i="1"/>
  <c r="R148" i="1"/>
  <c r="P148" i="1" s="1"/>
  <c r="S148" i="1" s="1"/>
  <c r="M148" i="1" s="1"/>
  <c r="N148" i="1" s="1"/>
  <c r="AE208" i="1"/>
  <c r="W187" i="1"/>
  <c r="AA187" i="1" s="1"/>
  <c r="AD187" i="1"/>
  <c r="AE187" i="1" s="1"/>
  <c r="AC187" i="1"/>
  <c r="R87" i="1"/>
  <c r="P87" i="1" s="1"/>
  <c r="S87" i="1" s="1"/>
  <c r="M87" i="1" s="1"/>
  <c r="N87" i="1" s="1"/>
  <c r="AD199" i="1"/>
  <c r="W199" i="1"/>
  <c r="AA199" i="1" s="1"/>
  <c r="AC199" i="1"/>
  <c r="AD219" i="1"/>
  <c r="AE219" i="1" s="1"/>
  <c r="W219" i="1"/>
  <c r="AA219" i="1" s="1"/>
  <c r="R219" i="1"/>
  <c r="P219" i="1" s="1"/>
  <c r="S219" i="1" s="1"/>
  <c r="M219" i="1" s="1"/>
  <c r="N219" i="1" s="1"/>
  <c r="AC219" i="1"/>
  <c r="W221" i="1"/>
  <c r="AA221" i="1" s="1"/>
  <c r="AC221" i="1"/>
  <c r="AD221" i="1"/>
  <c r="AE221" i="1" s="1"/>
  <c r="R221" i="1"/>
  <c r="P221" i="1" s="1"/>
  <c r="S221" i="1" s="1"/>
  <c r="M221" i="1" s="1"/>
  <c r="N221" i="1" s="1"/>
  <c r="AE153" i="1"/>
  <c r="AE44" i="1"/>
  <c r="AE96" i="1"/>
  <c r="W139" i="1"/>
  <c r="AA139" i="1" s="1"/>
  <c r="AD139" i="1"/>
  <c r="AE139" i="1" s="1"/>
  <c r="AC139" i="1"/>
  <c r="W197" i="1"/>
  <c r="AA197" i="1" s="1"/>
  <c r="AD197" i="1"/>
  <c r="AE197" i="1" s="1"/>
  <c r="AC197" i="1"/>
  <c r="W183" i="1"/>
  <c r="AA183" i="1" s="1"/>
  <c r="AD183" i="1"/>
  <c r="AE183" i="1" s="1"/>
  <c r="AC183" i="1"/>
  <c r="R183" i="1"/>
  <c r="P183" i="1" s="1"/>
  <c r="S183" i="1" s="1"/>
  <c r="M183" i="1" s="1"/>
  <c r="N183" i="1" s="1"/>
  <c r="W222" i="1"/>
  <c r="AA222" i="1" s="1"/>
  <c r="AD222" i="1"/>
  <c r="AC222" i="1"/>
  <c r="AC17" i="1"/>
  <c r="W17" i="1"/>
  <c r="AA17" i="1" s="1"/>
  <c r="AD17" i="1"/>
  <c r="R54" i="1"/>
  <c r="P54" i="1" s="1"/>
  <c r="S54" i="1" s="1"/>
  <c r="M54" i="1" s="1"/>
  <c r="N54" i="1" s="1"/>
  <c r="AD137" i="1"/>
  <c r="AE137" i="1" s="1"/>
  <c r="W137" i="1"/>
  <c r="AA137" i="1" s="1"/>
  <c r="AC137" i="1"/>
  <c r="AD114" i="1"/>
  <c r="AE114" i="1" s="1"/>
  <c r="W114" i="1"/>
  <c r="AA114" i="1" s="1"/>
  <c r="AC114" i="1"/>
  <c r="AD140" i="1"/>
  <c r="AE140" i="1" s="1"/>
  <c r="AC140" i="1"/>
  <c r="W140" i="1"/>
  <c r="AA140" i="1" s="1"/>
  <c r="R140" i="1"/>
  <c r="P140" i="1" s="1"/>
  <c r="S140" i="1" s="1"/>
  <c r="M140" i="1" s="1"/>
  <c r="N140" i="1" s="1"/>
  <c r="W115" i="1"/>
  <c r="AA115" i="1" s="1"/>
  <c r="AD115" i="1"/>
  <c r="AE115" i="1" s="1"/>
  <c r="AC115" i="1"/>
  <c r="W138" i="1"/>
  <c r="AA138" i="1" s="1"/>
  <c r="AD138" i="1"/>
  <c r="R138" i="1"/>
  <c r="P138" i="1" s="1"/>
  <c r="S138" i="1" s="1"/>
  <c r="M138" i="1" s="1"/>
  <c r="N138" i="1" s="1"/>
  <c r="AC138" i="1"/>
  <c r="W112" i="1"/>
  <c r="AA112" i="1" s="1"/>
  <c r="AD112" i="1"/>
  <c r="AC112" i="1"/>
  <c r="W91" i="1"/>
  <c r="AA91" i="1" s="1"/>
  <c r="AD91" i="1"/>
  <c r="AC91" i="1"/>
  <c r="R147" i="1"/>
  <c r="P147" i="1" s="1"/>
  <c r="S147" i="1" s="1"/>
  <c r="M147" i="1" s="1"/>
  <c r="N147" i="1" s="1"/>
  <c r="AD207" i="1"/>
  <c r="AE207" i="1" s="1"/>
  <c r="W207" i="1"/>
  <c r="AA207" i="1" s="1"/>
  <c r="AC207" i="1"/>
  <c r="AC61" i="1"/>
  <c r="AD61" i="1"/>
  <c r="W61" i="1"/>
  <c r="AA61" i="1" s="1"/>
  <c r="AD49" i="1"/>
  <c r="W49" i="1"/>
  <c r="AA49" i="1" s="1"/>
  <c r="AC49" i="1"/>
  <c r="W81" i="1"/>
  <c r="AA81" i="1" s="1"/>
  <c r="AD81" i="1"/>
  <c r="AC81" i="1"/>
  <c r="AD141" i="1"/>
  <c r="AE141" i="1" s="1"/>
  <c r="AC141" i="1"/>
  <c r="W141" i="1"/>
  <c r="AA141" i="1" s="1"/>
  <c r="R224" i="1"/>
  <c r="P224" i="1" s="1"/>
  <c r="S224" i="1" s="1"/>
  <c r="M224" i="1" s="1"/>
  <c r="N224" i="1" s="1"/>
  <c r="AE86" i="1"/>
  <c r="R95" i="1"/>
  <c r="P95" i="1" s="1"/>
  <c r="S95" i="1" s="1"/>
  <c r="M95" i="1" s="1"/>
  <c r="N95" i="1" s="1"/>
  <c r="AD145" i="1"/>
  <c r="AC145" i="1"/>
  <c r="W145" i="1"/>
  <c r="AA145" i="1" s="1"/>
  <c r="W121" i="1"/>
  <c r="AA121" i="1" s="1"/>
  <c r="AD121" i="1"/>
  <c r="AC121" i="1"/>
  <c r="W185" i="1"/>
  <c r="AA185" i="1" s="1"/>
  <c r="AD185" i="1"/>
  <c r="AE185" i="1" s="1"/>
  <c r="AC185" i="1"/>
  <c r="R185" i="1"/>
  <c r="P185" i="1" s="1"/>
  <c r="S185" i="1" s="1"/>
  <c r="M185" i="1" s="1"/>
  <c r="N185" i="1" s="1"/>
  <c r="W218" i="1"/>
  <c r="AA218" i="1" s="1"/>
  <c r="AD218" i="1"/>
  <c r="AC218" i="1"/>
  <c r="AE124" i="1"/>
  <c r="R111" i="1"/>
  <c r="P111" i="1" s="1"/>
  <c r="S111" i="1" s="1"/>
  <c r="M111" i="1" s="1"/>
  <c r="N111" i="1" s="1"/>
  <c r="W107" i="1"/>
  <c r="AA107" i="1" s="1"/>
  <c r="AC107" i="1"/>
  <c r="AD107" i="1"/>
  <c r="AE107" i="1" s="1"/>
  <c r="W24" i="1"/>
  <c r="AA24" i="1" s="1"/>
  <c r="AD24" i="1"/>
  <c r="AC24" i="1"/>
  <c r="AE110" i="1"/>
  <c r="W168" i="1"/>
  <c r="AA168" i="1" s="1"/>
  <c r="AD168" i="1"/>
  <c r="AE168" i="1" s="1"/>
  <c r="AC168" i="1"/>
  <c r="W60" i="1"/>
  <c r="AA60" i="1" s="1"/>
  <c r="AD60" i="1"/>
  <c r="AE60" i="1" s="1"/>
  <c r="AC60" i="1"/>
  <c r="R151" i="1"/>
  <c r="P151" i="1" s="1"/>
  <c r="S151" i="1" s="1"/>
  <c r="M151" i="1" s="1"/>
  <c r="N151" i="1" s="1"/>
  <c r="AD47" i="1"/>
  <c r="AE47" i="1" s="1"/>
  <c r="W47" i="1"/>
  <c r="AA47" i="1" s="1"/>
  <c r="AC47" i="1"/>
  <c r="R136" i="1"/>
  <c r="P136" i="1" s="1"/>
  <c r="S136" i="1" s="1"/>
  <c r="M136" i="1" s="1"/>
  <c r="N136" i="1" s="1"/>
  <c r="W129" i="1"/>
  <c r="AA129" i="1" s="1"/>
  <c r="AD129" i="1"/>
  <c r="AE129" i="1" s="1"/>
  <c r="AC129" i="1"/>
  <c r="W155" i="1"/>
  <c r="AA155" i="1" s="1"/>
  <c r="AD155" i="1"/>
  <c r="AC155" i="1"/>
  <c r="R174" i="1"/>
  <c r="P174" i="1" s="1"/>
  <c r="S174" i="1" s="1"/>
  <c r="M174" i="1" s="1"/>
  <c r="N174" i="1" s="1"/>
  <c r="R24" i="1"/>
  <c r="P24" i="1" s="1"/>
  <c r="S24" i="1" s="1"/>
  <c r="M24" i="1" s="1"/>
  <c r="N24" i="1" s="1"/>
  <c r="W177" i="1"/>
  <c r="AA177" i="1" s="1"/>
  <c r="AD177" i="1"/>
  <c r="AE177" i="1" s="1"/>
  <c r="AC177" i="1"/>
  <c r="R177" i="1"/>
  <c r="P177" i="1" s="1"/>
  <c r="S177" i="1" s="1"/>
  <c r="M177" i="1" s="1"/>
  <c r="N177" i="1" s="1"/>
  <c r="AE179" i="1"/>
  <c r="W206" i="1"/>
  <c r="AA206" i="1" s="1"/>
  <c r="AD206" i="1"/>
  <c r="AC206" i="1"/>
  <c r="W101" i="1"/>
  <c r="AA101" i="1" s="1"/>
  <c r="AD101" i="1"/>
  <c r="R101" i="1"/>
  <c r="P101" i="1" s="1"/>
  <c r="S101" i="1" s="1"/>
  <c r="M101" i="1" s="1"/>
  <c r="N101" i="1" s="1"/>
  <c r="AC101" i="1"/>
  <c r="AE102" i="1"/>
  <c r="W117" i="1"/>
  <c r="AA117" i="1" s="1"/>
  <c r="AD117" i="1"/>
  <c r="AC117" i="1"/>
  <c r="R197" i="1"/>
  <c r="P197" i="1" s="1"/>
  <c r="S197" i="1" s="1"/>
  <c r="M197" i="1" s="1"/>
  <c r="N197" i="1" s="1"/>
  <c r="W20" i="1"/>
  <c r="AA20" i="1" s="1"/>
  <c r="AD20" i="1"/>
  <c r="AC20" i="1"/>
  <c r="R114" i="1"/>
  <c r="P114" i="1" s="1"/>
  <c r="S114" i="1" s="1"/>
  <c r="M114" i="1" s="1"/>
  <c r="N114" i="1" s="1"/>
  <c r="W205" i="1"/>
  <c r="AA205" i="1" s="1"/>
  <c r="AC205" i="1"/>
  <c r="AD205" i="1"/>
  <c r="AE205" i="1" s="1"/>
  <c r="R205" i="1"/>
  <c r="P205" i="1" s="1"/>
  <c r="S205" i="1" s="1"/>
  <c r="M205" i="1" s="1"/>
  <c r="N205" i="1" s="1"/>
  <c r="W32" i="1"/>
  <c r="AA32" i="1" s="1"/>
  <c r="AD32" i="1"/>
  <c r="AC32" i="1"/>
  <c r="R67" i="1"/>
  <c r="P67" i="1" s="1"/>
  <c r="S67" i="1" s="1"/>
  <c r="M67" i="1" s="1"/>
  <c r="N67" i="1" s="1"/>
  <c r="R109" i="1"/>
  <c r="P109" i="1" s="1"/>
  <c r="S109" i="1" s="1"/>
  <c r="M109" i="1" s="1"/>
  <c r="N109" i="1" s="1"/>
  <c r="R172" i="1"/>
  <c r="P172" i="1" s="1"/>
  <c r="S172" i="1" s="1"/>
  <c r="M172" i="1" s="1"/>
  <c r="N172" i="1" s="1"/>
  <c r="R202" i="1"/>
  <c r="P202" i="1" s="1"/>
  <c r="S202" i="1" s="1"/>
  <c r="M202" i="1" s="1"/>
  <c r="N202" i="1" s="1"/>
  <c r="AE212" i="1"/>
  <c r="R165" i="1"/>
  <c r="P165" i="1" s="1"/>
  <c r="S165" i="1" s="1"/>
  <c r="M165" i="1" s="1"/>
  <c r="N165" i="1" s="1"/>
  <c r="R33" i="1"/>
  <c r="P33" i="1" s="1"/>
  <c r="S33" i="1" s="1"/>
  <c r="M33" i="1" s="1"/>
  <c r="N33" i="1" s="1"/>
  <c r="AD38" i="1"/>
  <c r="W38" i="1"/>
  <c r="AA38" i="1" s="1"/>
  <c r="AC38" i="1"/>
  <c r="W73" i="1"/>
  <c r="AA73" i="1" s="1"/>
  <c r="AD73" i="1"/>
  <c r="R73" i="1"/>
  <c r="P73" i="1" s="1"/>
  <c r="S73" i="1" s="1"/>
  <c r="M73" i="1" s="1"/>
  <c r="N73" i="1" s="1"/>
  <c r="AC73" i="1"/>
  <c r="W217" i="1"/>
  <c r="AA217" i="1" s="1"/>
  <c r="AC217" i="1"/>
  <c r="AD217" i="1"/>
  <c r="AE217" i="1" s="1"/>
  <c r="R217" i="1"/>
  <c r="P217" i="1" s="1"/>
  <c r="S217" i="1" s="1"/>
  <c r="M217" i="1" s="1"/>
  <c r="N217" i="1" s="1"/>
  <c r="AE56" i="1"/>
  <c r="AE150" i="1"/>
  <c r="R55" i="1"/>
  <c r="P55" i="1" s="1"/>
  <c r="S55" i="1" s="1"/>
  <c r="M55" i="1" s="1"/>
  <c r="N55" i="1" s="1"/>
  <c r="AE166" i="1"/>
  <c r="R143" i="1"/>
  <c r="P143" i="1" s="1"/>
  <c r="S143" i="1" s="1"/>
  <c r="M143" i="1" s="1"/>
  <c r="N143" i="1" s="1"/>
  <c r="AE190" i="1"/>
  <c r="AE72" i="1"/>
  <c r="R137" i="1"/>
  <c r="P137" i="1" s="1"/>
  <c r="S137" i="1" s="1"/>
  <c r="M137" i="1" s="1"/>
  <c r="N137" i="1" s="1"/>
  <c r="AD80" i="1"/>
  <c r="W80" i="1"/>
  <c r="AA80" i="1" s="1"/>
  <c r="AC80" i="1"/>
  <c r="AC69" i="1"/>
  <c r="W69" i="1"/>
  <c r="AA69" i="1" s="1"/>
  <c r="AD69" i="1"/>
  <c r="AD200" i="1"/>
  <c r="AE200" i="1" s="1"/>
  <c r="W200" i="1"/>
  <c r="AA200" i="1" s="1"/>
  <c r="R200" i="1"/>
  <c r="P200" i="1" s="1"/>
  <c r="S200" i="1" s="1"/>
  <c r="M200" i="1" s="1"/>
  <c r="N200" i="1" s="1"/>
  <c r="AC200" i="1"/>
  <c r="R128" i="1"/>
  <c r="P128" i="1" s="1"/>
  <c r="S128" i="1" s="1"/>
  <c r="M128" i="1" s="1"/>
  <c r="N128" i="1" s="1"/>
  <c r="W173" i="1"/>
  <c r="AA173" i="1" s="1"/>
  <c r="AD173" i="1"/>
  <c r="AE173" i="1" s="1"/>
  <c r="AC173" i="1"/>
  <c r="R60" i="1"/>
  <c r="P60" i="1" s="1"/>
  <c r="S60" i="1" s="1"/>
  <c r="M60" i="1" s="1"/>
  <c r="N60" i="1" s="1"/>
  <c r="AE21" i="1"/>
  <c r="AD42" i="1"/>
  <c r="W42" i="1"/>
  <c r="AA42" i="1" s="1"/>
  <c r="AC42" i="1"/>
  <c r="W28" i="1"/>
  <c r="AA28" i="1" s="1"/>
  <c r="AD28" i="1"/>
  <c r="AE28" i="1" s="1"/>
  <c r="AC28" i="1"/>
  <c r="AC53" i="1"/>
  <c r="AD53" i="1"/>
  <c r="AE53" i="1" s="1"/>
  <c r="W53" i="1"/>
  <c r="AA53" i="1" s="1"/>
  <c r="R159" i="1"/>
  <c r="P159" i="1" s="1"/>
  <c r="S159" i="1" s="1"/>
  <c r="M159" i="1" s="1"/>
  <c r="N159" i="1" s="1"/>
  <c r="AD196" i="1"/>
  <c r="AE196" i="1" s="1"/>
  <c r="W196" i="1"/>
  <c r="AA196" i="1" s="1"/>
  <c r="AC196" i="1"/>
  <c r="AD108" i="1"/>
  <c r="W108" i="1"/>
  <c r="AA108" i="1" s="1"/>
  <c r="AC108" i="1"/>
  <c r="R104" i="1"/>
  <c r="P104" i="1" s="1"/>
  <c r="S104" i="1" s="1"/>
  <c r="M104" i="1" s="1"/>
  <c r="N104" i="1" s="1"/>
  <c r="AE132" i="1"/>
  <c r="R141" i="1"/>
  <c r="P141" i="1" s="1"/>
  <c r="S141" i="1" s="1"/>
  <c r="M141" i="1" s="1"/>
  <c r="N141" i="1" s="1"/>
  <c r="R145" i="1"/>
  <c r="P145" i="1" s="1"/>
  <c r="S145" i="1" s="1"/>
  <c r="M145" i="1" s="1"/>
  <c r="N145" i="1" s="1"/>
  <c r="AE40" i="1"/>
  <c r="R19" i="1"/>
  <c r="P19" i="1" s="1"/>
  <c r="S19" i="1" s="1"/>
  <c r="M19" i="1" s="1"/>
  <c r="N19" i="1" s="1"/>
  <c r="R103" i="1"/>
  <c r="P103" i="1" s="1"/>
  <c r="S103" i="1" s="1"/>
  <c r="M103" i="1" s="1"/>
  <c r="N103" i="1" s="1"/>
  <c r="W169" i="1"/>
  <c r="AA169" i="1" s="1"/>
  <c r="AD169" i="1"/>
  <c r="AE169" i="1" s="1"/>
  <c r="AC169" i="1"/>
  <c r="R158" i="1"/>
  <c r="P158" i="1" s="1"/>
  <c r="S158" i="1" s="1"/>
  <c r="M158" i="1" s="1"/>
  <c r="N158" i="1" s="1"/>
  <c r="R168" i="1"/>
  <c r="P168" i="1" s="1"/>
  <c r="S168" i="1" s="1"/>
  <c r="M168" i="1" s="1"/>
  <c r="N168" i="1" s="1"/>
  <c r="AE42" i="1" l="1"/>
  <c r="AE80" i="1"/>
  <c r="AE117" i="1"/>
  <c r="AE206" i="1"/>
  <c r="AE199" i="1"/>
  <c r="AE148" i="1"/>
  <c r="AE35" i="1"/>
  <c r="AE59" i="1"/>
  <c r="AE66" i="1"/>
  <c r="AE120" i="1"/>
  <c r="AE104" i="1"/>
  <c r="AE103" i="1"/>
  <c r="AE225" i="1"/>
  <c r="AE198" i="1"/>
  <c r="AE155" i="1"/>
  <c r="AE204" i="1"/>
  <c r="AE93" i="1"/>
  <c r="AE213" i="1"/>
  <c r="AE214" i="1"/>
  <c r="AE209" i="1"/>
  <c r="AE128" i="1"/>
  <c r="AE85" i="1"/>
  <c r="AE108" i="1"/>
  <c r="AE69" i="1"/>
  <c r="AE38" i="1"/>
  <c r="AE121" i="1"/>
  <c r="AE49" i="1"/>
  <c r="AE138" i="1"/>
  <c r="AE17" i="1"/>
  <c r="AE62" i="1"/>
  <c r="AE46" i="1"/>
  <c r="AE37" i="1"/>
  <c r="AE39" i="1"/>
  <c r="AE135" i="1"/>
  <c r="AE43" i="1"/>
  <c r="AE51" i="1"/>
  <c r="AE32" i="1"/>
  <c r="AE20" i="1"/>
  <c r="AE24" i="1"/>
  <c r="AE218" i="1"/>
  <c r="AE91" i="1"/>
  <c r="AE210" i="1"/>
  <c r="AE118" i="1"/>
  <c r="AE144" i="1"/>
  <c r="AE157" i="1"/>
  <c r="AE27" i="1"/>
  <c r="AE178" i="1"/>
  <c r="AE223" i="1"/>
  <c r="AE127" i="1"/>
  <c r="AE203" i="1"/>
  <c r="AE54" i="1"/>
  <c r="AE101" i="1"/>
  <c r="AE61" i="1"/>
  <c r="AE105" i="1"/>
  <c r="AE164" i="1"/>
  <c r="AE79" i="1"/>
  <c r="AE172" i="1"/>
  <c r="AE224" i="1"/>
  <c r="AE74" i="1"/>
  <c r="AE125" i="1"/>
  <c r="AE143" i="1"/>
  <c r="AE75" i="1"/>
  <c r="AE192" i="1"/>
  <c r="AE97" i="1"/>
  <c r="AE211" i="1"/>
  <c r="AE113" i="1"/>
  <c r="AE73" i="1"/>
  <c r="AE145" i="1"/>
  <c r="AE81" i="1"/>
  <c r="AE112" i="1"/>
  <c r="AE222" i="1"/>
  <c r="AE156" i="1"/>
  <c r="AE126" i="1"/>
</calcChain>
</file>

<file path=xl/sharedStrings.xml><?xml version="1.0" encoding="utf-8"?>
<sst xmlns="http://schemas.openxmlformats.org/spreadsheetml/2006/main" count="3177" uniqueCount="755">
  <si>
    <t>File opened</t>
  </si>
  <si>
    <t>2023-07-24 15:52:26</t>
  </si>
  <si>
    <t>Console s/n</t>
  </si>
  <si>
    <t>68C-571076</t>
  </si>
  <si>
    <t>Console ver</t>
  </si>
  <si>
    <t>Bluestem v.2.1.08</t>
  </si>
  <si>
    <t>Scripts ver</t>
  </si>
  <si>
    <t>2022.05  2.1.08, Aug 2022</t>
  </si>
  <si>
    <t>Head s/n</t>
  </si>
  <si>
    <t>68H-581076</t>
  </si>
  <si>
    <t>Head ver</t>
  </si>
  <si>
    <t>1.4.22</t>
  </si>
  <si>
    <t>Head cal</t>
  </si>
  <si>
    <t>{"oxygen": "21", "co2azero": "0.850833", "co2aspan1": "1.00272", "co2aspan2": "-0.03976", "co2aspan2a": "0.284984", "co2aspan2b": "0.282529", "co2aspanconc1": "2473", "co2aspanconc2": "301.4", "co2bzero": "0.868439", "co2bspan1": "1.00227", "co2bspan2": "-0.0386207", "co2bspan2a": "0.284833", "co2bspan2b": "0.282347", "co2bspanconc1": "2473", "co2bspanconc2": "301.4", "h2oazero": "1.04701", "h2oaspan1": "0.996202", "h2oaspan2": "0", "h2oaspan2a": "0.066505", "h2oaspan2b": "0.0662524", "h2oaspanconc1": "11.63", "h2oaspanconc2": "0", "h2obzero": "1.06461", "h2obspan1": "0.99351", "h2obspan2": "0", "h2obspan2a": "0.0653957", "h2obspan2b": "0.0649713", "h2obspanconc1": "11.63", "h2obspanconc2": "0", "tazero": "0.121614", "tbzero": "0.233824", "flowmeterzero": "0.996312", "flowazero": "0.28101", "flowbzero": "0.31827", "chamberpressurezero": "2.60495", "ssa_ref": "37865.9", "ssb_ref": "35475.3"}</t>
  </si>
  <si>
    <t>CO2 rangematch</t>
  </si>
  <si>
    <t>Wed Mar  8 15:59</t>
  </si>
  <si>
    <t>H2O rangematch</t>
  </si>
  <si>
    <t>Wed Mar  8 16:05</t>
  </si>
  <si>
    <t>Chamber type</t>
  </si>
  <si>
    <t>6800-13</t>
  </si>
  <si>
    <t>Chamber s/n</t>
  </si>
  <si>
    <t>CHM-10960</t>
  </si>
  <si>
    <t>Chamber rev</t>
  </si>
  <si>
    <t>0</t>
  </si>
  <si>
    <t>Chamber cal</t>
  </si>
  <si>
    <t>8.12</t>
  </si>
  <si>
    <t>HeadLS type</t>
  </si>
  <si>
    <t>6800-03</t>
  </si>
  <si>
    <t>HeadLS s/n</t>
  </si>
  <si>
    <t>181040</t>
  </si>
  <si>
    <t>HeadLS f</t>
  </si>
  <si>
    <t>0.065 0.0828 0.1212 0.0686</t>
  </si>
  <si>
    <t>HeadLS u0</t>
  </si>
  <si>
    <t>278 337 932 412</t>
  </si>
  <si>
    <t>15:52:26</t>
  </si>
  <si>
    <t>Stability Definition:	ΔCO2 (Meas2): Per=20	ΔH2O (Meas2): Per=20</t>
  </si>
  <si>
    <t>SysConst</t>
  </si>
  <si>
    <t>AvgTime</t>
  </si>
  <si>
    <t>4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</si>
  <si>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</si>
  <si>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</si>
  <si>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</si>
  <si>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</si>
  <si>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</si>
  <si>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</si>
  <si>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</si>
  <si>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</si>
  <si>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</si>
  <si>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</si>
  <si>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</si>
  <si>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</si>
  <si>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</si>
  <si>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</si>
  <si>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</si>
  <si>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</si>
  <si>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</si>
  <si>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</si>
  <si>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</si>
  <si>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</si>
  <si>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</si>
  <si>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</si>
  <si>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</si>
  <si>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</si>
  <si>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</si>
  <si>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</si>
  <si>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</si>
  <si>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</si>
  <si>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</si>
  <si>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</si>
  <si>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</si>
  <si>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</si>
  <si>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</si>
  <si>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</si>
  <si>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</si>
  <si>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</si>
  <si>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</si>
  <si>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</si>
  <si>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</si>
  <si>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</si>
  <si>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</si>
  <si>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</si>
  <si>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</si>
  <si>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</si>
  <si>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</si>
  <si>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</si>
  <si>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</si>
  <si>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</si>
  <si>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9.97078 92.7854 372.141 611.155 845.403 1063.04 1243.82 1429.26</t>
  </si>
  <si>
    <t>Fs_true</t>
  </si>
  <si>
    <t>0.126893 101.801 400.957 601.151 800.133 1001.03 1199.98 1400.42</t>
  </si>
  <si>
    <t>leak_wt</t>
  </si>
  <si>
    <t>SysObs</t>
  </si>
  <si>
    <t>UserDefCon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</si>
  <si>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</si>
  <si>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</si>
  <si>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</si>
  <si>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</si>
  <si>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</si>
  <si>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</si>
  <si>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</si>
  <si>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</si>
  <si>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</si>
  <si>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</si>
  <si>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</si>
  <si>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</si>
  <si>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</si>
  <si>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</si>
  <si>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</si>
  <si>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</si>
  <si>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</si>
  <si>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</si>
  <si>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</si>
  <si>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</si>
  <si>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</si>
  <si>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</si>
  <si>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</si>
  <si>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</si>
  <si>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</si>
  <si>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</si>
  <si>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</si>
  <si>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</si>
  <si>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</si>
  <si>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</si>
  <si>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</si>
  <si>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</si>
  <si>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</si>
  <si>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</si>
  <si>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</si>
  <si>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</si>
  <si>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</si>
  <si>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</si>
  <si>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</si>
  <si>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</si>
  <si>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</si>
  <si>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</si>
  <si>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</si>
  <si>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</si>
  <si>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</si>
  <si>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</si>
  <si>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</si>
  <si>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</si>
  <si>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</si>
  <si>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</si>
  <si>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</si>
  <si>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</si>
  <si>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</si>
  <si>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</si>
  <si>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</si>
  <si>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</si>
  <si>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</si>
  <si>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</si>
  <si>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</si>
  <si>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</si>
  <si>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</si>
  <si>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</si>
  <si>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</si>
  <si>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</si>
  <si>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</si>
  <si>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</si>
  <si>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</si>
  <si>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</si>
  <si>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</si>
  <si>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</si>
  <si>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</si>
  <si>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</si>
  <si>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</si>
  <si>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</si>
  <si>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</si>
  <si>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</si>
  <si>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</si>
  <si>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</si>
  <si>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</si>
  <si>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</si>
  <si>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</si>
  <si>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</si>
  <si>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</si>
  <si>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</si>
  <si>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</si>
  <si>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</si>
  <si>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</si>
  <si>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</si>
  <si>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</si>
  <si>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</si>
  <si>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</si>
  <si>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</si>
  <si>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</si>
  <si>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</si>
  <si>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</si>
  <si>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</si>
  <si>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</si>
  <si>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</si>
  <si>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</si>
  <si>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</si>
  <si>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</si>
  <si>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</si>
  <si>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</si>
  <si>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</si>
  <si>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</si>
  <si>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</si>
  <si>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</si>
  <si>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</si>
  <si>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</si>
  <si>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</si>
  <si>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</si>
  <si>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</si>
  <si>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</si>
  <si>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</si>
  <si>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</si>
  <si>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</si>
  <si>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</si>
  <si>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</si>
  <si>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</si>
  <si>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</si>
  <si>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</si>
  <si>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</si>
  <si>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</si>
  <si>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</si>
  <si>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</si>
  <si>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</si>
  <si>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</si>
  <si>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</si>
  <si>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</si>
  <si>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</si>
  <si>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</si>
  <si>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</si>
  <si>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</si>
  <si>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</si>
  <si>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</si>
  <si>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</si>
  <si>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</si>
  <si>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</si>
  <si>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</si>
  <si>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</si>
  <si>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</si>
  <si>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</si>
  <si>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</si>
  <si>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</si>
  <si>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</si>
  <si>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</si>
  <si>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</si>
  <si>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</si>
  <si>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</si>
  <si>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</si>
  <si>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</si>
  <si>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</si>
  <si>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</si>
  <si>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</si>
  <si>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</si>
  <si>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</si>
  <si>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</si>
  <si>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</si>
  <si>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</si>
  <si>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</si>
  <si>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</si>
  <si>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</si>
  <si>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</si>
  <si>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</si>
  <si>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</si>
  <si>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</si>
  <si>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</si>
  <si>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</si>
  <si>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</si>
  <si>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</si>
  <si>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</si>
  <si>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</si>
  <si>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</si>
  <si>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</si>
  <si>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</si>
  <si>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</si>
  <si>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</si>
  <si>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</si>
  <si>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</si>
  <si>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</si>
  <si>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</si>
  <si>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</si>
  <si>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</si>
  <si>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</si>
  <si>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</si>
  <si>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</si>
  <si>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</si>
  <si>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</si>
  <si>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</si>
  <si>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</si>
  <si>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</si>
  <si>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</si>
  <si>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</si>
  <si>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</si>
  <si>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</si>
  <si>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</si>
  <si>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</si>
  <si>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</si>
  <si>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</si>
  <si>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</si>
  <si>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</si>
  <si>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</si>
  <si>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</si>
  <si>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</si>
  <si>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</si>
  <si>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</si>
  <si>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</si>
  <si>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</si>
  <si>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</si>
  <si>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</si>
  <si>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</si>
  <si>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</si>
  <si>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</si>
  <si>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</si>
  <si>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</si>
  <si>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</si>
  <si>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</si>
  <si>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</si>
  <si>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</si>
  <si>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</si>
  <si>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</si>
  <si>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</si>
  <si>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J/µmol</t>
  </si>
  <si>
    <t>cm²</t>
  </si>
  <si>
    <t>mmol mol⁻¹</t>
  </si>
  <si>
    <t>rpm</t>
  </si>
  <si>
    <t>secs</t>
  </si>
  <si>
    <t>µmol/mol</t>
  </si>
  <si>
    <t>mmol/mol</t>
  </si>
  <si>
    <t xml:space="preserve"> min⁻¹</t>
  </si>
  <si>
    <t>V</t>
  </si>
  <si>
    <t>mV</t>
  </si>
  <si>
    <t>mg</t>
  </si>
  <si>
    <t>hrs</t>
  </si>
  <si>
    <t>min</t>
  </si>
  <si>
    <t>20230724 16:01:46</t>
  </si>
  <si>
    <t>16:01:46</t>
  </si>
  <si>
    <t>none</t>
  </si>
  <si>
    <t>0: Broadleaf</t>
  </si>
  <si>
    <t>15:53:26</t>
  </si>
  <si>
    <t>0/0</t>
  </si>
  <si>
    <t>00000000</t>
  </si>
  <si>
    <t>iiiiiiii</t>
  </si>
  <si>
    <t>off</t>
  </si>
  <si>
    <t>20230724 16:01:47</t>
  </si>
  <si>
    <t>16:01:47</t>
  </si>
  <si>
    <t>20230724 16:01:48</t>
  </si>
  <si>
    <t>16:01:48</t>
  </si>
  <si>
    <t>20230724 16:01:49</t>
  </si>
  <si>
    <t>16:01:49</t>
  </si>
  <si>
    <t>20230724 16:03:44</t>
  </si>
  <si>
    <t>16:03:44</t>
  </si>
  <si>
    <t>20230724 16:03:54</t>
  </si>
  <si>
    <t>16:03:54</t>
  </si>
  <si>
    <t>20230724 16:04:04</t>
  </si>
  <si>
    <t>16:04:04</t>
  </si>
  <si>
    <t>20230724 16:04:14</t>
  </si>
  <si>
    <t>16:04:14</t>
  </si>
  <si>
    <t>20230724 16:04:24</t>
  </si>
  <si>
    <t>16:04:24</t>
  </si>
  <si>
    <t>20230724 16:04:34</t>
  </si>
  <si>
    <t>16:04:34</t>
  </si>
  <si>
    <t>20230724 16:04:44</t>
  </si>
  <si>
    <t>16:04:44</t>
  </si>
  <si>
    <t>20230724 16:04:54</t>
  </si>
  <si>
    <t>16:04:54</t>
  </si>
  <si>
    <t>20230724 16:05:04</t>
  </si>
  <si>
    <t>16:05:04</t>
  </si>
  <si>
    <t>20230724 16:05:14</t>
  </si>
  <si>
    <t>16:05:14</t>
  </si>
  <si>
    <t>20230724 16:05:24</t>
  </si>
  <si>
    <t>16:05:24</t>
  </si>
  <si>
    <t>20230724 16:05:34</t>
  </si>
  <si>
    <t>16:05:34</t>
  </si>
  <si>
    <t>20230724 16:05:44</t>
  </si>
  <si>
    <t>16:05:44</t>
  </si>
  <si>
    <t>20230724 16:05:54</t>
  </si>
  <si>
    <t>16:05:54</t>
  </si>
  <si>
    <t>20230724 16:06:04</t>
  </si>
  <si>
    <t>16:06:04</t>
  </si>
  <si>
    <t>20230724 16:06:14</t>
  </si>
  <si>
    <t>16:06:14</t>
  </si>
  <si>
    <t>20230724 16:06:24</t>
  </si>
  <si>
    <t>16:06:24</t>
  </si>
  <si>
    <t>20230724 16:06:34</t>
  </si>
  <si>
    <t>16:06:34</t>
  </si>
  <si>
    <t>20230724 16:06:44</t>
  </si>
  <si>
    <t>16:06:44</t>
  </si>
  <si>
    <t>20230724 16:06:54</t>
  </si>
  <si>
    <t>16:06:54</t>
  </si>
  <si>
    <t>20230724 16:07:04</t>
  </si>
  <si>
    <t>16:07:04</t>
  </si>
  <si>
    <t>20230724 16:07:14</t>
  </si>
  <si>
    <t>16:07:14</t>
  </si>
  <si>
    <t>20230724 16:07:24</t>
  </si>
  <si>
    <t>16:07:24</t>
  </si>
  <si>
    <t>20230724 16:07:34</t>
  </si>
  <si>
    <t>16:07:34</t>
  </si>
  <si>
    <t>20230724 16:07:44</t>
  </si>
  <si>
    <t>16:07:44</t>
  </si>
  <si>
    <t>20230724 16:07:54</t>
  </si>
  <si>
    <t>16:07:54</t>
  </si>
  <si>
    <t>20230724 16:08:04</t>
  </si>
  <si>
    <t>16:08:04</t>
  </si>
  <si>
    <t>20230724 16:08:14</t>
  </si>
  <si>
    <t>16:08:14</t>
  </si>
  <si>
    <t>20230724 16:08:24</t>
  </si>
  <si>
    <t>16:08:24</t>
  </si>
  <si>
    <t>20230724 16:08:34</t>
  </si>
  <si>
    <t>16:08:34</t>
  </si>
  <si>
    <t>20230724 16:08:44</t>
  </si>
  <si>
    <t>16:08:44</t>
  </si>
  <si>
    <t>20230724 16:08:54</t>
  </si>
  <si>
    <t>16:08:54</t>
  </si>
  <si>
    <t>20230724 16:09:04</t>
  </si>
  <si>
    <t>16:09:04</t>
  </si>
  <si>
    <t>20230724 16:09:14</t>
  </si>
  <si>
    <t>16:09:14</t>
  </si>
  <si>
    <t>20230724 16:09:24</t>
  </si>
  <si>
    <t>16:09:24</t>
  </si>
  <si>
    <t>20230724 16:09:34</t>
  </si>
  <si>
    <t>16:09:34</t>
  </si>
  <si>
    <t>20230724 16:09:44</t>
  </si>
  <si>
    <t>16:09:44</t>
  </si>
  <si>
    <t>20230724 16:09:54</t>
  </si>
  <si>
    <t>16:09:54</t>
  </si>
  <si>
    <t>20230724 16:10:04</t>
  </si>
  <si>
    <t>16:10:04</t>
  </si>
  <si>
    <t>20230724 16:10:14</t>
  </si>
  <si>
    <t>16:10:14</t>
  </si>
  <si>
    <t>20230724 16:10:24</t>
  </si>
  <si>
    <t>16:10:24</t>
  </si>
  <si>
    <t>20230724 16:10:34</t>
  </si>
  <si>
    <t>16:10:34</t>
  </si>
  <si>
    <t>20230724 16:10:44</t>
  </si>
  <si>
    <t>16:10:44</t>
  </si>
  <si>
    <t>20230724 16:10:54</t>
  </si>
  <si>
    <t>16:10:54</t>
  </si>
  <si>
    <t>20230724 16:11:04</t>
  </si>
  <si>
    <t>16:11:04</t>
  </si>
  <si>
    <t>20230724 16:11:14</t>
  </si>
  <si>
    <t>16:11:14</t>
  </si>
  <si>
    <t>20230724 16:11:24</t>
  </si>
  <si>
    <t>16:11:24</t>
  </si>
  <si>
    <t>20230724 16:11:34</t>
  </si>
  <si>
    <t>16:11:34</t>
  </si>
  <si>
    <t>20230724 16:11:44</t>
  </si>
  <si>
    <t>16:11:44</t>
  </si>
  <si>
    <t>20230724 16:11:54</t>
  </si>
  <si>
    <t>16:11:54</t>
  </si>
  <si>
    <t>20230724 16:12:04</t>
  </si>
  <si>
    <t>16:12:04</t>
  </si>
  <si>
    <t>20230724 16:12:14</t>
  </si>
  <si>
    <t>16:12:14</t>
  </si>
  <si>
    <t>20230724 16:12:24</t>
  </si>
  <si>
    <t>16:12:24</t>
  </si>
  <si>
    <t>20230724 16:12:34</t>
  </si>
  <si>
    <t>16:12:34</t>
  </si>
  <si>
    <t>20230724 16:12:44</t>
  </si>
  <si>
    <t>16:12:44</t>
  </si>
  <si>
    <t>20230724 16:12:54</t>
  </si>
  <si>
    <t>16:12:54</t>
  </si>
  <si>
    <t>20230724 16:13:04</t>
  </si>
  <si>
    <t>16:13:04</t>
  </si>
  <si>
    <t>20230724 16:13:14</t>
  </si>
  <si>
    <t>16:13:14</t>
  </si>
  <si>
    <t>20230724 16:13:24</t>
  </si>
  <si>
    <t>16:13:24</t>
  </si>
  <si>
    <t>20230724 16:13:34</t>
  </si>
  <si>
    <t>16:13:34</t>
  </si>
  <si>
    <t>20230724 16:13:44</t>
  </si>
  <si>
    <t>16:13:44</t>
  </si>
  <si>
    <t>20230724 16:13:54</t>
  </si>
  <si>
    <t>16:13:54</t>
  </si>
  <si>
    <t>20230724 16:14:04</t>
  </si>
  <si>
    <t>16:14:04</t>
  </si>
  <si>
    <t>20230724 16:14:14</t>
  </si>
  <si>
    <t>16:14:14</t>
  </si>
  <si>
    <t>20230724 16:14:24</t>
  </si>
  <si>
    <t>16:14:24</t>
  </si>
  <si>
    <t>20230724 16:14:34</t>
  </si>
  <si>
    <t>16:14:34</t>
  </si>
  <si>
    <t>20230724 16:14:44</t>
  </si>
  <si>
    <t>16:14:44</t>
  </si>
  <si>
    <t>20230724 16:14:54</t>
  </si>
  <si>
    <t>16:14:54</t>
  </si>
  <si>
    <t>20230724 16:15:04</t>
  </si>
  <si>
    <t>16:15:04</t>
  </si>
  <si>
    <t>20230724 16:15:14</t>
  </si>
  <si>
    <t>16:15:14</t>
  </si>
  <si>
    <t>20230724 16:15:24</t>
  </si>
  <si>
    <t>16:15:24</t>
  </si>
  <si>
    <t>20230724 16:15:34</t>
  </si>
  <si>
    <t>16:15:34</t>
  </si>
  <si>
    <t>20230724 16:15:44</t>
  </si>
  <si>
    <t>16:15:44</t>
  </si>
  <si>
    <t>20230724 16:15:54</t>
  </si>
  <si>
    <t>16:15:54</t>
  </si>
  <si>
    <t>20230724 16:16:04</t>
  </si>
  <si>
    <t>16:16:04</t>
  </si>
  <si>
    <t>20230724 16:16:14</t>
  </si>
  <si>
    <t>16:16:14</t>
  </si>
  <si>
    <t>20230724 16:16:24</t>
  </si>
  <si>
    <t>16:16:24</t>
  </si>
  <si>
    <t>20230724 16:16:34</t>
  </si>
  <si>
    <t>16:16:34</t>
  </si>
  <si>
    <t>20230724 16:16:44</t>
  </si>
  <si>
    <t>16:16:44</t>
  </si>
  <si>
    <t>20230724 16:16:54</t>
  </si>
  <si>
    <t>16:16:54</t>
  </si>
  <si>
    <t>20230724 16:17:04</t>
  </si>
  <si>
    <t>16:17:04</t>
  </si>
  <si>
    <t>20230724 16:17:14</t>
  </si>
  <si>
    <t>16:17:14</t>
  </si>
  <si>
    <t>20230724 16:17:24</t>
  </si>
  <si>
    <t>16:17:24</t>
  </si>
  <si>
    <t>20230724 16:17:34</t>
  </si>
  <si>
    <t>16:17:34</t>
  </si>
  <si>
    <t>20230724 16:17:44</t>
  </si>
  <si>
    <t>16:17:44</t>
  </si>
  <si>
    <t>20230724 16:17:54</t>
  </si>
  <si>
    <t>16:17:54</t>
  </si>
  <si>
    <t>20230724 16:18:04</t>
  </si>
  <si>
    <t>16:18:04</t>
  </si>
  <si>
    <t>20230724 16:18:14</t>
  </si>
  <si>
    <t>16:18:14</t>
  </si>
  <si>
    <t>20230724 16:18:24</t>
  </si>
  <si>
    <t>16:18:24</t>
  </si>
  <si>
    <t>20230724 16:18:34</t>
  </si>
  <si>
    <t>16:18:34</t>
  </si>
  <si>
    <t>20230724 16:18:44</t>
  </si>
  <si>
    <t>16:18:44</t>
  </si>
  <si>
    <t>20230724 16:18:54</t>
  </si>
  <si>
    <t>16:18:54</t>
  </si>
  <si>
    <t>20230724 16:19:04</t>
  </si>
  <si>
    <t>16:19:04</t>
  </si>
  <si>
    <t>20230724 16:19:14</t>
  </si>
  <si>
    <t>16:19:14</t>
  </si>
  <si>
    <t>20230724 16:19:24</t>
  </si>
  <si>
    <t>16:19:24</t>
  </si>
  <si>
    <t>20230724 16:19:34</t>
  </si>
  <si>
    <t>16:19:34</t>
  </si>
  <si>
    <t>20230724 16:19:44</t>
  </si>
  <si>
    <t>16:19:44</t>
  </si>
  <si>
    <t>20230724 16:19:54</t>
  </si>
  <si>
    <t>16:19:54</t>
  </si>
  <si>
    <t>20230724 16:20:04</t>
  </si>
  <si>
    <t>16:20:04</t>
  </si>
  <si>
    <t>20230724 16:20:14</t>
  </si>
  <si>
    <t>16:20:14</t>
  </si>
  <si>
    <t>20230724 16:20:24</t>
  </si>
  <si>
    <t>16:20:24</t>
  </si>
  <si>
    <t>20230724 16:20:34</t>
  </si>
  <si>
    <t>16:20:34</t>
  </si>
  <si>
    <t>20230724 16:20:44</t>
  </si>
  <si>
    <t>16:20:44</t>
  </si>
  <si>
    <t>20230724 16:20:54</t>
  </si>
  <si>
    <t>16:20:54</t>
  </si>
  <si>
    <t>20230724 16:21:04</t>
  </si>
  <si>
    <t>16:21:04</t>
  </si>
  <si>
    <t>20230724 16:21:14</t>
  </si>
  <si>
    <t>16:21:14</t>
  </si>
  <si>
    <t>20230724 16:21:24</t>
  </si>
  <si>
    <t>16:21:24</t>
  </si>
  <si>
    <t>20230724 16:21:34</t>
  </si>
  <si>
    <t>16:21:34</t>
  </si>
  <si>
    <t>20230724 16:21:44</t>
  </si>
  <si>
    <t>16:21:44</t>
  </si>
  <si>
    <t>20230724 16:21:54</t>
  </si>
  <si>
    <t>16:21:54</t>
  </si>
  <si>
    <t>20230724 16:22:04</t>
  </si>
  <si>
    <t>16:22:04</t>
  </si>
  <si>
    <t>20230724 16:22:14</t>
  </si>
  <si>
    <t>16:22:14</t>
  </si>
  <si>
    <t>20230724 16:22:24</t>
  </si>
  <si>
    <t>16:22:24</t>
  </si>
  <si>
    <t>20230724 16:22:34</t>
  </si>
  <si>
    <t>16:22:34</t>
  </si>
  <si>
    <t>20230724 16:22:44</t>
  </si>
  <si>
    <t>16:22:44</t>
  </si>
  <si>
    <t>20230724 16:22:54</t>
  </si>
  <si>
    <t>16:22:54</t>
  </si>
  <si>
    <t>20230724 16:23:04</t>
  </si>
  <si>
    <t>16:23:04</t>
  </si>
  <si>
    <t>20230724 16:23:14</t>
  </si>
  <si>
    <t>16:23:14</t>
  </si>
  <si>
    <t>20230724 16:23:24</t>
  </si>
  <si>
    <t>16:23:24</t>
  </si>
  <si>
    <t>20230724 16:23:34</t>
  </si>
  <si>
    <t>16:23:34</t>
  </si>
  <si>
    <t>20230724 16:23:44</t>
  </si>
  <si>
    <t>16:23:44</t>
  </si>
  <si>
    <t>20230724 16:23:54</t>
  </si>
  <si>
    <t>16:23:54</t>
  </si>
  <si>
    <t>20230724 16:24:04</t>
  </si>
  <si>
    <t>16:24:04</t>
  </si>
  <si>
    <t>20230724 16:24:14</t>
  </si>
  <si>
    <t>16:24:14</t>
  </si>
  <si>
    <t>20230724 16:24:24</t>
  </si>
  <si>
    <t>16:24:24</t>
  </si>
  <si>
    <t>20230724 16:24:34</t>
  </si>
  <si>
    <t>16:24:34</t>
  </si>
  <si>
    <t>20230724 16:24:44</t>
  </si>
  <si>
    <t>16:24:44</t>
  </si>
  <si>
    <t>20230724 16:24:54</t>
  </si>
  <si>
    <t>16:24:54</t>
  </si>
  <si>
    <t>20230724 16:25:04</t>
  </si>
  <si>
    <t>16:25:04</t>
  </si>
  <si>
    <t>20230724 16:25:14</t>
  </si>
  <si>
    <t>16:25:14</t>
  </si>
  <si>
    <t>20230724 16:25:24</t>
  </si>
  <si>
    <t>16:25:24</t>
  </si>
  <si>
    <t>20230724 16:25:34</t>
  </si>
  <si>
    <t>16:25:34</t>
  </si>
  <si>
    <t>20230724 16:25:44</t>
  </si>
  <si>
    <t>16:25:44</t>
  </si>
  <si>
    <t>20230724 16:25:55</t>
  </si>
  <si>
    <t>16:25:55</t>
  </si>
  <si>
    <t>20230724 16:26:05</t>
  </si>
  <si>
    <t>16:26:05</t>
  </si>
  <si>
    <t>20230724 16:26:15</t>
  </si>
  <si>
    <t>16:26:15</t>
  </si>
  <si>
    <t>20230724 16:26:25</t>
  </si>
  <si>
    <t>16:26:25</t>
  </si>
  <si>
    <t>20230724 16:26:35</t>
  </si>
  <si>
    <t>16:26:35</t>
  </si>
  <si>
    <t>20230724 16:26:45</t>
  </si>
  <si>
    <t>16:26:45</t>
  </si>
  <si>
    <t>20230724 16:26:55</t>
  </si>
  <si>
    <t>16:26:55</t>
  </si>
  <si>
    <t>20230724 16:27:05</t>
  </si>
  <si>
    <t>16:27:05</t>
  </si>
  <si>
    <t>20230724 16:27:15</t>
  </si>
  <si>
    <t>16:27:15</t>
  </si>
  <si>
    <t>20230724 16:27:25</t>
  </si>
  <si>
    <t>16:27:25</t>
  </si>
  <si>
    <t>20230724 16:27:35</t>
  </si>
  <si>
    <t>16:27:35</t>
  </si>
  <si>
    <t>20230724 16:27:45</t>
  </si>
  <si>
    <t>16:27:45</t>
  </si>
  <si>
    <t>20230724 16:27:55</t>
  </si>
  <si>
    <t>16:27:55</t>
  </si>
  <si>
    <t>20230724 16:28:05</t>
  </si>
  <si>
    <t>16:28:05</t>
  </si>
  <si>
    <t>20230724 16:28:15</t>
  </si>
  <si>
    <t>16:28:15</t>
  </si>
  <si>
    <t>20230724 16:28:25</t>
  </si>
  <si>
    <t>16:28:25</t>
  </si>
  <si>
    <t>20230724 16:28:35</t>
  </si>
  <si>
    <t>16:28:35</t>
  </si>
  <si>
    <t>20230724 16:28:45</t>
  </si>
  <si>
    <t>16:28:45</t>
  </si>
  <si>
    <t>20230724 16:28:55</t>
  </si>
  <si>
    <t>16:28:55</t>
  </si>
  <si>
    <t>20230724 16:29:05</t>
  </si>
  <si>
    <t>16:29:05</t>
  </si>
  <si>
    <t>20230724 16:29:15</t>
  </si>
  <si>
    <t>16:29:15</t>
  </si>
  <si>
    <t>20230724 16:29:25</t>
  </si>
  <si>
    <t>16:29:25</t>
  </si>
  <si>
    <t>20230724 16:29:35</t>
  </si>
  <si>
    <t>16:29:35</t>
  </si>
  <si>
    <t>20230724 16:29:45</t>
  </si>
  <si>
    <t>16:29:45</t>
  </si>
  <si>
    <t>20230724 16:29:55</t>
  </si>
  <si>
    <t>16:29:55</t>
  </si>
  <si>
    <t>20230724 16:30:05</t>
  </si>
  <si>
    <t>16:30:05</t>
  </si>
  <si>
    <t>20230724 16:30:15</t>
  </si>
  <si>
    <t>16:30:15</t>
  </si>
  <si>
    <t>20230724 16:30:25</t>
  </si>
  <si>
    <t>16:30:25</t>
  </si>
  <si>
    <t>20230724 16:30:35</t>
  </si>
  <si>
    <t>16:30:35</t>
  </si>
  <si>
    <t>20230724 16:30:45</t>
  </si>
  <si>
    <t>16:30:45</t>
  </si>
  <si>
    <t>20230724 16:30:55</t>
  </si>
  <si>
    <t>16:30:55</t>
  </si>
  <si>
    <t>20230724 16:31:05</t>
  </si>
  <si>
    <t>16:31:05</t>
  </si>
  <si>
    <t>20230724 16:31:15</t>
  </si>
  <si>
    <t>16:31:15</t>
  </si>
  <si>
    <t>20230724 16:31:25</t>
  </si>
  <si>
    <t>16:31:25</t>
  </si>
  <si>
    <t>20230724 16:31:35</t>
  </si>
  <si>
    <t>16:31:35</t>
  </si>
  <si>
    <t>20230724 16:31:45</t>
  </si>
  <si>
    <t>16:31:45</t>
  </si>
  <si>
    <t>20230724 16:31:55</t>
  </si>
  <si>
    <t>16:31:55</t>
  </si>
  <si>
    <t>20230724 16:32:05</t>
  </si>
  <si>
    <t>16:32:05</t>
  </si>
  <si>
    <t>20230724 16:32:15</t>
  </si>
  <si>
    <t>16:32:15</t>
  </si>
  <si>
    <t>20230724 16:32:25</t>
  </si>
  <si>
    <t>16:32:25</t>
  </si>
  <si>
    <t>20230724 16:32:35</t>
  </si>
  <si>
    <t>16:32:35</t>
  </si>
  <si>
    <t>20230724 16:32:45</t>
  </si>
  <si>
    <t>16:32:45</t>
  </si>
  <si>
    <t>20230724 16:32:55</t>
  </si>
  <si>
    <t>16:32:55</t>
  </si>
  <si>
    <t>20230724 16:33:05</t>
  </si>
  <si>
    <t>16:33:05</t>
  </si>
  <si>
    <t>20230724 16:33:15</t>
  </si>
  <si>
    <t>16:33:15</t>
  </si>
  <si>
    <t>20230724 16:33:25</t>
  </si>
  <si>
    <t>16:33:25</t>
  </si>
  <si>
    <t>20230724 16:33:35</t>
  </si>
  <si>
    <t>16:33:35</t>
  </si>
  <si>
    <t>20230724 16:33:45</t>
  </si>
  <si>
    <t>16:33:45</t>
  </si>
  <si>
    <t>20230724 16:33:55</t>
  </si>
  <si>
    <t>16:33:55</t>
  </si>
  <si>
    <t>20230724 16:34:05</t>
  </si>
  <si>
    <t>16:34:05</t>
  </si>
  <si>
    <t>20230724 16:34:15</t>
  </si>
  <si>
    <t>16:34:15</t>
  </si>
  <si>
    <t>20230724 16:34:25</t>
  </si>
  <si>
    <t>16:34:25</t>
  </si>
  <si>
    <t>20230724 16:34:35</t>
  </si>
  <si>
    <t>16:34:35</t>
  </si>
  <si>
    <t>20230724 16:34:45</t>
  </si>
  <si>
    <t>16:34:45</t>
  </si>
  <si>
    <t>20230724 16:34:55</t>
  </si>
  <si>
    <t>16:34:55</t>
  </si>
  <si>
    <t>20230724 16:35:05</t>
  </si>
  <si>
    <t>16:35:05</t>
  </si>
  <si>
    <t>20230724 16:35:15</t>
  </si>
  <si>
    <t>16:35:15</t>
  </si>
  <si>
    <t>20230724 16:35:25</t>
  </si>
  <si>
    <t>16:35:25</t>
  </si>
  <si>
    <t>20230724 16:35:35</t>
  </si>
  <si>
    <t>16:35:35</t>
  </si>
  <si>
    <t>20230724 16:35:45</t>
  </si>
  <si>
    <t>16:35:45</t>
  </si>
  <si>
    <t>20230724 16:35:55</t>
  </si>
  <si>
    <t>16:35:55</t>
  </si>
  <si>
    <t>20230724 16:36:05</t>
  </si>
  <si>
    <t>16:36:05</t>
  </si>
  <si>
    <t>20230724 16:36:15</t>
  </si>
  <si>
    <t>16:36:15</t>
  </si>
  <si>
    <t>20230724 16:36:25</t>
  </si>
  <si>
    <t>16:36:25</t>
  </si>
  <si>
    <t>20230724 16:36:35</t>
  </si>
  <si>
    <t>16:36:35</t>
  </si>
  <si>
    <t>20230724 16:36:45</t>
  </si>
  <si>
    <t>16:36:45</t>
  </si>
  <si>
    <t>20230724 16:36:55</t>
  </si>
  <si>
    <t>16:36:55</t>
  </si>
  <si>
    <t>20230724 16:37:05</t>
  </si>
  <si>
    <t>16:37:05</t>
  </si>
  <si>
    <t>20230724 16:37:15</t>
  </si>
  <si>
    <t>16:37:15</t>
  </si>
  <si>
    <t>20230724 16:37:25</t>
  </si>
  <si>
    <t>16:37:25</t>
  </si>
  <si>
    <t>20230724 16:37:35</t>
  </si>
  <si>
    <t>16:37:35</t>
  </si>
  <si>
    <t>20230724 16:37:45</t>
  </si>
  <si>
    <t>16:37:45</t>
  </si>
  <si>
    <t>20230724 16:37:55</t>
  </si>
  <si>
    <t>16:37:55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</si>
</sst>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S227"/>
  <sheetViews>
    <sheetView tabSelected="1" workbookViewId="0"/>
  </sheetViews>
  <sheetFormatPr defaultRowHeight="15" x14ac:dyDescent="0.25"/>
  <sheetData>
    <row r="2" spans="1:201" x14ac:dyDescent="0.25">
      <c r="A2" t="s">
        <v>36</v>
      </c>
      <c r="B2" t="s">
        <v>37</v>
      </c>
      <c r="C2" t="s">
        <v>39</v>
      </c>
    </row>
    <row r="3" spans="1:201" x14ac:dyDescent="0.25">
      <c r="B3" t="s">
        <v>38</v>
      </c>
      <c r="C3">
        <v>21</v>
      </c>
    </row>
    <row r="4" spans="1:201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</row>
    <row r="5" spans="1:201" x14ac:dyDescent="0.25">
      <c r="B5" t="s">
        <v>19</v>
      </c>
      <c r="D5">
        <v>0.43</v>
      </c>
      <c r="E5">
        <v>0.26782699999999998</v>
      </c>
      <c r="F5">
        <v>-1.164018E-4</v>
      </c>
      <c r="G5">
        <v>2.2482019999999999E-3</v>
      </c>
      <c r="H5">
        <v>-5.1094620000000004E-3</v>
      </c>
      <c r="I5">
        <v>6</v>
      </c>
      <c r="J5">
        <v>36</v>
      </c>
      <c r="K5">
        <v>96.8</v>
      </c>
    </row>
    <row r="6" spans="1:201" x14ac:dyDescent="0.25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201" x14ac:dyDescent="0.25">
      <c r="B7">
        <v>0</v>
      </c>
      <c r="C7">
        <v>0</v>
      </c>
      <c r="D7">
        <v>0</v>
      </c>
      <c r="E7">
        <v>1</v>
      </c>
    </row>
    <row r="8" spans="1:201" x14ac:dyDescent="0.25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72</v>
      </c>
      <c r="P8" t="s">
        <v>73</v>
      </c>
      <c r="Q8" t="s">
        <v>74</v>
      </c>
    </row>
    <row r="9" spans="1:201" x14ac:dyDescent="0.25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01" x14ac:dyDescent="0.25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201" x14ac:dyDescent="0.25">
      <c r="B11">
        <v>0</v>
      </c>
      <c r="C11">
        <v>0</v>
      </c>
      <c r="D11">
        <v>1</v>
      </c>
      <c r="E11">
        <v>0</v>
      </c>
      <c r="F11">
        <v>0</v>
      </c>
    </row>
    <row r="12" spans="1:201" x14ac:dyDescent="0.25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201" x14ac:dyDescent="0.25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201" x14ac:dyDescent="0.25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93</v>
      </c>
      <c r="I14" t="s">
        <v>93</v>
      </c>
      <c r="J14" t="s">
        <v>93</v>
      </c>
      <c r="K14" t="s">
        <v>93</v>
      </c>
      <c r="L14" t="s">
        <v>93</v>
      </c>
      <c r="M14" t="s">
        <v>93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93</v>
      </c>
      <c r="Z14" t="s">
        <v>93</v>
      </c>
      <c r="AA14" t="s">
        <v>93</v>
      </c>
      <c r="AB14" t="s">
        <v>93</v>
      </c>
      <c r="AC14" t="s">
        <v>93</v>
      </c>
      <c r="AD14" t="s">
        <v>93</v>
      </c>
      <c r="AE14" t="s">
        <v>93</v>
      </c>
      <c r="AF14" t="s">
        <v>94</v>
      </c>
      <c r="AG14" t="s">
        <v>94</v>
      </c>
      <c r="AH14" t="s">
        <v>94</v>
      </c>
      <c r="AI14" t="s">
        <v>94</v>
      </c>
      <c r="AJ14" t="s">
        <v>94</v>
      </c>
      <c r="AK14" t="s">
        <v>95</v>
      </c>
      <c r="AL14" t="s">
        <v>95</v>
      </c>
      <c r="AM14" t="s">
        <v>95</v>
      </c>
      <c r="AN14" t="s">
        <v>95</v>
      </c>
      <c r="AO14" t="s">
        <v>96</v>
      </c>
      <c r="AP14" t="s">
        <v>96</v>
      </c>
      <c r="AQ14" t="s">
        <v>96</v>
      </c>
      <c r="AR14" t="s">
        <v>96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97</v>
      </c>
      <c r="BB14" t="s">
        <v>97</v>
      </c>
      <c r="BC14" t="s">
        <v>97</v>
      </c>
      <c r="BD14" t="s">
        <v>97</v>
      </c>
      <c r="BE14" t="s">
        <v>97</v>
      </c>
      <c r="BF14" t="s">
        <v>97</v>
      </c>
      <c r="BG14" t="s">
        <v>97</v>
      </c>
      <c r="BH14" t="s">
        <v>97</v>
      </c>
      <c r="BI14" t="s">
        <v>97</v>
      </c>
      <c r="BJ14" t="s">
        <v>97</v>
      </c>
      <c r="BK14" t="s">
        <v>98</v>
      </c>
      <c r="BL14" t="s">
        <v>98</v>
      </c>
      <c r="BM14" t="s">
        <v>98</v>
      </c>
      <c r="BN14" t="s">
        <v>98</v>
      </c>
      <c r="BO14" t="s">
        <v>98</v>
      </c>
      <c r="BP14" t="s">
        <v>98</v>
      </c>
      <c r="BQ14" t="s">
        <v>98</v>
      </c>
      <c r="BR14" t="s">
        <v>98</v>
      </c>
      <c r="BS14" t="s">
        <v>98</v>
      </c>
      <c r="BT14" t="s">
        <v>98</v>
      </c>
      <c r="BU14" t="s">
        <v>99</v>
      </c>
      <c r="BV14" t="s">
        <v>99</v>
      </c>
      <c r="BW14" t="s">
        <v>99</v>
      </c>
      <c r="BX14" t="s">
        <v>99</v>
      </c>
      <c r="BY14" t="s">
        <v>99</v>
      </c>
      <c r="BZ14" t="s">
        <v>99</v>
      </c>
      <c r="CA14" t="s">
        <v>99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100</v>
      </c>
      <c r="CK14" t="s">
        <v>100</v>
      </c>
      <c r="CL14" t="s">
        <v>100</v>
      </c>
      <c r="CM14" t="s">
        <v>100</v>
      </c>
      <c r="CN14" t="s">
        <v>100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102</v>
      </c>
      <c r="DA14" t="s">
        <v>102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103</v>
      </c>
      <c r="DS14" t="s">
        <v>103</v>
      </c>
      <c r="DT14" t="s">
        <v>103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104</v>
      </c>
      <c r="EL14" t="s">
        <v>104</v>
      </c>
      <c r="EM14" t="s">
        <v>104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105</v>
      </c>
      <c r="FE14" t="s">
        <v>105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105</v>
      </c>
      <c r="FO14" t="s">
        <v>105</v>
      </c>
      <c r="FP14" t="s">
        <v>105</v>
      </c>
      <c r="FQ14" t="s">
        <v>105</v>
      </c>
      <c r="FR14" t="s">
        <v>105</v>
      </c>
      <c r="FS14" t="s">
        <v>105</v>
      </c>
      <c r="FT14" t="s">
        <v>105</v>
      </c>
      <c r="FU14" t="s">
        <v>105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  <c r="GD14" t="s">
        <v>107</v>
      </c>
      <c r="GE14" t="s">
        <v>107</v>
      </c>
      <c r="GF14" t="s">
        <v>107</v>
      </c>
      <c r="GG14" t="s">
        <v>107</v>
      </c>
      <c r="GH14" t="s">
        <v>107</v>
      </c>
      <c r="GI14" t="s">
        <v>107</v>
      </c>
      <c r="GJ14" t="s">
        <v>107</v>
      </c>
      <c r="GK14" t="s">
        <v>107</v>
      </c>
      <c r="GL14" t="s">
        <v>107</v>
      </c>
      <c r="GM14" t="s">
        <v>107</v>
      </c>
      <c r="GN14" t="s">
        <v>107</v>
      </c>
      <c r="GO14" t="s">
        <v>107</v>
      </c>
      <c r="GP14" t="s">
        <v>107</v>
      </c>
      <c r="GQ14" t="s">
        <v>107</v>
      </c>
      <c r="GR14" t="s">
        <v>107</v>
      </c>
      <c r="GS14" t="s">
        <v>107</v>
      </c>
    </row>
    <row r="15" spans="1:201" x14ac:dyDescent="0.25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94</v>
      </c>
      <c r="AG15" t="s">
        <v>139</v>
      </c>
      <c r="AH15" t="s">
        <v>140</v>
      </c>
      <c r="AI15" t="s">
        <v>141</v>
      </c>
      <c r="AJ15" t="s">
        <v>142</v>
      </c>
      <c r="AK15" t="s">
        <v>143</v>
      </c>
      <c r="AL15" t="s">
        <v>144</v>
      </c>
      <c r="AM15" t="s">
        <v>145</v>
      </c>
      <c r="AN15" t="s">
        <v>146</v>
      </c>
      <c r="AO15" t="s">
        <v>147</v>
      </c>
      <c r="AP15" t="s">
        <v>148</v>
      </c>
      <c r="AQ15" t="s">
        <v>149</v>
      </c>
      <c r="AR15" t="s">
        <v>150</v>
      </c>
      <c r="AS15" t="s">
        <v>115</v>
      </c>
      <c r="AT15" t="s">
        <v>151</v>
      </c>
      <c r="AU15" t="s">
        <v>152</v>
      </c>
      <c r="AV15" t="s">
        <v>153</v>
      </c>
      <c r="AW15" t="s">
        <v>154</v>
      </c>
      <c r="AX15" t="s">
        <v>155</v>
      </c>
      <c r="AY15" t="s">
        <v>156</v>
      </c>
      <c r="AZ15" t="s">
        <v>157</v>
      </c>
      <c r="BA15" t="s">
        <v>158</v>
      </c>
      <c r="BB15" t="s">
        <v>159</v>
      </c>
      <c r="BC15" t="s">
        <v>160</v>
      </c>
      <c r="BD15" t="s">
        <v>161</v>
      </c>
      <c r="BE15" t="s">
        <v>162</v>
      </c>
      <c r="BF15" t="s">
        <v>163</v>
      </c>
      <c r="BG15" t="s">
        <v>164</v>
      </c>
      <c r="BH15" t="s">
        <v>165</v>
      </c>
      <c r="BI15" t="s">
        <v>166</v>
      </c>
      <c r="BJ15" t="s">
        <v>167</v>
      </c>
      <c r="BK15" t="s">
        <v>168</v>
      </c>
      <c r="BL15" t="s">
        <v>169</v>
      </c>
      <c r="BM15" t="s">
        <v>170</v>
      </c>
      <c r="BN15" t="s">
        <v>171</v>
      </c>
      <c r="BO15" t="s">
        <v>172</v>
      </c>
      <c r="BP15" t="s">
        <v>173</v>
      </c>
      <c r="BQ15" t="s">
        <v>174</v>
      </c>
      <c r="BR15" t="s">
        <v>175</v>
      </c>
      <c r="BS15" t="s">
        <v>176</v>
      </c>
      <c r="BT15" t="s">
        <v>177</v>
      </c>
      <c r="BU15" t="s">
        <v>178</v>
      </c>
      <c r="BV15" t="s">
        <v>179</v>
      </c>
      <c r="BW15" t="s">
        <v>180</v>
      </c>
      <c r="BX15" t="s">
        <v>181</v>
      </c>
      <c r="BY15" t="s">
        <v>182</v>
      </c>
      <c r="BZ15" t="s">
        <v>183</v>
      </c>
      <c r="CA15" t="s">
        <v>184</v>
      </c>
      <c r="CB15" t="s">
        <v>109</v>
      </c>
      <c r="CC15" t="s">
        <v>112</v>
      </c>
      <c r="CD15" t="s">
        <v>185</v>
      </c>
      <c r="CE15" t="s">
        <v>186</v>
      </c>
      <c r="CF15" t="s">
        <v>187</v>
      </c>
      <c r="CG15" t="s">
        <v>188</v>
      </c>
      <c r="CH15" t="s">
        <v>189</v>
      </c>
      <c r="CI15" t="s">
        <v>190</v>
      </c>
      <c r="CJ15" t="s">
        <v>191</v>
      </c>
      <c r="CK15" t="s">
        <v>192</v>
      </c>
      <c r="CL15" t="s">
        <v>193</v>
      </c>
      <c r="CM15" t="s">
        <v>194</v>
      </c>
      <c r="CN15" t="s">
        <v>195</v>
      </c>
      <c r="CO15" t="s">
        <v>196</v>
      </c>
      <c r="CP15" t="s">
        <v>197</v>
      </c>
      <c r="CQ15" t="s">
        <v>198</v>
      </c>
      <c r="CR15" t="s">
        <v>199</v>
      </c>
      <c r="CS15" t="s">
        <v>200</v>
      </c>
      <c r="CT15" t="s">
        <v>201</v>
      </c>
      <c r="CU15" t="s">
        <v>202</v>
      </c>
      <c r="CV15" t="s">
        <v>203</v>
      </c>
      <c r="CW15" t="s">
        <v>204</v>
      </c>
      <c r="CX15" t="s">
        <v>205</v>
      </c>
      <c r="CY15" t="s">
        <v>206</v>
      </c>
      <c r="CZ15" t="s">
        <v>207</v>
      </c>
      <c r="DA15" t="s">
        <v>208</v>
      </c>
      <c r="DB15" t="s">
        <v>209</v>
      </c>
      <c r="DC15" t="s">
        <v>210</v>
      </c>
      <c r="DD15" t="s">
        <v>211</v>
      </c>
      <c r="DE15" t="s">
        <v>212</v>
      </c>
      <c r="DF15" t="s">
        <v>213</v>
      </c>
      <c r="DG15" t="s">
        <v>214</v>
      </c>
      <c r="DH15" t="s">
        <v>215</v>
      </c>
      <c r="DI15" t="s">
        <v>216</v>
      </c>
      <c r="DJ15" t="s">
        <v>217</v>
      </c>
      <c r="DK15" t="s">
        <v>218</v>
      </c>
      <c r="DL15" t="s">
        <v>219</v>
      </c>
      <c r="DM15" t="s">
        <v>220</v>
      </c>
      <c r="DN15" t="s">
        <v>221</v>
      </c>
      <c r="DO15" t="s">
        <v>222</v>
      </c>
      <c r="DP15" t="s">
        <v>223</v>
      </c>
      <c r="DQ15" t="s">
        <v>224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275</v>
      </c>
      <c r="FQ15" t="s">
        <v>276</v>
      </c>
      <c r="FR15" t="s">
        <v>277</v>
      </c>
      <c r="FS15" t="s">
        <v>278</v>
      </c>
      <c r="FT15" t="s">
        <v>279</v>
      </c>
      <c r="FU15" t="s">
        <v>280</v>
      </c>
      <c r="FV15" t="s">
        <v>281</v>
      </c>
      <c r="FW15" t="s">
        <v>282</v>
      </c>
      <c r="FX15" t="s">
        <v>283</v>
      </c>
      <c r="FY15" t="s">
        <v>284</v>
      </c>
      <c r="FZ15" t="s">
        <v>285</v>
      </c>
      <c r="GA15" t="s">
        <v>286</v>
      </c>
      <c r="GB15" t="s">
        <v>287</v>
      </c>
      <c r="GC15" t="s">
        <v>288</v>
      </c>
      <c r="GD15" t="s">
        <v>289</v>
      </c>
      <c r="GE15" t="s">
        <v>290</v>
      </c>
      <c r="GF15" t="s">
        <v>291</v>
      </c>
      <c r="GG15" t="s">
        <v>292</v>
      </c>
      <c r="GH15" t="s">
        <v>293</v>
      </c>
      <c r="GI15" t="s">
        <v>294</v>
      </c>
      <c r="GJ15" t="s">
        <v>295</v>
      </c>
      <c r="GK15" t="s">
        <v>296</v>
      </c>
      <c r="GL15" t="s">
        <v>297</v>
      </c>
      <c r="GM15" t="s">
        <v>298</v>
      </c>
      <c r="GN15" t="s">
        <v>299</v>
      </c>
      <c r="GO15" t="s">
        <v>300</v>
      </c>
      <c r="GP15" t="s">
        <v>301</v>
      </c>
      <c r="GQ15" t="s">
        <v>302</v>
      </c>
      <c r="GR15" t="s">
        <v>303</v>
      </c>
      <c r="GS15" t="s">
        <v>304</v>
      </c>
    </row>
    <row r="16" spans="1:201" x14ac:dyDescent="0.25">
      <c r="B16" t="s">
        <v>305</v>
      </c>
      <c r="C16" t="s">
        <v>305</v>
      </c>
      <c r="F16" t="s">
        <v>305</v>
      </c>
      <c r="H16" t="s">
        <v>305</v>
      </c>
      <c r="I16" t="s">
        <v>306</v>
      </c>
      <c r="J16" t="s">
        <v>307</v>
      </c>
      <c r="K16" t="s">
        <v>308</v>
      </c>
      <c r="L16" t="s">
        <v>309</v>
      </c>
      <c r="M16" t="s">
        <v>309</v>
      </c>
      <c r="N16" t="s">
        <v>158</v>
      </c>
      <c r="O16" t="s">
        <v>158</v>
      </c>
      <c r="P16" t="s">
        <v>306</v>
      </c>
      <c r="Q16" t="s">
        <v>306</v>
      </c>
      <c r="R16" t="s">
        <v>306</v>
      </c>
      <c r="S16" t="s">
        <v>306</v>
      </c>
      <c r="T16" t="s">
        <v>310</v>
      </c>
      <c r="U16" t="s">
        <v>311</v>
      </c>
      <c r="V16" t="s">
        <v>311</v>
      </c>
      <c r="W16" t="s">
        <v>312</v>
      </c>
      <c r="X16" t="s">
        <v>313</v>
      </c>
      <c r="Y16" t="s">
        <v>312</v>
      </c>
      <c r="Z16" t="s">
        <v>312</v>
      </c>
      <c r="AA16" t="s">
        <v>312</v>
      </c>
      <c r="AB16" t="s">
        <v>310</v>
      </c>
      <c r="AC16" t="s">
        <v>310</v>
      </c>
      <c r="AD16" t="s">
        <v>310</v>
      </c>
      <c r="AE16" t="s">
        <v>310</v>
      </c>
      <c r="AF16" t="s">
        <v>314</v>
      </c>
      <c r="AG16" t="s">
        <v>313</v>
      </c>
      <c r="AI16" t="s">
        <v>313</v>
      </c>
      <c r="AJ16" t="s">
        <v>314</v>
      </c>
      <c r="AK16" t="s">
        <v>308</v>
      </c>
      <c r="AL16" t="s">
        <v>308</v>
      </c>
      <c r="AN16" t="s">
        <v>315</v>
      </c>
      <c r="AO16" t="s">
        <v>316</v>
      </c>
      <c r="AR16" t="s">
        <v>306</v>
      </c>
      <c r="AS16" t="s">
        <v>305</v>
      </c>
      <c r="AT16" t="s">
        <v>309</v>
      </c>
      <c r="AU16" t="s">
        <v>309</v>
      </c>
      <c r="AV16" t="s">
        <v>317</v>
      </c>
      <c r="AW16" t="s">
        <v>317</v>
      </c>
      <c r="AX16" t="s">
        <v>309</v>
      </c>
      <c r="AY16" t="s">
        <v>317</v>
      </c>
      <c r="AZ16" t="s">
        <v>314</v>
      </c>
      <c r="BA16" t="s">
        <v>312</v>
      </c>
      <c r="BB16" t="s">
        <v>312</v>
      </c>
      <c r="BC16" t="s">
        <v>311</v>
      </c>
      <c r="BD16" t="s">
        <v>311</v>
      </c>
      <c r="BE16" t="s">
        <v>311</v>
      </c>
      <c r="BF16" t="s">
        <v>311</v>
      </c>
      <c r="BG16" t="s">
        <v>311</v>
      </c>
      <c r="BH16" t="s">
        <v>318</v>
      </c>
      <c r="BI16" t="s">
        <v>308</v>
      </c>
      <c r="BJ16" t="s">
        <v>308</v>
      </c>
      <c r="BK16" t="s">
        <v>309</v>
      </c>
      <c r="BL16" t="s">
        <v>309</v>
      </c>
      <c r="BM16" t="s">
        <v>309</v>
      </c>
      <c r="BN16" t="s">
        <v>317</v>
      </c>
      <c r="BO16" t="s">
        <v>309</v>
      </c>
      <c r="BP16" t="s">
        <v>317</v>
      </c>
      <c r="BQ16" t="s">
        <v>312</v>
      </c>
      <c r="BR16" t="s">
        <v>312</v>
      </c>
      <c r="BS16" t="s">
        <v>311</v>
      </c>
      <c r="BT16" t="s">
        <v>311</v>
      </c>
      <c r="BU16" t="s">
        <v>308</v>
      </c>
      <c r="BZ16" t="s">
        <v>311</v>
      </c>
      <c r="CB16" t="s">
        <v>319</v>
      </c>
      <c r="CD16" t="s">
        <v>305</v>
      </c>
      <c r="CE16" t="s">
        <v>305</v>
      </c>
      <c r="CG16" t="s">
        <v>320</v>
      </c>
      <c r="CH16" t="s">
        <v>321</v>
      </c>
      <c r="CI16" t="s">
        <v>320</v>
      </c>
      <c r="CJ16" t="s">
        <v>321</v>
      </c>
      <c r="CK16" t="s">
        <v>320</v>
      </c>
      <c r="CL16" t="s">
        <v>321</v>
      </c>
      <c r="CM16" t="s">
        <v>313</v>
      </c>
      <c r="CN16" t="s">
        <v>313</v>
      </c>
      <c r="CP16" t="s">
        <v>322</v>
      </c>
      <c r="CT16" t="s">
        <v>322</v>
      </c>
      <c r="CZ16" t="s">
        <v>323</v>
      </c>
      <c r="DA16" t="s">
        <v>323</v>
      </c>
      <c r="DN16" t="s">
        <v>323</v>
      </c>
      <c r="DO16" t="s">
        <v>323</v>
      </c>
      <c r="DP16" t="s">
        <v>324</v>
      </c>
      <c r="DQ16" t="s">
        <v>324</v>
      </c>
      <c r="DR16" t="s">
        <v>311</v>
      </c>
      <c r="DS16" t="s">
        <v>311</v>
      </c>
      <c r="DT16" t="s">
        <v>313</v>
      </c>
      <c r="DU16" t="s">
        <v>311</v>
      </c>
      <c r="DV16" t="s">
        <v>317</v>
      </c>
      <c r="DW16" t="s">
        <v>313</v>
      </c>
      <c r="DX16" t="s">
        <v>313</v>
      </c>
      <c r="DZ16" t="s">
        <v>323</v>
      </c>
      <c r="EA16" t="s">
        <v>323</v>
      </c>
      <c r="EB16" t="s">
        <v>323</v>
      </c>
      <c r="EC16" t="s">
        <v>323</v>
      </c>
      <c r="ED16" t="s">
        <v>323</v>
      </c>
      <c r="EE16" t="s">
        <v>323</v>
      </c>
      <c r="EF16" t="s">
        <v>323</v>
      </c>
      <c r="EG16" t="s">
        <v>325</v>
      </c>
      <c r="EH16" t="s">
        <v>325</v>
      </c>
      <c r="EI16" t="s">
        <v>325</v>
      </c>
      <c r="EJ16" t="s">
        <v>326</v>
      </c>
      <c r="EK16" t="s">
        <v>323</v>
      </c>
      <c r="EL16" t="s">
        <v>323</v>
      </c>
      <c r="EM16" t="s">
        <v>323</v>
      </c>
      <c r="EN16" t="s">
        <v>323</v>
      </c>
      <c r="EO16" t="s">
        <v>323</v>
      </c>
      <c r="EP16" t="s">
        <v>323</v>
      </c>
      <c r="EQ16" t="s">
        <v>323</v>
      </c>
      <c r="ER16" t="s">
        <v>323</v>
      </c>
      <c r="ES16" t="s">
        <v>323</v>
      </c>
      <c r="ET16" t="s">
        <v>323</v>
      </c>
      <c r="EU16" t="s">
        <v>323</v>
      </c>
      <c r="EV16" t="s">
        <v>323</v>
      </c>
      <c r="FC16" t="s">
        <v>323</v>
      </c>
      <c r="FD16" t="s">
        <v>313</v>
      </c>
      <c r="FE16" t="s">
        <v>313</v>
      </c>
      <c r="FF16" t="s">
        <v>320</v>
      </c>
      <c r="FG16" t="s">
        <v>321</v>
      </c>
      <c r="FH16" t="s">
        <v>321</v>
      </c>
      <c r="FL16" t="s">
        <v>321</v>
      </c>
      <c r="FP16" t="s">
        <v>309</v>
      </c>
      <c r="FQ16" t="s">
        <v>309</v>
      </c>
      <c r="FR16" t="s">
        <v>317</v>
      </c>
      <c r="FS16" t="s">
        <v>317</v>
      </c>
      <c r="FT16" t="s">
        <v>327</v>
      </c>
      <c r="FU16" t="s">
        <v>327</v>
      </c>
      <c r="FV16" t="s">
        <v>323</v>
      </c>
      <c r="FW16" t="s">
        <v>323</v>
      </c>
      <c r="FX16" t="s">
        <v>323</v>
      </c>
      <c r="FY16" t="s">
        <v>323</v>
      </c>
      <c r="FZ16" t="s">
        <v>323</v>
      </c>
      <c r="GA16" t="s">
        <v>323</v>
      </c>
      <c r="GB16" t="s">
        <v>311</v>
      </c>
      <c r="GC16" t="s">
        <v>323</v>
      </c>
      <c r="GE16" t="s">
        <v>314</v>
      </c>
      <c r="GF16" t="s">
        <v>314</v>
      </c>
      <c r="GG16" t="s">
        <v>311</v>
      </c>
      <c r="GH16" t="s">
        <v>311</v>
      </c>
      <c r="GI16" t="s">
        <v>311</v>
      </c>
      <c r="GJ16" t="s">
        <v>311</v>
      </c>
      <c r="GK16" t="s">
        <v>311</v>
      </c>
      <c r="GL16" t="s">
        <v>313</v>
      </c>
      <c r="GM16" t="s">
        <v>313</v>
      </c>
      <c r="GN16" t="s">
        <v>313</v>
      </c>
      <c r="GO16" t="s">
        <v>311</v>
      </c>
      <c r="GP16" t="s">
        <v>309</v>
      </c>
      <c r="GQ16" t="s">
        <v>317</v>
      </c>
      <c r="GR16" t="s">
        <v>313</v>
      </c>
      <c r="GS16" t="s">
        <v>313</v>
      </c>
    </row>
    <row r="17" spans="1:201" x14ac:dyDescent="0.25">
      <c r="A17">
        <v>1</v>
      </c>
      <c r="B17">
        <v>1690232506.0999999</v>
      </c>
      <c r="C17">
        <v>0</v>
      </c>
      <c r="D17" t="s">
        <v>328</v>
      </c>
      <c r="E17" t="s">
        <v>329</v>
      </c>
      <c r="F17" t="s">
        <v>330</v>
      </c>
      <c r="H17">
        <v>1690232506.0999999</v>
      </c>
      <c r="I17">
        <f t="shared" ref="I17:I80" si="0">(J17)/1000</f>
        <v>1.0473257877040107E-4</v>
      </c>
      <c r="J17">
        <f t="shared" ref="J17:J80" si="1">1000*AZ17*AH17*(AV17-AW17)/(100*AO17*(1000-AH17*AV17))</f>
        <v>0.10473257877040107</v>
      </c>
      <c r="K17">
        <f t="shared" ref="K17:K80" si="2">AZ17*AH17*(AU17-AT17*(1000-AH17*AW17)/(1000-AH17*AV17))/(100*AO17)</f>
        <v>-0.71220551080436223</v>
      </c>
      <c r="L17">
        <f t="shared" ref="L17:L80" si="3">AT17 - IF(AH17&gt;1, K17*AO17*100/(AJ17*BH17), 0)</f>
        <v>806.76</v>
      </c>
      <c r="M17">
        <f t="shared" ref="M17:M80" si="4">((S17-I17/2)*L17-K17)/(S17+I17/2)</f>
        <v>927.28350954623568</v>
      </c>
      <c r="N17">
        <f t="shared" ref="N17:N80" si="5">M17*(BA17+BB17)/1000</f>
        <v>91.90732476970787</v>
      </c>
      <c r="O17">
        <f t="shared" ref="O17:O80" si="6">(AT17 - IF(AH17&gt;1, K17*AO17*100/(AJ17*BH17), 0))*(BA17+BB17)/1000</f>
        <v>79.961686547723986</v>
      </c>
      <c r="P17">
        <f t="shared" ref="P17:P80" si="7">2/((1/R17-1/Q17)+SIGN(R17)*SQRT((1/R17-1/Q17)*(1/R17-1/Q17) + 4*AP17/((AP17+1)*(AP17+1))*(2*1/R17*1/Q17-1/Q17*1/Q17)))</f>
        <v>8.2646018979371828E-3</v>
      </c>
      <c r="Q17">
        <f t="shared" ref="Q17:Q80" si="8">IF(LEFT(AQ17,1)&lt;&gt;"0",IF(LEFT(AQ17,1)="1",3,AR17),$D$5+$E$5*(BH17*BA17/($K$5*1000))+$F$5*(BH17*BA17/($K$5*1000))*MAX(MIN(AO17,$J$5),$I$5)*MAX(MIN(AO17,$J$5),$I$5)+$G$5*MAX(MIN(AO17,$J$5),$I$5)*(BH17*BA17/($K$5*1000))+$H$5*(BH17*BA17/($K$5*1000))*(BH17*BA17/($K$5*1000)))</f>
        <v>2.1255399940145034</v>
      </c>
      <c r="R17">
        <f t="shared" ref="R17:R80" si="9">I17*(1000-(1000*0.61365*EXP(17.502*V17/(240.97+V17))/(BA17+BB17)+AV17)/2)/(1000*0.61365*EXP(17.502*V17/(240.97+V17))/(BA17+BB17)-AV17)</f>
        <v>8.2467908200139026E-3</v>
      </c>
      <c r="S17">
        <f t="shared" ref="S17:S80" si="10">1/((AP17+1)/(P17/1.6)+1/(Q17/1.37)) + AP17/((AP17+1)/(P17/1.6) + AP17/(Q17/1.37))</f>
        <v>5.1558412870358018E-3</v>
      </c>
      <c r="T17">
        <f t="shared" ref="T17:T80" si="11">(AK17*AN17)</f>
        <v>0</v>
      </c>
      <c r="U17">
        <f t="shared" ref="U17:U80" si="12">(BC17+(T17+2*0.95*0.0000000567*(((BC17+$B$7)+273)^4-(BC17+273)^4)-44100*I17)/(1.84*29.3*Q17+8*0.95*0.0000000567*(BC17+273)^3))</f>
        <v>26.726201509061724</v>
      </c>
      <c r="V17">
        <f t="shared" ref="V17:V80" si="13">($C$7*BD17+$D$7*BE17+$E$7*U17)</f>
        <v>26.726201509061724</v>
      </c>
      <c r="W17">
        <f t="shared" ref="W17:W80" si="14">0.61365*EXP(17.502*V17/(240.97+V17))</f>
        <v>3.5220060915131306</v>
      </c>
      <c r="X17">
        <f t="shared" ref="X17:X80" si="15">(Y17/Z17*100)</f>
        <v>65.170045272214807</v>
      </c>
      <c r="Y17">
        <f t="shared" ref="Y17:Y80" si="16">AV17*(BA17+BB17)/1000</f>
        <v>2.30024149094021</v>
      </c>
      <c r="Z17">
        <f t="shared" ref="Z17:Z80" si="17">0.61365*EXP(17.502*BC17/(240.97+BC17))</f>
        <v>3.5295993448095948</v>
      </c>
      <c r="AA17">
        <f t="shared" ref="AA17:AA80" si="18">(W17-AV17*(BA17+BB17)/1000)</f>
        <v>1.2217646005729206</v>
      </c>
      <c r="AB17">
        <f t="shared" ref="AB17:AB80" si="19">(-I17*44100)</f>
        <v>-4.6187067237746868</v>
      </c>
      <c r="AC17">
        <f t="shared" ref="AC17:AC80" si="20">2*29.3*Q17*0.92*(BC17-V17)</f>
        <v>4.193898378387054</v>
      </c>
      <c r="AD17">
        <f t="shared" ref="AD17:AD80" si="21">2*0.95*0.0000000567*(((BC17+$B$7)+273)^4-(V17+273)^4)</f>
        <v>0.42473055348455058</v>
      </c>
      <c r="AE17">
        <f t="shared" ref="AE17:AE80" si="22">T17+AD17+AB17+AC17</f>
        <v>-7.7791903081880776E-5</v>
      </c>
      <c r="AF17">
        <v>0</v>
      </c>
      <c r="AG17">
        <v>0</v>
      </c>
      <c r="AH17">
        <f t="shared" ref="AH17:AH80" si="23">IF(AF17*$H$13&gt;=AJ17,1,(AJ17/(AJ17-AF17*$H$13)))</f>
        <v>1</v>
      </c>
      <c r="AI17">
        <f t="shared" ref="AI17:AI80" si="24">(AH17-1)*100</f>
        <v>0</v>
      </c>
      <c r="AJ17">
        <f t="shared" ref="AJ17:AJ80" si="25">MAX(0,($B$13+$C$13*BH17)/(1+$D$13*BH17)*BA17/(BC17+273)*$E$13)</f>
        <v>52199.527129865004</v>
      </c>
      <c r="AK17">
        <f t="shared" ref="AK17:AK80" si="26">$B$11*BI17+$C$11*BJ17+$D$11*BU17</f>
        <v>0</v>
      </c>
      <c r="AL17">
        <f t="shared" ref="AL17:AL80" si="27">AK17*AM17</f>
        <v>0</v>
      </c>
      <c r="AM17">
        <f t="shared" ref="AM17:AM80" si="28">($B$11*$D$9+$C$11*$D$9+$D$11*(BV17*$E$9+BW17*$F$9+BX17*$G$9+BY17*$H$9))/($B$11+$C$11+$D$11)</f>
        <v>0</v>
      </c>
      <c r="AN17">
        <f t="shared" ref="AN17:AN80" si="29">($B$11*$K$9+$C$11*$K$9+$D$11*(BV17*$L$9+BW17*$M$9+BX17*$N$9+BY17*$O$9))/($B$11+$C$11+$D$11)</f>
        <v>0</v>
      </c>
      <c r="AO17">
        <v>32.4</v>
      </c>
      <c r="AP17">
        <v>0.5</v>
      </c>
      <c r="AQ17" t="s">
        <v>331</v>
      </c>
      <c r="AR17">
        <v>2</v>
      </c>
      <c r="AS17">
        <v>1690232506.0999999</v>
      </c>
      <c r="AT17">
        <v>806.76</v>
      </c>
      <c r="AU17">
        <v>799.98599999999999</v>
      </c>
      <c r="AV17">
        <v>23.207899999999999</v>
      </c>
      <c r="AW17">
        <v>22.103899999999999</v>
      </c>
      <c r="AX17">
        <v>807.10299999999995</v>
      </c>
      <c r="AY17">
        <v>23.036000000000001</v>
      </c>
      <c r="AZ17">
        <v>300.23399999999998</v>
      </c>
      <c r="BA17">
        <v>99.014600000000002</v>
      </c>
      <c r="BB17">
        <v>9.9989900000000007E-2</v>
      </c>
      <c r="BC17">
        <v>26.762799999999999</v>
      </c>
      <c r="BD17">
        <v>27.004799999999999</v>
      </c>
      <c r="BE17">
        <v>26.843299999999999</v>
      </c>
      <c r="BF17">
        <v>0</v>
      </c>
      <c r="BG17">
        <v>0</v>
      </c>
      <c r="BH17">
        <v>9960.6200000000008</v>
      </c>
      <c r="BI17">
        <v>0.70057400000000003</v>
      </c>
      <c r="BJ17">
        <v>1.1914</v>
      </c>
      <c r="BK17">
        <v>6.7736200000000002</v>
      </c>
      <c r="BL17">
        <v>825.928</v>
      </c>
      <c r="BM17">
        <v>818.06899999999996</v>
      </c>
      <c r="BN17">
        <v>1.1040000000000001</v>
      </c>
      <c r="BO17">
        <v>799.98599999999999</v>
      </c>
      <c r="BP17">
        <v>22.103899999999999</v>
      </c>
      <c r="BQ17">
        <v>2.29793</v>
      </c>
      <c r="BR17">
        <v>2.1886100000000002</v>
      </c>
      <c r="BS17">
        <v>19.661899999999999</v>
      </c>
      <c r="BT17">
        <v>18.879200000000001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26</v>
      </c>
      <c r="CA17">
        <v>0</v>
      </c>
      <c r="CB17">
        <v>1690232006</v>
      </c>
      <c r="CC17" t="s">
        <v>332</v>
      </c>
      <c r="CD17">
        <v>1690232006</v>
      </c>
      <c r="CE17">
        <v>1690231998.5</v>
      </c>
      <c r="CF17">
        <v>14</v>
      </c>
      <c r="CG17">
        <v>-0.13200000000000001</v>
      </c>
      <c r="CH17">
        <v>-7.0000000000000001E-3</v>
      </c>
      <c r="CI17">
        <v>-0.33800000000000002</v>
      </c>
      <c r="CJ17">
        <v>0.14299999999999999</v>
      </c>
      <c r="CK17">
        <v>799</v>
      </c>
      <c r="CL17">
        <v>19</v>
      </c>
      <c r="CM17">
        <v>7.0000000000000007E-2</v>
      </c>
      <c r="CN17">
        <v>0.14000000000000001</v>
      </c>
      <c r="CO17">
        <v>6.7403104999999996</v>
      </c>
      <c r="CP17">
        <v>0.1169939212007243</v>
      </c>
      <c r="CQ17">
        <v>2.7392477338678209E-2</v>
      </c>
      <c r="CR17">
        <v>-1</v>
      </c>
      <c r="CS17">
        <v>1.11252475</v>
      </c>
      <c r="CT17">
        <v>-5.8639362101313777E-2</v>
      </c>
      <c r="CU17">
        <v>5.6945293868326027E-3</v>
      </c>
      <c r="CV17">
        <v>-1</v>
      </c>
      <c r="CW17">
        <v>0</v>
      </c>
      <c r="CX17">
        <v>0</v>
      </c>
      <c r="CY17" t="s">
        <v>333</v>
      </c>
      <c r="CZ17">
        <v>2.3647800000000001</v>
      </c>
      <c r="DA17">
        <v>2.7137500000000001</v>
      </c>
      <c r="DB17">
        <v>0.14757300000000001</v>
      </c>
      <c r="DC17">
        <v>0.14637900000000001</v>
      </c>
      <c r="DD17">
        <v>0.111259</v>
      </c>
      <c r="DE17">
        <v>0.10588599999999999</v>
      </c>
      <c r="DF17">
        <v>31144.3</v>
      </c>
      <c r="DG17">
        <v>27536.7</v>
      </c>
      <c r="DH17">
        <v>31190</v>
      </c>
      <c r="DI17">
        <v>28107.9</v>
      </c>
      <c r="DJ17">
        <v>37638.300000000003</v>
      </c>
      <c r="DK17">
        <v>35737.199999999997</v>
      </c>
      <c r="DL17">
        <v>44390.400000000001</v>
      </c>
      <c r="DM17">
        <v>42605.9</v>
      </c>
      <c r="DN17">
        <v>1.4741299999999999</v>
      </c>
      <c r="DO17">
        <v>2.06488</v>
      </c>
      <c r="DP17">
        <v>8.6844000000000005E-2</v>
      </c>
      <c r="DQ17">
        <v>6.9912500000000002E-2</v>
      </c>
      <c r="DR17">
        <v>25.582899999999999</v>
      </c>
      <c r="DS17">
        <v>25.698599999999999</v>
      </c>
      <c r="DT17">
        <v>55.6</v>
      </c>
      <c r="DU17">
        <v>29.2</v>
      </c>
      <c r="DV17">
        <v>22.846</v>
      </c>
      <c r="DW17">
        <v>62.427999999999997</v>
      </c>
      <c r="DX17">
        <v>35.9816</v>
      </c>
      <c r="DY17">
        <v>1</v>
      </c>
      <c r="DZ17">
        <v>-0.10408299999999999</v>
      </c>
      <c r="EA17">
        <v>-1.3963300000000001</v>
      </c>
      <c r="EB17">
        <v>20.297899999999998</v>
      </c>
      <c r="EC17">
        <v>5.2409499999999998</v>
      </c>
      <c r="ED17">
        <v>12.039899999999999</v>
      </c>
      <c r="EE17">
        <v>5.0167999999999999</v>
      </c>
      <c r="EF17">
        <v>3.2879999999999998</v>
      </c>
      <c r="EG17">
        <v>9999</v>
      </c>
      <c r="EH17">
        <v>9999</v>
      </c>
      <c r="EI17">
        <v>9999</v>
      </c>
      <c r="EJ17">
        <v>999.9</v>
      </c>
      <c r="EK17">
        <v>1.8689</v>
      </c>
      <c r="EL17">
        <v>1.8646199999999999</v>
      </c>
      <c r="EM17">
        <v>1.86914</v>
      </c>
      <c r="EN17">
        <v>1.8672200000000001</v>
      </c>
      <c r="EO17">
        <v>1.8633900000000001</v>
      </c>
      <c r="EP17">
        <v>1.8644700000000001</v>
      </c>
      <c r="EQ17">
        <v>1.8701300000000001</v>
      </c>
      <c r="ER17">
        <v>1.86937</v>
      </c>
      <c r="ES17">
        <v>0</v>
      </c>
      <c r="ET17">
        <v>0</v>
      </c>
      <c r="EU17">
        <v>0</v>
      </c>
      <c r="EV17">
        <v>0</v>
      </c>
      <c r="EW17" t="s">
        <v>334</v>
      </c>
      <c r="EX17" t="s">
        <v>335</v>
      </c>
      <c r="EY17" t="s">
        <v>336</v>
      </c>
      <c r="EZ17" t="s">
        <v>336</v>
      </c>
      <c r="FA17" t="s">
        <v>336</v>
      </c>
      <c r="FB17" t="s">
        <v>336</v>
      </c>
      <c r="FC17">
        <v>0</v>
      </c>
      <c r="FD17">
        <v>100</v>
      </c>
      <c r="FE17">
        <v>100</v>
      </c>
      <c r="FF17">
        <v>-0.34300000000000003</v>
      </c>
      <c r="FG17">
        <v>0.1719</v>
      </c>
      <c r="FH17">
        <v>0.2126736300064915</v>
      </c>
      <c r="FI17">
        <v>-6.1462078757559423E-4</v>
      </c>
      <c r="FJ17">
        <v>-1.8861989874597051E-7</v>
      </c>
      <c r="FK17">
        <v>1.1980462299894961E-10</v>
      </c>
      <c r="FL17">
        <v>0.1719881465068297</v>
      </c>
      <c r="FM17">
        <v>0</v>
      </c>
      <c r="FN17">
        <v>0</v>
      </c>
      <c r="FO17">
        <v>0</v>
      </c>
      <c r="FP17">
        <v>3</v>
      </c>
      <c r="FQ17">
        <v>2158</v>
      </c>
      <c r="FR17">
        <v>1</v>
      </c>
      <c r="FS17">
        <v>19</v>
      </c>
      <c r="FT17">
        <v>8.3000000000000007</v>
      </c>
      <c r="FU17">
        <v>8.5</v>
      </c>
      <c r="FV17">
        <v>1.79565</v>
      </c>
      <c r="FW17">
        <v>2.5854499999999998</v>
      </c>
      <c r="FX17">
        <v>1.5490699999999999</v>
      </c>
      <c r="FY17">
        <v>2.3290999999999999</v>
      </c>
      <c r="FZ17">
        <v>1.50146</v>
      </c>
      <c r="GA17">
        <v>2.3901400000000002</v>
      </c>
      <c r="GB17">
        <v>33.625399999999999</v>
      </c>
      <c r="GC17">
        <v>24.026199999999999</v>
      </c>
      <c r="GD17">
        <v>19</v>
      </c>
      <c r="GE17">
        <v>281.245</v>
      </c>
      <c r="GF17">
        <v>604.83600000000001</v>
      </c>
      <c r="GG17">
        <v>28.403199999999998</v>
      </c>
      <c r="GH17">
        <v>26.115500000000001</v>
      </c>
      <c r="GI17">
        <v>30.000299999999999</v>
      </c>
      <c r="GJ17">
        <v>26.180499999999999</v>
      </c>
      <c r="GK17">
        <v>26.148299999999999</v>
      </c>
      <c r="GL17">
        <v>35.908299999999997</v>
      </c>
      <c r="GM17">
        <v>11.2202</v>
      </c>
      <c r="GN17">
        <v>100</v>
      </c>
      <c r="GO17">
        <v>28.404800000000002</v>
      </c>
      <c r="GP17">
        <v>800</v>
      </c>
      <c r="GQ17">
        <v>22.0625</v>
      </c>
      <c r="GR17">
        <v>99.8</v>
      </c>
      <c r="GS17">
        <v>99.666200000000003</v>
      </c>
    </row>
    <row r="18" spans="1:201" x14ac:dyDescent="0.25">
      <c r="A18">
        <v>2</v>
      </c>
      <c r="B18">
        <v>1690232507.0999999</v>
      </c>
      <c r="C18">
        <v>1</v>
      </c>
      <c r="D18" t="s">
        <v>337</v>
      </c>
      <c r="E18" t="s">
        <v>338</v>
      </c>
      <c r="F18" t="s">
        <v>330</v>
      </c>
      <c r="H18">
        <v>1690232507.0999999</v>
      </c>
      <c r="I18">
        <f t="shared" si="0"/>
        <v>1.0462611444406761E-4</v>
      </c>
      <c r="J18">
        <f t="shared" si="1"/>
        <v>0.10462611444406761</v>
      </c>
      <c r="K18">
        <f t="shared" si="2"/>
        <v>-0.70856594835869458</v>
      </c>
      <c r="L18">
        <f t="shared" si="3"/>
        <v>806.75699999999995</v>
      </c>
      <c r="M18">
        <f t="shared" si="4"/>
        <v>926.73130837134681</v>
      </c>
      <c r="N18">
        <f t="shared" si="5"/>
        <v>91.851867112043834</v>
      </c>
      <c r="O18">
        <f t="shared" si="6"/>
        <v>79.960756787141989</v>
      </c>
      <c r="P18">
        <f t="shared" si="7"/>
        <v>8.255402847856157E-3</v>
      </c>
      <c r="Q18">
        <f t="shared" si="8"/>
        <v>2.1266998006531042</v>
      </c>
      <c r="R18">
        <f t="shared" si="9"/>
        <v>8.237641020920311E-3</v>
      </c>
      <c r="S18">
        <f t="shared" si="10"/>
        <v>5.1501182517898602E-3</v>
      </c>
      <c r="T18">
        <f t="shared" si="11"/>
        <v>0</v>
      </c>
      <c r="U18">
        <f t="shared" si="12"/>
        <v>26.725856805161037</v>
      </c>
      <c r="V18">
        <f t="shared" si="13"/>
        <v>26.725856805161037</v>
      </c>
      <c r="W18">
        <f t="shared" si="14"/>
        <v>3.5219346420953328</v>
      </c>
      <c r="X18">
        <f t="shared" si="15"/>
        <v>65.166570575901346</v>
      </c>
      <c r="Y18">
        <f t="shared" si="16"/>
        <v>2.3000647161777996</v>
      </c>
      <c r="Z18">
        <f t="shared" si="17"/>
        <v>3.5295162778266032</v>
      </c>
      <c r="AA18">
        <f t="shared" si="18"/>
        <v>1.2218699259175332</v>
      </c>
      <c r="AB18">
        <f t="shared" si="19"/>
        <v>-4.6140116469833812</v>
      </c>
      <c r="AC18">
        <f t="shared" si="20"/>
        <v>4.1898468360237047</v>
      </c>
      <c r="AD18">
        <f t="shared" si="21"/>
        <v>0.4240872541467029</v>
      </c>
      <c r="AE18">
        <f t="shared" si="22"/>
        <v>-7.75568129736115E-5</v>
      </c>
      <c r="AF18">
        <v>0</v>
      </c>
      <c r="AG18">
        <v>0</v>
      </c>
      <c r="AH18">
        <f t="shared" si="23"/>
        <v>1</v>
      </c>
      <c r="AI18">
        <f t="shared" si="24"/>
        <v>0</v>
      </c>
      <c r="AJ18">
        <f t="shared" si="25"/>
        <v>52249.481085640196</v>
      </c>
      <c r="AK18">
        <f t="shared" si="26"/>
        <v>0</v>
      </c>
      <c r="AL18">
        <f t="shared" si="27"/>
        <v>0</v>
      </c>
      <c r="AM18">
        <f t="shared" si="28"/>
        <v>0</v>
      </c>
      <c r="AN18">
        <f t="shared" si="29"/>
        <v>0</v>
      </c>
      <c r="AO18">
        <v>32.4</v>
      </c>
      <c r="AP18">
        <v>0.5</v>
      </c>
      <c r="AQ18" t="s">
        <v>331</v>
      </c>
      <c r="AR18">
        <v>2</v>
      </c>
      <c r="AS18">
        <v>1690232507.0999999</v>
      </c>
      <c r="AT18">
        <v>806.75699999999995</v>
      </c>
      <c r="AU18">
        <v>800.02</v>
      </c>
      <c r="AV18">
        <v>23.206299999999999</v>
      </c>
      <c r="AW18">
        <v>22.103200000000001</v>
      </c>
      <c r="AX18">
        <v>807.1</v>
      </c>
      <c r="AY18">
        <v>23.034300000000002</v>
      </c>
      <c r="AZ18">
        <v>300.17399999999998</v>
      </c>
      <c r="BA18">
        <v>99.013800000000003</v>
      </c>
      <c r="BB18">
        <v>0.100006</v>
      </c>
      <c r="BC18">
        <v>26.7624</v>
      </c>
      <c r="BD18">
        <v>27.004300000000001</v>
      </c>
      <c r="BE18">
        <v>26.840299999999999</v>
      </c>
      <c r="BF18">
        <v>0</v>
      </c>
      <c r="BG18">
        <v>0</v>
      </c>
      <c r="BH18">
        <v>9970.6200000000008</v>
      </c>
      <c r="BI18">
        <v>0.68845000000000001</v>
      </c>
      <c r="BJ18">
        <v>1.10731</v>
      </c>
      <c r="BK18">
        <v>6.7373700000000003</v>
      </c>
      <c r="BL18">
        <v>825.92399999999998</v>
      </c>
      <c r="BM18">
        <v>818.10199999999998</v>
      </c>
      <c r="BN18">
        <v>1.1031299999999999</v>
      </c>
      <c r="BO18">
        <v>800.02</v>
      </c>
      <c r="BP18">
        <v>22.103200000000001</v>
      </c>
      <c r="BQ18">
        <v>2.2977500000000002</v>
      </c>
      <c r="BR18">
        <v>2.18852</v>
      </c>
      <c r="BS18">
        <v>19.660599999999999</v>
      </c>
      <c r="BT18">
        <v>18.878499999999999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26</v>
      </c>
      <c r="CA18">
        <v>0</v>
      </c>
      <c r="CB18">
        <v>1690232006</v>
      </c>
      <c r="CC18" t="s">
        <v>332</v>
      </c>
      <c r="CD18">
        <v>1690232006</v>
      </c>
      <c r="CE18">
        <v>1690231998.5</v>
      </c>
      <c r="CF18">
        <v>14</v>
      </c>
      <c r="CG18">
        <v>-0.13200000000000001</v>
      </c>
      <c r="CH18">
        <v>-7.0000000000000001E-3</v>
      </c>
      <c r="CI18">
        <v>-0.33800000000000002</v>
      </c>
      <c r="CJ18">
        <v>0.14299999999999999</v>
      </c>
      <c r="CK18">
        <v>799</v>
      </c>
      <c r="CL18">
        <v>19</v>
      </c>
      <c r="CM18">
        <v>7.0000000000000007E-2</v>
      </c>
      <c r="CN18">
        <v>0.14000000000000001</v>
      </c>
      <c r="CO18">
        <v>6.7403577499999994</v>
      </c>
      <c r="CP18">
        <v>0.15754998123825281</v>
      </c>
      <c r="CQ18">
        <v>2.7526939576304151E-2</v>
      </c>
      <c r="CR18">
        <v>-1</v>
      </c>
      <c r="CS18">
        <v>1.11155625</v>
      </c>
      <c r="CT18">
        <v>-5.5417373358353443E-2</v>
      </c>
      <c r="CU18">
        <v>5.3814555129165637E-3</v>
      </c>
      <c r="CV18">
        <v>-1</v>
      </c>
      <c r="CW18">
        <v>0</v>
      </c>
      <c r="CX18">
        <v>0</v>
      </c>
      <c r="CY18" t="s">
        <v>333</v>
      </c>
      <c r="CZ18">
        <v>2.3645800000000001</v>
      </c>
      <c r="DA18">
        <v>2.7137699999999998</v>
      </c>
      <c r="DB18">
        <v>0.14757200000000001</v>
      </c>
      <c r="DC18">
        <v>0.14638200000000001</v>
      </c>
      <c r="DD18">
        <v>0.111253</v>
      </c>
      <c r="DE18">
        <v>0.105883</v>
      </c>
      <c r="DF18">
        <v>31144.2</v>
      </c>
      <c r="DG18">
        <v>27536.6</v>
      </c>
      <c r="DH18">
        <v>31189.9</v>
      </c>
      <c r="DI18">
        <v>28107.8</v>
      </c>
      <c r="DJ18">
        <v>37638.400000000001</v>
      </c>
      <c r="DK18">
        <v>35737.199999999997</v>
      </c>
      <c r="DL18">
        <v>44390.2</v>
      </c>
      <c r="DM18">
        <v>42605.8</v>
      </c>
      <c r="DN18">
        <v>1.47417</v>
      </c>
      <c r="DO18">
        <v>2.0649000000000002</v>
      </c>
      <c r="DP18">
        <v>8.6780599999999999E-2</v>
      </c>
      <c r="DQ18">
        <v>6.9759799999999997E-2</v>
      </c>
      <c r="DR18">
        <v>25.583500000000001</v>
      </c>
      <c r="DS18">
        <v>25.6981</v>
      </c>
      <c r="DT18">
        <v>55.6</v>
      </c>
      <c r="DU18">
        <v>29.2</v>
      </c>
      <c r="DV18">
        <v>22.8459</v>
      </c>
      <c r="DW18">
        <v>62.298000000000002</v>
      </c>
      <c r="DX18">
        <v>35.945500000000003</v>
      </c>
      <c r="DY18">
        <v>1</v>
      </c>
      <c r="DZ18">
        <v>-0.103976</v>
      </c>
      <c r="EA18">
        <v>-1.4046400000000001</v>
      </c>
      <c r="EB18">
        <v>20.297599999999999</v>
      </c>
      <c r="EC18">
        <v>5.2409499999999998</v>
      </c>
      <c r="ED18">
        <v>12.039899999999999</v>
      </c>
      <c r="EE18">
        <v>5.0166500000000003</v>
      </c>
      <c r="EF18">
        <v>3.2879999999999998</v>
      </c>
      <c r="EG18">
        <v>9999</v>
      </c>
      <c r="EH18">
        <v>9999</v>
      </c>
      <c r="EI18">
        <v>9999</v>
      </c>
      <c r="EJ18">
        <v>999.9</v>
      </c>
      <c r="EK18">
        <v>1.8689</v>
      </c>
      <c r="EL18">
        <v>1.8646199999999999</v>
      </c>
      <c r="EM18">
        <v>1.86914</v>
      </c>
      <c r="EN18">
        <v>1.8672200000000001</v>
      </c>
      <c r="EO18">
        <v>1.86338</v>
      </c>
      <c r="EP18">
        <v>1.8644700000000001</v>
      </c>
      <c r="EQ18">
        <v>1.8701300000000001</v>
      </c>
      <c r="ER18">
        <v>1.86937</v>
      </c>
      <c r="ES18">
        <v>0</v>
      </c>
      <c r="ET18">
        <v>0</v>
      </c>
      <c r="EU18">
        <v>0</v>
      </c>
      <c r="EV18">
        <v>0</v>
      </c>
      <c r="EW18" t="s">
        <v>334</v>
      </c>
      <c r="EX18" t="s">
        <v>335</v>
      </c>
      <c r="EY18" t="s">
        <v>336</v>
      </c>
      <c r="EZ18" t="s">
        <v>336</v>
      </c>
      <c r="FA18" t="s">
        <v>336</v>
      </c>
      <c r="FB18" t="s">
        <v>336</v>
      </c>
      <c r="FC18">
        <v>0</v>
      </c>
      <c r="FD18">
        <v>100</v>
      </c>
      <c r="FE18">
        <v>100</v>
      </c>
      <c r="FF18">
        <v>-0.34300000000000003</v>
      </c>
      <c r="FG18">
        <v>0.17199999999999999</v>
      </c>
      <c r="FH18">
        <v>0.2126736300064915</v>
      </c>
      <c r="FI18">
        <v>-6.1462078757559423E-4</v>
      </c>
      <c r="FJ18">
        <v>-1.8861989874597051E-7</v>
      </c>
      <c r="FK18">
        <v>1.1980462299894961E-10</v>
      </c>
      <c r="FL18">
        <v>0.1719881465068297</v>
      </c>
      <c r="FM18">
        <v>0</v>
      </c>
      <c r="FN18">
        <v>0</v>
      </c>
      <c r="FO18">
        <v>0</v>
      </c>
      <c r="FP18">
        <v>3</v>
      </c>
      <c r="FQ18">
        <v>2158</v>
      </c>
      <c r="FR18">
        <v>1</v>
      </c>
      <c r="FS18">
        <v>19</v>
      </c>
      <c r="FT18">
        <v>8.4</v>
      </c>
      <c r="FU18">
        <v>8.5</v>
      </c>
      <c r="FV18">
        <v>1.79565</v>
      </c>
      <c r="FW18">
        <v>2.5866699999999998</v>
      </c>
      <c r="FX18">
        <v>1.5490699999999999</v>
      </c>
      <c r="FY18">
        <v>2.3290999999999999</v>
      </c>
      <c r="FZ18">
        <v>1.50146</v>
      </c>
      <c r="GA18">
        <v>2.3571800000000001</v>
      </c>
      <c r="GB18">
        <v>33.625399999999999</v>
      </c>
      <c r="GC18">
        <v>24.017499999999998</v>
      </c>
      <c r="GD18">
        <v>19</v>
      </c>
      <c r="GE18">
        <v>281.267</v>
      </c>
      <c r="GF18">
        <v>604.85699999999997</v>
      </c>
      <c r="GG18">
        <v>28.401499999999999</v>
      </c>
      <c r="GH18">
        <v>26.116099999999999</v>
      </c>
      <c r="GI18">
        <v>30.000299999999999</v>
      </c>
      <c r="GJ18">
        <v>26.180700000000002</v>
      </c>
      <c r="GK18">
        <v>26.148299999999999</v>
      </c>
      <c r="GL18">
        <v>35.907499999999999</v>
      </c>
      <c r="GM18">
        <v>11.2202</v>
      </c>
      <c r="GN18">
        <v>100</v>
      </c>
      <c r="GO18">
        <v>28.404800000000002</v>
      </c>
      <c r="GP18">
        <v>800</v>
      </c>
      <c r="GQ18">
        <v>22.061</v>
      </c>
      <c r="GR18">
        <v>99.799700000000001</v>
      </c>
      <c r="GS18">
        <v>99.665999999999997</v>
      </c>
    </row>
    <row r="19" spans="1:201" x14ac:dyDescent="0.25">
      <c r="A19">
        <v>3</v>
      </c>
      <c r="B19">
        <v>1690232507.5999999</v>
      </c>
      <c r="C19">
        <v>1.5</v>
      </c>
      <c r="D19" t="s">
        <v>337</v>
      </c>
      <c r="E19" t="s">
        <v>338</v>
      </c>
      <c r="F19" t="s">
        <v>330</v>
      </c>
      <c r="H19">
        <v>1690232507.5999999</v>
      </c>
      <c r="I19">
        <f t="shared" si="0"/>
        <v>1.0454483470731718E-4</v>
      </c>
      <c r="J19">
        <f t="shared" si="1"/>
        <v>0.10454483470731718</v>
      </c>
      <c r="K19">
        <f t="shared" si="2"/>
        <v>-0.71010215447616798</v>
      </c>
      <c r="L19">
        <f t="shared" si="3"/>
        <v>806.774</v>
      </c>
      <c r="M19">
        <f t="shared" si="4"/>
        <v>927.16800619077105</v>
      </c>
      <c r="N19">
        <f t="shared" si="5"/>
        <v>91.894865347137781</v>
      </c>
      <c r="O19">
        <f t="shared" si="6"/>
        <v>79.962194122903398</v>
      </c>
      <c r="P19">
        <f t="shared" si="7"/>
        <v>8.2476819976799731E-3</v>
      </c>
      <c r="Q19">
        <f t="shared" si="8"/>
        <v>2.1272080518703183</v>
      </c>
      <c r="R19">
        <f t="shared" si="9"/>
        <v>8.2299575661776998E-3</v>
      </c>
      <c r="S19">
        <f t="shared" si="10"/>
        <v>5.1453127432269929E-3</v>
      </c>
      <c r="T19">
        <f t="shared" si="11"/>
        <v>0</v>
      </c>
      <c r="U19">
        <f t="shared" si="12"/>
        <v>26.72629313007895</v>
      </c>
      <c r="V19">
        <f t="shared" si="13"/>
        <v>26.72629313007895</v>
      </c>
      <c r="W19">
        <f t="shared" si="14"/>
        <v>3.5220250827160346</v>
      </c>
      <c r="X19">
        <f t="shared" si="15"/>
        <v>65.162307880562366</v>
      </c>
      <c r="Y19">
        <f t="shared" si="16"/>
        <v>2.2999683920151401</v>
      </c>
      <c r="Z19">
        <f t="shared" si="17"/>
        <v>3.5295993448095948</v>
      </c>
      <c r="AA19">
        <f t="shared" si="18"/>
        <v>1.2220566907008945</v>
      </c>
      <c r="AB19">
        <f t="shared" si="19"/>
        <v>-4.6104272105926878</v>
      </c>
      <c r="AC19">
        <f t="shared" si="20"/>
        <v>4.1866823345376236</v>
      </c>
      <c r="AD19">
        <f t="shared" si="21"/>
        <v>0.42366747313924508</v>
      </c>
      <c r="AE19">
        <f t="shared" si="22"/>
        <v>-7.7402915819035911E-5</v>
      </c>
      <c r="AF19">
        <v>0</v>
      </c>
      <c r="AG19">
        <v>0</v>
      </c>
      <c r="AH19">
        <f t="shared" si="23"/>
        <v>1</v>
      </c>
      <c r="AI19">
        <f t="shared" si="24"/>
        <v>0</v>
      </c>
      <c r="AJ19">
        <f t="shared" si="25"/>
        <v>52271.282384249178</v>
      </c>
      <c r="AK19">
        <f t="shared" si="26"/>
        <v>0</v>
      </c>
      <c r="AL19">
        <f t="shared" si="27"/>
        <v>0</v>
      </c>
      <c r="AM19">
        <f t="shared" si="28"/>
        <v>0</v>
      </c>
      <c r="AN19">
        <f t="shared" si="29"/>
        <v>0</v>
      </c>
      <c r="AO19">
        <v>32.4</v>
      </c>
      <c r="AP19">
        <v>0.5</v>
      </c>
      <c r="AQ19" t="s">
        <v>331</v>
      </c>
      <c r="AR19">
        <v>2</v>
      </c>
      <c r="AS19">
        <v>1690232507.5999999</v>
      </c>
      <c r="AT19">
        <v>806.774</v>
      </c>
      <c r="AU19">
        <v>800.02</v>
      </c>
      <c r="AV19">
        <v>23.205400000000001</v>
      </c>
      <c r="AW19">
        <v>22.103200000000001</v>
      </c>
      <c r="AX19">
        <v>807.11800000000005</v>
      </c>
      <c r="AY19">
        <v>23.0335</v>
      </c>
      <c r="AZ19">
        <v>300.18599999999998</v>
      </c>
      <c r="BA19">
        <v>99.013499999999993</v>
      </c>
      <c r="BB19">
        <v>9.9999099999999994E-2</v>
      </c>
      <c r="BC19">
        <v>26.762799999999999</v>
      </c>
      <c r="BD19">
        <v>27.002199999999998</v>
      </c>
      <c r="BE19">
        <v>26.838999999999999</v>
      </c>
      <c r="BF19">
        <v>0</v>
      </c>
      <c r="BG19">
        <v>0</v>
      </c>
      <c r="BH19">
        <v>9975</v>
      </c>
      <c r="BI19">
        <v>0.68845000000000001</v>
      </c>
      <c r="BJ19">
        <v>1.0652600000000001</v>
      </c>
      <c r="BK19">
        <v>6.7538499999999999</v>
      </c>
      <c r="BL19">
        <v>825.94100000000003</v>
      </c>
      <c r="BM19">
        <v>818.10299999999995</v>
      </c>
      <c r="BN19">
        <v>1.1022700000000001</v>
      </c>
      <c r="BO19">
        <v>800.02</v>
      </c>
      <c r="BP19">
        <v>22.103200000000001</v>
      </c>
      <c r="BQ19">
        <v>2.29765</v>
      </c>
      <c r="BR19">
        <v>2.18851</v>
      </c>
      <c r="BS19">
        <v>19.6599</v>
      </c>
      <c r="BT19">
        <v>18.878499999999999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26</v>
      </c>
      <c r="CA19">
        <v>0</v>
      </c>
      <c r="CB19">
        <v>1690232006</v>
      </c>
      <c r="CC19" t="s">
        <v>332</v>
      </c>
      <c r="CD19">
        <v>1690232006</v>
      </c>
      <c r="CE19">
        <v>1690231998.5</v>
      </c>
      <c r="CF19">
        <v>14</v>
      </c>
      <c r="CG19">
        <v>-0.13200000000000001</v>
      </c>
      <c r="CH19">
        <v>-7.0000000000000001E-3</v>
      </c>
      <c r="CI19">
        <v>-0.33800000000000002</v>
      </c>
      <c r="CJ19">
        <v>0.14299999999999999</v>
      </c>
      <c r="CK19">
        <v>799</v>
      </c>
      <c r="CL19">
        <v>19</v>
      </c>
      <c r="CM19">
        <v>7.0000000000000007E-2</v>
      </c>
      <c r="CN19">
        <v>0.14000000000000001</v>
      </c>
      <c r="CO19">
        <v>6.7403577499999994</v>
      </c>
      <c r="CP19">
        <v>0.15754998123825281</v>
      </c>
      <c r="CQ19">
        <v>2.7526939576304151E-2</v>
      </c>
      <c r="CR19">
        <v>-1</v>
      </c>
      <c r="CS19">
        <v>1.11155625</v>
      </c>
      <c r="CT19">
        <v>-5.5417373358353443E-2</v>
      </c>
      <c r="CU19">
        <v>5.3814555129165637E-3</v>
      </c>
      <c r="CV19">
        <v>-1</v>
      </c>
      <c r="CW19">
        <v>0</v>
      </c>
      <c r="CX19">
        <v>0</v>
      </c>
      <c r="CY19" t="s">
        <v>333</v>
      </c>
      <c r="CZ19">
        <v>2.36463</v>
      </c>
      <c r="DA19">
        <v>2.7137699999999998</v>
      </c>
      <c r="DB19">
        <v>0.14757300000000001</v>
      </c>
      <c r="DC19">
        <v>0.14638200000000001</v>
      </c>
      <c r="DD19">
        <v>0.111249</v>
      </c>
      <c r="DE19">
        <v>0.105882</v>
      </c>
      <c r="DF19">
        <v>31144.2</v>
      </c>
      <c r="DG19">
        <v>27536.5</v>
      </c>
      <c r="DH19">
        <v>31189.9</v>
      </c>
      <c r="DI19">
        <v>28107.7</v>
      </c>
      <c r="DJ19">
        <v>37638.5</v>
      </c>
      <c r="DK19">
        <v>35737.199999999997</v>
      </c>
      <c r="DL19">
        <v>44390.1</v>
      </c>
      <c r="DM19">
        <v>42605.7</v>
      </c>
      <c r="DN19">
        <v>1.47397</v>
      </c>
      <c r="DO19">
        <v>2.0649799999999998</v>
      </c>
      <c r="DP19">
        <v>8.6635400000000001E-2</v>
      </c>
      <c r="DQ19">
        <v>6.9700200000000004E-2</v>
      </c>
      <c r="DR19">
        <v>25.5837</v>
      </c>
      <c r="DS19">
        <v>25.697800000000001</v>
      </c>
      <c r="DT19">
        <v>55.6</v>
      </c>
      <c r="DU19">
        <v>29.2</v>
      </c>
      <c r="DV19">
        <v>22.843399999999999</v>
      </c>
      <c r="DW19">
        <v>62.298000000000002</v>
      </c>
      <c r="DX19">
        <v>36.482399999999998</v>
      </c>
      <c r="DY19">
        <v>1</v>
      </c>
      <c r="DZ19">
        <v>-0.103951</v>
      </c>
      <c r="EA19">
        <v>-1.4075500000000001</v>
      </c>
      <c r="EB19">
        <v>20.297499999999999</v>
      </c>
      <c r="EC19">
        <v>5.2409499999999998</v>
      </c>
      <c r="ED19">
        <v>12.039899999999999</v>
      </c>
      <c r="EE19">
        <v>5.0164999999999997</v>
      </c>
      <c r="EF19">
        <v>3.2879999999999998</v>
      </c>
      <c r="EG19">
        <v>9999</v>
      </c>
      <c r="EH19">
        <v>9999</v>
      </c>
      <c r="EI19">
        <v>9999</v>
      </c>
      <c r="EJ19">
        <v>999.9</v>
      </c>
      <c r="EK19">
        <v>1.8689</v>
      </c>
      <c r="EL19">
        <v>1.8646199999999999</v>
      </c>
      <c r="EM19">
        <v>1.8691500000000001</v>
      </c>
      <c r="EN19">
        <v>1.8672200000000001</v>
      </c>
      <c r="EO19">
        <v>1.86337</v>
      </c>
      <c r="EP19">
        <v>1.8644700000000001</v>
      </c>
      <c r="EQ19">
        <v>1.8701300000000001</v>
      </c>
      <c r="ER19">
        <v>1.86937</v>
      </c>
      <c r="ES19">
        <v>0</v>
      </c>
      <c r="ET19">
        <v>0</v>
      </c>
      <c r="EU19">
        <v>0</v>
      </c>
      <c r="EV19">
        <v>0</v>
      </c>
      <c r="EW19" t="s">
        <v>334</v>
      </c>
      <c r="EX19" t="s">
        <v>335</v>
      </c>
      <c r="EY19" t="s">
        <v>336</v>
      </c>
      <c r="EZ19" t="s">
        <v>336</v>
      </c>
      <c r="FA19" t="s">
        <v>336</v>
      </c>
      <c r="FB19" t="s">
        <v>336</v>
      </c>
      <c r="FC19">
        <v>0</v>
      </c>
      <c r="FD19">
        <v>100</v>
      </c>
      <c r="FE19">
        <v>100</v>
      </c>
      <c r="FF19">
        <v>-0.34399999999999997</v>
      </c>
      <c r="FG19">
        <v>0.1719</v>
      </c>
      <c r="FH19">
        <v>0.2126736300064915</v>
      </c>
      <c r="FI19">
        <v>-6.1462078757559423E-4</v>
      </c>
      <c r="FJ19">
        <v>-1.8861989874597051E-7</v>
      </c>
      <c r="FK19">
        <v>1.1980462299894961E-10</v>
      </c>
      <c r="FL19">
        <v>0.1719881465068297</v>
      </c>
      <c r="FM19">
        <v>0</v>
      </c>
      <c r="FN19">
        <v>0</v>
      </c>
      <c r="FO19">
        <v>0</v>
      </c>
      <c r="FP19">
        <v>3</v>
      </c>
      <c r="FQ19">
        <v>2158</v>
      </c>
      <c r="FR19">
        <v>1</v>
      </c>
      <c r="FS19">
        <v>19</v>
      </c>
      <c r="FT19">
        <v>8.4</v>
      </c>
      <c r="FU19">
        <v>8.5</v>
      </c>
      <c r="FV19">
        <v>1.79565</v>
      </c>
      <c r="FW19">
        <v>2.5830099999999998</v>
      </c>
      <c r="FX19">
        <v>1.5490699999999999</v>
      </c>
      <c r="FY19">
        <v>2.3290999999999999</v>
      </c>
      <c r="FZ19">
        <v>1.50146</v>
      </c>
      <c r="GA19">
        <v>2.4169900000000002</v>
      </c>
      <c r="GB19">
        <v>33.625399999999999</v>
      </c>
      <c r="GC19">
        <v>24.017499999999998</v>
      </c>
      <c r="GD19">
        <v>19</v>
      </c>
      <c r="GE19">
        <v>281.18200000000002</v>
      </c>
      <c r="GF19">
        <v>604.92100000000005</v>
      </c>
      <c r="GG19">
        <v>28.4009</v>
      </c>
      <c r="GH19">
        <v>26.116199999999999</v>
      </c>
      <c r="GI19">
        <v>30.000299999999999</v>
      </c>
      <c r="GJ19">
        <v>26.180700000000002</v>
      </c>
      <c r="GK19">
        <v>26.148299999999999</v>
      </c>
      <c r="GL19">
        <v>35.9071</v>
      </c>
      <c r="GM19">
        <v>11.2202</v>
      </c>
      <c r="GN19">
        <v>100</v>
      </c>
      <c r="GO19">
        <v>28.404800000000002</v>
      </c>
      <c r="GP19">
        <v>800</v>
      </c>
      <c r="GQ19">
        <v>22.065100000000001</v>
      </c>
      <c r="GR19">
        <v>99.799599999999998</v>
      </c>
      <c r="GS19">
        <v>99.665700000000001</v>
      </c>
    </row>
    <row r="20" spans="1:201" x14ac:dyDescent="0.25">
      <c r="A20">
        <v>4</v>
      </c>
      <c r="B20">
        <v>1690232508.0999999</v>
      </c>
      <c r="C20">
        <v>2</v>
      </c>
      <c r="D20" t="s">
        <v>339</v>
      </c>
      <c r="E20" t="s">
        <v>340</v>
      </c>
      <c r="F20" t="s">
        <v>330</v>
      </c>
      <c r="H20">
        <v>1690232508.0999999</v>
      </c>
      <c r="I20">
        <f t="shared" si="0"/>
        <v>1.0450216501986942E-4</v>
      </c>
      <c r="J20">
        <f t="shared" si="1"/>
        <v>0.10450216501986942</v>
      </c>
      <c r="K20">
        <f t="shared" si="2"/>
        <v>-0.70981790564773273</v>
      </c>
      <c r="L20">
        <f t="shared" si="3"/>
        <v>806.76400000000001</v>
      </c>
      <c r="M20">
        <f t="shared" si="4"/>
        <v>927.18209601108003</v>
      </c>
      <c r="N20">
        <f t="shared" si="5"/>
        <v>91.897536621194106</v>
      </c>
      <c r="O20">
        <f t="shared" si="6"/>
        <v>79.962312207736005</v>
      </c>
      <c r="P20">
        <f t="shared" si="7"/>
        <v>8.2427192471373565E-3</v>
      </c>
      <c r="Q20">
        <f t="shared" si="8"/>
        <v>2.1285369211048737</v>
      </c>
      <c r="R20">
        <f t="shared" si="9"/>
        <v>8.2250271412458824E-3</v>
      </c>
      <c r="S20">
        <f t="shared" si="10"/>
        <v>5.1422283330264818E-3</v>
      </c>
      <c r="T20">
        <f t="shared" si="11"/>
        <v>0</v>
      </c>
      <c r="U20">
        <f t="shared" si="12"/>
        <v>26.727128746681952</v>
      </c>
      <c r="V20">
        <f t="shared" si="13"/>
        <v>26.727128746681952</v>
      </c>
      <c r="W20">
        <f t="shared" si="14"/>
        <v>3.5221982934374827</v>
      </c>
      <c r="X20">
        <f t="shared" si="15"/>
        <v>65.157055936185131</v>
      </c>
      <c r="Y20">
        <f t="shared" si="16"/>
        <v>2.2998912707582</v>
      </c>
      <c r="Z20">
        <f t="shared" si="17"/>
        <v>3.529765483895889</v>
      </c>
      <c r="AA20">
        <f t="shared" si="18"/>
        <v>1.2223070226792827</v>
      </c>
      <c r="AB20">
        <f t="shared" si="19"/>
        <v>-4.6085454773762411</v>
      </c>
      <c r="AC20">
        <f t="shared" si="20"/>
        <v>4.1852106232937407</v>
      </c>
      <c r="AD20">
        <f t="shared" si="21"/>
        <v>0.42325760170569743</v>
      </c>
      <c r="AE20">
        <f t="shared" si="22"/>
        <v>-7.7252376803116363E-5</v>
      </c>
      <c r="AF20">
        <v>0</v>
      </c>
      <c r="AG20">
        <v>0</v>
      </c>
      <c r="AH20">
        <f t="shared" si="23"/>
        <v>1</v>
      </c>
      <c r="AI20">
        <f t="shared" si="24"/>
        <v>0</v>
      </c>
      <c r="AJ20">
        <f t="shared" si="25"/>
        <v>52328.399041646029</v>
      </c>
      <c r="AK20">
        <f t="shared" si="26"/>
        <v>0</v>
      </c>
      <c r="AL20">
        <f t="shared" si="27"/>
        <v>0</v>
      </c>
      <c r="AM20">
        <f t="shared" si="28"/>
        <v>0</v>
      </c>
      <c r="AN20">
        <f t="shared" si="29"/>
        <v>0</v>
      </c>
      <c r="AO20">
        <v>32.4</v>
      </c>
      <c r="AP20">
        <v>0.5</v>
      </c>
      <c r="AQ20" t="s">
        <v>331</v>
      </c>
      <c r="AR20">
        <v>2</v>
      </c>
      <c r="AS20">
        <v>1690232508.0999999</v>
      </c>
      <c r="AT20">
        <v>806.76400000000001</v>
      </c>
      <c r="AU20">
        <v>800.01300000000003</v>
      </c>
      <c r="AV20">
        <v>23.2043</v>
      </c>
      <c r="AW20">
        <v>22.102599999999999</v>
      </c>
      <c r="AX20">
        <v>807.10799999999995</v>
      </c>
      <c r="AY20">
        <v>23.032299999999999</v>
      </c>
      <c r="AZ20">
        <v>300.2</v>
      </c>
      <c r="BA20">
        <v>99.014799999999994</v>
      </c>
      <c r="BB20">
        <v>0.100074</v>
      </c>
      <c r="BC20">
        <v>26.7636</v>
      </c>
      <c r="BD20">
        <v>26.998799999999999</v>
      </c>
      <c r="BE20">
        <v>26.837199999999999</v>
      </c>
      <c r="BF20">
        <v>0</v>
      </c>
      <c r="BG20">
        <v>0</v>
      </c>
      <c r="BH20">
        <v>9986.25</v>
      </c>
      <c r="BI20">
        <v>0.67632499999999995</v>
      </c>
      <c r="BJ20">
        <v>1.02321</v>
      </c>
      <c r="BK20">
        <v>6.7514000000000003</v>
      </c>
      <c r="BL20">
        <v>825.92899999999997</v>
      </c>
      <c r="BM20">
        <v>818.09500000000003</v>
      </c>
      <c r="BN20">
        <v>1.10168</v>
      </c>
      <c r="BO20">
        <v>800.01300000000003</v>
      </c>
      <c r="BP20">
        <v>22.102599999999999</v>
      </c>
      <c r="BQ20">
        <v>2.2975699999999999</v>
      </c>
      <c r="BR20">
        <v>2.1884899999999998</v>
      </c>
      <c r="BS20">
        <v>19.659400000000002</v>
      </c>
      <c r="BT20">
        <v>18.878299999999999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26</v>
      </c>
      <c r="CA20">
        <v>0</v>
      </c>
      <c r="CB20">
        <v>1690232006</v>
      </c>
      <c r="CC20" t="s">
        <v>332</v>
      </c>
      <c r="CD20">
        <v>1690232006</v>
      </c>
      <c r="CE20">
        <v>1690231998.5</v>
      </c>
      <c r="CF20">
        <v>14</v>
      </c>
      <c r="CG20">
        <v>-0.13200000000000001</v>
      </c>
      <c r="CH20">
        <v>-7.0000000000000001E-3</v>
      </c>
      <c r="CI20">
        <v>-0.33800000000000002</v>
      </c>
      <c r="CJ20">
        <v>0.14299999999999999</v>
      </c>
      <c r="CK20">
        <v>799</v>
      </c>
      <c r="CL20">
        <v>19</v>
      </c>
      <c r="CM20">
        <v>7.0000000000000007E-2</v>
      </c>
      <c r="CN20">
        <v>0.14000000000000001</v>
      </c>
      <c r="CO20">
        <v>6.7396851219512186</v>
      </c>
      <c r="CP20">
        <v>0.17949407665506811</v>
      </c>
      <c r="CQ20">
        <v>2.6509940254595091E-2</v>
      </c>
      <c r="CR20">
        <v>-1</v>
      </c>
      <c r="CS20">
        <v>1.1104380487804879</v>
      </c>
      <c r="CT20">
        <v>-5.2611846689894E-2</v>
      </c>
      <c r="CU20">
        <v>5.2359653148305284E-3</v>
      </c>
      <c r="CV20">
        <v>-1</v>
      </c>
      <c r="CW20">
        <v>0</v>
      </c>
      <c r="CX20">
        <v>0</v>
      </c>
      <c r="CY20" t="s">
        <v>333</v>
      </c>
      <c r="CZ20">
        <v>2.3646699999999998</v>
      </c>
      <c r="DA20">
        <v>2.7138499999999999</v>
      </c>
      <c r="DB20">
        <v>0.14757400000000001</v>
      </c>
      <c r="DC20">
        <v>0.14638300000000001</v>
      </c>
      <c r="DD20">
        <v>0.111247</v>
      </c>
      <c r="DE20">
        <v>0.105882</v>
      </c>
      <c r="DF20">
        <v>31144.2</v>
      </c>
      <c r="DG20">
        <v>27536.400000000001</v>
      </c>
      <c r="DH20">
        <v>31189.9</v>
      </c>
      <c r="DI20">
        <v>28107.7</v>
      </c>
      <c r="DJ20">
        <v>37638.699999999997</v>
      </c>
      <c r="DK20">
        <v>35737.1</v>
      </c>
      <c r="DL20">
        <v>44390.2</v>
      </c>
      <c r="DM20">
        <v>42605.599999999999</v>
      </c>
      <c r="DN20">
        <v>1.4739500000000001</v>
      </c>
      <c r="DO20">
        <v>2.0649000000000002</v>
      </c>
      <c r="DP20">
        <v>8.6411799999999997E-2</v>
      </c>
      <c r="DQ20">
        <v>6.9607000000000002E-2</v>
      </c>
      <c r="DR20">
        <v>25.584</v>
      </c>
      <c r="DS20">
        <v>25.697500000000002</v>
      </c>
      <c r="DT20">
        <v>55.6</v>
      </c>
      <c r="DU20">
        <v>29.2</v>
      </c>
      <c r="DV20">
        <v>22.845400000000001</v>
      </c>
      <c r="DW20">
        <v>62.078000000000003</v>
      </c>
      <c r="DX20">
        <v>35.737200000000001</v>
      </c>
      <c r="DY20">
        <v>1</v>
      </c>
      <c r="DZ20">
        <v>-0.10399600000000001</v>
      </c>
      <c r="EA20">
        <v>-1.4098999999999999</v>
      </c>
      <c r="EB20">
        <v>20.297499999999999</v>
      </c>
      <c r="EC20">
        <v>5.2411000000000003</v>
      </c>
      <c r="ED20">
        <v>12.039899999999999</v>
      </c>
      <c r="EE20">
        <v>5.01675</v>
      </c>
      <c r="EF20">
        <v>3.2879999999999998</v>
      </c>
      <c r="EG20">
        <v>9999</v>
      </c>
      <c r="EH20">
        <v>9999</v>
      </c>
      <c r="EI20">
        <v>9999</v>
      </c>
      <c r="EJ20">
        <v>999.9</v>
      </c>
      <c r="EK20">
        <v>1.8689</v>
      </c>
      <c r="EL20">
        <v>1.8646199999999999</v>
      </c>
      <c r="EM20">
        <v>1.86914</v>
      </c>
      <c r="EN20">
        <v>1.8672200000000001</v>
      </c>
      <c r="EO20">
        <v>1.86337</v>
      </c>
      <c r="EP20">
        <v>1.8644700000000001</v>
      </c>
      <c r="EQ20">
        <v>1.8701300000000001</v>
      </c>
      <c r="ER20">
        <v>1.86937</v>
      </c>
      <c r="ES20">
        <v>0</v>
      </c>
      <c r="ET20">
        <v>0</v>
      </c>
      <c r="EU20">
        <v>0</v>
      </c>
      <c r="EV20">
        <v>0</v>
      </c>
      <c r="EW20" t="s">
        <v>334</v>
      </c>
      <c r="EX20" t="s">
        <v>335</v>
      </c>
      <c r="EY20" t="s">
        <v>336</v>
      </c>
      <c r="EZ20" t="s">
        <v>336</v>
      </c>
      <c r="FA20" t="s">
        <v>336</v>
      </c>
      <c r="FB20" t="s">
        <v>336</v>
      </c>
      <c r="FC20">
        <v>0</v>
      </c>
      <c r="FD20">
        <v>100</v>
      </c>
      <c r="FE20">
        <v>100</v>
      </c>
      <c r="FF20">
        <v>-0.34399999999999997</v>
      </c>
      <c r="FG20">
        <v>0.17199999999999999</v>
      </c>
      <c r="FH20">
        <v>0.2126736300064915</v>
      </c>
      <c r="FI20">
        <v>-6.1462078757559423E-4</v>
      </c>
      <c r="FJ20">
        <v>-1.8861989874597051E-7</v>
      </c>
      <c r="FK20">
        <v>1.1980462299894961E-10</v>
      </c>
      <c r="FL20">
        <v>0.1719881465068297</v>
      </c>
      <c r="FM20">
        <v>0</v>
      </c>
      <c r="FN20">
        <v>0</v>
      </c>
      <c r="FO20">
        <v>0</v>
      </c>
      <c r="FP20">
        <v>3</v>
      </c>
      <c r="FQ20">
        <v>2158</v>
      </c>
      <c r="FR20">
        <v>1</v>
      </c>
      <c r="FS20">
        <v>19</v>
      </c>
      <c r="FT20">
        <v>8.4</v>
      </c>
      <c r="FU20">
        <v>8.5</v>
      </c>
      <c r="FV20">
        <v>1.79565</v>
      </c>
      <c r="FW20">
        <v>2.5891099999999998</v>
      </c>
      <c r="FX20">
        <v>1.5490699999999999</v>
      </c>
      <c r="FY20">
        <v>2.3290999999999999</v>
      </c>
      <c r="FZ20">
        <v>1.50146</v>
      </c>
      <c r="GA20">
        <v>2.3803700000000001</v>
      </c>
      <c r="GB20">
        <v>33.625399999999999</v>
      </c>
      <c r="GC20">
        <v>24.017499999999998</v>
      </c>
      <c r="GD20">
        <v>19</v>
      </c>
      <c r="GE20">
        <v>281.17099999999999</v>
      </c>
      <c r="GF20">
        <v>604.85699999999997</v>
      </c>
      <c r="GG20">
        <v>28.400400000000001</v>
      </c>
      <c r="GH20">
        <v>26.116199999999999</v>
      </c>
      <c r="GI20">
        <v>30.000299999999999</v>
      </c>
      <c r="GJ20">
        <v>26.180700000000002</v>
      </c>
      <c r="GK20">
        <v>26.148299999999999</v>
      </c>
      <c r="GL20">
        <v>35.908099999999997</v>
      </c>
      <c r="GM20">
        <v>11.2202</v>
      </c>
      <c r="GN20">
        <v>100</v>
      </c>
      <c r="GO20">
        <v>28.404800000000002</v>
      </c>
      <c r="GP20">
        <v>800</v>
      </c>
      <c r="GQ20">
        <v>22.0642</v>
      </c>
      <c r="GR20">
        <v>99.799700000000001</v>
      </c>
      <c r="GS20">
        <v>99.665499999999994</v>
      </c>
    </row>
    <row r="21" spans="1:201" x14ac:dyDescent="0.25">
      <c r="A21">
        <v>5</v>
      </c>
      <c r="B21">
        <v>1690232509.5999999</v>
      </c>
      <c r="C21">
        <v>3.5</v>
      </c>
      <c r="D21" t="s">
        <v>341</v>
      </c>
      <c r="E21" t="s">
        <v>342</v>
      </c>
      <c r="F21" t="s">
        <v>330</v>
      </c>
      <c r="H21">
        <v>1690232509.5999999</v>
      </c>
      <c r="I21">
        <f t="shared" si="0"/>
        <v>1.0434256756181353E-4</v>
      </c>
      <c r="J21">
        <f t="shared" si="1"/>
        <v>0.10434256756181354</v>
      </c>
      <c r="K21">
        <f t="shared" si="2"/>
        <v>-0.70862366348829231</v>
      </c>
      <c r="L21">
        <f t="shared" si="3"/>
        <v>806.75900000000001</v>
      </c>
      <c r="M21">
        <f t="shared" si="4"/>
        <v>927.18315184382186</v>
      </c>
      <c r="N21">
        <f t="shared" si="5"/>
        <v>91.897301920889703</v>
      </c>
      <c r="O21">
        <f t="shared" si="6"/>
        <v>79.961521359572004</v>
      </c>
      <c r="P21">
        <f t="shared" si="7"/>
        <v>8.2282206253070714E-3</v>
      </c>
      <c r="Q21">
        <f t="shared" si="8"/>
        <v>2.1293348775150278</v>
      </c>
      <c r="R21">
        <f t="shared" si="9"/>
        <v>8.2105972237202108E-3</v>
      </c>
      <c r="S21">
        <f t="shared" si="10"/>
        <v>5.1332034808637544E-3</v>
      </c>
      <c r="T21">
        <f t="shared" si="11"/>
        <v>0</v>
      </c>
      <c r="U21">
        <f t="shared" si="12"/>
        <v>26.72759685297439</v>
      </c>
      <c r="V21">
        <f t="shared" si="13"/>
        <v>26.72759685297439</v>
      </c>
      <c r="W21">
        <f t="shared" si="14"/>
        <v>3.522295328063239</v>
      </c>
      <c r="X21">
        <f t="shared" si="15"/>
        <v>65.150508494543118</v>
      </c>
      <c r="Y21">
        <f t="shared" si="16"/>
        <v>2.2997142833208</v>
      </c>
      <c r="Z21">
        <f t="shared" si="17"/>
        <v>3.5298485559992514</v>
      </c>
      <c r="AA21">
        <f t="shared" si="18"/>
        <v>1.222581044742439</v>
      </c>
      <c r="AB21">
        <f t="shared" si="19"/>
        <v>-4.6015072294759767</v>
      </c>
      <c r="AC21">
        <f t="shared" si="20"/>
        <v>4.1789612179246927</v>
      </c>
      <c r="AD21">
        <f t="shared" si="21"/>
        <v>0.42246904720969602</v>
      </c>
      <c r="AE21">
        <f t="shared" si="22"/>
        <v>-7.696434158788179E-5</v>
      </c>
      <c r="AF21">
        <v>0</v>
      </c>
      <c r="AG21">
        <v>0</v>
      </c>
      <c r="AH21">
        <f t="shared" si="23"/>
        <v>1</v>
      </c>
      <c r="AI21">
        <f t="shared" si="24"/>
        <v>0</v>
      </c>
      <c r="AJ21">
        <f t="shared" si="25"/>
        <v>52362.706709809296</v>
      </c>
      <c r="AK21">
        <f t="shared" si="26"/>
        <v>0</v>
      </c>
      <c r="AL21">
        <f t="shared" si="27"/>
        <v>0</v>
      </c>
      <c r="AM21">
        <f t="shared" si="28"/>
        <v>0</v>
      </c>
      <c r="AN21">
        <f t="shared" si="29"/>
        <v>0</v>
      </c>
      <c r="AO21">
        <v>32.4</v>
      </c>
      <c r="AP21">
        <v>0.5</v>
      </c>
      <c r="AQ21" t="s">
        <v>331</v>
      </c>
      <c r="AR21">
        <v>2</v>
      </c>
      <c r="AS21">
        <v>1690232509.5999999</v>
      </c>
      <c r="AT21">
        <v>806.75900000000001</v>
      </c>
      <c r="AU21">
        <v>800.01900000000001</v>
      </c>
      <c r="AV21">
        <v>23.2026</v>
      </c>
      <c r="AW21">
        <v>22.102499999999999</v>
      </c>
      <c r="AX21">
        <v>807.10299999999995</v>
      </c>
      <c r="AY21">
        <v>23.0306</v>
      </c>
      <c r="AZ21">
        <v>300.178</v>
      </c>
      <c r="BA21">
        <v>99.014499999999998</v>
      </c>
      <c r="BB21">
        <v>0.100008</v>
      </c>
      <c r="BC21">
        <v>26.763999999999999</v>
      </c>
      <c r="BD21">
        <v>26.995999999999999</v>
      </c>
      <c r="BE21">
        <v>26.835799999999999</v>
      </c>
      <c r="BF21">
        <v>0</v>
      </c>
      <c r="BG21">
        <v>0</v>
      </c>
      <c r="BH21">
        <v>9993.1200000000008</v>
      </c>
      <c r="BI21">
        <v>0.67632800000000004</v>
      </c>
      <c r="BJ21">
        <v>0.95312399999999997</v>
      </c>
      <c r="BK21">
        <v>6.7403000000000004</v>
      </c>
      <c r="BL21">
        <v>825.923</v>
      </c>
      <c r="BM21">
        <v>818.101</v>
      </c>
      <c r="BN21">
        <v>1.1001700000000001</v>
      </c>
      <c r="BO21">
        <v>800.01900000000001</v>
      </c>
      <c r="BP21">
        <v>22.102499999999999</v>
      </c>
      <c r="BQ21">
        <v>2.29739</v>
      </c>
      <c r="BR21">
        <v>2.1884600000000001</v>
      </c>
      <c r="BS21">
        <v>19.658100000000001</v>
      </c>
      <c r="BT21">
        <v>18.8781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26</v>
      </c>
      <c r="CA21">
        <v>0</v>
      </c>
      <c r="CB21">
        <v>1690232006</v>
      </c>
      <c r="CC21" t="s">
        <v>332</v>
      </c>
      <c r="CD21">
        <v>1690232006</v>
      </c>
      <c r="CE21">
        <v>1690231998.5</v>
      </c>
      <c r="CF21">
        <v>14</v>
      </c>
      <c r="CG21">
        <v>-0.13200000000000001</v>
      </c>
      <c r="CH21">
        <v>-7.0000000000000001E-3</v>
      </c>
      <c r="CI21">
        <v>-0.33800000000000002</v>
      </c>
      <c r="CJ21">
        <v>0.14299999999999999</v>
      </c>
      <c r="CK21">
        <v>799</v>
      </c>
      <c r="CL21">
        <v>19</v>
      </c>
      <c r="CM21">
        <v>7.0000000000000007E-2</v>
      </c>
      <c r="CN21">
        <v>0.14000000000000001</v>
      </c>
      <c r="CO21">
        <v>6.7419539999999998</v>
      </c>
      <c r="CP21">
        <v>0.14651662288928249</v>
      </c>
      <c r="CQ21">
        <v>2.564790086927193E-2</v>
      </c>
      <c r="CR21">
        <v>-1</v>
      </c>
      <c r="CS21">
        <v>1.10884125</v>
      </c>
      <c r="CT21">
        <v>-5.0807617260789577E-2</v>
      </c>
      <c r="CU21">
        <v>4.9283228321103309E-3</v>
      </c>
      <c r="CV21">
        <v>-1</v>
      </c>
      <c r="CW21">
        <v>0</v>
      </c>
      <c r="CX21">
        <v>0</v>
      </c>
      <c r="CY21" t="s">
        <v>333</v>
      </c>
      <c r="CZ21">
        <v>2.3645900000000002</v>
      </c>
      <c r="DA21">
        <v>2.7137899999999999</v>
      </c>
      <c r="DB21">
        <v>0.14757300000000001</v>
      </c>
      <c r="DC21">
        <v>0.14638300000000001</v>
      </c>
      <c r="DD21">
        <v>0.11124100000000001</v>
      </c>
      <c r="DE21">
        <v>0.105881</v>
      </c>
      <c r="DF21">
        <v>31144.3</v>
      </c>
      <c r="DG21">
        <v>27536.400000000001</v>
      </c>
      <c r="DH21">
        <v>31190</v>
      </c>
      <c r="DI21">
        <v>28107.7</v>
      </c>
      <c r="DJ21">
        <v>37639.1</v>
      </c>
      <c r="DK21">
        <v>35737.199999999997</v>
      </c>
      <c r="DL21">
        <v>44390.400000000001</v>
      </c>
      <c r="DM21">
        <v>42605.7</v>
      </c>
      <c r="DN21">
        <v>1.47403</v>
      </c>
      <c r="DO21">
        <v>2.0649500000000001</v>
      </c>
      <c r="DP21">
        <v>8.6225599999999999E-2</v>
      </c>
      <c r="DQ21">
        <v>6.9566100000000006E-2</v>
      </c>
      <c r="DR21">
        <v>25.584299999999999</v>
      </c>
      <c r="DS21">
        <v>25.6967</v>
      </c>
      <c r="DT21">
        <v>55.6</v>
      </c>
      <c r="DU21">
        <v>29.2</v>
      </c>
      <c r="DV21">
        <v>22.846599999999999</v>
      </c>
      <c r="DW21">
        <v>62.218000000000004</v>
      </c>
      <c r="DX21">
        <v>36.514400000000002</v>
      </c>
      <c r="DY21">
        <v>1</v>
      </c>
      <c r="DZ21">
        <v>-0.104111</v>
      </c>
      <c r="EA21">
        <v>-1.4152800000000001</v>
      </c>
      <c r="EB21">
        <v>20.297499999999999</v>
      </c>
      <c r="EC21">
        <v>5.2411000000000003</v>
      </c>
      <c r="ED21">
        <v>12.039899999999999</v>
      </c>
      <c r="EE21">
        <v>5.0166000000000004</v>
      </c>
      <c r="EF21">
        <v>3.2879999999999998</v>
      </c>
      <c r="EG21">
        <v>9999</v>
      </c>
      <c r="EH21">
        <v>9999</v>
      </c>
      <c r="EI21">
        <v>9999</v>
      </c>
      <c r="EJ21">
        <v>999.9</v>
      </c>
      <c r="EK21">
        <v>1.8689</v>
      </c>
      <c r="EL21">
        <v>1.8646199999999999</v>
      </c>
      <c r="EM21">
        <v>1.86914</v>
      </c>
      <c r="EN21">
        <v>1.86721</v>
      </c>
      <c r="EO21">
        <v>1.86337</v>
      </c>
      <c r="EP21">
        <v>1.8644700000000001</v>
      </c>
      <c r="EQ21">
        <v>1.8701300000000001</v>
      </c>
      <c r="ER21">
        <v>1.86937</v>
      </c>
      <c r="ES21">
        <v>0</v>
      </c>
      <c r="ET21">
        <v>0</v>
      </c>
      <c r="EU21">
        <v>0</v>
      </c>
      <c r="EV21">
        <v>0</v>
      </c>
      <c r="EW21" t="s">
        <v>334</v>
      </c>
      <c r="EX21" t="s">
        <v>335</v>
      </c>
      <c r="EY21" t="s">
        <v>336</v>
      </c>
      <c r="EZ21" t="s">
        <v>336</v>
      </c>
      <c r="FA21" t="s">
        <v>336</v>
      </c>
      <c r="FB21" t="s">
        <v>336</v>
      </c>
      <c r="FC21">
        <v>0</v>
      </c>
      <c r="FD21">
        <v>100</v>
      </c>
      <c r="FE21">
        <v>100</v>
      </c>
      <c r="FF21">
        <v>-0.34399999999999997</v>
      </c>
      <c r="FG21">
        <v>0.17199999999999999</v>
      </c>
      <c r="FH21">
        <v>0.2126736300064915</v>
      </c>
      <c r="FI21">
        <v>-6.1462078757559423E-4</v>
      </c>
      <c r="FJ21">
        <v>-1.8861989874597051E-7</v>
      </c>
      <c r="FK21">
        <v>1.1980462299894961E-10</v>
      </c>
      <c r="FL21">
        <v>0.1719881465068297</v>
      </c>
      <c r="FM21">
        <v>0</v>
      </c>
      <c r="FN21">
        <v>0</v>
      </c>
      <c r="FO21">
        <v>0</v>
      </c>
      <c r="FP21">
        <v>3</v>
      </c>
      <c r="FQ21">
        <v>2158</v>
      </c>
      <c r="FR21">
        <v>1</v>
      </c>
      <c r="FS21">
        <v>19</v>
      </c>
      <c r="FT21">
        <v>8.4</v>
      </c>
      <c r="FU21">
        <v>8.5</v>
      </c>
      <c r="FV21">
        <v>1.79565</v>
      </c>
      <c r="FW21">
        <v>2.5878899999999998</v>
      </c>
      <c r="FX21">
        <v>1.5490699999999999</v>
      </c>
      <c r="FY21">
        <v>2.3290999999999999</v>
      </c>
      <c r="FZ21">
        <v>1.50146</v>
      </c>
      <c r="GA21">
        <v>2.3950200000000001</v>
      </c>
      <c r="GB21">
        <v>33.625399999999999</v>
      </c>
      <c r="GC21">
        <v>24.026199999999999</v>
      </c>
      <c r="GD21">
        <v>19</v>
      </c>
      <c r="GE21">
        <v>281.20299999999997</v>
      </c>
      <c r="GF21">
        <v>604.9</v>
      </c>
      <c r="GG21">
        <v>28.3992</v>
      </c>
      <c r="GH21">
        <v>26.116199999999999</v>
      </c>
      <c r="GI21">
        <v>30.0001</v>
      </c>
      <c r="GJ21">
        <v>26.180700000000002</v>
      </c>
      <c r="GK21">
        <v>26.148299999999999</v>
      </c>
      <c r="GL21">
        <v>35.9069</v>
      </c>
      <c r="GM21">
        <v>11.2202</v>
      </c>
      <c r="GN21">
        <v>100</v>
      </c>
      <c r="GO21">
        <v>28.404800000000002</v>
      </c>
      <c r="GP21">
        <v>800</v>
      </c>
      <c r="GQ21">
        <v>22.060199999999998</v>
      </c>
      <c r="GR21">
        <v>99.800200000000004</v>
      </c>
      <c r="GS21">
        <v>99.665700000000001</v>
      </c>
    </row>
    <row r="22" spans="1:201" x14ac:dyDescent="0.25">
      <c r="A22">
        <v>6</v>
      </c>
      <c r="B22">
        <v>1690232624.5999999</v>
      </c>
      <c r="C22">
        <v>118.5</v>
      </c>
      <c r="D22" t="s">
        <v>343</v>
      </c>
      <c r="E22" t="s">
        <v>344</v>
      </c>
      <c r="F22" t="s">
        <v>330</v>
      </c>
      <c r="H22">
        <v>1690232624.5999999</v>
      </c>
      <c r="I22">
        <f t="shared" si="0"/>
        <v>1.0851268936501925E-4</v>
      </c>
      <c r="J22">
        <f t="shared" si="1"/>
        <v>0.10851268936501925</v>
      </c>
      <c r="K22">
        <f t="shared" si="2"/>
        <v>-0.67804284637536483</v>
      </c>
      <c r="L22">
        <f t="shared" si="3"/>
        <v>806.34199999999998</v>
      </c>
      <c r="M22">
        <f t="shared" si="4"/>
        <v>968.98274092959105</v>
      </c>
      <c r="N22">
        <f t="shared" si="5"/>
        <v>96.047530502008712</v>
      </c>
      <c r="O22">
        <f t="shared" si="6"/>
        <v>79.926251076208004</v>
      </c>
      <c r="P22">
        <f t="shared" si="7"/>
        <v>5.7300683927700314E-3</v>
      </c>
      <c r="Q22">
        <f t="shared" si="8"/>
        <v>2.1313204559859624</v>
      </c>
      <c r="R22">
        <f t="shared" si="9"/>
        <v>5.7215236614574878E-3</v>
      </c>
      <c r="S22">
        <f t="shared" si="10"/>
        <v>3.5767189203837636E-3</v>
      </c>
      <c r="T22">
        <f t="shared" si="11"/>
        <v>276.07708673387498</v>
      </c>
      <c r="U22">
        <f t="shared" si="12"/>
        <v>29.416705125421576</v>
      </c>
      <c r="V22">
        <f t="shared" si="13"/>
        <v>29.416705125421576</v>
      </c>
      <c r="W22">
        <f t="shared" si="14"/>
        <v>4.1197747053460239</v>
      </c>
      <c r="X22">
        <f t="shared" si="15"/>
        <v>63.25905017361837</v>
      </c>
      <c r="Y22">
        <f t="shared" si="16"/>
        <v>2.3007411234688</v>
      </c>
      <c r="Z22">
        <f t="shared" si="17"/>
        <v>3.6370149680627102</v>
      </c>
      <c r="AA22">
        <f t="shared" si="18"/>
        <v>1.8190335818772239</v>
      </c>
      <c r="AB22">
        <f t="shared" si="19"/>
        <v>-4.7854096009973484</v>
      </c>
      <c r="AC22">
        <f t="shared" si="20"/>
        <v>-246.28528330025657</v>
      </c>
      <c r="AD22">
        <f t="shared" si="21"/>
        <v>-25.275420515944727</v>
      </c>
      <c r="AE22">
        <f t="shared" si="22"/>
        <v>-0.2690266833236592</v>
      </c>
      <c r="AF22">
        <v>0</v>
      </c>
      <c r="AG22">
        <v>0</v>
      </c>
      <c r="AH22">
        <f t="shared" si="23"/>
        <v>1</v>
      </c>
      <c r="AI22">
        <f t="shared" si="24"/>
        <v>0</v>
      </c>
      <c r="AJ22">
        <f t="shared" si="25"/>
        <v>52359.533399153195</v>
      </c>
      <c r="AK22">
        <f t="shared" si="26"/>
        <v>1799.75</v>
      </c>
      <c r="AL22">
        <f t="shared" si="27"/>
        <v>1498.903034105</v>
      </c>
      <c r="AM22">
        <f t="shared" si="28"/>
        <v>0.83283958000000002</v>
      </c>
      <c r="AN22">
        <f t="shared" si="29"/>
        <v>0.1533974645</v>
      </c>
      <c r="AO22">
        <v>32.4</v>
      </c>
      <c r="AP22">
        <v>0.5</v>
      </c>
      <c r="AQ22" t="s">
        <v>331</v>
      </c>
      <c r="AR22">
        <v>2</v>
      </c>
      <c r="AS22">
        <v>1690232624.5999999</v>
      </c>
      <c r="AT22">
        <v>806.34199999999998</v>
      </c>
      <c r="AU22">
        <v>799.971</v>
      </c>
      <c r="AV22">
        <v>23.211200000000002</v>
      </c>
      <c r="AW22">
        <v>22.067699999999999</v>
      </c>
      <c r="AX22">
        <v>806.68499999999995</v>
      </c>
      <c r="AY22">
        <v>23.039200000000001</v>
      </c>
      <c r="AZ22">
        <v>300.32400000000001</v>
      </c>
      <c r="BA22">
        <v>99.022000000000006</v>
      </c>
      <c r="BB22">
        <v>0.100024</v>
      </c>
      <c r="BC22">
        <v>27.273299999999999</v>
      </c>
      <c r="BD22">
        <v>27.4254</v>
      </c>
      <c r="BE22">
        <v>28.610900000000001</v>
      </c>
      <c r="BF22">
        <v>0</v>
      </c>
      <c r="BG22">
        <v>0</v>
      </c>
      <c r="BH22">
        <v>10009.4</v>
      </c>
      <c r="BI22">
        <v>1072.45</v>
      </c>
      <c r="BJ22">
        <v>1.2054199999999999</v>
      </c>
      <c r="BK22">
        <v>6.3718300000000001</v>
      </c>
      <c r="BL22">
        <v>825.50300000000004</v>
      </c>
      <c r="BM22">
        <v>818.02200000000005</v>
      </c>
      <c r="BN22">
        <v>1.14344</v>
      </c>
      <c r="BO22">
        <v>799.971</v>
      </c>
      <c r="BP22">
        <v>22.067699999999999</v>
      </c>
      <c r="BQ22">
        <v>2.2984200000000001</v>
      </c>
      <c r="BR22">
        <v>2.18519</v>
      </c>
      <c r="BS22">
        <v>19.665299999999998</v>
      </c>
      <c r="BT22">
        <v>18.854199999999999</v>
      </c>
      <c r="BU22">
        <v>1799.75</v>
      </c>
      <c r="BV22">
        <v>0.90999600000000003</v>
      </c>
      <c r="BW22">
        <v>3.4000599999999999E-2</v>
      </c>
      <c r="BX22">
        <v>2.2001E-2</v>
      </c>
      <c r="BY22">
        <v>3.4002200000000003E-2</v>
      </c>
      <c r="BZ22">
        <v>26</v>
      </c>
      <c r="CA22">
        <v>33523.599999999999</v>
      </c>
      <c r="CB22">
        <v>1690232006</v>
      </c>
      <c r="CC22" t="s">
        <v>332</v>
      </c>
      <c r="CD22">
        <v>1690232006</v>
      </c>
      <c r="CE22">
        <v>1690231998.5</v>
      </c>
      <c r="CF22">
        <v>14</v>
      </c>
      <c r="CG22">
        <v>-0.13200000000000001</v>
      </c>
      <c r="CH22">
        <v>-7.0000000000000001E-3</v>
      </c>
      <c r="CI22">
        <v>-0.33800000000000002</v>
      </c>
      <c r="CJ22">
        <v>0.14299999999999999</v>
      </c>
      <c r="CK22">
        <v>799</v>
      </c>
      <c r="CL22">
        <v>19</v>
      </c>
      <c r="CM22">
        <v>7.0000000000000007E-2</v>
      </c>
      <c r="CN22">
        <v>0.14000000000000001</v>
      </c>
      <c r="CO22">
        <v>6.7534168292682928</v>
      </c>
      <c r="CP22">
        <v>-0.6685271080139229</v>
      </c>
      <c r="CQ22">
        <v>8.6376469962121061E-2</v>
      </c>
      <c r="CR22">
        <v>-1</v>
      </c>
      <c r="CS22">
        <v>1.1004187804878049</v>
      </c>
      <c r="CT22">
        <v>6.8006132404183989E-2</v>
      </c>
      <c r="CU22">
        <v>9.6008033696174788E-3</v>
      </c>
      <c r="CV22">
        <v>-1</v>
      </c>
      <c r="CW22">
        <v>0</v>
      </c>
      <c r="CX22">
        <v>0</v>
      </c>
      <c r="CY22" t="s">
        <v>333</v>
      </c>
      <c r="CZ22">
        <v>2.3650600000000002</v>
      </c>
      <c r="DA22">
        <v>2.7138300000000002</v>
      </c>
      <c r="DB22">
        <v>0.14752899999999999</v>
      </c>
      <c r="DC22">
        <v>0.14638300000000001</v>
      </c>
      <c r="DD22">
        <v>0.111275</v>
      </c>
      <c r="DE22">
        <v>0.105769</v>
      </c>
      <c r="DF22">
        <v>31145.3</v>
      </c>
      <c r="DG22">
        <v>27535</v>
      </c>
      <c r="DH22">
        <v>31189.4</v>
      </c>
      <c r="DI22">
        <v>28106.2</v>
      </c>
      <c r="DJ22">
        <v>37636.800000000003</v>
      </c>
      <c r="DK22">
        <v>35739.9</v>
      </c>
      <c r="DL22">
        <v>44389.5</v>
      </c>
      <c r="DM22">
        <v>42603.5</v>
      </c>
      <c r="DN22">
        <v>1.47672</v>
      </c>
      <c r="DO22">
        <v>2.0647500000000001</v>
      </c>
      <c r="DP22">
        <v>0.110842</v>
      </c>
      <c r="DQ22">
        <v>0.176981</v>
      </c>
      <c r="DR22">
        <v>25.6113</v>
      </c>
      <c r="DS22">
        <v>25.717300000000002</v>
      </c>
      <c r="DT22">
        <v>55.9</v>
      </c>
      <c r="DU22">
        <v>29.1</v>
      </c>
      <c r="DV22">
        <v>22.836300000000001</v>
      </c>
      <c r="DW22">
        <v>61.698</v>
      </c>
      <c r="DX22">
        <v>36.209899999999998</v>
      </c>
      <c r="DY22">
        <v>1</v>
      </c>
      <c r="DZ22">
        <v>-0.103628</v>
      </c>
      <c r="EA22">
        <v>-1.1296299999999999</v>
      </c>
      <c r="EB22">
        <v>20.185099999999998</v>
      </c>
      <c r="EC22">
        <v>5.2408000000000001</v>
      </c>
      <c r="ED22">
        <v>12.039899999999999</v>
      </c>
      <c r="EE22">
        <v>5.0164999999999997</v>
      </c>
      <c r="EF22">
        <v>3.2879499999999999</v>
      </c>
      <c r="EG22">
        <v>9999</v>
      </c>
      <c r="EH22">
        <v>9999</v>
      </c>
      <c r="EI22">
        <v>9999</v>
      </c>
      <c r="EJ22">
        <v>999.9</v>
      </c>
      <c r="EK22">
        <v>1.8688899999999999</v>
      </c>
      <c r="EL22">
        <v>1.8646199999999999</v>
      </c>
      <c r="EM22">
        <v>1.86914</v>
      </c>
      <c r="EN22">
        <v>1.8672200000000001</v>
      </c>
      <c r="EO22">
        <v>1.8633599999999999</v>
      </c>
      <c r="EP22">
        <v>1.8644700000000001</v>
      </c>
      <c r="EQ22">
        <v>1.87012</v>
      </c>
      <c r="ER22">
        <v>1.86937</v>
      </c>
      <c r="ES22">
        <v>0</v>
      </c>
      <c r="ET22">
        <v>0</v>
      </c>
      <c r="EU22">
        <v>0</v>
      </c>
      <c r="EV22">
        <v>0</v>
      </c>
      <c r="EW22" t="s">
        <v>334</v>
      </c>
      <c r="EX22" t="s">
        <v>335</v>
      </c>
      <c r="EY22" t="s">
        <v>336</v>
      </c>
      <c r="EZ22" t="s">
        <v>336</v>
      </c>
      <c r="FA22" t="s">
        <v>336</v>
      </c>
      <c r="FB22" t="s">
        <v>336</v>
      </c>
      <c r="FC22">
        <v>0</v>
      </c>
      <c r="FD22">
        <v>100</v>
      </c>
      <c r="FE22">
        <v>100</v>
      </c>
      <c r="FF22">
        <v>-0.34300000000000003</v>
      </c>
      <c r="FG22">
        <v>0.17199999999999999</v>
      </c>
      <c r="FH22">
        <v>0.2126736300064915</v>
      </c>
      <c r="FI22">
        <v>-6.1462078757559423E-4</v>
      </c>
      <c r="FJ22">
        <v>-1.8861989874597051E-7</v>
      </c>
      <c r="FK22">
        <v>1.1980462299894961E-10</v>
      </c>
      <c r="FL22">
        <v>0.1719881465068297</v>
      </c>
      <c r="FM22">
        <v>0</v>
      </c>
      <c r="FN22">
        <v>0</v>
      </c>
      <c r="FO22">
        <v>0</v>
      </c>
      <c r="FP22">
        <v>3</v>
      </c>
      <c r="FQ22">
        <v>2158</v>
      </c>
      <c r="FR22">
        <v>1</v>
      </c>
      <c r="FS22">
        <v>19</v>
      </c>
      <c r="FT22">
        <v>10.3</v>
      </c>
      <c r="FU22">
        <v>10.4</v>
      </c>
      <c r="FV22">
        <v>1.79565</v>
      </c>
      <c r="FW22">
        <v>2.5878899999999998</v>
      </c>
      <c r="FX22">
        <v>1.5490699999999999</v>
      </c>
      <c r="FY22">
        <v>2.3290999999999999</v>
      </c>
      <c r="FZ22">
        <v>1.50146</v>
      </c>
      <c r="GA22">
        <v>2.3986800000000001</v>
      </c>
      <c r="GB22">
        <v>33.602899999999998</v>
      </c>
      <c r="GC22">
        <v>23.991199999999999</v>
      </c>
      <c r="GD22">
        <v>19</v>
      </c>
      <c r="GE22">
        <v>282.41300000000001</v>
      </c>
      <c r="GF22">
        <v>604.91</v>
      </c>
      <c r="GG22">
        <v>28.525400000000001</v>
      </c>
      <c r="GH22">
        <v>26.122800000000002</v>
      </c>
      <c r="GI22">
        <v>29.9999</v>
      </c>
      <c r="GJ22">
        <v>26.195</v>
      </c>
      <c r="GK22">
        <v>26.163599999999999</v>
      </c>
      <c r="GL22">
        <v>35.901800000000001</v>
      </c>
      <c r="GM22">
        <v>10.9185</v>
      </c>
      <c r="GN22">
        <v>100</v>
      </c>
      <c r="GO22">
        <v>28.446300000000001</v>
      </c>
      <c r="GP22">
        <v>800</v>
      </c>
      <c r="GQ22">
        <v>22.226700000000001</v>
      </c>
      <c r="GR22">
        <v>99.798000000000002</v>
      </c>
      <c r="GS22">
        <v>99.660600000000002</v>
      </c>
    </row>
    <row r="23" spans="1:201" x14ac:dyDescent="0.25">
      <c r="A23">
        <v>7</v>
      </c>
      <c r="B23">
        <v>1690232634.5999999</v>
      </c>
      <c r="C23">
        <v>128.5</v>
      </c>
      <c r="D23" t="s">
        <v>345</v>
      </c>
      <c r="E23" t="s">
        <v>346</v>
      </c>
      <c r="F23" t="s">
        <v>330</v>
      </c>
      <c r="H23">
        <v>1690232634.5999999</v>
      </c>
      <c r="I23">
        <f t="shared" si="0"/>
        <v>9.8756643608507283E-5</v>
      </c>
      <c r="J23">
        <f t="shared" si="1"/>
        <v>9.8756643608507277E-2</v>
      </c>
      <c r="K23">
        <f t="shared" si="2"/>
        <v>-0.59488972737582047</v>
      </c>
      <c r="L23">
        <f t="shared" si="3"/>
        <v>805.39200000000005</v>
      </c>
      <c r="M23">
        <f t="shared" si="4"/>
        <v>967.55042054485284</v>
      </c>
      <c r="N23">
        <f t="shared" si="5"/>
        <v>95.903719595758801</v>
      </c>
      <c r="O23">
        <f t="shared" si="6"/>
        <v>79.830556519392005</v>
      </c>
      <c r="P23">
        <f t="shared" si="7"/>
        <v>5.0115198852363537E-3</v>
      </c>
      <c r="Q23">
        <f t="shared" si="8"/>
        <v>2.1299838018809414</v>
      </c>
      <c r="R23">
        <f t="shared" si="9"/>
        <v>5.0049783830828495E-3</v>
      </c>
      <c r="S23">
        <f t="shared" si="10"/>
        <v>3.1286984930481215E-3</v>
      </c>
      <c r="T23">
        <f t="shared" si="11"/>
        <v>276.10508985225653</v>
      </c>
      <c r="U23">
        <f t="shared" si="12"/>
        <v>29.759378083605224</v>
      </c>
      <c r="V23">
        <f t="shared" si="13"/>
        <v>29.759378083605224</v>
      </c>
      <c r="W23">
        <f t="shared" si="14"/>
        <v>4.2019189984082503</v>
      </c>
      <c r="X23">
        <f t="shared" si="15"/>
        <v>62.277198820787696</v>
      </c>
      <c r="Y23">
        <f t="shared" si="16"/>
        <v>2.3103612808962004</v>
      </c>
      <c r="Z23">
        <f t="shared" si="17"/>
        <v>3.709802824537153</v>
      </c>
      <c r="AA23">
        <f t="shared" si="18"/>
        <v>1.8915577175120499</v>
      </c>
      <c r="AB23">
        <f t="shared" si="19"/>
        <v>-4.3551679831351713</v>
      </c>
      <c r="AC23">
        <f t="shared" si="20"/>
        <v>-246.61001371833765</v>
      </c>
      <c r="AD23">
        <f t="shared" si="21"/>
        <v>-25.410593692100104</v>
      </c>
      <c r="AE23">
        <f t="shared" si="22"/>
        <v>-0.27068554131639644</v>
      </c>
      <c r="AF23">
        <v>0</v>
      </c>
      <c r="AG23">
        <v>0</v>
      </c>
      <c r="AH23">
        <f t="shared" si="23"/>
        <v>1</v>
      </c>
      <c r="AI23">
        <f t="shared" si="24"/>
        <v>0</v>
      </c>
      <c r="AJ23">
        <f t="shared" si="25"/>
        <v>52243.045593840994</v>
      </c>
      <c r="AK23">
        <f t="shared" si="26"/>
        <v>1799.93</v>
      </c>
      <c r="AL23">
        <f t="shared" si="27"/>
        <v>1499.0529362297502</v>
      </c>
      <c r="AM23">
        <f t="shared" si="28"/>
        <v>0.83283957500000005</v>
      </c>
      <c r="AN23">
        <f t="shared" si="29"/>
        <v>0.15339768205000001</v>
      </c>
      <c r="AO23">
        <v>32.4</v>
      </c>
      <c r="AP23">
        <v>0.5</v>
      </c>
      <c r="AQ23" t="s">
        <v>331</v>
      </c>
      <c r="AR23">
        <v>2</v>
      </c>
      <c r="AS23">
        <v>1690232634.5999999</v>
      </c>
      <c r="AT23">
        <v>805.39200000000005</v>
      </c>
      <c r="AU23">
        <v>799.83</v>
      </c>
      <c r="AV23">
        <v>23.308700000000002</v>
      </c>
      <c r="AW23">
        <v>22.267700000000001</v>
      </c>
      <c r="AX23">
        <v>805.73400000000004</v>
      </c>
      <c r="AY23">
        <v>23.136700000000001</v>
      </c>
      <c r="AZ23">
        <v>300.20499999999998</v>
      </c>
      <c r="BA23">
        <v>99.020099999999999</v>
      </c>
      <c r="BB23">
        <v>0.100026</v>
      </c>
      <c r="BC23">
        <v>27.611799999999999</v>
      </c>
      <c r="BD23">
        <v>27.675599999999999</v>
      </c>
      <c r="BE23">
        <v>29.636399999999998</v>
      </c>
      <c r="BF23">
        <v>0</v>
      </c>
      <c r="BG23">
        <v>0</v>
      </c>
      <c r="BH23">
        <v>9998.1200000000008</v>
      </c>
      <c r="BI23">
        <v>1075.1300000000001</v>
      </c>
      <c r="BJ23">
        <v>1.36521</v>
      </c>
      <c r="BK23">
        <v>5.5618299999999996</v>
      </c>
      <c r="BL23">
        <v>824.61199999999997</v>
      </c>
      <c r="BM23">
        <v>818.04600000000005</v>
      </c>
      <c r="BN23">
        <v>1.04108</v>
      </c>
      <c r="BO23">
        <v>799.83</v>
      </c>
      <c r="BP23">
        <v>22.267700000000001</v>
      </c>
      <c r="BQ23">
        <v>2.30803</v>
      </c>
      <c r="BR23">
        <v>2.2049400000000001</v>
      </c>
      <c r="BS23">
        <v>19.732600000000001</v>
      </c>
      <c r="BT23">
        <v>18.9983</v>
      </c>
      <c r="BU23">
        <v>1799.93</v>
      </c>
      <c r="BV23">
        <v>0.90998900000000005</v>
      </c>
      <c r="BW23">
        <v>3.3997399999999997E-2</v>
      </c>
      <c r="BX23">
        <v>2.2003000000000002E-2</v>
      </c>
      <c r="BY23">
        <v>3.4010699999999998E-2</v>
      </c>
      <c r="BZ23">
        <v>26</v>
      </c>
      <c r="CA23">
        <v>33527.1</v>
      </c>
      <c r="CB23">
        <v>1690232006</v>
      </c>
      <c r="CC23" t="s">
        <v>332</v>
      </c>
      <c r="CD23">
        <v>1690232006</v>
      </c>
      <c r="CE23">
        <v>1690231998.5</v>
      </c>
      <c r="CF23">
        <v>14</v>
      </c>
      <c r="CG23">
        <v>-0.13200000000000001</v>
      </c>
      <c r="CH23">
        <v>-7.0000000000000001E-3</v>
      </c>
      <c r="CI23">
        <v>-0.33800000000000002</v>
      </c>
      <c r="CJ23">
        <v>0.14299999999999999</v>
      </c>
      <c r="CK23">
        <v>799</v>
      </c>
      <c r="CL23">
        <v>19</v>
      </c>
      <c r="CM23">
        <v>7.0000000000000007E-2</v>
      </c>
      <c r="CN23">
        <v>0.14000000000000001</v>
      </c>
      <c r="CO23">
        <v>6.2957412500000007</v>
      </c>
      <c r="CP23">
        <v>-4.334519212007538</v>
      </c>
      <c r="CQ23">
        <v>0.42871445481338449</v>
      </c>
      <c r="CR23">
        <v>-1</v>
      </c>
      <c r="CS23">
        <v>1.1238060000000001</v>
      </c>
      <c r="CT23">
        <v>0.1078977861163212</v>
      </c>
      <c r="CU23">
        <v>3.1406030057936317E-2</v>
      </c>
      <c r="CV23">
        <v>-1</v>
      </c>
      <c r="CW23">
        <v>0</v>
      </c>
      <c r="CX23">
        <v>0</v>
      </c>
      <c r="CY23" t="s">
        <v>333</v>
      </c>
      <c r="CZ23">
        <v>2.3647</v>
      </c>
      <c r="DA23">
        <v>2.7138200000000001</v>
      </c>
      <c r="DB23">
        <v>0.14741099999999999</v>
      </c>
      <c r="DC23">
        <v>0.146365</v>
      </c>
      <c r="DD23">
        <v>0.11160299999999999</v>
      </c>
      <c r="DE23">
        <v>0.106436</v>
      </c>
      <c r="DF23">
        <v>31150</v>
      </c>
      <c r="DG23">
        <v>27535.8</v>
      </c>
      <c r="DH23">
        <v>31189.8</v>
      </c>
      <c r="DI23">
        <v>28106.5</v>
      </c>
      <c r="DJ23">
        <v>37623.300000000003</v>
      </c>
      <c r="DK23">
        <v>35713.4</v>
      </c>
      <c r="DL23">
        <v>44390</v>
      </c>
      <c r="DM23">
        <v>42603.8</v>
      </c>
      <c r="DN23">
        <v>1.4744999999999999</v>
      </c>
      <c r="DO23">
        <v>2.0655000000000001</v>
      </c>
      <c r="DP23">
        <v>0.12267400000000001</v>
      </c>
      <c r="DQ23">
        <v>0.23771100000000001</v>
      </c>
      <c r="DR23">
        <v>25.668299999999999</v>
      </c>
      <c r="DS23">
        <v>25.753299999999999</v>
      </c>
      <c r="DT23">
        <v>56</v>
      </c>
      <c r="DU23">
        <v>29.1</v>
      </c>
      <c r="DV23">
        <v>22.8764</v>
      </c>
      <c r="DW23">
        <v>61.808</v>
      </c>
      <c r="DX23">
        <v>35.316499999999998</v>
      </c>
      <c r="DY23">
        <v>1</v>
      </c>
      <c r="DZ23">
        <v>-0.102439</v>
      </c>
      <c r="EA23">
        <v>1.56741</v>
      </c>
      <c r="EB23">
        <v>20.174399999999999</v>
      </c>
      <c r="EC23">
        <v>5.2408000000000001</v>
      </c>
      <c r="ED23">
        <v>12.039899999999999</v>
      </c>
      <c r="EE23">
        <v>5.0167000000000002</v>
      </c>
      <c r="EF23">
        <v>3.2879999999999998</v>
      </c>
      <c r="EG23">
        <v>9999</v>
      </c>
      <c r="EH23">
        <v>9999</v>
      </c>
      <c r="EI23">
        <v>9999</v>
      </c>
      <c r="EJ23">
        <v>999.9</v>
      </c>
      <c r="EK23">
        <v>1.8689</v>
      </c>
      <c r="EL23">
        <v>1.8646199999999999</v>
      </c>
      <c r="EM23">
        <v>1.86914</v>
      </c>
      <c r="EN23">
        <v>1.8672</v>
      </c>
      <c r="EO23">
        <v>1.8633599999999999</v>
      </c>
      <c r="EP23">
        <v>1.8644700000000001</v>
      </c>
      <c r="EQ23">
        <v>1.87012</v>
      </c>
      <c r="ER23">
        <v>1.8693500000000001</v>
      </c>
      <c r="ES23">
        <v>0</v>
      </c>
      <c r="ET23">
        <v>0</v>
      </c>
      <c r="EU23">
        <v>0</v>
      </c>
      <c r="EV23">
        <v>0</v>
      </c>
      <c r="EW23" t="s">
        <v>334</v>
      </c>
      <c r="EX23" t="s">
        <v>335</v>
      </c>
      <c r="EY23" t="s">
        <v>336</v>
      </c>
      <c r="EZ23" t="s">
        <v>336</v>
      </c>
      <c r="FA23" t="s">
        <v>336</v>
      </c>
      <c r="FB23" t="s">
        <v>336</v>
      </c>
      <c r="FC23">
        <v>0</v>
      </c>
      <c r="FD23">
        <v>100</v>
      </c>
      <c r="FE23">
        <v>100</v>
      </c>
      <c r="FF23">
        <v>-0.34200000000000003</v>
      </c>
      <c r="FG23">
        <v>0.17199999999999999</v>
      </c>
      <c r="FH23">
        <v>0.2126736300064915</v>
      </c>
      <c r="FI23">
        <v>-6.1462078757559423E-4</v>
      </c>
      <c r="FJ23">
        <v>-1.8861989874597051E-7</v>
      </c>
      <c r="FK23">
        <v>1.1980462299894961E-10</v>
      </c>
      <c r="FL23">
        <v>0.1719881465068297</v>
      </c>
      <c r="FM23">
        <v>0</v>
      </c>
      <c r="FN23">
        <v>0</v>
      </c>
      <c r="FO23">
        <v>0</v>
      </c>
      <c r="FP23">
        <v>3</v>
      </c>
      <c r="FQ23">
        <v>2158</v>
      </c>
      <c r="FR23">
        <v>1</v>
      </c>
      <c r="FS23">
        <v>19</v>
      </c>
      <c r="FT23">
        <v>10.5</v>
      </c>
      <c r="FU23">
        <v>10.6</v>
      </c>
      <c r="FV23">
        <v>1.79565</v>
      </c>
      <c r="FW23">
        <v>2.5939899999999998</v>
      </c>
      <c r="FX23">
        <v>1.5490699999999999</v>
      </c>
      <c r="FY23">
        <v>2.3290999999999999</v>
      </c>
      <c r="FZ23">
        <v>1.50146</v>
      </c>
      <c r="GA23">
        <v>2.2814899999999998</v>
      </c>
      <c r="GB23">
        <v>33.602899999999998</v>
      </c>
      <c r="GC23">
        <v>23.973700000000001</v>
      </c>
      <c r="GD23">
        <v>19</v>
      </c>
      <c r="GE23">
        <v>281.47699999999998</v>
      </c>
      <c r="GF23">
        <v>605.58399999999995</v>
      </c>
      <c r="GG23">
        <v>27.878</v>
      </c>
      <c r="GH23">
        <v>26.122800000000002</v>
      </c>
      <c r="GI23">
        <v>30.000800000000002</v>
      </c>
      <c r="GJ23">
        <v>26.197099999999999</v>
      </c>
      <c r="GK23">
        <v>26.166799999999999</v>
      </c>
      <c r="GL23">
        <v>35.913200000000003</v>
      </c>
      <c r="GM23">
        <v>6.7607499999999998</v>
      </c>
      <c r="GN23">
        <v>100</v>
      </c>
      <c r="GO23">
        <v>27.494299999999999</v>
      </c>
      <c r="GP23">
        <v>800</v>
      </c>
      <c r="GQ23">
        <v>22.770900000000001</v>
      </c>
      <c r="GR23">
        <v>99.799300000000002</v>
      </c>
      <c r="GS23">
        <v>99.661299999999997</v>
      </c>
    </row>
    <row r="24" spans="1:201" x14ac:dyDescent="0.25">
      <c r="A24">
        <v>8</v>
      </c>
      <c r="B24">
        <v>1690232644.5999999</v>
      </c>
      <c r="C24">
        <v>138.5</v>
      </c>
      <c r="D24" t="s">
        <v>347</v>
      </c>
      <c r="E24" t="s">
        <v>348</v>
      </c>
      <c r="F24" t="s">
        <v>330</v>
      </c>
      <c r="H24">
        <v>1690232644.5999999</v>
      </c>
      <c r="I24">
        <f t="shared" si="0"/>
        <v>7.5067651070671E-5</v>
      </c>
      <c r="J24">
        <f t="shared" si="1"/>
        <v>7.5067651070670996E-2</v>
      </c>
      <c r="K24">
        <f t="shared" si="2"/>
        <v>-0.50841481453518889</v>
      </c>
      <c r="L24">
        <f t="shared" si="3"/>
        <v>804.66499999999996</v>
      </c>
      <c r="M24">
        <f t="shared" si="4"/>
        <v>990.35921308808213</v>
      </c>
      <c r="N24">
        <f t="shared" si="5"/>
        <v>98.167397076473435</v>
      </c>
      <c r="O24">
        <f t="shared" si="6"/>
        <v>79.760825692965</v>
      </c>
      <c r="P24">
        <f t="shared" si="7"/>
        <v>3.8033766338079048E-3</v>
      </c>
      <c r="Q24">
        <f t="shared" si="8"/>
        <v>2.1279762279561654</v>
      </c>
      <c r="R24">
        <f t="shared" si="9"/>
        <v>3.7996040931333112E-3</v>
      </c>
      <c r="S24">
        <f t="shared" si="10"/>
        <v>2.3750911864993578E-3</v>
      </c>
      <c r="T24">
        <f t="shared" si="11"/>
        <v>276.10636114583343</v>
      </c>
      <c r="U24">
        <f t="shared" si="12"/>
        <v>29.798731163615532</v>
      </c>
      <c r="V24">
        <f t="shared" si="13"/>
        <v>29.798731163615532</v>
      </c>
      <c r="W24">
        <f t="shared" si="14"/>
        <v>4.21144333866323</v>
      </c>
      <c r="X24">
        <f t="shared" si="15"/>
        <v>62.365284154954104</v>
      </c>
      <c r="Y24">
        <f t="shared" si="16"/>
        <v>2.3175953540009999</v>
      </c>
      <c r="Z24">
        <f t="shared" si="17"/>
        <v>3.7161625821228577</v>
      </c>
      <c r="AA24">
        <f t="shared" si="18"/>
        <v>1.89384798466223</v>
      </c>
      <c r="AB24">
        <f t="shared" si="19"/>
        <v>-3.3104834122165911</v>
      </c>
      <c r="AC24">
        <f t="shared" si="20"/>
        <v>-247.53090041445876</v>
      </c>
      <c r="AD24">
        <f t="shared" si="21"/>
        <v>-25.538262239560602</v>
      </c>
      <c r="AE24">
        <f t="shared" si="22"/>
        <v>-0.27328492040251717</v>
      </c>
      <c r="AF24">
        <v>0</v>
      </c>
      <c r="AG24">
        <v>0</v>
      </c>
      <c r="AH24">
        <f t="shared" si="23"/>
        <v>1</v>
      </c>
      <c r="AI24">
        <f t="shared" si="24"/>
        <v>0</v>
      </c>
      <c r="AJ24">
        <f t="shared" si="25"/>
        <v>52151.758377826896</v>
      </c>
      <c r="AK24">
        <f t="shared" si="26"/>
        <v>1799.94</v>
      </c>
      <c r="AL24">
        <f t="shared" si="27"/>
        <v>1499.0644433195403</v>
      </c>
      <c r="AM24">
        <f t="shared" si="28"/>
        <v>0.83284134100000007</v>
      </c>
      <c r="AN24">
        <f t="shared" si="29"/>
        <v>0.15339753611000001</v>
      </c>
      <c r="AO24">
        <v>32.4</v>
      </c>
      <c r="AP24">
        <v>0.5</v>
      </c>
      <c r="AQ24" t="s">
        <v>331</v>
      </c>
      <c r="AR24">
        <v>2</v>
      </c>
      <c r="AS24">
        <v>1690232644.5999999</v>
      </c>
      <c r="AT24">
        <v>804.66499999999996</v>
      </c>
      <c r="AU24">
        <v>799.83</v>
      </c>
      <c r="AV24">
        <v>23.381</v>
      </c>
      <c r="AW24">
        <v>22.5898</v>
      </c>
      <c r="AX24">
        <v>805.00699999999995</v>
      </c>
      <c r="AY24">
        <v>23.209</v>
      </c>
      <c r="AZ24">
        <v>300.21800000000002</v>
      </c>
      <c r="BA24">
        <v>99.022999999999996</v>
      </c>
      <c r="BB24">
        <v>0.100021</v>
      </c>
      <c r="BC24">
        <v>27.641100000000002</v>
      </c>
      <c r="BD24">
        <v>27.6555</v>
      </c>
      <c r="BE24">
        <v>29.8917</v>
      </c>
      <c r="BF24">
        <v>0</v>
      </c>
      <c r="BG24">
        <v>0</v>
      </c>
      <c r="BH24">
        <v>9980.6200000000008</v>
      </c>
      <c r="BI24">
        <v>1076.99</v>
      </c>
      <c r="BJ24">
        <v>1.5137799999999999</v>
      </c>
      <c r="BK24">
        <v>4.8352700000000004</v>
      </c>
      <c r="BL24">
        <v>823.92899999999997</v>
      </c>
      <c r="BM24">
        <v>818.31500000000005</v>
      </c>
      <c r="BN24">
        <v>0.79115899999999995</v>
      </c>
      <c r="BO24">
        <v>799.83</v>
      </c>
      <c r="BP24">
        <v>22.5898</v>
      </c>
      <c r="BQ24">
        <v>2.3152499999999998</v>
      </c>
      <c r="BR24">
        <v>2.23691</v>
      </c>
      <c r="BS24">
        <v>19.782900000000001</v>
      </c>
      <c r="BT24">
        <v>19.229099999999999</v>
      </c>
      <c r="BU24">
        <v>1799.94</v>
      </c>
      <c r="BV24">
        <v>0.91000999999999999</v>
      </c>
      <c r="BW24">
        <v>3.39958E-2</v>
      </c>
      <c r="BX24">
        <v>2.20038E-2</v>
      </c>
      <c r="BY24">
        <v>3.3990100000000002E-2</v>
      </c>
      <c r="BZ24">
        <v>26</v>
      </c>
      <c r="CA24">
        <v>33527.199999999997</v>
      </c>
      <c r="CB24">
        <v>1690232006</v>
      </c>
      <c r="CC24" t="s">
        <v>332</v>
      </c>
      <c r="CD24">
        <v>1690232006</v>
      </c>
      <c r="CE24">
        <v>1690231998.5</v>
      </c>
      <c r="CF24">
        <v>14</v>
      </c>
      <c r="CG24">
        <v>-0.13200000000000001</v>
      </c>
      <c r="CH24">
        <v>-7.0000000000000001E-3</v>
      </c>
      <c r="CI24">
        <v>-0.33800000000000002</v>
      </c>
      <c r="CJ24">
        <v>0.14299999999999999</v>
      </c>
      <c r="CK24">
        <v>799</v>
      </c>
      <c r="CL24">
        <v>19</v>
      </c>
      <c r="CM24">
        <v>7.0000000000000007E-2</v>
      </c>
      <c r="CN24">
        <v>0.14000000000000001</v>
      </c>
      <c r="CO24">
        <v>5.6362852500000002</v>
      </c>
      <c r="CP24">
        <v>-4.4597015009380812</v>
      </c>
      <c r="CQ24">
        <v>0.43244765181457218</v>
      </c>
      <c r="CR24">
        <v>-1</v>
      </c>
      <c r="CS24">
        <v>1.0408945999999999</v>
      </c>
      <c r="CT24">
        <v>-1.1880103789868699</v>
      </c>
      <c r="CU24">
        <v>0.12113698263821</v>
      </c>
      <c r="CV24">
        <v>-1</v>
      </c>
      <c r="CW24">
        <v>0</v>
      </c>
      <c r="CX24">
        <v>0</v>
      </c>
      <c r="CY24" t="s">
        <v>333</v>
      </c>
      <c r="CZ24">
        <v>2.36476</v>
      </c>
      <c r="DA24">
        <v>2.7138</v>
      </c>
      <c r="DB24">
        <v>0.14732799999999999</v>
      </c>
      <c r="DC24">
        <v>0.14637500000000001</v>
      </c>
      <c r="DD24">
        <v>0.11185100000000001</v>
      </c>
      <c r="DE24">
        <v>0.107515</v>
      </c>
      <c r="DF24">
        <v>31151.9</v>
      </c>
      <c r="DG24">
        <v>27534.799999999999</v>
      </c>
      <c r="DH24">
        <v>31188.6</v>
      </c>
      <c r="DI24">
        <v>28105.8</v>
      </c>
      <c r="DJ24">
        <v>37611.4</v>
      </c>
      <c r="DK24">
        <v>35669.599999999999</v>
      </c>
      <c r="DL24">
        <v>44388.5</v>
      </c>
      <c r="DM24">
        <v>42603.1</v>
      </c>
      <c r="DN24">
        <v>1.4732700000000001</v>
      </c>
      <c r="DO24">
        <v>2.06555</v>
      </c>
      <c r="DP24">
        <v>0.117086</v>
      </c>
      <c r="DQ24">
        <v>0.25034000000000001</v>
      </c>
      <c r="DR24">
        <v>25.739799999999999</v>
      </c>
      <c r="DS24">
        <v>25.8033</v>
      </c>
      <c r="DT24">
        <v>56</v>
      </c>
      <c r="DU24">
        <v>29.1</v>
      </c>
      <c r="DV24">
        <v>22.8779</v>
      </c>
      <c r="DW24">
        <v>61.857999999999997</v>
      </c>
      <c r="DX24">
        <v>36.526400000000002</v>
      </c>
      <c r="DY24">
        <v>1</v>
      </c>
      <c r="DZ24">
        <v>-9.7329799999999994E-2</v>
      </c>
      <c r="EA24">
        <v>3.7113800000000001</v>
      </c>
      <c r="EB24">
        <v>20.1279</v>
      </c>
      <c r="EC24">
        <v>5.2411000000000003</v>
      </c>
      <c r="ED24">
        <v>12.039899999999999</v>
      </c>
      <c r="EE24">
        <v>5.0163500000000001</v>
      </c>
      <c r="EF24">
        <v>3.2879999999999998</v>
      </c>
      <c r="EG24">
        <v>9999</v>
      </c>
      <c r="EH24">
        <v>9999</v>
      </c>
      <c r="EI24">
        <v>9999</v>
      </c>
      <c r="EJ24">
        <v>999.9</v>
      </c>
      <c r="EK24">
        <v>1.8688899999999999</v>
      </c>
      <c r="EL24">
        <v>1.8646199999999999</v>
      </c>
      <c r="EM24">
        <v>1.8691500000000001</v>
      </c>
      <c r="EN24">
        <v>1.86721</v>
      </c>
      <c r="EO24">
        <v>1.8633599999999999</v>
      </c>
      <c r="EP24">
        <v>1.8644700000000001</v>
      </c>
      <c r="EQ24">
        <v>1.87012</v>
      </c>
      <c r="ER24">
        <v>1.8693500000000001</v>
      </c>
      <c r="ES24">
        <v>0</v>
      </c>
      <c r="ET24">
        <v>0</v>
      </c>
      <c r="EU24">
        <v>0</v>
      </c>
      <c r="EV24">
        <v>0</v>
      </c>
      <c r="EW24" t="s">
        <v>334</v>
      </c>
      <c r="EX24" t="s">
        <v>335</v>
      </c>
      <c r="EY24" t="s">
        <v>336</v>
      </c>
      <c r="EZ24" t="s">
        <v>336</v>
      </c>
      <c r="FA24" t="s">
        <v>336</v>
      </c>
      <c r="FB24" t="s">
        <v>336</v>
      </c>
      <c r="FC24">
        <v>0</v>
      </c>
      <c r="FD24">
        <v>100</v>
      </c>
      <c r="FE24">
        <v>100</v>
      </c>
      <c r="FF24">
        <v>-0.34200000000000003</v>
      </c>
      <c r="FG24">
        <v>0.17199999999999999</v>
      </c>
      <c r="FH24">
        <v>0.2126736300064915</v>
      </c>
      <c r="FI24">
        <v>-6.1462078757559423E-4</v>
      </c>
      <c r="FJ24">
        <v>-1.8861989874597051E-7</v>
      </c>
      <c r="FK24">
        <v>1.1980462299894961E-10</v>
      </c>
      <c r="FL24">
        <v>0.1719881465068297</v>
      </c>
      <c r="FM24">
        <v>0</v>
      </c>
      <c r="FN24">
        <v>0</v>
      </c>
      <c r="FO24">
        <v>0</v>
      </c>
      <c r="FP24">
        <v>3</v>
      </c>
      <c r="FQ24">
        <v>2158</v>
      </c>
      <c r="FR24">
        <v>1</v>
      </c>
      <c r="FS24">
        <v>19</v>
      </c>
      <c r="FT24">
        <v>10.6</v>
      </c>
      <c r="FU24">
        <v>10.8</v>
      </c>
      <c r="FV24">
        <v>1.79688</v>
      </c>
      <c r="FW24">
        <v>2.5830099999999998</v>
      </c>
      <c r="FX24">
        <v>1.5490699999999999</v>
      </c>
      <c r="FY24">
        <v>2.3290999999999999</v>
      </c>
      <c r="FZ24">
        <v>1.50146</v>
      </c>
      <c r="GA24">
        <v>2.3962400000000001</v>
      </c>
      <c r="GB24">
        <v>33.602899999999998</v>
      </c>
      <c r="GC24">
        <v>23.973700000000001</v>
      </c>
      <c r="GD24">
        <v>19</v>
      </c>
      <c r="GE24">
        <v>280.96300000000002</v>
      </c>
      <c r="GF24">
        <v>605.66600000000005</v>
      </c>
      <c r="GG24">
        <v>26.495000000000001</v>
      </c>
      <c r="GH24">
        <v>26.122800000000002</v>
      </c>
      <c r="GI24">
        <v>30.002300000000002</v>
      </c>
      <c r="GJ24">
        <v>26.1982</v>
      </c>
      <c r="GK24">
        <v>26.170100000000001</v>
      </c>
      <c r="GL24">
        <v>35.926699999999997</v>
      </c>
      <c r="GM24">
        <v>3.6884399999999999</v>
      </c>
      <c r="GN24">
        <v>100</v>
      </c>
      <c r="GO24">
        <v>26.131499999999999</v>
      </c>
      <c r="GP24">
        <v>800</v>
      </c>
      <c r="GQ24">
        <v>22.9909</v>
      </c>
      <c r="GR24">
        <v>99.7958</v>
      </c>
      <c r="GS24">
        <v>99.659400000000005</v>
      </c>
    </row>
    <row r="25" spans="1:201" x14ac:dyDescent="0.25">
      <c r="A25">
        <v>9</v>
      </c>
      <c r="B25">
        <v>1690232654.5999999</v>
      </c>
      <c r="C25">
        <v>148.5</v>
      </c>
      <c r="D25" t="s">
        <v>349</v>
      </c>
      <c r="E25" t="s">
        <v>350</v>
      </c>
      <c r="F25" t="s">
        <v>330</v>
      </c>
      <c r="H25">
        <v>1690232654.5999999</v>
      </c>
      <c r="I25">
        <f t="shared" si="0"/>
        <v>6.1216375037258429E-5</v>
      </c>
      <c r="J25">
        <f t="shared" si="1"/>
        <v>6.1216375037258429E-2</v>
      </c>
      <c r="K25">
        <f t="shared" si="2"/>
        <v>-0.42249227710304521</v>
      </c>
      <c r="L25">
        <f t="shared" si="3"/>
        <v>803.97799999999995</v>
      </c>
      <c r="M25">
        <f t="shared" si="4"/>
        <v>991.03184248011041</v>
      </c>
      <c r="N25">
        <f t="shared" si="5"/>
        <v>98.23159156318664</v>
      </c>
      <c r="O25">
        <f t="shared" si="6"/>
        <v>79.690717428559992</v>
      </c>
      <c r="P25">
        <f t="shared" si="7"/>
        <v>3.1461207748808588E-3</v>
      </c>
      <c r="Q25">
        <f t="shared" si="8"/>
        <v>2.1281663004394362</v>
      </c>
      <c r="R25">
        <f t="shared" si="9"/>
        <v>3.1435391824162643E-3</v>
      </c>
      <c r="S25">
        <f t="shared" si="10"/>
        <v>1.9649437529502276E-3</v>
      </c>
      <c r="T25">
        <f t="shared" si="11"/>
        <v>276.10583165748358</v>
      </c>
      <c r="U25">
        <f t="shared" si="12"/>
        <v>29.685918185754556</v>
      </c>
      <c r="V25">
        <f t="shared" si="13"/>
        <v>29.685918185754556</v>
      </c>
      <c r="W25">
        <f t="shared" si="14"/>
        <v>4.1841902557018402</v>
      </c>
      <c r="X25">
        <f t="shared" si="15"/>
        <v>62.78664395657222</v>
      </c>
      <c r="Y25">
        <f t="shared" si="16"/>
        <v>2.317249428612</v>
      </c>
      <c r="Z25">
        <f t="shared" si="17"/>
        <v>3.6906725421011153</v>
      </c>
      <c r="AA25">
        <f t="shared" si="18"/>
        <v>1.8669408270898402</v>
      </c>
      <c r="AB25">
        <f t="shared" si="19"/>
        <v>-2.6996421391430969</v>
      </c>
      <c r="AC25">
        <f t="shared" si="20"/>
        <v>-248.11371620577808</v>
      </c>
      <c r="AD25">
        <f t="shared" si="21"/>
        <v>-25.566786187541091</v>
      </c>
      <c r="AE25">
        <f t="shared" si="22"/>
        <v>-0.27431287497867629</v>
      </c>
      <c r="AF25">
        <v>0</v>
      </c>
      <c r="AG25">
        <v>0</v>
      </c>
      <c r="AH25">
        <f t="shared" si="23"/>
        <v>1</v>
      </c>
      <c r="AI25">
        <f t="shared" si="24"/>
        <v>0</v>
      </c>
      <c r="AJ25">
        <f t="shared" si="25"/>
        <v>52180.29627953512</v>
      </c>
      <c r="AK25">
        <f t="shared" si="26"/>
        <v>1799.94</v>
      </c>
      <c r="AL25">
        <f t="shared" si="27"/>
        <v>1499.0632427595599</v>
      </c>
      <c r="AM25">
        <f t="shared" si="28"/>
        <v>0.83284067399999995</v>
      </c>
      <c r="AN25">
        <f t="shared" si="29"/>
        <v>0.15339724193999998</v>
      </c>
      <c r="AO25">
        <v>32.4</v>
      </c>
      <c r="AP25">
        <v>0.5</v>
      </c>
      <c r="AQ25" t="s">
        <v>331</v>
      </c>
      <c r="AR25">
        <v>2</v>
      </c>
      <c r="AS25">
        <v>1690232654.5999999</v>
      </c>
      <c r="AT25">
        <v>803.97799999999995</v>
      </c>
      <c r="AU25">
        <v>799.94899999999996</v>
      </c>
      <c r="AV25">
        <v>23.3781</v>
      </c>
      <c r="AW25">
        <v>22.732800000000001</v>
      </c>
      <c r="AX25">
        <v>804.32</v>
      </c>
      <c r="AY25">
        <v>23.206099999999999</v>
      </c>
      <c r="AZ25">
        <v>300.17700000000002</v>
      </c>
      <c r="BA25">
        <v>99.020499999999998</v>
      </c>
      <c r="BB25">
        <v>0.10002</v>
      </c>
      <c r="BC25">
        <v>27.523399999999999</v>
      </c>
      <c r="BD25">
        <v>27.495699999999999</v>
      </c>
      <c r="BE25">
        <v>29.800999999999998</v>
      </c>
      <c r="BF25">
        <v>0</v>
      </c>
      <c r="BG25">
        <v>0</v>
      </c>
      <c r="BH25">
        <v>9982.5</v>
      </c>
      <c r="BI25">
        <v>1078.0899999999999</v>
      </c>
      <c r="BJ25">
        <v>1.5137799999999999</v>
      </c>
      <c r="BK25">
        <v>4.0291699999999997</v>
      </c>
      <c r="BL25">
        <v>823.22400000000005</v>
      </c>
      <c r="BM25">
        <v>818.55700000000002</v>
      </c>
      <c r="BN25">
        <v>0.64531700000000003</v>
      </c>
      <c r="BO25">
        <v>799.94899999999996</v>
      </c>
      <c r="BP25">
        <v>22.732800000000001</v>
      </c>
      <c r="BQ25">
        <v>2.3149099999999998</v>
      </c>
      <c r="BR25">
        <v>2.25101</v>
      </c>
      <c r="BS25">
        <v>19.7806</v>
      </c>
      <c r="BT25">
        <v>19.330100000000002</v>
      </c>
      <c r="BU25">
        <v>1799.94</v>
      </c>
      <c r="BV25">
        <v>0.91000499999999995</v>
      </c>
      <c r="BW25">
        <v>3.39963E-2</v>
      </c>
      <c r="BX25">
        <v>2.1997200000000001E-2</v>
      </c>
      <c r="BY25">
        <v>3.4001999999999998E-2</v>
      </c>
      <c r="BZ25">
        <v>26</v>
      </c>
      <c r="CA25">
        <v>33527.300000000003</v>
      </c>
      <c r="CB25">
        <v>1690232006</v>
      </c>
      <c r="CC25" t="s">
        <v>332</v>
      </c>
      <c r="CD25">
        <v>1690232006</v>
      </c>
      <c r="CE25">
        <v>1690231998.5</v>
      </c>
      <c r="CF25">
        <v>14</v>
      </c>
      <c r="CG25">
        <v>-0.13200000000000001</v>
      </c>
      <c r="CH25">
        <v>-7.0000000000000001E-3</v>
      </c>
      <c r="CI25">
        <v>-0.33800000000000002</v>
      </c>
      <c r="CJ25">
        <v>0.14299999999999999</v>
      </c>
      <c r="CK25">
        <v>799</v>
      </c>
      <c r="CL25">
        <v>19</v>
      </c>
      <c r="CM25">
        <v>7.0000000000000007E-2</v>
      </c>
      <c r="CN25">
        <v>0.14000000000000001</v>
      </c>
      <c r="CO25">
        <v>4.882864146341463</v>
      </c>
      <c r="CP25">
        <v>-4.5973990243902492</v>
      </c>
      <c r="CQ25">
        <v>0.45426583032392059</v>
      </c>
      <c r="CR25">
        <v>-1</v>
      </c>
      <c r="CS25">
        <v>0.83250095121951206</v>
      </c>
      <c r="CT25">
        <v>-1.1768980975609751</v>
      </c>
      <c r="CU25">
        <v>0.1176760930771415</v>
      </c>
      <c r="CV25">
        <v>-1</v>
      </c>
      <c r="CW25">
        <v>0</v>
      </c>
      <c r="CX25">
        <v>0</v>
      </c>
      <c r="CY25" t="s">
        <v>333</v>
      </c>
      <c r="CZ25">
        <v>2.3646099999999999</v>
      </c>
      <c r="DA25">
        <v>2.7138</v>
      </c>
      <c r="DB25">
        <v>0.14724000000000001</v>
      </c>
      <c r="DC25">
        <v>0.14638899999999999</v>
      </c>
      <c r="DD25">
        <v>0.11183800000000001</v>
      </c>
      <c r="DE25">
        <v>0.107988</v>
      </c>
      <c r="DF25">
        <v>31154.3</v>
      </c>
      <c r="DG25">
        <v>27533.8</v>
      </c>
      <c r="DH25">
        <v>31187.9</v>
      </c>
      <c r="DI25">
        <v>28105.200000000001</v>
      </c>
      <c r="DJ25">
        <v>37611</v>
      </c>
      <c r="DK25">
        <v>35650</v>
      </c>
      <c r="DL25">
        <v>44387.4</v>
      </c>
      <c r="DM25">
        <v>42602.3</v>
      </c>
      <c r="DN25">
        <v>1.4720500000000001</v>
      </c>
      <c r="DO25">
        <v>2.06582</v>
      </c>
      <c r="DP25">
        <v>0.1036</v>
      </c>
      <c r="DQ25">
        <v>0.242479</v>
      </c>
      <c r="DR25">
        <v>25.8005</v>
      </c>
      <c r="DS25">
        <v>25.840800000000002</v>
      </c>
      <c r="DT25">
        <v>56</v>
      </c>
      <c r="DU25">
        <v>29.1</v>
      </c>
      <c r="DV25">
        <v>22.8752</v>
      </c>
      <c r="DW25">
        <v>61.847999999999999</v>
      </c>
      <c r="DX25">
        <v>35.444699999999997</v>
      </c>
      <c r="DY25">
        <v>1</v>
      </c>
      <c r="DZ25">
        <v>-9.4136200000000003E-2</v>
      </c>
      <c r="EA25">
        <v>4.3934699999999998</v>
      </c>
      <c r="EB25">
        <v>20.109200000000001</v>
      </c>
      <c r="EC25">
        <v>5.2413999999999996</v>
      </c>
      <c r="ED25">
        <v>12.039899999999999</v>
      </c>
      <c r="EE25">
        <v>5.01675</v>
      </c>
      <c r="EF25">
        <v>3.2879999999999998</v>
      </c>
      <c r="EG25">
        <v>9999</v>
      </c>
      <c r="EH25">
        <v>9999</v>
      </c>
      <c r="EI25">
        <v>9999</v>
      </c>
      <c r="EJ25">
        <v>999.9</v>
      </c>
      <c r="EK25">
        <v>1.8689</v>
      </c>
      <c r="EL25">
        <v>1.8646</v>
      </c>
      <c r="EM25">
        <v>1.8691899999999999</v>
      </c>
      <c r="EN25">
        <v>1.86721</v>
      </c>
      <c r="EO25">
        <v>1.86337</v>
      </c>
      <c r="EP25">
        <v>1.8644700000000001</v>
      </c>
      <c r="EQ25">
        <v>1.87012</v>
      </c>
      <c r="ER25">
        <v>1.8693500000000001</v>
      </c>
      <c r="ES25">
        <v>0</v>
      </c>
      <c r="ET25">
        <v>0</v>
      </c>
      <c r="EU25">
        <v>0</v>
      </c>
      <c r="EV25">
        <v>0</v>
      </c>
      <c r="EW25" t="s">
        <v>334</v>
      </c>
      <c r="EX25" t="s">
        <v>335</v>
      </c>
      <c r="EY25" t="s">
        <v>336</v>
      </c>
      <c r="EZ25" t="s">
        <v>336</v>
      </c>
      <c r="FA25" t="s">
        <v>336</v>
      </c>
      <c r="FB25" t="s">
        <v>336</v>
      </c>
      <c r="FC25">
        <v>0</v>
      </c>
      <c r="FD25">
        <v>100</v>
      </c>
      <c r="FE25">
        <v>100</v>
      </c>
      <c r="FF25">
        <v>-0.34200000000000003</v>
      </c>
      <c r="FG25">
        <v>0.17199999999999999</v>
      </c>
      <c r="FH25">
        <v>0.2126736300064915</v>
      </c>
      <c r="FI25">
        <v>-6.1462078757559423E-4</v>
      </c>
      <c r="FJ25">
        <v>-1.8861989874597051E-7</v>
      </c>
      <c r="FK25">
        <v>1.1980462299894961E-10</v>
      </c>
      <c r="FL25">
        <v>0.1719881465068297</v>
      </c>
      <c r="FM25">
        <v>0</v>
      </c>
      <c r="FN25">
        <v>0</v>
      </c>
      <c r="FO25">
        <v>0</v>
      </c>
      <c r="FP25">
        <v>3</v>
      </c>
      <c r="FQ25">
        <v>2158</v>
      </c>
      <c r="FR25">
        <v>1</v>
      </c>
      <c r="FS25">
        <v>19</v>
      </c>
      <c r="FT25">
        <v>10.8</v>
      </c>
      <c r="FU25">
        <v>10.9</v>
      </c>
      <c r="FV25">
        <v>1.79688</v>
      </c>
      <c r="FW25">
        <v>2.5903299999999998</v>
      </c>
      <c r="FX25">
        <v>1.5490699999999999</v>
      </c>
      <c r="FY25">
        <v>2.3290999999999999</v>
      </c>
      <c r="FZ25">
        <v>1.50146</v>
      </c>
      <c r="GA25">
        <v>2.34741</v>
      </c>
      <c r="GB25">
        <v>33.625399999999999</v>
      </c>
      <c r="GC25">
        <v>23.9649</v>
      </c>
      <c r="GD25">
        <v>19</v>
      </c>
      <c r="GE25">
        <v>280.44400000000002</v>
      </c>
      <c r="GF25">
        <v>605.90099999999995</v>
      </c>
      <c r="GG25">
        <v>25.078099999999999</v>
      </c>
      <c r="GH25">
        <v>26.125</v>
      </c>
      <c r="GI25">
        <v>30.001300000000001</v>
      </c>
      <c r="GJ25">
        <v>26.1982</v>
      </c>
      <c r="GK25">
        <v>26.170200000000001</v>
      </c>
      <c r="GL25">
        <v>35.928899999999999</v>
      </c>
      <c r="GM25">
        <v>0.55467999999999995</v>
      </c>
      <c r="GN25">
        <v>100</v>
      </c>
      <c r="GO25">
        <v>24.872299999999999</v>
      </c>
      <c r="GP25">
        <v>800</v>
      </c>
      <c r="GQ25">
        <v>23.1694</v>
      </c>
      <c r="GR25">
        <v>99.793300000000002</v>
      </c>
      <c r="GS25">
        <v>99.657499999999999</v>
      </c>
    </row>
    <row r="26" spans="1:201" x14ac:dyDescent="0.25">
      <c r="A26">
        <v>10</v>
      </c>
      <c r="B26">
        <v>1690232664.5999999</v>
      </c>
      <c r="C26">
        <v>158.5</v>
      </c>
      <c r="D26" t="s">
        <v>351</v>
      </c>
      <c r="E26" t="s">
        <v>352</v>
      </c>
      <c r="F26" t="s">
        <v>330</v>
      </c>
      <c r="H26">
        <v>1690232664.5999999</v>
      </c>
      <c r="I26">
        <f t="shared" si="0"/>
        <v>4.5856581993643331E-5</v>
      </c>
      <c r="J26">
        <f t="shared" si="1"/>
        <v>4.5856581993643328E-2</v>
      </c>
      <c r="K26">
        <f t="shared" si="2"/>
        <v>-0.31500610330546108</v>
      </c>
      <c r="L26">
        <f t="shared" si="3"/>
        <v>803.01599999999996</v>
      </c>
      <c r="M26">
        <f t="shared" si="4"/>
        <v>985.92723666590678</v>
      </c>
      <c r="N26">
        <f t="shared" si="5"/>
        <v>97.725548112021301</v>
      </c>
      <c r="O26">
        <f t="shared" si="6"/>
        <v>79.595304627247202</v>
      </c>
      <c r="P26">
        <f t="shared" si="7"/>
        <v>2.3979711290910968E-3</v>
      </c>
      <c r="Q26">
        <f t="shared" si="8"/>
        <v>2.1373208017365464</v>
      </c>
      <c r="R26">
        <f t="shared" si="9"/>
        <v>2.3964774632956941E-3</v>
      </c>
      <c r="S26">
        <f t="shared" si="10"/>
        <v>1.4979325337941829E-3</v>
      </c>
      <c r="T26">
        <f t="shared" si="11"/>
        <v>276.1100073337056</v>
      </c>
      <c r="U26">
        <f t="shared" si="12"/>
        <v>29.512717567439129</v>
      </c>
      <c r="V26">
        <f t="shared" si="13"/>
        <v>29.512717567439129</v>
      </c>
      <c r="W26">
        <f t="shared" si="14"/>
        <v>4.1426480474384597</v>
      </c>
      <c r="X26">
        <f t="shared" si="15"/>
        <v>63.154923719829384</v>
      </c>
      <c r="Y26">
        <f t="shared" si="16"/>
        <v>2.3076925039353902</v>
      </c>
      <c r="Z26">
        <f t="shared" si="17"/>
        <v>3.6540183536170132</v>
      </c>
      <c r="AA26">
        <f t="shared" si="18"/>
        <v>1.8349555435030696</v>
      </c>
      <c r="AB26">
        <f t="shared" si="19"/>
        <v>-2.0222752659196708</v>
      </c>
      <c r="AC26">
        <f t="shared" si="20"/>
        <v>-248.86981517625208</v>
      </c>
      <c r="AD26">
        <f t="shared" si="21"/>
        <v>-25.491233766622589</v>
      </c>
      <c r="AE26">
        <f t="shared" si="22"/>
        <v>-0.2733168750887387</v>
      </c>
      <c r="AF26">
        <v>0</v>
      </c>
      <c r="AG26">
        <v>0</v>
      </c>
      <c r="AH26">
        <f t="shared" si="23"/>
        <v>1</v>
      </c>
      <c r="AI26">
        <f t="shared" si="24"/>
        <v>0</v>
      </c>
      <c r="AJ26">
        <f t="shared" si="25"/>
        <v>52604.426235865605</v>
      </c>
      <c r="AK26">
        <f t="shared" si="26"/>
        <v>1799.96</v>
      </c>
      <c r="AL26">
        <f t="shared" si="27"/>
        <v>1499.0782472097599</v>
      </c>
      <c r="AM26">
        <f t="shared" si="28"/>
        <v>0.83283975599999993</v>
      </c>
      <c r="AN26">
        <f t="shared" si="29"/>
        <v>0.15339785736</v>
      </c>
      <c r="AO26">
        <v>32.4</v>
      </c>
      <c r="AP26">
        <v>0.5</v>
      </c>
      <c r="AQ26" t="s">
        <v>331</v>
      </c>
      <c r="AR26">
        <v>2</v>
      </c>
      <c r="AS26">
        <v>1690232664.5999999</v>
      </c>
      <c r="AT26">
        <v>803.01599999999996</v>
      </c>
      <c r="AU26">
        <v>800.01300000000003</v>
      </c>
      <c r="AV26">
        <v>23.281700000000001</v>
      </c>
      <c r="AW26">
        <v>22.798200000000001</v>
      </c>
      <c r="AX26">
        <v>803.35699999999997</v>
      </c>
      <c r="AY26">
        <v>23.1097</v>
      </c>
      <c r="AZ26">
        <v>300.137</v>
      </c>
      <c r="BA26">
        <v>99.020499999999998</v>
      </c>
      <c r="BB26">
        <v>9.9946699999999999E-2</v>
      </c>
      <c r="BC26">
        <v>27.352900000000002</v>
      </c>
      <c r="BD26">
        <v>27.279699999999998</v>
      </c>
      <c r="BE26">
        <v>29.6187</v>
      </c>
      <c r="BF26">
        <v>0</v>
      </c>
      <c r="BG26">
        <v>0</v>
      </c>
      <c r="BH26">
        <v>10061.200000000001</v>
      </c>
      <c r="BI26">
        <v>1078.82</v>
      </c>
      <c r="BJ26">
        <v>1.5137799999999999</v>
      </c>
      <c r="BK26">
        <v>3.0028700000000002</v>
      </c>
      <c r="BL26">
        <v>822.15700000000004</v>
      </c>
      <c r="BM26">
        <v>818.678</v>
      </c>
      <c r="BN26">
        <v>0.483435</v>
      </c>
      <c r="BO26">
        <v>800.01300000000003</v>
      </c>
      <c r="BP26">
        <v>22.798200000000001</v>
      </c>
      <c r="BQ26">
        <v>2.3053599999999999</v>
      </c>
      <c r="BR26">
        <v>2.2574900000000002</v>
      </c>
      <c r="BS26">
        <v>19.713899999999999</v>
      </c>
      <c r="BT26">
        <v>19.376300000000001</v>
      </c>
      <c r="BU26">
        <v>1799.96</v>
      </c>
      <c r="BV26">
        <v>0.90999099999999999</v>
      </c>
      <c r="BW26">
        <v>3.3999000000000001E-2</v>
      </c>
      <c r="BX26">
        <v>2.20068E-2</v>
      </c>
      <c r="BY26">
        <v>3.40028E-2</v>
      </c>
      <c r="BZ26">
        <v>26</v>
      </c>
      <c r="CA26">
        <v>33527.599999999999</v>
      </c>
      <c r="CB26">
        <v>1690232006</v>
      </c>
      <c r="CC26" t="s">
        <v>332</v>
      </c>
      <c r="CD26">
        <v>1690232006</v>
      </c>
      <c r="CE26">
        <v>1690231998.5</v>
      </c>
      <c r="CF26">
        <v>14</v>
      </c>
      <c r="CG26">
        <v>-0.13200000000000001</v>
      </c>
      <c r="CH26">
        <v>-7.0000000000000001E-3</v>
      </c>
      <c r="CI26">
        <v>-0.33800000000000002</v>
      </c>
      <c r="CJ26">
        <v>0.14299999999999999</v>
      </c>
      <c r="CK26">
        <v>799</v>
      </c>
      <c r="CL26">
        <v>19</v>
      </c>
      <c r="CM26">
        <v>7.0000000000000007E-2</v>
      </c>
      <c r="CN26">
        <v>0.14000000000000001</v>
      </c>
      <c r="CO26">
        <v>4.1070672500000001</v>
      </c>
      <c r="CP26">
        <v>-5.1616528705440938</v>
      </c>
      <c r="CQ26">
        <v>0.49914963050165367</v>
      </c>
      <c r="CR26">
        <v>-1</v>
      </c>
      <c r="CS26">
        <v>0.65823072499999991</v>
      </c>
      <c r="CT26">
        <v>-0.96491449530957163</v>
      </c>
      <c r="CU26">
        <v>9.2991553992819012E-2</v>
      </c>
      <c r="CV26">
        <v>-1</v>
      </c>
      <c r="CW26">
        <v>0</v>
      </c>
      <c r="CX26">
        <v>0</v>
      </c>
      <c r="CY26" t="s">
        <v>333</v>
      </c>
      <c r="CZ26">
        <v>2.3644799999999999</v>
      </c>
      <c r="DA26">
        <v>2.7137899999999999</v>
      </c>
      <c r="DB26">
        <v>0.14712</v>
      </c>
      <c r="DC26">
        <v>0.146398</v>
      </c>
      <c r="DD26">
        <v>0.111511</v>
      </c>
      <c r="DE26">
        <v>0.108205</v>
      </c>
      <c r="DF26">
        <v>31158.7</v>
      </c>
      <c r="DG26">
        <v>27533.4</v>
      </c>
      <c r="DH26">
        <v>31187.9</v>
      </c>
      <c r="DI26">
        <v>28105.1</v>
      </c>
      <c r="DJ26">
        <v>37625.1</v>
      </c>
      <c r="DK26">
        <v>35641.199999999997</v>
      </c>
      <c r="DL26">
        <v>44387.6</v>
      </c>
      <c r="DM26">
        <v>42602.2</v>
      </c>
      <c r="DN26">
        <v>1.4721500000000001</v>
      </c>
      <c r="DO26">
        <v>2.0657000000000001</v>
      </c>
      <c r="DP26">
        <v>8.7730600000000006E-2</v>
      </c>
      <c r="DQ26">
        <v>0.23048399999999999</v>
      </c>
      <c r="DR26">
        <v>25.843900000000001</v>
      </c>
      <c r="DS26">
        <v>25.853899999999999</v>
      </c>
      <c r="DT26">
        <v>56</v>
      </c>
      <c r="DU26">
        <v>29.1</v>
      </c>
      <c r="DV26">
        <v>22.876899999999999</v>
      </c>
      <c r="DW26">
        <v>60.997999999999998</v>
      </c>
      <c r="DX26">
        <v>36.129800000000003</v>
      </c>
      <c r="DY26">
        <v>1</v>
      </c>
      <c r="DZ26">
        <v>-9.4870399999999994E-2</v>
      </c>
      <c r="EA26">
        <v>3.97818</v>
      </c>
      <c r="EB26">
        <v>20.126300000000001</v>
      </c>
      <c r="EC26">
        <v>5.2404999999999999</v>
      </c>
      <c r="ED26">
        <v>12.039899999999999</v>
      </c>
      <c r="EE26">
        <v>5.0162500000000003</v>
      </c>
      <c r="EF26">
        <v>3.2879499999999999</v>
      </c>
      <c r="EG26">
        <v>9999</v>
      </c>
      <c r="EH26">
        <v>9999</v>
      </c>
      <c r="EI26">
        <v>9999</v>
      </c>
      <c r="EJ26">
        <v>999.9</v>
      </c>
      <c r="EK26">
        <v>1.8689</v>
      </c>
      <c r="EL26">
        <v>1.8646100000000001</v>
      </c>
      <c r="EM26">
        <v>1.86917</v>
      </c>
      <c r="EN26">
        <v>1.8672200000000001</v>
      </c>
      <c r="EO26">
        <v>1.86338</v>
      </c>
      <c r="EP26">
        <v>1.8644700000000001</v>
      </c>
      <c r="EQ26">
        <v>1.87012</v>
      </c>
      <c r="ER26">
        <v>1.86937</v>
      </c>
      <c r="ES26">
        <v>0</v>
      </c>
      <c r="ET26">
        <v>0</v>
      </c>
      <c r="EU26">
        <v>0</v>
      </c>
      <c r="EV26">
        <v>0</v>
      </c>
      <c r="EW26" t="s">
        <v>334</v>
      </c>
      <c r="EX26" t="s">
        <v>335</v>
      </c>
      <c r="EY26" t="s">
        <v>336</v>
      </c>
      <c r="EZ26" t="s">
        <v>336</v>
      </c>
      <c r="FA26" t="s">
        <v>336</v>
      </c>
      <c r="FB26" t="s">
        <v>336</v>
      </c>
      <c r="FC26">
        <v>0</v>
      </c>
      <c r="FD26">
        <v>100</v>
      </c>
      <c r="FE26">
        <v>100</v>
      </c>
      <c r="FF26">
        <v>-0.34100000000000003</v>
      </c>
      <c r="FG26">
        <v>0.17199999999999999</v>
      </c>
      <c r="FH26">
        <v>0.2126736300064915</v>
      </c>
      <c r="FI26">
        <v>-6.1462078757559423E-4</v>
      </c>
      <c r="FJ26">
        <v>-1.8861989874597051E-7</v>
      </c>
      <c r="FK26">
        <v>1.1980462299894961E-10</v>
      </c>
      <c r="FL26">
        <v>0.1719881465068297</v>
      </c>
      <c r="FM26">
        <v>0</v>
      </c>
      <c r="FN26">
        <v>0</v>
      </c>
      <c r="FO26">
        <v>0</v>
      </c>
      <c r="FP26">
        <v>3</v>
      </c>
      <c r="FQ26">
        <v>2158</v>
      </c>
      <c r="FR26">
        <v>1</v>
      </c>
      <c r="FS26">
        <v>19</v>
      </c>
      <c r="FT26">
        <v>11</v>
      </c>
      <c r="FU26">
        <v>11.1</v>
      </c>
      <c r="FV26">
        <v>1.79688</v>
      </c>
      <c r="FW26">
        <v>2.5769000000000002</v>
      </c>
      <c r="FX26">
        <v>1.5490699999999999</v>
      </c>
      <c r="FY26">
        <v>2.3290999999999999</v>
      </c>
      <c r="FZ26">
        <v>1.50146</v>
      </c>
      <c r="GA26">
        <v>2.36328</v>
      </c>
      <c r="GB26">
        <v>33.602899999999998</v>
      </c>
      <c r="GC26">
        <v>23.973700000000001</v>
      </c>
      <c r="GD26">
        <v>19</v>
      </c>
      <c r="GE26">
        <v>280.48599999999999</v>
      </c>
      <c r="GF26">
        <v>605.80600000000004</v>
      </c>
      <c r="GG26">
        <v>24.009899999999998</v>
      </c>
      <c r="GH26">
        <v>26.127300000000002</v>
      </c>
      <c r="GI26">
        <v>29.999600000000001</v>
      </c>
      <c r="GJ26">
        <v>26.1982</v>
      </c>
      <c r="GK26">
        <v>26.171099999999999</v>
      </c>
      <c r="GL26">
        <v>35.927999999999997</v>
      </c>
      <c r="GM26">
        <v>0</v>
      </c>
      <c r="GN26">
        <v>100</v>
      </c>
      <c r="GO26">
        <v>23.951000000000001</v>
      </c>
      <c r="GP26">
        <v>800</v>
      </c>
      <c r="GQ26">
        <v>23.2075</v>
      </c>
      <c r="GR26">
        <v>99.793599999999998</v>
      </c>
      <c r="GS26">
        <v>99.656999999999996</v>
      </c>
    </row>
    <row r="27" spans="1:201" x14ac:dyDescent="0.25">
      <c r="A27">
        <v>11</v>
      </c>
      <c r="B27">
        <v>1690232674.5999999</v>
      </c>
      <c r="C27">
        <v>168.5</v>
      </c>
      <c r="D27" t="s">
        <v>353</v>
      </c>
      <c r="E27" t="s">
        <v>354</v>
      </c>
      <c r="F27" t="s">
        <v>330</v>
      </c>
      <c r="H27">
        <v>1690232674.5999999</v>
      </c>
      <c r="I27">
        <f t="shared" si="0"/>
        <v>4.0279883657880699E-5</v>
      </c>
      <c r="J27">
        <f t="shared" si="1"/>
        <v>4.0279883657880697E-2</v>
      </c>
      <c r="K27">
        <f t="shared" si="2"/>
        <v>-0.19667485281972158</v>
      </c>
      <c r="L27">
        <f t="shared" si="3"/>
        <v>801.71400000000006</v>
      </c>
      <c r="M27">
        <f t="shared" si="4"/>
        <v>922.99664594684361</v>
      </c>
      <c r="N27">
        <f t="shared" si="5"/>
        <v>91.487505077969388</v>
      </c>
      <c r="O27">
        <f t="shared" si="6"/>
        <v>79.465959023975998</v>
      </c>
      <c r="P27">
        <f t="shared" si="7"/>
        <v>2.1373765466266145E-3</v>
      </c>
      <c r="Q27">
        <f t="shared" si="8"/>
        <v>2.1272845485389738</v>
      </c>
      <c r="R27">
        <f t="shared" si="9"/>
        <v>2.1361842007278703E-3</v>
      </c>
      <c r="S27">
        <f t="shared" si="10"/>
        <v>1.3352221950168675E-3</v>
      </c>
      <c r="T27">
        <f t="shared" si="11"/>
        <v>276.1090026320328</v>
      </c>
      <c r="U27">
        <f t="shared" si="12"/>
        <v>29.380292295898812</v>
      </c>
      <c r="V27">
        <f t="shared" si="13"/>
        <v>29.380292295898812</v>
      </c>
      <c r="W27">
        <f t="shared" si="14"/>
        <v>4.1111288042515604</v>
      </c>
      <c r="X27">
        <f t="shared" si="15"/>
        <v>63.548975837737345</v>
      </c>
      <c r="Y27">
        <f t="shared" si="16"/>
        <v>2.3025892873451999</v>
      </c>
      <c r="Z27">
        <f t="shared" si="17"/>
        <v>3.6233302850143674</v>
      </c>
      <c r="AA27">
        <f t="shared" si="18"/>
        <v>1.8085395169063605</v>
      </c>
      <c r="AB27">
        <f t="shared" si="19"/>
        <v>-1.7763428693125389</v>
      </c>
      <c r="AC27">
        <f t="shared" si="20"/>
        <v>-249.0171856005463</v>
      </c>
      <c r="AD27">
        <f t="shared" si="21"/>
        <v>-25.591445956626689</v>
      </c>
      <c r="AE27">
        <f t="shared" si="22"/>
        <v>-0.27597179445274378</v>
      </c>
      <c r="AF27">
        <v>0</v>
      </c>
      <c r="AG27">
        <v>0</v>
      </c>
      <c r="AH27">
        <f t="shared" si="23"/>
        <v>1</v>
      </c>
      <c r="AI27">
        <f t="shared" si="24"/>
        <v>0</v>
      </c>
      <c r="AJ27">
        <f t="shared" si="25"/>
        <v>52197.018072846549</v>
      </c>
      <c r="AK27">
        <f t="shared" si="26"/>
        <v>1799.96</v>
      </c>
      <c r="AL27">
        <f t="shared" si="27"/>
        <v>1499.0759468608799</v>
      </c>
      <c r="AM27">
        <f t="shared" si="28"/>
        <v>0.83283847799999988</v>
      </c>
      <c r="AN27">
        <f t="shared" si="29"/>
        <v>0.15339729918</v>
      </c>
      <c r="AO27">
        <v>32.4</v>
      </c>
      <c r="AP27">
        <v>0.5</v>
      </c>
      <c r="AQ27" t="s">
        <v>331</v>
      </c>
      <c r="AR27">
        <v>2</v>
      </c>
      <c r="AS27">
        <v>1690232674.5999999</v>
      </c>
      <c r="AT27">
        <v>801.71400000000006</v>
      </c>
      <c r="AU27">
        <v>799.94</v>
      </c>
      <c r="AV27">
        <v>23.2303</v>
      </c>
      <c r="AW27">
        <v>22.805700000000002</v>
      </c>
      <c r="AX27">
        <v>802.05399999999997</v>
      </c>
      <c r="AY27">
        <v>23.058299999999999</v>
      </c>
      <c r="AZ27">
        <v>300.22399999999999</v>
      </c>
      <c r="BA27">
        <v>99.02</v>
      </c>
      <c r="BB27">
        <v>0.10008400000000001</v>
      </c>
      <c r="BC27">
        <v>27.209</v>
      </c>
      <c r="BD27">
        <v>27.098500000000001</v>
      </c>
      <c r="BE27">
        <v>29.4587</v>
      </c>
      <c r="BF27">
        <v>0</v>
      </c>
      <c r="BG27">
        <v>0</v>
      </c>
      <c r="BH27">
        <v>9975</v>
      </c>
      <c r="BI27">
        <v>1079.07</v>
      </c>
      <c r="BJ27">
        <v>1.5137799999999999</v>
      </c>
      <c r="BK27">
        <v>1.77362</v>
      </c>
      <c r="BL27">
        <v>820.78099999999995</v>
      </c>
      <c r="BM27">
        <v>818.60900000000004</v>
      </c>
      <c r="BN27">
        <v>0.42458299999999999</v>
      </c>
      <c r="BO27">
        <v>799.94</v>
      </c>
      <c r="BP27">
        <v>22.805700000000002</v>
      </c>
      <c r="BQ27">
        <v>2.3002600000000002</v>
      </c>
      <c r="BR27">
        <v>2.2582200000000001</v>
      </c>
      <c r="BS27">
        <v>19.6782</v>
      </c>
      <c r="BT27">
        <v>19.381399999999999</v>
      </c>
      <c r="BU27">
        <v>1799.96</v>
      </c>
      <c r="BV27">
        <v>0.90999200000000002</v>
      </c>
      <c r="BW27">
        <v>3.40062E-2</v>
      </c>
      <c r="BX27">
        <v>2.1998400000000001E-2</v>
      </c>
      <c r="BY27">
        <v>3.4002999999999999E-2</v>
      </c>
      <c r="BZ27">
        <v>25.666699999999999</v>
      </c>
      <c r="CA27">
        <v>33527.5</v>
      </c>
      <c r="CB27">
        <v>1690232006</v>
      </c>
      <c r="CC27" t="s">
        <v>332</v>
      </c>
      <c r="CD27">
        <v>1690232006</v>
      </c>
      <c r="CE27">
        <v>1690231998.5</v>
      </c>
      <c r="CF27">
        <v>14</v>
      </c>
      <c r="CG27">
        <v>-0.13200000000000001</v>
      </c>
      <c r="CH27">
        <v>-7.0000000000000001E-3</v>
      </c>
      <c r="CI27">
        <v>-0.33800000000000002</v>
      </c>
      <c r="CJ27">
        <v>0.14299999999999999</v>
      </c>
      <c r="CK27">
        <v>799</v>
      </c>
      <c r="CL27">
        <v>19</v>
      </c>
      <c r="CM27">
        <v>7.0000000000000007E-2</v>
      </c>
      <c r="CN27">
        <v>0.14000000000000001</v>
      </c>
      <c r="CO27">
        <v>3.0887626829268289</v>
      </c>
      <c r="CP27">
        <v>-6.8443712195121824</v>
      </c>
      <c r="CQ27">
        <v>0.67642313433496171</v>
      </c>
      <c r="CR27">
        <v>-1</v>
      </c>
      <c r="CS27">
        <v>0.51437195121951229</v>
      </c>
      <c r="CT27">
        <v>-0.71892106620209051</v>
      </c>
      <c r="CU27">
        <v>7.2789318501412431E-2</v>
      </c>
      <c r="CV27">
        <v>-1</v>
      </c>
      <c r="CW27">
        <v>0</v>
      </c>
      <c r="CX27">
        <v>0</v>
      </c>
      <c r="CY27" t="s">
        <v>333</v>
      </c>
      <c r="CZ27">
        <v>2.36476</v>
      </c>
      <c r="DA27">
        <v>2.7138499999999999</v>
      </c>
      <c r="DB27">
        <v>0.14695900000000001</v>
      </c>
      <c r="DC27">
        <v>0.14638799999999999</v>
      </c>
      <c r="DD27">
        <v>0.111336</v>
      </c>
      <c r="DE27">
        <v>0.10822900000000001</v>
      </c>
      <c r="DF27">
        <v>31165.3</v>
      </c>
      <c r="DG27">
        <v>27534.1</v>
      </c>
      <c r="DH27">
        <v>31188.6</v>
      </c>
      <c r="DI27">
        <v>28105.5</v>
      </c>
      <c r="DJ27">
        <v>37633.599999999999</v>
      </c>
      <c r="DK27">
        <v>35640.800000000003</v>
      </c>
      <c r="DL27">
        <v>44388.7</v>
      </c>
      <c r="DM27">
        <v>42602.8</v>
      </c>
      <c r="DN27">
        <v>1.47265</v>
      </c>
      <c r="DO27">
        <v>2.0660699999999999</v>
      </c>
      <c r="DP27">
        <v>7.5064599999999995E-2</v>
      </c>
      <c r="DQ27">
        <v>0.22117000000000001</v>
      </c>
      <c r="DR27">
        <v>25.869900000000001</v>
      </c>
      <c r="DS27">
        <v>25.845500000000001</v>
      </c>
      <c r="DT27">
        <v>56.1</v>
      </c>
      <c r="DU27">
        <v>29.1</v>
      </c>
      <c r="DV27">
        <v>22.920300000000001</v>
      </c>
      <c r="DW27">
        <v>61.527999999999999</v>
      </c>
      <c r="DX27">
        <v>35.7973</v>
      </c>
      <c r="DY27">
        <v>1</v>
      </c>
      <c r="DZ27">
        <v>-9.7970000000000002E-2</v>
      </c>
      <c r="EA27">
        <v>2.9792399999999999</v>
      </c>
      <c r="EB27">
        <v>20.1553</v>
      </c>
      <c r="EC27">
        <v>5.2406499999999996</v>
      </c>
      <c r="ED27">
        <v>12.039899999999999</v>
      </c>
      <c r="EE27">
        <v>5.0163000000000002</v>
      </c>
      <c r="EF27">
        <v>3.2879499999999999</v>
      </c>
      <c r="EG27">
        <v>9999</v>
      </c>
      <c r="EH27">
        <v>9999</v>
      </c>
      <c r="EI27">
        <v>9999</v>
      </c>
      <c r="EJ27">
        <v>999.9</v>
      </c>
      <c r="EK27">
        <v>1.8689</v>
      </c>
      <c r="EL27">
        <v>1.8646199999999999</v>
      </c>
      <c r="EM27">
        <v>1.86917</v>
      </c>
      <c r="EN27">
        <v>1.8672200000000001</v>
      </c>
      <c r="EO27">
        <v>1.8633900000000001</v>
      </c>
      <c r="EP27">
        <v>1.8644700000000001</v>
      </c>
      <c r="EQ27">
        <v>1.8701300000000001</v>
      </c>
      <c r="ER27">
        <v>1.8693599999999999</v>
      </c>
      <c r="ES27">
        <v>0</v>
      </c>
      <c r="ET27">
        <v>0</v>
      </c>
      <c r="EU27">
        <v>0</v>
      </c>
      <c r="EV27">
        <v>0</v>
      </c>
      <c r="EW27" t="s">
        <v>334</v>
      </c>
      <c r="EX27" t="s">
        <v>335</v>
      </c>
      <c r="EY27" t="s">
        <v>336</v>
      </c>
      <c r="EZ27" t="s">
        <v>336</v>
      </c>
      <c r="FA27" t="s">
        <v>336</v>
      </c>
      <c r="FB27" t="s">
        <v>336</v>
      </c>
      <c r="FC27">
        <v>0</v>
      </c>
      <c r="FD27">
        <v>100</v>
      </c>
      <c r="FE27">
        <v>100</v>
      </c>
      <c r="FF27">
        <v>-0.34</v>
      </c>
      <c r="FG27">
        <v>0.17199999999999999</v>
      </c>
      <c r="FH27">
        <v>0.2126736300064915</v>
      </c>
      <c r="FI27">
        <v>-6.1462078757559423E-4</v>
      </c>
      <c r="FJ27">
        <v>-1.8861989874597051E-7</v>
      </c>
      <c r="FK27">
        <v>1.1980462299894961E-10</v>
      </c>
      <c r="FL27">
        <v>0.1719881465068297</v>
      </c>
      <c r="FM27">
        <v>0</v>
      </c>
      <c r="FN27">
        <v>0</v>
      </c>
      <c r="FO27">
        <v>0</v>
      </c>
      <c r="FP27">
        <v>3</v>
      </c>
      <c r="FQ27">
        <v>2158</v>
      </c>
      <c r="FR27">
        <v>1</v>
      </c>
      <c r="FS27">
        <v>19</v>
      </c>
      <c r="FT27">
        <v>11.1</v>
      </c>
      <c r="FU27">
        <v>11.3</v>
      </c>
      <c r="FV27">
        <v>1.79688</v>
      </c>
      <c r="FW27">
        <v>2.5854499999999998</v>
      </c>
      <c r="FX27">
        <v>1.5490699999999999</v>
      </c>
      <c r="FY27">
        <v>2.3290999999999999</v>
      </c>
      <c r="FZ27">
        <v>1.50146</v>
      </c>
      <c r="GA27">
        <v>2.3840300000000001</v>
      </c>
      <c r="GB27">
        <v>33.602899999999998</v>
      </c>
      <c r="GC27">
        <v>23.973700000000001</v>
      </c>
      <c r="GD27">
        <v>19</v>
      </c>
      <c r="GE27">
        <v>280.70699999999999</v>
      </c>
      <c r="GF27">
        <v>606.13900000000001</v>
      </c>
      <c r="GG27">
        <v>23.402100000000001</v>
      </c>
      <c r="GH27">
        <v>26.131599999999999</v>
      </c>
      <c r="GI27">
        <v>29.9986</v>
      </c>
      <c r="GJ27">
        <v>26.200399999999998</v>
      </c>
      <c r="GK27">
        <v>26.1723</v>
      </c>
      <c r="GL27">
        <v>35.930500000000002</v>
      </c>
      <c r="GM27">
        <v>0</v>
      </c>
      <c r="GN27">
        <v>100</v>
      </c>
      <c r="GO27">
        <v>23.4483</v>
      </c>
      <c r="GP27">
        <v>800</v>
      </c>
      <c r="GQ27">
        <v>23.2075</v>
      </c>
      <c r="GR27">
        <v>99.796099999999996</v>
      </c>
      <c r="GS27">
        <v>99.658600000000007</v>
      </c>
    </row>
    <row r="28" spans="1:201" x14ac:dyDescent="0.25">
      <c r="A28">
        <v>12</v>
      </c>
      <c r="B28">
        <v>1690232684.5999999</v>
      </c>
      <c r="C28">
        <v>178.5</v>
      </c>
      <c r="D28" t="s">
        <v>355</v>
      </c>
      <c r="E28" t="s">
        <v>356</v>
      </c>
      <c r="F28" t="s">
        <v>330</v>
      </c>
      <c r="H28">
        <v>1690232684.5999999</v>
      </c>
      <c r="I28">
        <f t="shared" si="0"/>
        <v>4.1975887405716934E-5</v>
      </c>
      <c r="J28">
        <f t="shared" si="1"/>
        <v>4.1975887405716936E-2</v>
      </c>
      <c r="K28">
        <f t="shared" si="2"/>
        <v>-8.2410481838589567E-2</v>
      </c>
      <c r="L28">
        <f t="shared" si="3"/>
        <v>800.53399999999999</v>
      </c>
      <c r="M28">
        <f t="shared" si="4"/>
        <v>834.47900163879399</v>
      </c>
      <c r="N28">
        <f t="shared" si="5"/>
        <v>82.715020399304436</v>
      </c>
      <c r="O28">
        <f t="shared" si="6"/>
        <v>79.350332375407802</v>
      </c>
      <c r="P28">
        <f t="shared" si="7"/>
        <v>2.2681059537444986E-3</v>
      </c>
      <c r="Q28">
        <f t="shared" si="8"/>
        <v>2.129494275409626</v>
      </c>
      <c r="R28">
        <f t="shared" si="9"/>
        <v>2.2667647330228431E-3</v>
      </c>
      <c r="S28">
        <f t="shared" si="10"/>
        <v>1.4168483925417639E-3</v>
      </c>
      <c r="T28">
        <f t="shared" si="11"/>
        <v>276.10985567637357</v>
      </c>
      <c r="U28">
        <f t="shared" si="12"/>
        <v>29.252013708943444</v>
      </c>
      <c r="V28">
        <f t="shared" si="13"/>
        <v>29.252013708943444</v>
      </c>
      <c r="W28">
        <f t="shared" si="14"/>
        <v>4.0807960926033005</v>
      </c>
      <c r="X28">
        <f t="shared" si="15"/>
        <v>64.069966816102635</v>
      </c>
      <c r="Y28">
        <f t="shared" si="16"/>
        <v>2.3043824835216</v>
      </c>
      <c r="Z28">
        <f t="shared" si="17"/>
        <v>3.5966656423215788</v>
      </c>
      <c r="AA28">
        <f t="shared" si="18"/>
        <v>1.7764136090817004</v>
      </c>
      <c r="AB28">
        <f t="shared" si="19"/>
        <v>-1.8511366345921167</v>
      </c>
      <c r="AC28">
        <f t="shared" si="20"/>
        <v>-249.00277900005551</v>
      </c>
      <c r="AD28">
        <f t="shared" si="21"/>
        <v>-25.531075717364153</v>
      </c>
      <c r="AE28">
        <f t="shared" si="22"/>
        <v>-0.27513567563821084</v>
      </c>
      <c r="AF28">
        <v>0</v>
      </c>
      <c r="AG28">
        <v>0</v>
      </c>
      <c r="AH28">
        <f t="shared" si="23"/>
        <v>1</v>
      </c>
      <c r="AI28">
        <f t="shared" si="24"/>
        <v>0</v>
      </c>
      <c r="AJ28">
        <f t="shared" si="25"/>
        <v>52314.04566528766</v>
      </c>
      <c r="AK28">
        <f t="shared" si="26"/>
        <v>1799.97</v>
      </c>
      <c r="AL28">
        <f t="shared" si="27"/>
        <v>1499.0891351646599</v>
      </c>
      <c r="AM28">
        <f t="shared" si="28"/>
        <v>0.8328411779999999</v>
      </c>
      <c r="AN28">
        <f t="shared" si="29"/>
        <v>0.15339692087999998</v>
      </c>
      <c r="AO28">
        <v>32.4</v>
      </c>
      <c r="AP28">
        <v>0.5</v>
      </c>
      <c r="AQ28" t="s">
        <v>331</v>
      </c>
      <c r="AR28">
        <v>2</v>
      </c>
      <c r="AS28">
        <v>1690232684.5999999</v>
      </c>
      <c r="AT28">
        <v>800.53399999999999</v>
      </c>
      <c r="AU28">
        <v>800.00699999999995</v>
      </c>
      <c r="AV28">
        <v>23.248000000000001</v>
      </c>
      <c r="AW28">
        <v>22.805299999999999</v>
      </c>
      <c r="AX28">
        <v>800.87300000000005</v>
      </c>
      <c r="AY28">
        <v>23.076000000000001</v>
      </c>
      <c r="AZ28">
        <v>300.06799999999998</v>
      </c>
      <c r="BA28">
        <v>99.021799999999999</v>
      </c>
      <c r="BB28">
        <v>9.9951700000000004E-2</v>
      </c>
      <c r="BC28">
        <v>27.083100000000002</v>
      </c>
      <c r="BD28">
        <v>26.9663</v>
      </c>
      <c r="BE28">
        <v>29.2727</v>
      </c>
      <c r="BF28">
        <v>0</v>
      </c>
      <c r="BG28">
        <v>0</v>
      </c>
      <c r="BH28">
        <v>9993.75</v>
      </c>
      <c r="BI28">
        <v>1079.05</v>
      </c>
      <c r="BJ28">
        <v>1.5137799999999999</v>
      </c>
      <c r="BK28">
        <v>0.52691699999999997</v>
      </c>
      <c r="BL28">
        <v>819.58799999999997</v>
      </c>
      <c r="BM28">
        <v>818.678</v>
      </c>
      <c r="BN28">
        <v>0.44269399999999998</v>
      </c>
      <c r="BO28">
        <v>800.00699999999995</v>
      </c>
      <c r="BP28">
        <v>22.805299999999999</v>
      </c>
      <c r="BQ28">
        <v>2.30206</v>
      </c>
      <c r="BR28">
        <v>2.2582200000000001</v>
      </c>
      <c r="BS28">
        <v>19.690799999999999</v>
      </c>
      <c r="BT28">
        <v>19.381499999999999</v>
      </c>
      <c r="BU28">
        <v>1799.97</v>
      </c>
      <c r="BV28">
        <v>0.91001799999999999</v>
      </c>
      <c r="BW28">
        <v>3.3994799999999999E-2</v>
      </c>
      <c r="BX28">
        <v>2.1995399999999998E-2</v>
      </c>
      <c r="BY28">
        <v>3.3991599999999997E-2</v>
      </c>
      <c r="BZ28">
        <v>25</v>
      </c>
      <c r="CA28">
        <v>33527.9</v>
      </c>
      <c r="CB28">
        <v>1690232006</v>
      </c>
      <c r="CC28" t="s">
        <v>332</v>
      </c>
      <c r="CD28">
        <v>1690232006</v>
      </c>
      <c r="CE28">
        <v>1690231998.5</v>
      </c>
      <c r="CF28">
        <v>14</v>
      </c>
      <c r="CG28">
        <v>-0.13200000000000001</v>
      </c>
      <c r="CH28">
        <v>-7.0000000000000001E-3</v>
      </c>
      <c r="CI28">
        <v>-0.33800000000000002</v>
      </c>
      <c r="CJ28">
        <v>0.14299999999999999</v>
      </c>
      <c r="CK28">
        <v>799</v>
      </c>
      <c r="CL28">
        <v>19</v>
      </c>
      <c r="CM28">
        <v>7.0000000000000007E-2</v>
      </c>
      <c r="CN28">
        <v>0.14000000000000001</v>
      </c>
      <c r="CO28">
        <v>1.7991044</v>
      </c>
      <c r="CP28">
        <v>-7.569734881801125</v>
      </c>
      <c r="CQ28">
        <v>0.72838456051363409</v>
      </c>
      <c r="CR28">
        <v>-1</v>
      </c>
      <c r="CS28">
        <v>0.43746259999999998</v>
      </c>
      <c r="CT28">
        <v>-0.13803782363977629</v>
      </c>
      <c r="CU28">
        <v>1.7608211839650278E-2</v>
      </c>
      <c r="CV28">
        <v>-1</v>
      </c>
      <c r="CW28">
        <v>0</v>
      </c>
      <c r="CX28">
        <v>0</v>
      </c>
      <c r="CY28" t="s">
        <v>333</v>
      </c>
      <c r="CZ28">
        <v>2.3642699999999999</v>
      </c>
      <c r="DA28">
        <v>2.71374</v>
      </c>
      <c r="DB28">
        <v>0.146816</v>
      </c>
      <c r="DC28">
        <v>0.146397</v>
      </c>
      <c r="DD28">
        <v>0.111397</v>
      </c>
      <c r="DE28">
        <v>0.10822900000000001</v>
      </c>
      <c r="DF28">
        <v>31171</v>
      </c>
      <c r="DG28">
        <v>27534.5</v>
      </c>
      <c r="DH28">
        <v>31189.1</v>
      </c>
      <c r="DI28">
        <v>28106.3</v>
      </c>
      <c r="DJ28">
        <v>37631.4</v>
      </c>
      <c r="DK28">
        <v>35641.699999999997</v>
      </c>
      <c r="DL28">
        <v>44389.3</v>
      </c>
      <c r="DM28">
        <v>42603.9</v>
      </c>
      <c r="DN28">
        <v>1.4728000000000001</v>
      </c>
      <c r="DO28">
        <v>2.0658799999999999</v>
      </c>
      <c r="DP28">
        <v>6.6198400000000004E-2</v>
      </c>
      <c r="DQ28">
        <v>0.211336</v>
      </c>
      <c r="DR28">
        <v>25.8827</v>
      </c>
      <c r="DS28">
        <v>25.819600000000001</v>
      </c>
      <c r="DT28">
        <v>56.1</v>
      </c>
      <c r="DU28">
        <v>29.1</v>
      </c>
      <c r="DV28">
        <v>22.912400000000002</v>
      </c>
      <c r="DW28">
        <v>61.758000000000003</v>
      </c>
      <c r="DX28">
        <v>35.881399999999999</v>
      </c>
      <c r="DY28">
        <v>1</v>
      </c>
      <c r="DZ28">
        <v>-0.100643</v>
      </c>
      <c r="EA28">
        <v>1.93428</v>
      </c>
      <c r="EB28">
        <v>20.175899999999999</v>
      </c>
      <c r="EC28">
        <v>5.2404999999999999</v>
      </c>
      <c r="ED28">
        <v>12.039899999999999</v>
      </c>
      <c r="EE28">
        <v>5.0163000000000002</v>
      </c>
      <c r="EF28">
        <v>3.2879</v>
      </c>
      <c r="EG28">
        <v>9999</v>
      </c>
      <c r="EH28">
        <v>9999</v>
      </c>
      <c r="EI28">
        <v>9999</v>
      </c>
      <c r="EJ28">
        <v>999.9</v>
      </c>
      <c r="EK28">
        <v>1.8689</v>
      </c>
      <c r="EL28">
        <v>1.8646199999999999</v>
      </c>
      <c r="EM28">
        <v>1.8691899999999999</v>
      </c>
      <c r="EN28">
        <v>1.8672200000000001</v>
      </c>
      <c r="EO28">
        <v>1.8633999999999999</v>
      </c>
      <c r="EP28">
        <v>1.8644700000000001</v>
      </c>
      <c r="EQ28">
        <v>1.8701399999999999</v>
      </c>
      <c r="ER28">
        <v>1.86937</v>
      </c>
      <c r="ES28">
        <v>0</v>
      </c>
      <c r="ET28">
        <v>0</v>
      </c>
      <c r="EU28">
        <v>0</v>
      </c>
      <c r="EV28">
        <v>0</v>
      </c>
      <c r="EW28" t="s">
        <v>334</v>
      </c>
      <c r="EX28" t="s">
        <v>335</v>
      </c>
      <c r="EY28" t="s">
        <v>336</v>
      </c>
      <c r="EZ28" t="s">
        <v>336</v>
      </c>
      <c r="FA28" t="s">
        <v>336</v>
      </c>
      <c r="FB28" t="s">
        <v>336</v>
      </c>
      <c r="FC28">
        <v>0</v>
      </c>
      <c r="FD28">
        <v>100</v>
      </c>
      <c r="FE28">
        <v>100</v>
      </c>
      <c r="FF28">
        <v>-0.33900000000000002</v>
      </c>
      <c r="FG28">
        <v>0.17199999999999999</v>
      </c>
      <c r="FH28">
        <v>0.2126736300064915</v>
      </c>
      <c r="FI28">
        <v>-6.1462078757559423E-4</v>
      </c>
      <c r="FJ28">
        <v>-1.8861989874597051E-7</v>
      </c>
      <c r="FK28">
        <v>1.1980462299894961E-10</v>
      </c>
      <c r="FL28">
        <v>0.1719881465068297</v>
      </c>
      <c r="FM28">
        <v>0</v>
      </c>
      <c r="FN28">
        <v>0</v>
      </c>
      <c r="FO28">
        <v>0</v>
      </c>
      <c r="FP28">
        <v>3</v>
      </c>
      <c r="FQ28">
        <v>2158</v>
      </c>
      <c r="FR28">
        <v>1</v>
      </c>
      <c r="FS28">
        <v>19</v>
      </c>
      <c r="FT28">
        <v>11.3</v>
      </c>
      <c r="FU28">
        <v>11.4</v>
      </c>
      <c r="FV28">
        <v>1.79688</v>
      </c>
      <c r="FW28">
        <v>2.5842299999999998</v>
      </c>
      <c r="FX28">
        <v>1.5490699999999999</v>
      </c>
      <c r="FY28">
        <v>2.3290999999999999</v>
      </c>
      <c r="FZ28">
        <v>1.50146</v>
      </c>
      <c r="GA28">
        <v>2.33643</v>
      </c>
      <c r="GB28">
        <v>33.602899999999998</v>
      </c>
      <c r="GC28">
        <v>23.982399999999998</v>
      </c>
      <c r="GD28">
        <v>19</v>
      </c>
      <c r="GE28">
        <v>280.78100000000001</v>
      </c>
      <c r="GF28">
        <v>605.99300000000005</v>
      </c>
      <c r="GG28">
        <v>23.211300000000001</v>
      </c>
      <c r="GH28">
        <v>26.135999999999999</v>
      </c>
      <c r="GI28">
        <v>29.998799999999999</v>
      </c>
      <c r="GJ28">
        <v>26.2026</v>
      </c>
      <c r="GK28">
        <v>26.174399999999999</v>
      </c>
      <c r="GL28">
        <v>35.932699999999997</v>
      </c>
      <c r="GM28">
        <v>0</v>
      </c>
      <c r="GN28">
        <v>100</v>
      </c>
      <c r="GO28">
        <v>23.305499999999999</v>
      </c>
      <c r="GP28">
        <v>800</v>
      </c>
      <c r="GQ28">
        <v>23.2075</v>
      </c>
      <c r="GR28">
        <v>99.797399999999996</v>
      </c>
      <c r="GS28">
        <v>99.661100000000005</v>
      </c>
    </row>
    <row r="29" spans="1:201" x14ac:dyDescent="0.25">
      <c r="A29">
        <v>13</v>
      </c>
      <c r="B29">
        <v>1690232694.5999999</v>
      </c>
      <c r="C29">
        <v>188.5</v>
      </c>
      <c r="D29" t="s">
        <v>357</v>
      </c>
      <c r="E29" t="s">
        <v>358</v>
      </c>
      <c r="F29" t="s">
        <v>330</v>
      </c>
      <c r="H29">
        <v>1690232694.5999999</v>
      </c>
      <c r="I29">
        <f t="shared" si="0"/>
        <v>6.6470461755131926E-5</v>
      </c>
      <c r="J29">
        <f t="shared" si="1"/>
        <v>6.6470461755131924E-2</v>
      </c>
      <c r="K29">
        <f t="shared" si="2"/>
        <v>-5.2310501101666754E-3</v>
      </c>
      <c r="L29">
        <f t="shared" si="3"/>
        <v>799.49900000000002</v>
      </c>
      <c r="M29">
        <f t="shared" si="4"/>
        <v>778.76009914694691</v>
      </c>
      <c r="N29">
        <f t="shared" si="5"/>
        <v>77.192835608877147</v>
      </c>
      <c r="O29">
        <f t="shared" si="6"/>
        <v>79.248532306759003</v>
      </c>
      <c r="P29">
        <f t="shared" si="7"/>
        <v>3.6461850133597999E-3</v>
      </c>
      <c r="Q29">
        <f t="shared" si="8"/>
        <v>2.1321203416454972</v>
      </c>
      <c r="R29">
        <f t="shared" si="9"/>
        <v>3.6427244419308465E-3</v>
      </c>
      <c r="S29">
        <f t="shared" si="10"/>
        <v>2.2770134140281438E-3</v>
      </c>
      <c r="T29">
        <f t="shared" si="11"/>
        <v>276.1133611276768</v>
      </c>
      <c r="U29">
        <f t="shared" si="12"/>
        <v>29.247968999721131</v>
      </c>
      <c r="V29">
        <f t="shared" si="13"/>
        <v>29.247968999721131</v>
      </c>
      <c r="W29">
        <f t="shared" si="14"/>
        <v>4.0798428637544903</v>
      </c>
      <c r="X29">
        <f t="shared" si="15"/>
        <v>64.74439434325582</v>
      </c>
      <c r="Y29">
        <f t="shared" si="16"/>
        <v>2.3295826589819999</v>
      </c>
      <c r="Z29">
        <f t="shared" si="17"/>
        <v>3.5981225596632118</v>
      </c>
      <c r="AA29">
        <f t="shared" si="18"/>
        <v>1.7502602047724904</v>
      </c>
      <c r="AB29">
        <f t="shared" si="19"/>
        <v>-2.9313473634013181</v>
      </c>
      <c r="AC29">
        <f t="shared" si="20"/>
        <v>-248.0517860861905</v>
      </c>
      <c r="AD29">
        <f t="shared" si="21"/>
        <v>-25.402599477197445</v>
      </c>
      <c r="AE29">
        <f t="shared" si="22"/>
        <v>-0.27237179911247722</v>
      </c>
      <c r="AF29">
        <v>0</v>
      </c>
      <c r="AG29">
        <v>0</v>
      </c>
      <c r="AH29">
        <f t="shared" si="23"/>
        <v>1</v>
      </c>
      <c r="AI29">
        <f t="shared" si="24"/>
        <v>0</v>
      </c>
      <c r="AJ29">
        <f t="shared" si="25"/>
        <v>52426.012645564493</v>
      </c>
      <c r="AK29">
        <f t="shared" si="26"/>
        <v>1799.98</v>
      </c>
      <c r="AL29">
        <f t="shared" si="27"/>
        <v>1499.0936980182801</v>
      </c>
      <c r="AM29">
        <f t="shared" si="28"/>
        <v>0.83283908600000001</v>
      </c>
      <c r="AN29">
        <f t="shared" si="29"/>
        <v>0.15339801615999998</v>
      </c>
      <c r="AO29">
        <v>32.4</v>
      </c>
      <c r="AP29">
        <v>0.5</v>
      </c>
      <c r="AQ29" t="s">
        <v>331</v>
      </c>
      <c r="AR29">
        <v>2</v>
      </c>
      <c r="AS29">
        <v>1690232694.5999999</v>
      </c>
      <c r="AT29">
        <v>799.49900000000002</v>
      </c>
      <c r="AU29">
        <v>800.01599999999996</v>
      </c>
      <c r="AV29">
        <v>23.501999999999999</v>
      </c>
      <c r="AW29">
        <v>22.801600000000001</v>
      </c>
      <c r="AX29">
        <v>799.83699999999999</v>
      </c>
      <c r="AY29">
        <v>23.33</v>
      </c>
      <c r="AZ29">
        <v>300.26100000000002</v>
      </c>
      <c r="BA29">
        <v>99.0227</v>
      </c>
      <c r="BB29">
        <v>0.100041</v>
      </c>
      <c r="BC29">
        <v>27.09</v>
      </c>
      <c r="BD29">
        <v>26.970500000000001</v>
      </c>
      <c r="BE29">
        <v>29.183499999999999</v>
      </c>
      <c r="BF29">
        <v>0</v>
      </c>
      <c r="BG29">
        <v>0</v>
      </c>
      <c r="BH29">
        <v>10016.200000000001</v>
      </c>
      <c r="BI29">
        <v>1079.03</v>
      </c>
      <c r="BJ29">
        <v>1.5278</v>
      </c>
      <c r="BK29">
        <v>-0.51709000000000005</v>
      </c>
      <c r="BL29">
        <v>818.74099999999999</v>
      </c>
      <c r="BM29">
        <v>818.68299999999999</v>
      </c>
      <c r="BN29">
        <v>0.70034200000000002</v>
      </c>
      <c r="BO29">
        <v>800.01599999999996</v>
      </c>
      <c r="BP29">
        <v>22.801600000000001</v>
      </c>
      <c r="BQ29">
        <v>2.3272300000000001</v>
      </c>
      <c r="BR29">
        <v>2.2578800000000001</v>
      </c>
      <c r="BS29">
        <v>19.866099999999999</v>
      </c>
      <c r="BT29">
        <v>19.379000000000001</v>
      </c>
      <c r="BU29">
        <v>1799.98</v>
      </c>
      <c r="BV29">
        <v>0.90998100000000004</v>
      </c>
      <c r="BW29">
        <v>3.4005500000000001E-2</v>
      </c>
      <c r="BX29">
        <v>2.2005799999999999E-2</v>
      </c>
      <c r="BY29">
        <v>3.4008200000000002E-2</v>
      </c>
      <c r="BZ29">
        <v>25</v>
      </c>
      <c r="CA29">
        <v>33527.800000000003</v>
      </c>
      <c r="CB29">
        <v>1690232006</v>
      </c>
      <c r="CC29" t="s">
        <v>332</v>
      </c>
      <c r="CD29">
        <v>1690232006</v>
      </c>
      <c r="CE29">
        <v>1690231998.5</v>
      </c>
      <c r="CF29">
        <v>14</v>
      </c>
      <c r="CG29">
        <v>-0.13200000000000001</v>
      </c>
      <c r="CH29">
        <v>-7.0000000000000001E-3</v>
      </c>
      <c r="CI29">
        <v>-0.33800000000000002</v>
      </c>
      <c r="CJ29">
        <v>0.14299999999999999</v>
      </c>
      <c r="CK29">
        <v>799</v>
      </c>
      <c r="CL29">
        <v>19</v>
      </c>
      <c r="CM29">
        <v>7.0000000000000007E-2</v>
      </c>
      <c r="CN29">
        <v>0.14000000000000001</v>
      </c>
      <c r="CO29">
        <v>0.72093508649999993</v>
      </c>
      <c r="CP29">
        <v>-6.939391849530959</v>
      </c>
      <c r="CQ29">
        <v>0.66865146160399069</v>
      </c>
      <c r="CR29">
        <v>-1</v>
      </c>
      <c r="CS29">
        <v>0.45765484999999989</v>
      </c>
      <c r="CT29">
        <v>0.42184169606003702</v>
      </c>
      <c r="CU29">
        <v>4.7878052938455012E-2</v>
      </c>
      <c r="CV29">
        <v>-1</v>
      </c>
      <c r="CW29">
        <v>0</v>
      </c>
      <c r="CX29">
        <v>0</v>
      </c>
      <c r="CY29" t="s">
        <v>333</v>
      </c>
      <c r="CZ29">
        <v>2.3648799999999999</v>
      </c>
      <c r="DA29">
        <v>2.7138499999999999</v>
      </c>
      <c r="DB29">
        <v>0.14669399999999999</v>
      </c>
      <c r="DC29">
        <v>0.1464</v>
      </c>
      <c r="DD29">
        <v>0.112257</v>
      </c>
      <c r="DE29">
        <v>0.10821799999999999</v>
      </c>
      <c r="DF29">
        <v>31175.5</v>
      </c>
      <c r="DG29">
        <v>27533.7</v>
      </c>
      <c r="DH29">
        <v>31189.1</v>
      </c>
      <c r="DI29">
        <v>28105.5</v>
      </c>
      <c r="DJ29">
        <v>37594.6</v>
      </c>
      <c r="DK29">
        <v>35641.1</v>
      </c>
      <c r="DL29">
        <v>44389.2</v>
      </c>
      <c r="DM29">
        <v>42602.7</v>
      </c>
      <c r="DN29">
        <v>1.4779800000000001</v>
      </c>
      <c r="DO29">
        <v>2.0655800000000002</v>
      </c>
      <c r="DP29">
        <v>6.6384700000000005E-2</v>
      </c>
      <c r="DQ29">
        <v>0.20794599999999999</v>
      </c>
      <c r="DR29">
        <v>25.883900000000001</v>
      </c>
      <c r="DS29">
        <v>25.785399999999999</v>
      </c>
      <c r="DT29">
        <v>56.1</v>
      </c>
      <c r="DU29">
        <v>29.1</v>
      </c>
      <c r="DV29">
        <v>22.9161</v>
      </c>
      <c r="DW29">
        <v>61.628</v>
      </c>
      <c r="DX29">
        <v>36.3782</v>
      </c>
      <c r="DY29">
        <v>1</v>
      </c>
      <c r="DZ29">
        <v>-9.0851100000000004E-2</v>
      </c>
      <c r="EA29">
        <v>-5.1625800000000002</v>
      </c>
      <c r="EB29">
        <v>20.072399999999998</v>
      </c>
      <c r="EC29">
        <v>5.2411000000000003</v>
      </c>
      <c r="ED29">
        <v>12.039899999999999</v>
      </c>
      <c r="EE29">
        <v>5.0163500000000001</v>
      </c>
      <c r="EF29">
        <v>3.2879999999999998</v>
      </c>
      <c r="EG29">
        <v>9999</v>
      </c>
      <c r="EH29">
        <v>9999</v>
      </c>
      <c r="EI29">
        <v>9999</v>
      </c>
      <c r="EJ29">
        <v>999.9</v>
      </c>
      <c r="EK29">
        <v>1.8689</v>
      </c>
      <c r="EL29">
        <v>1.8646199999999999</v>
      </c>
      <c r="EM29">
        <v>1.8691899999999999</v>
      </c>
      <c r="EN29">
        <v>1.8672200000000001</v>
      </c>
      <c r="EO29">
        <v>1.8633900000000001</v>
      </c>
      <c r="EP29">
        <v>1.8644700000000001</v>
      </c>
      <c r="EQ29">
        <v>1.8701300000000001</v>
      </c>
      <c r="ER29">
        <v>1.86937</v>
      </c>
      <c r="ES29">
        <v>0</v>
      </c>
      <c r="ET29">
        <v>0</v>
      </c>
      <c r="EU29">
        <v>0</v>
      </c>
      <c r="EV29">
        <v>0</v>
      </c>
      <c r="EW29" t="s">
        <v>334</v>
      </c>
      <c r="EX29" t="s">
        <v>335</v>
      </c>
      <c r="EY29" t="s">
        <v>336</v>
      </c>
      <c r="EZ29" t="s">
        <v>336</v>
      </c>
      <c r="FA29" t="s">
        <v>336</v>
      </c>
      <c r="FB29" t="s">
        <v>336</v>
      </c>
      <c r="FC29">
        <v>0</v>
      </c>
      <c r="FD29">
        <v>100</v>
      </c>
      <c r="FE29">
        <v>100</v>
      </c>
      <c r="FF29">
        <v>-0.33800000000000002</v>
      </c>
      <c r="FG29">
        <v>0.17199999999999999</v>
      </c>
      <c r="FH29">
        <v>0.2126736300064915</v>
      </c>
      <c r="FI29">
        <v>-6.1462078757559423E-4</v>
      </c>
      <c r="FJ29">
        <v>-1.8861989874597051E-7</v>
      </c>
      <c r="FK29">
        <v>1.1980462299894961E-10</v>
      </c>
      <c r="FL29">
        <v>0.1719881465068297</v>
      </c>
      <c r="FM29">
        <v>0</v>
      </c>
      <c r="FN29">
        <v>0</v>
      </c>
      <c r="FO29">
        <v>0</v>
      </c>
      <c r="FP29">
        <v>3</v>
      </c>
      <c r="FQ29">
        <v>2158</v>
      </c>
      <c r="FR29">
        <v>1</v>
      </c>
      <c r="FS29">
        <v>19</v>
      </c>
      <c r="FT29">
        <v>11.5</v>
      </c>
      <c r="FU29">
        <v>11.6</v>
      </c>
      <c r="FV29">
        <v>1.79688</v>
      </c>
      <c r="FW29">
        <v>2.5854499999999998</v>
      </c>
      <c r="FX29">
        <v>1.5490699999999999</v>
      </c>
      <c r="FY29">
        <v>2.3290999999999999</v>
      </c>
      <c r="FZ29">
        <v>1.50146</v>
      </c>
      <c r="GA29">
        <v>2.4182100000000002</v>
      </c>
      <c r="GB29">
        <v>33.625399999999999</v>
      </c>
      <c r="GC29">
        <v>23.973700000000001</v>
      </c>
      <c r="GD29">
        <v>19</v>
      </c>
      <c r="GE29">
        <v>283.00299999999999</v>
      </c>
      <c r="GF29">
        <v>605.74</v>
      </c>
      <c r="GG29">
        <v>25.984000000000002</v>
      </c>
      <c r="GH29">
        <v>26.140999999999998</v>
      </c>
      <c r="GI29">
        <v>30.004000000000001</v>
      </c>
      <c r="GJ29">
        <v>26.208100000000002</v>
      </c>
      <c r="GK29">
        <v>26.174499999999998</v>
      </c>
      <c r="GL29">
        <v>35.932000000000002</v>
      </c>
      <c r="GM29">
        <v>0</v>
      </c>
      <c r="GN29">
        <v>100</v>
      </c>
      <c r="GO29">
        <v>25.9465</v>
      </c>
      <c r="GP29">
        <v>800</v>
      </c>
      <c r="GQ29">
        <v>23.527999999999999</v>
      </c>
      <c r="GR29">
        <v>99.797399999999996</v>
      </c>
      <c r="GS29">
        <v>99.658299999999997</v>
      </c>
    </row>
    <row r="30" spans="1:201" x14ac:dyDescent="0.25">
      <c r="A30">
        <v>14</v>
      </c>
      <c r="B30">
        <v>1690232704.5999999</v>
      </c>
      <c r="C30">
        <v>198.5</v>
      </c>
      <c r="D30" t="s">
        <v>359</v>
      </c>
      <c r="E30" t="s">
        <v>360</v>
      </c>
      <c r="F30" t="s">
        <v>330</v>
      </c>
      <c r="H30">
        <v>1690232704.5999999</v>
      </c>
      <c r="I30">
        <f t="shared" si="0"/>
        <v>1.1316208437997825E-4</v>
      </c>
      <c r="J30">
        <f t="shared" si="1"/>
        <v>0.11316208437997825</v>
      </c>
      <c r="K30">
        <f t="shared" si="2"/>
        <v>4.3828655531008065E-2</v>
      </c>
      <c r="L30">
        <f t="shared" si="3"/>
        <v>798.51099999999997</v>
      </c>
      <c r="M30">
        <f t="shared" si="4"/>
        <v>764.39114712314972</v>
      </c>
      <c r="N30">
        <f t="shared" si="5"/>
        <v>75.768383495179435</v>
      </c>
      <c r="O30">
        <f t="shared" si="6"/>
        <v>79.150429594616796</v>
      </c>
      <c r="P30">
        <f t="shared" si="7"/>
        <v>6.2107353527444988E-3</v>
      </c>
      <c r="Q30">
        <f t="shared" si="8"/>
        <v>2.1225609865910275</v>
      </c>
      <c r="R30">
        <f t="shared" si="9"/>
        <v>6.2006569516749087E-3</v>
      </c>
      <c r="S30">
        <f t="shared" si="10"/>
        <v>3.8763147172285626E-3</v>
      </c>
      <c r="T30">
        <f t="shared" si="11"/>
        <v>276.11230191144602</v>
      </c>
      <c r="U30">
        <f t="shared" si="12"/>
        <v>29.450232006551119</v>
      </c>
      <c r="V30">
        <f t="shared" si="13"/>
        <v>29.450232006551119</v>
      </c>
      <c r="W30">
        <f t="shared" si="14"/>
        <v>4.1277493760415318</v>
      </c>
      <c r="X30">
        <f t="shared" si="15"/>
        <v>65.283802142443264</v>
      </c>
      <c r="Y30">
        <f t="shared" si="16"/>
        <v>2.3781278864638402</v>
      </c>
      <c r="Z30">
        <f t="shared" si="17"/>
        <v>3.6427533452708274</v>
      </c>
      <c r="AA30">
        <f t="shared" si="18"/>
        <v>1.7496214895776916</v>
      </c>
      <c r="AB30">
        <f t="shared" si="19"/>
        <v>-4.9904479211570409</v>
      </c>
      <c r="AC30">
        <f t="shared" si="20"/>
        <v>-246.03140456246274</v>
      </c>
      <c r="AD30">
        <f t="shared" si="21"/>
        <v>-25.361194576633359</v>
      </c>
      <c r="AE30">
        <f t="shared" si="22"/>
        <v>-0.27074514880709444</v>
      </c>
      <c r="AF30">
        <v>0</v>
      </c>
      <c r="AG30">
        <v>0</v>
      </c>
      <c r="AH30">
        <f t="shared" si="23"/>
        <v>1</v>
      </c>
      <c r="AI30">
        <f t="shared" si="24"/>
        <v>0</v>
      </c>
      <c r="AJ30">
        <f t="shared" si="25"/>
        <v>51978.475660751341</v>
      </c>
      <c r="AK30">
        <f t="shared" si="26"/>
        <v>1799.98</v>
      </c>
      <c r="AL30">
        <f t="shared" si="27"/>
        <v>1499.0950822028999</v>
      </c>
      <c r="AM30">
        <f t="shared" si="28"/>
        <v>0.83283985499999991</v>
      </c>
      <c r="AN30">
        <f t="shared" si="29"/>
        <v>0.15339742770000001</v>
      </c>
      <c r="AO30">
        <v>32.4</v>
      </c>
      <c r="AP30">
        <v>0.5</v>
      </c>
      <c r="AQ30" t="s">
        <v>331</v>
      </c>
      <c r="AR30">
        <v>2</v>
      </c>
      <c r="AS30">
        <v>1690232704.5999999</v>
      </c>
      <c r="AT30">
        <v>798.51099999999997</v>
      </c>
      <c r="AU30">
        <v>799.95899999999995</v>
      </c>
      <c r="AV30">
        <v>23.991800000000001</v>
      </c>
      <c r="AW30">
        <v>22.8</v>
      </c>
      <c r="AX30">
        <v>798.84900000000005</v>
      </c>
      <c r="AY30">
        <v>23.819800000000001</v>
      </c>
      <c r="AZ30">
        <v>300.25900000000001</v>
      </c>
      <c r="BA30">
        <v>99.022599999999997</v>
      </c>
      <c r="BB30">
        <v>9.9928799999999998E-2</v>
      </c>
      <c r="BC30">
        <v>27.3002</v>
      </c>
      <c r="BD30">
        <v>27.201499999999999</v>
      </c>
      <c r="BE30">
        <v>29.3811</v>
      </c>
      <c r="BF30">
        <v>0</v>
      </c>
      <c r="BG30">
        <v>0</v>
      </c>
      <c r="BH30">
        <v>9934.3799999999992</v>
      </c>
      <c r="BI30">
        <v>1079.44</v>
      </c>
      <c r="BJ30">
        <v>1.5137799999999999</v>
      </c>
      <c r="BK30">
        <v>-1.4472700000000001</v>
      </c>
      <c r="BL30">
        <v>818.14</v>
      </c>
      <c r="BM30">
        <v>818.62300000000005</v>
      </c>
      <c r="BN30">
        <v>1.1917899999999999</v>
      </c>
      <c r="BO30">
        <v>799.95899999999995</v>
      </c>
      <c r="BP30">
        <v>22.8</v>
      </c>
      <c r="BQ30">
        <v>2.3757299999999999</v>
      </c>
      <c r="BR30">
        <v>2.2577199999999999</v>
      </c>
      <c r="BS30">
        <v>20.199300000000001</v>
      </c>
      <c r="BT30">
        <v>19.377800000000001</v>
      </c>
      <c r="BU30">
        <v>1799.98</v>
      </c>
      <c r="BV30">
        <v>0.90999699999999994</v>
      </c>
      <c r="BW30">
        <v>3.3997199999999998E-2</v>
      </c>
      <c r="BX30">
        <v>2.2000499999999999E-2</v>
      </c>
      <c r="BY30">
        <v>3.4005199999999999E-2</v>
      </c>
      <c r="BZ30">
        <v>25</v>
      </c>
      <c r="CA30">
        <v>33528</v>
      </c>
      <c r="CB30">
        <v>1690232006</v>
      </c>
      <c r="CC30" t="s">
        <v>332</v>
      </c>
      <c r="CD30">
        <v>1690232006</v>
      </c>
      <c r="CE30">
        <v>1690231998.5</v>
      </c>
      <c r="CF30">
        <v>14</v>
      </c>
      <c r="CG30">
        <v>-0.13200000000000001</v>
      </c>
      <c r="CH30">
        <v>-7.0000000000000001E-3</v>
      </c>
      <c r="CI30">
        <v>-0.33800000000000002</v>
      </c>
      <c r="CJ30">
        <v>0.14299999999999999</v>
      </c>
      <c r="CK30">
        <v>799</v>
      </c>
      <c r="CL30">
        <v>19</v>
      </c>
      <c r="CM30">
        <v>7.0000000000000007E-2</v>
      </c>
      <c r="CN30">
        <v>0.14000000000000001</v>
      </c>
      <c r="CO30">
        <v>-0.39135757414634148</v>
      </c>
      <c r="CP30">
        <v>-6.0432515870383261</v>
      </c>
      <c r="CQ30">
        <v>0.59689630008861394</v>
      </c>
      <c r="CR30">
        <v>-1</v>
      </c>
      <c r="CS30">
        <v>0.72141239024390236</v>
      </c>
      <c r="CT30">
        <v>2.534331888501741</v>
      </c>
      <c r="CU30">
        <v>0.25791204630373399</v>
      </c>
      <c r="CV30">
        <v>-1</v>
      </c>
      <c r="CW30">
        <v>0</v>
      </c>
      <c r="CX30">
        <v>0</v>
      </c>
      <c r="CY30" t="s">
        <v>333</v>
      </c>
      <c r="CZ30">
        <v>2.3648500000000001</v>
      </c>
      <c r="DA30">
        <v>2.71366</v>
      </c>
      <c r="DB30">
        <v>0.14658199999999999</v>
      </c>
      <c r="DC30">
        <v>0.146394</v>
      </c>
      <c r="DD30">
        <v>0.11390400000000001</v>
      </c>
      <c r="DE30">
        <v>0.108213</v>
      </c>
      <c r="DF30">
        <v>31179.1</v>
      </c>
      <c r="DG30">
        <v>27533.9</v>
      </c>
      <c r="DH30">
        <v>31188.7</v>
      </c>
      <c r="DI30">
        <v>28105.5</v>
      </c>
      <c r="DJ30">
        <v>37523.1</v>
      </c>
      <c r="DK30">
        <v>35641.699999999997</v>
      </c>
      <c r="DL30">
        <v>44388.1</v>
      </c>
      <c r="DM30">
        <v>42603.1</v>
      </c>
      <c r="DN30">
        <v>1.4750000000000001</v>
      </c>
      <c r="DO30">
        <v>2.06562</v>
      </c>
      <c r="DP30">
        <v>8.0615300000000001E-2</v>
      </c>
      <c r="DQ30">
        <v>0.22165499999999999</v>
      </c>
      <c r="DR30">
        <v>25.882100000000001</v>
      </c>
      <c r="DS30">
        <v>25.759499999999999</v>
      </c>
      <c r="DT30">
        <v>56.1</v>
      </c>
      <c r="DU30">
        <v>29</v>
      </c>
      <c r="DV30">
        <v>22.785299999999999</v>
      </c>
      <c r="DW30">
        <v>62.158000000000001</v>
      </c>
      <c r="DX30">
        <v>35.2684</v>
      </c>
      <c r="DY30">
        <v>1</v>
      </c>
      <c r="DZ30">
        <v>-0.102147</v>
      </c>
      <c r="EA30">
        <v>-0.89698299999999997</v>
      </c>
      <c r="EB30">
        <v>20.1846</v>
      </c>
      <c r="EC30">
        <v>5.2404999999999999</v>
      </c>
      <c r="ED30">
        <v>12.039899999999999</v>
      </c>
      <c r="EE30">
        <v>5.0160499999999999</v>
      </c>
      <c r="EF30">
        <v>3.2879499999999999</v>
      </c>
      <c r="EG30">
        <v>9999</v>
      </c>
      <c r="EH30">
        <v>9999</v>
      </c>
      <c r="EI30">
        <v>9999</v>
      </c>
      <c r="EJ30">
        <v>999.9</v>
      </c>
      <c r="EK30">
        <v>1.8689</v>
      </c>
      <c r="EL30">
        <v>1.8646199999999999</v>
      </c>
      <c r="EM30">
        <v>1.8691800000000001</v>
      </c>
      <c r="EN30">
        <v>1.8672200000000001</v>
      </c>
      <c r="EO30">
        <v>1.8633500000000001</v>
      </c>
      <c r="EP30">
        <v>1.8644700000000001</v>
      </c>
      <c r="EQ30">
        <v>1.87012</v>
      </c>
      <c r="ER30">
        <v>1.86937</v>
      </c>
      <c r="ES30">
        <v>0</v>
      </c>
      <c r="ET30">
        <v>0</v>
      </c>
      <c r="EU30">
        <v>0</v>
      </c>
      <c r="EV30">
        <v>0</v>
      </c>
      <c r="EW30" t="s">
        <v>334</v>
      </c>
      <c r="EX30" t="s">
        <v>335</v>
      </c>
      <c r="EY30" t="s">
        <v>336</v>
      </c>
      <c r="EZ30" t="s">
        <v>336</v>
      </c>
      <c r="FA30" t="s">
        <v>336</v>
      </c>
      <c r="FB30" t="s">
        <v>336</v>
      </c>
      <c r="FC30">
        <v>0</v>
      </c>
      <c r="FD30">
        <v>100</v>
      </c>
      <c r="FE30">
        <v>100</v>
      </c>
      <c r="FF30">
        <v>-0.33800000000000002</v>
      </c>
      <c r="FG30">
        <v>0.17199999999999999</v>
      </c>
      <c r="FH30">
        <v>0.2126736300064915</v>
      </c>
      <c r="FI30">
        <v>-6.1462078757559423E-4</v>
      </c>
      <c r="FJ30">
        <v>-1.8861989874597051E-7</v>
      </c>
      <c r="FK30">
        <v>1.1980462299894961E-10</v>
      </c>
      <c r="FL30">
        <v>0.1719881465068297</v>
      </c>
      <c r="FM30">
        <v>0</v>
      </c>
      <c r="FN30">
        <v>0</v>
      </c>
      <c r="FO30">
        <v>0</v>
      </c>
      <c r="FP30">
        <v>3</v>
      </c>
      <c r="FQ30">
        <v>2158</v>
      </c>
      <c r="FR30">
        <v>1</v>
      </c>
      <c r="FS30">
        <v>19</v>
      </c>
      <c r="FT30">
        <v>11.6</v>
      </c>
      <c r="FU30">
        <v>11.8</v>
      </c>
      <c r="FV30">
        <v>1.79688</v>
      </c>
      <c r="FW30">
        <v>2.5903299999999998</v>
      </c>
      <c r="FX30">
        <v>1.5490699999999999</v>
      </c>
      <c r="FY30">
        <v>2.3290999999999999</v>
      </c>
      <c r="FZ30">
        <v>1.50146</v>
      </c>
      <c r="GA30">
        <v>2.2790499999999998</v>
      </c>
      <c r="GB30">
        <v>33.625399999999999</v>
      </c>
      <c r="GC30">
        <v>23.973700000000001</v>
      </c>
      <c r="GD30">
        <v>19</v>
      </c>
      <c r="GE30">
        <v>281.779</v>
      </c>
      <c r="GF30">
        <v>605.80799999999999</v>
      </c>
      <c r="GG30">
        <v>26.376000000000001</v>
      </c>
      <c r="GH30">
        <v>26.1465</v>
      </c>
      <c r="GI30">
        <v>29.9969</v>
      </c>
      <c r="GJ30">
        <v>26.217500000000001</v>
      </c>
      <c r="GK30">
        <v>26.1767</v>
      </c>
      <c r="GL30">
        <v>35.931899999999999</v>
      </c>
      <c r="GM30">
        <v>0</v>
      </c>
      <c r="GN30">
        <v>100</v>
      </c>
      <c r="GO30">
        <v>26.161000000000001</v>
      </c>
      <c r="GP30">
        <v>800</v>
      </c>
      <c r="GQ30">
        <v>23.390699999999999</v>
      </c>
      <c r="GR30">
        <v>99.795299999999997</v>
      </c>
      <c r="GS30">
        <v>99.659000000000006</v>
      </c>
    </row>
    <row r="31" spans="1:201" x14ac:dyDescent="0.25">
      <c r="A31">
        <v>15</v>
      </c>
      <c r="B31">
        <v>1690232714.5999999</v>
      </c>
      <c r="C31">
        <v>208.5</v>
      </c>
      <c r="D31" t="s">
        <v>361</v>
      </c>
      <c r="E31" t="s">
        <v>362</v>
      </c>
      <c r="F31" t="s">
        <v>330</v>
      </c>
      <c r="H31">
        <v>1690232714.5999999</v>
      </c>
      <c r="I31">
        <f t="shared" si="0"/>
        <v>1.1956859895114589E-4</v>
      </c>
      <c r="J31">
        <f t="shared" si="1"/>
        <v>0.11956859895114588</v>
      </c>
      <c r="K31">
        <f t="shared" si="2"/>
        <v>9.6175316657000604E-2</v>
      </c>
      <c r="L31">
        <f t="shared" si="3"/>
        <v>797.94299999999998</v>
      </c>
      <c r="M31">
        <f t="shared" si="4"/>
        <v>751.68898653559074</v>
      </c>
      <c r="N31">
        <f t="shared" si="5"/>
        <v>74.509873149642985</v>
      </c>
      <c r="O31">
        <f t="shared" si="6"/>
        <v>79.094722385999106</v>
      </c>
      <c r="P31">
        <f t="shared" si="7"/>
        <v>6.5410819937075379E-3</v>
      </c>
      <c r="Q31">
        <f t="shared" si="8"/>
        <v>2.1316967176709061</v>
      </c>
      <c r="R31">
        <f t="shared" si="9"/>
        <v>6.5299518058037267E-3</v>
      </c>
      <c r="S31">
        <f t="shared" si="10"/>
        <v>4.0822182827931425E-3</v>
      </c>
      <c r="T31">
        <f t="shared" si="11"/>
        <v>276.11316277946253</v>
      </c>
      <c r="U31">
        <f t="shared" si="12"/>
        <v>29.500921147911757</v>
      </c>
      <c r="V31">
        <f t="shared" si="13"/>
        <v>29.500921147911757</v>
      </c>
      <c r="W31">
        <f t="shared" si="14"/>
        <v>4.1398317978544013</v>
      </c>
      <c r="X31">
        <f t="shared" si="15"/>
        <v>65.224749748984479</v>
      </c>
      <c r="Y31">
        <f t="shared" si="16"/>
        <v>2.3845392091093105</v>
      </c>
      <c r="Z31">
        <f t="shared" si="17"/>
        <v>3.6558809628034439</v>
      </c>
      <c r="AA31">
        <f t="shared" si="18"/>
        <v>1.7552925887450908</v>
      </c>
      <c r="AB31">
        <f t="shared" si="19"/>
        <v>-5.2729752137455339</v>
      </c>
      <c r="AC31">
        <f t="shared" si="20"/>
        <v>-245.85941514808613</v>
      </c>
      <c r="AD31">
        <f t="shared" si="21"/>
        <v>-25.248929728625065</v>
      </c>
      <c r="AE31">
        <f t="shared" si="22"/>
        <v>-0.26815731099418372</v>
      </c>
      <c r="AF31">
        <v>0</v>
      </c>
      <c r="AG31">
        <v>0</v>
      </c>
      <c r="AH31">
        <f t="shared" si="23"/>
        <v>1</v>
      </c>
      <c r="AI31">
        <f t="shared" si="24"/>
        <v>0</v>
      </c>
      <c r="AJ31">
        <f t="shared" si="25"/>
        <v>52360.372663796719</v>
      </c>
      <c r="AK31">
        <f t="shared" si="26"/>
        <v>1799.99</v>
      </c>
      <c r="AL31">
        <f t="shared" si="27"/>
        <v>1499.1025736060999</v>
      </c>
      <c r="AM31">
        <f t="shared" si="28"/>
        <v>0.83283938999999996</v>
      </c>
      <c r="AN31">
        <f t="shared" si="29"/>
        <v>0.15339705375000001</v>
      </c>
      <c r="AO31">
        <v>32.4</v>
      </c>
      <c r="AP31">
        <v>0.5</v>
      </c>
      <c r="AQ31" t="s">
        <v>331</v>
      </c>
      <c r="AR31">
        <v>2</v>
      </c>
      <c r="AS31">
        <v>1690232714.5999999</v>
      </c>
      <c r="AT31">
        <v>797.94299999999998</v>
      </c>
      <c r="AU31">
        <v>800.01099999999997</v>
      </c>
      <c r="AV31">
        <v>24.0563</v>
      </c>
      <c r="AW31">
        <v>22.796700000000001</v>
      </c>
      <c r="AX31">
        <v>798.28</v>
      </c>
      <c r="AY31">
        <v>23.8843</v>
      </c>
      <c r="AZ31">
        <v>300.161</v>
      </c>
      <c r="BA31">
        <v>99.023300000000006</v>
      </c>
      <c r="BB31">
        <v>9.9973699999999999E-2</v>
      </c>
      <c r="BC31">
        <v>27.361599999999999</v>
      </c>
      <c r="BD31">
        <v>27.276199999999999</v>
      </c>
      <c r="BE31">
        <v>29.496500000000001</v>
      </c>
      <c r="BF31">
        <v>0</v>
      </c>
      <c r="BG31">
        <v>0</v>
      </c>
      <c r="BH31">
        <v>10012.5</v>
      </c>
      <c r="BI31">
        <v>1079.9100000000001</v>
      </c>
      <c r="BJ31">
        <v>1.5137799999999999</v>
      </c>
      <c r="BK31">
        <v>-2.0676299999999999</v>
      </c>
      <c r="BL31">
        <v>817.61199999999997</v>
      </c>
      <c r="BM31">
        <v>818.67399999999998</v>
      </c>
      <c r="BN31">
        <v>1.2596099999999999</v>
      </c>
      <c r="BO31">
        <v>800.01099999999997</v>
      </c>
      <c r="BP31">
        <v>22.796700000000001</v>
      </c>
      <c r="BQ31">
        <v>2.3821300000000001</v>
      </c>
      <c r="BR31">
        <v>2.2574000000000001</v>
      </c>
      <c r="BS31">
        <v>20.242799999999999</v>
      </c>
      <c r="BT31">
        <v>19.375599999999999</v>
      </c>
      <c r="BU31">
        <v>1799.99</v>
      </c>
      <c r="BV31">
        <v>0.91000300000000001</v>
      </c>
      <c r="BW31">
        <v>3.4003800000000001E-2</v>
      </c>
      <c r="BX31">
        <v>2.1995500000000001E-2</v>
      </c>
      <c r="BY31">
        <v>3.39975E-2</v>
      </c>
      <c r="BZ31">
        <v>25</v>
      </c>
      <c r="CA31">
        <v>33528.199999999997</v>
      </c>
      <c r="CB31">
        <v>1690232006</v>
      </c>
      <c r="CC31" t="s">
        <v>332</v>
      </c>
      <c r="CD31">
        <v>1690232006</v>
      </c>
      <c r="CE31">
        <v>1690231998.5</v>
      </c>
      <c r="CF31">
        <v>14</v>
      </c>
      <c r="CG31">
        <v>-0.13200000000000001</v>
      </c>
      <c r="CH31">
        <v>-7.0000000000000001E-3</v>
      </c>
      <c r="CI31">
        <v>-0.33800000000000002</v>
      </c>
      <c r="CJ31">
        <v>0.14299999999999999</v>
      </c>
      <c r="CK31">
        <v>799</v>
      </c>
      <c r="CL31">
        <v>19</v>
      </c>
      <c r="CM31">
        <v>7.0000000000000007E-2</v>
      </c>
      <c r="CN31">
        <v>0.14000000000000001</v>
      </c>
      <c r="CO31">
        <v>-1.369530975</v>
      </c>
      <c r="CP31">
        <v>-4.6318381350844264</v>
      </c>
      <c r="CQ31">
        <v>0.44889704257476942</v>
      </c>
      <c r="CR31">
        <v>-1</v>
      </c>
      <c r="CS31">
        <v>1.11159995</v>
      </c>
      <c r="CT31">
        <v>1.6072904465290789</v>
      </c>
      <c r="CU31">
        <v>0.16865301111942091</v>
      </c>
      <c r="CV31">
        <v>-1</v>
      </c>
      <c r="CW31">
        <v>0</v>
      </c>
      <c r="CX31">
        <v>0</v>
      </c>
      <c r="CY31" t="s">
        <v>333</v>
      </c>
      <c r="CZ31">
        <v>2.3645499999999999</v>
      </c>
      <c r="DA31">
        <v>2.7137799999999999</v>
      </c>
      <c r="DB31">
        <v>0.146513</v>
      </c>
      <c r="DC31">
        <v>0.146399</v>
      </c>
      <c r="DD31">
        <v>0.11412</v>
      </c>
      <c r="DE31">
        <v>0.10820100000000001</v>
      </c>
      <c r="DF31">
        <v>31182</v>
      </c>
      <c r="DG31">
        <v>27534.6</v>
      </c>
      <c r="DH31">
        <v>31189.1</v>
      </c>
      <c r="DI31">
        <v>28106.5</v>
      </c>
      <c r="DJ31">
        <v>37514.199999999997</v>
      </c>
      <c r="DK31">
        <v>35643.199999999997</v>
      </c>
      <c r="DL31">
        <v>44388.5</v>
      </c>
      <c r="DM31">
        <v>42604.3</v>
      </c>
      <c r="DN31">
        <v>1.4738800000000001</v>
      </c>
      <c r="DO31">
        <v>2.06542</v>
      </c>
      <c r="DP31">
        <v>8.4824899999999995E-2</v>
      </c>
      <c r="DQ31">
        <v>0.228994</v>
      </c>
      <c r="DR31">
        <v>25.888000000000002</v>
      </c>
      <c r="DS31">
        <v>25.755299999999998</v>
      </c>
      <c r="DT31">
        <v>56.1</v>
      </c>
      <c r="DU31">
        <v>29.1</v>
      </c>
      <c r="DV31">
        <v>22.9162</v>
      </c>
      <c r="DW31">
        <v>61.847999999999999</v>
      </c>
      <c r="DX31">
        <v>36.4223</v>
      </c>
      <c r="DY31">
        <v>1</v>
      </c>
      <c r="DZ31">
        <v>-0.10170700000000001</v>
      </c>
      <c r="EA31">
        <v>1.31701</v>
      </c>
      <c r="EB31">
        <v>20.1813</v>
      </c>
      <c r="EC31">
        <v>5.2413999999999996</v>
      </c>
      <c r="ED31">
        <v>12.039899999999999</v>
      </c>
      <c r="EE31">
        <v>5.0164999999999997</v>
      </c>
      <c r="EF31">
        <v>3.2879999999999998</v>
      </c>
      <c r="EG31">
        <v>9999</v>
      </c>
      <c r="EH31">
        <v>9999</v>
      </c>
      <c r="EI31">
        <v>9999</v>
      </c>
      <c r="EJ31">
        <v>999.9</v>
      </c>
      <c r="EK31">
        <v>1.8689</v>
      </c>
      <c r="EL31">
        <v>1.8646199999999999</v>
      </c>
      <c r="EM31">
        <v>1.86917</v>
      </c>
      <c r="EN31">
        <v>1.8672200000000001</v>
      </c>
      <c r="EO31">
        <v>1.86338</v>
      </c>
      <c r="EP31">
        <v>1.8644799999999999</v>
      </c>
      <c r="EQ31">
        <v>1.8701399999999999</v>
      </c>
      <c r="ER31">
        <v>1.86938</v>
      </c>
      <c r="ES31">
        <v>0</v>
      </c>
      <c r="ET31">
        <v>0</v>
      </c>
      <c r="EU31">
        <v>0</v>
      </c>
      <c r="EV31">
        <v>0</v>
      </c>
      <c r="EW31" t="s">
        <v>334</v>
      </c>
      <c r="EX31" t="s">
        <v>335</v>
      </c>
      <c r="EY31" t="s">
        <v>336</v>
      </c>
      <c r="EZ31" t="s">
        <v>336</v>
      </c>
      <c r="FA31" t="s">
        <v>336</v>
      </c>
      <c r="FB31" t="s">
        <v>336</v>
      </c>
      <c r="FC31">
        <v>0</v>
      </c>
      <c r="FD31">
        <v>100</v>
      </c>
      <c r="FE31">
        <v>100</v>
      </c>
      <c r="FF31">
        <v>-0.33700000000000002</v>
      </c>
      <c r="FG31">
        <v>0.17199999999999999</v>
      </c>
      <c r="FH31">
        <v>0.2126736300064915</v>
      </c>
      <c r="FI31">
        <v>-6.1462078757559423E-4</v>
      </c>
      <c r="FJ31">
        <v>-1.8861989874597051E-7</v>
      </c>
      <c r="FK31">
        <v>1.1980462299894961E-10</v>
      </c>
      <c r="FL31">
        <v>0.1719881465068297</v>
      </c>
      <c r="FM31">
        <v>0</v>
      </c>
      <c r="FN31">
        <v>0</v>
      </c>
      <c r="FO31">
        <v>0</v>
      </c>
      <c r="FP31">
        <v>3</v>
      </c>
      <c r="FQ31">
        <v>2158</v>
      </c>
      <c r="FR31">
        <v>1</v>
      </c>
      <c r="FS31">
        <v>19</v>
      </c>
      <c r="FT31">
        <v>11.8</v>
      </c>
      <c r="FU31">
        <v>11.9</v>
      </c>
      <c r="FV31">
        <v>1.79688</v>
      </c>
      <c r="FW31">
        <v>2.5854499999999998</v>
      </c>
      <c r="FX31">
        <v>1.5490699999999999</v>
      </c>
      <c r="FY31">
        <v>2.3290999999999999</v>
      </c>
      <c r="FZ31">
        <v>1.50146</v>
      </c>
      <c r="GA31">
        <v>2.4011200000000001</v>
      </c>
      <c r="GB31">
        <v>33.625399999999999</v>
      </c>
      <c r="GC31">
        <v>23.991199999999999</v>
      </c>
      <c r="GD31">
        <v>19</v>
      </c>
      <c r="GE31">
        <v>281.29500000000002</v>
      </c>
      <c r="GF31">
        <v>605.66399999999999</v>
      </c>
      <c r="GG31">
        <v>25.981999999999999</v>
      </c>
      <c r="GH31">
        <v>26.151499999999999</v>
      </c>
      <c r="GI31">
        <v>30.0001</v>
      </c>
      <c r="GJ31">
        <v>26.215900000000001</v>
      </c>
      <c r="GK31">
        <v>26.178899999999999</v>
      </c>
      <c r="GL31">
        <v>35.930700000000002</v>
      </c>
      <c r="GM31">
        <v>0</v>
      </c>
      <c r="GN31">
        <v>100</v>
      </c>
      <c r="GO31">
        <v>25.731000000000002</v>
      </c>
      <c r="GP31">
        <v>800</v>
      </c>
      <c r="GQ31">
        <v>23.3307</v>
      </c>
      <c r="GR31">
        <v>99.796300000000002</v>
      </c>
      <c r="GS31">
        <v>99.662000000000006</v>
      </c>
    </row>
    <row r="32" spans="1:201" x14ac:dyDescent="0.25">
      <c r="A32">
        <v>16</v>
      </c>
      <c r="B32">
        <v>1690232724.5999999</v>
      </c>
      <c r="C32">
        <v>218.5</v>
      </c>
      <c r="D32" t="s">
        <v>363</v>
      </c>
      <c r="E32" t="s">
        <v>364</v>
      </c>
      <c r="F32" t="s">
        <v>330</v>
      </c>
      <c r="H32">
        <v>1690232724.5999999</v>
      </c>
      <c r="I32">
        <f t="shared" si="0"/>
        <v>1.1518571160413829E-4</v>
      </c>
      <c r="J32">
        <f t="shared" si="1"/>
        <v>0.11518571160413829</v>
      </c>
      <c r="K32">
        <f t="shared" si="2"/>
        <v>0.1333253516244563</v>
      </c>
      <c r="L32">
        <f t="shared" si="3"/>
        <v>797.572</v>
      </c>
      <c r="M32">
        <f t="shared" si="4"/>
        <v>741.04702573431325</v>
      </c>
      <c r="N32">
        <f t="shared" si="5"/>
        <v>73.456168599436708</v>
      </c>
      <c r="O32">
        <f t="shared" si="6"/>
        <v>79.059197686052002</v>
      </c>
      <c r="P32">
        <f t="shared" si="7"/>
        <v>6.2910483321114647E-3</v>
      </c>
      <c r="Q32">
        <f t="shared" si="8"/>
        <v>2.1283628264747816</v>
      </c>
      <c r="R32">
        <f t="shared" si="9"/>
        <v>6.2807359640268678E-3</v>
      </c>
      <c r="S32">
        <f t="shared" si="10"/>
        <v>3.9263850747583567E-3</v>
      </c>
      <c r="T32">
        <f t="shared" si="11"/>
        <v>276.11094296254561</v>
      </c>
      <c r="U32">
        <f t="shared" si="12"/>
        <v>29.490403886364941</v>
      </c>
      <c r="V32">
        <f t="shared" si="13"/>
        <v>29.490403886364941</v>
      </c>
      <c r="W32">
        <f t="shared" si="14"/>
        <v>4.137322338922222</v>
      </c>
      <c r="X32">
        <f t="shared" si="15"/>
        <v>65.135599191193407</v>
      </c>
      <c r="Y32">
        <f t="shared" si="16"/>
        <v>2.3791746087137997</v>
      </c>
      <c r="Z32">
        <f t="shared" si="17"/>
        <v>3.6526486871337074</v>
      </c>
      <c r="AA32">
        <f t="shared" si="18"/>
        <v>1.7581477302084223</v>
      </c>
      <c r="AB32">
        <f t="shared" si="19"/>
        <v>-5.0796898817424987</v>
      </c>
      <c r="AC32">
        <f t="shared" si="20"/>
        <v>-246.00074363528961</v>
      </c>
      <c r="AD32">
        <f t="shared" si="21"/>
        <v>-25.29979257444985</v>
      </c>
      <c r="AE32">
        <f t="shared" si="22"/>
        <v>-0.26928312893633688</v>
      </c>
      <c r="AF32">
        <v>0</v>
      </c>
      <c r="AG32">
        <v>0</v>
      </c>
      <c r="AH32">
        <f t="shared" si="23"/>
        <v>1</v>
      </c>
      <c r="AI32">
        <f t="shared" si="24"/>
        <v>0</v>
      </c>
      <c r="AJ32">
        <f t="shared" si="25"/>
        <v>52219.570563146008</v>
      </c>
      <c r="AK32">
        <f t="shared" si="26"/>
        <v>1799.98</v>
      </c>
      <c r="AL32">
        <f t="shared" si="27"/>
        <v>1499.0953198002601</v>
      </c>
      <c r="AM32">
        <f t="shared" si="28"/>
        <v>0.83283998700000006</v>
      </c>
      <c r="AN32">
        <f t="shared" si="29"/>
        <v>0.15339667272000002</v>
      </c>
      <c r="AO32">
        <v>32.4</v>
      </c>
      <c r="AP32">
        <v>0.5</v>
      </c>
      <c r="AQ32" t="s">
        <v>331</v>
      </c>
      <c r="AR32">
        <v>2</v>
      </c>
      <c r="AS32">
        <v>1690232724.5999999</v>
      </c>
      <c r="AT32">
        <v>797.572</v>
      </c>
      <c r="AU32">
        <v>800.00199999999995</v>
      </c>
      <c r="AV32">
        <v>24.001799999999999</v>
      </c>
      <c r="AW32">
        <v>22.788699999999999</v>
      </c>
      <c r="AX32">
        <v>797.90899999999999</v>
      </c>
      <c r="AY32">
        <v>23.829899999999999</v>
      </c>
      <c r="AZ32">
        <v>300.25900000000001</v>
      </c>
      <c r="BA32">
        <v>99.024799999999999</v>
      </c>
      <c r="BB32">
        <v>0.100041</v>
      </c>
      <c r="BC32">
        <v>27.346499999999999</v>
      </c>
      <c r="BD32">
        <v>27.2483</v>
      </c>
      <c r="BE32">
        <v>29.523</v>
      </c>
      <c r="BF32">
        <v>0</v>
      </c>
      <c r="BG32">
        <v>0</v>
      </c>
      <c r="BH32">
        <v>9983.75</v>
      </c>
      <c r="BI32">
        <v>1080.27</v>
      </c>
      <c r="BJ32">
        <v>1.5137799999999999</v>
      </c>
      <c r="BK32">
        <v>-2.43005</v>
      </c>
      <c r="BL32">
        <v>817.18600000000004</v>
      </c>
      <c r="BM32">
        <v>818.65800000000002</v>
      </c>
      <c r="BN32">
        <v>1.2131700000000001</v>
      </c>
      <c r="BO32">
        <v>800.00199999999995</v>
      </c>
      <c r="BP32">
        <v>22.788699999999999</v>
      </c>
      <c r="BQ32">
        <v>2.3767800000000001</v>
      </c>
      <c r="BR32">
        <v>2.25664</v>
      </c>
      <c r="BS32">
        <v>20.206399999999999</v>
      </c>
      <c r="BT32">
        <v>19.370200000000001</v>
      </c>
      <c r="BU32">
        <v>1799.98</v>
      </c>
      <c r="BV32">
        <v>0.91001500000000002</v>
      </c>
      <c r="BW32">
        <v>3.4002900000000003E-2</v>
      </c>
      <c r="BX32">
        <v>2.19911E-2</v>
      </c>
      <c r="BY32">
        <v>3.3990800000000002E-2</v>
      </c>
      <c r="BZ32">
        <v>25</v>
      </c>
      <c r="CA32">
        <v>33528.1</v>
      </c>
      <c r="CB32">
        <v>1690232006</v>
      </c>
      <c r="CC32" t="s">
        <v>332</v>
      </c>
      <c r="CD32">
        <v>1690232006</v>
      </c>
      <c r="CE32">
        <v>1690231998.5</v>
      </c>
      <c r="CF32">
        <v>14</v>
      </c>
      <c r="CG32">
        <v>-0.13200000000000001</v>
      </c>
      <c r="CH32">
        <v>-7.0000000000000001E-3</v>
      </c>
      <c r="CI32">
        <v>-0.33800000000000002</v>
      </c>
      <c r="CJ32">
        <v>0.14299999999999999</v>
      </c>
      <c r="CK32">
        <v>799</v>
      </c>
      <c r="CL32">
        <v>19</v>
      </c>
      <c r="CM32">
        <v>7.0000000000000007E-2</v>
      </c>
      <c r="CN32">
        <v>0.14000000000000001</v>
      </c>
      <c r="CO32">
        <v>-1.96313575</v>
      </c>
      <c r="CP32">
        <v>-3.0868936210131301</v>
      </c>
      <c r="CQ32">
        <v>0.2993591243129855</v>
      </c>
      <c r="CR32">
        <v>-1</v>
      </c>
      <c r="CS32">
        <v>1.2391425</v>
      </c>
      <c r="CT32">
        <v>9.6580637898684096E-2</v>
      </c>
      <c r="CU32">
        <v>2.2549029995766998E-2</v>
      </c>
      <c r="CV32">
        <v>-1</v>
      </c>
      <c r="CW32">
        <v>0</v>
      </c>
      <c r="CX32">
        <v>0</v>
      </c>
      <c r="CY32" t="s">
        <v>333</v>
      </c>
      <c r="CZ32">
        <v>2.3648400000000001</v>
      </c>
      <c r="DA32">
        <v>2.7138200000000001</v>
      </c>
      <c r="DB32">
        <v>0.14646799999999999</v>
      </c>
      <c r="DC32">
        <v>0.146399</v>
      </c>
      <c r="DD32">
        <v>0.113939</v>
      </c>
      <c r="DE32">
        <v>0.10817499999999999</v>
      </c>
      <c r="DF32">
        <v>31183.7</v>
      </c>
      <c r="DG32">
        <v>27533.200000000001</v>
      </c>
      <c r="DH32">
        <v>31189.1</v>
      </c>
      <c r="DI32">
        <v>28105.1</v>
      </c>
      <c r="DJ32">
        <v>37522</v>
      </c>
      <c r="DK32">
        <v>35642.5</v>
      </c>
      <c r="DL32">
        <v>44388.6</v>
      </c>
      <c r="DM32">
        <v>42602.3</v>
      </c>
      <c r="DN32">
        <v>1.47357</v>
      </c>
      <c r="DO32">
        <v>2.06535</v>
      </c>
      <c r="DP32">
        <v>8.2552399999999998E-2</v>
      </c>
      <c r="DQ32">
        <v>0.230297</v>
      </c>
      <c r="DR32">
        <v>25.897300000000001</v>
      </c>
      <c r="DS32">
        <v>25.7606</v>
      </c>
      <c r="DT32">
        <v>56.2</v>
      </c>
      <c r="DU32">
        <v>29.1</v>
      </c>
      <c r="DV32">
        <v>22.9558</v>
      </c>
      <c r="DW32">
        <v>61.927999999999997</v>
      </c>
      <c r="DX32">
        <v>35.284500000000001</v>
      </c>
      <c r="DY32">
        <v>1</v>
      </c>
      <c r="DZ32">
        <v>-9.9700200000000003E-2</v>
      </c>
      <c r="EA32">
        <v>1.9252199999999999</v>
      </c>
      <c r="EB32">
        <v>20.173400000000001</v>
      </c>
      <c r="EC32">
        <v>5.2408000000000001</v>
      </c>
      <c r="ED32">
        <v>12.039899999999999</v>
      </c>
      <c r="EE32">
        <v>5.0166000000000004</v>
      </c>
      <c r="EF32">
        <v>3.2879499999999999</v>
      </c>
      <c r="EG32">
        <v>9999</v>
      </c>
      <c r="EH32">
        <v>9999</v>
      </c>
      <c r="EI32">
        <v>9999</v>
      </c>
      <c r="EJ32">
        <v>999.9</v>
      </c>
      <c r="EK32">
        <v>1.8689</v>
      </c>
      <c r="EL32">
        <v>1.8646199999999999</v>
      </c>
      <c r="EM32">
        <v>1.8691899999999999</v>
      </c>
      <c r="EN32">
        <v>1.8672200000000001</v>
      </c>
      <c r="EO32">
        <v>1.86338</v>
      </c>
      <c r="EP32">
        <v>1.8644700000000001</v>
      </c>
      <c r="EQ32">
        <v>1.87012</v>
      </c>
      <c r="ER32">
        <v>1.8693599999999999</v>
      </c>
      <c r="ES32">
        <v>0</v>
      </c>
      <c r="ET32">
        <v>0</v>
      </c>
      <c r="EU32">
        <v>0</v>
      </c>
      <c r="EV32">
        <v>0</v>
      </c>
      <c r="EW32" t="s">
        <v>334</v>
      </c>
      <c r="EX32" t="s">
        <v>335</v>
      </c>
      <c r="EY32" t="s">
        <v>336</v>
      </c>
      <c r="EZ32" t="s">
        <v>336</v>
      </c>
      <c r="FA32" t="s">
        <v>336</v>
      </c>
      <c r="FB32" t="s">
        <v>336</v>
      </c>
      <c r="FC32">
        <v>0</v>
      </c>
      <c r="FD32">
        <v>100</v>
      </c>
      <c r="FE32">
        <v>100</v>
      </c>
      <c r="FF32">
        <v>-0.33700000000000002</v>
      </c>
      <c r="FG32">
        <v>0.1719</v>
      </c>
      <c r="FH32">
        <v>0.2126736300064915</v>
      </c>
      <c r="FI32">
        <v>-6.1462078757559423E-4</v>
      </c>
      <c r="FJ32">
        <v>-1.8861989874597051E-7</v>
      </c>
      <c r="FK32">
        <v>1.1980462299894961E-10</v>
      </c>
      <c r="FL32">
        <v>0.1719881465068297</v>
      </c>
      <c r="FM32">
        <v>0</v>
      </c>
      <c r="FN32">
        <v>0</v>
      </c>
      <c r="FO32">
        <v>0</v>
      </c>
      <c r="FP32">
        <v>3</v>
      </c>
      <c r="FQ32">
        <v>2158</v>
      </c>
      <c r="FR32">
        <v>1</v>
      </c>
      <c r="FS32">
        <v>19</v>
      </c>
      <c r="FT32">
        <v>12</v>
      </c>
      <c r="FU32">
        <v>12.1</v>
      </c>
      <c r="FV32">
        <v>1.79688</v>
      </c>
      <c r="FW32">
        <v>2.5891099999999998</v>
      </c>
      <c r="FX32">
        <v>1.5490699999999999</v>
      </c>
      <c r="FY32">
        <v>2.3290999999999999</v>
      </c>
      <c r="FZ32">
        <v>1.50146</v>
      </c>
      <c r="GA32">
        <v>2.3315399999999999</v>
      </c>
      <c r="GB32">
        <v>33.625399999999999</v>
      </c>
      <c r="GC32">
        <v>23.973700000000001</v>
      </c>
      <c r="GD32">
        <v>19</v>
      </c>
      <c r="GE32">
        <v>281.16699999999997</v>
      </c>
      <c r="GF32">
        <v>605.625</v>
      </c>
      <c r="GG32">
        <v>25.316400000000002</v>
      </c>
      <c r="GH32">
        <v>26.153700000000001</v>
      </c>
      <c r="GI32">
        <v>30.000800000000002</v>
      </c>
      <c r="GJ32">
        <v>26.215900000000001</v>
      </c>
      <c r="GK32">
        <v>26.181100000000001</v>
      </c>
      <c r="GL32">
        <v>35.930799999999998</v>
      </c>
      <c r="GM32">
        <v>0</v>
      </c>
      <c r="GN32">
        <v>100</v>
      </c>
      <c r="GO32">
        <v>25.188500000000001</v>
      </c>
      <c r="GP32">
        <v>800</v>
      </c>
      <c r="GQ32">
        <v>23.454599999999999</v>
      </c>
      <c r="GR32">
        <v>99.796499999999995</v>
      </c>
      <c r="GS32">
        <v>99.657200000000003</v>
      </c>
    </row>
    <row r="33" spans="1:201" x14ac:dyDescent="0.25">
      <c r="A33">
        <v>17</v>
      </c>
      <c r="B33">
        <v>1690232734.5999999</v>
      </c>
      <c r="C33">
        <v>228.5</v>
      </c>
      <c r="D33" t="s">
        <v>365</v>
      </c>
      <c r="E33" t="s">
        <v>366</v>
      </c>
      <c r="F33" t="s">
        <v>330</v>
      </c>
      <c r="H33">
        <v>1690232734.5999999</v>
      </c>
      <c r="I33">
        <f t="shared" si="0"/>
        <v>1.0899782205014344E-4</v>
      </c>
      <c r="J33">
        <f t="shared" si="1"/>
        <v>0.10899782205014344</v>
      </c>
      <c r="K33">
        <f t="shared" si="2"/>
        <v>0.16398936589843544</v>
      </c>
      <c r="L33">
        <f t="shared" si="3"/>
        <v>797.31100000000004</v>
      </c>
      <c r="M33">
        <f t="shared" si="4"/>
        <v>731.04432873540293</v>
      </c>
      <c r="N33">
        <f t="shared" si="5"/>
        <v>72.461116788430445</v>
      </c>
      <c r="O33">
        <f t="shared" si="6"/>
        <v>79.029469509243995</v>
      </c>
      <c r="P33">
        <f t="shared" si="7"/>
        <v>5.9785831718899883E-3</v>
      </c>
      <c r="Q33">
        <f t="shared" si="8"/>
        <v>2.1312969126699346</v>
      </c>
      <c r="R33">
        <f t="shared" si="9"/>
        <v>5.9692817399824415E-3</v>
      </c>
      <c r="S33">
        <f t="shared" si="10"/>
        <v>3.7316355606048261E-3</v>
      </c>
      <c r="T33">
        <f t="shared" si="11"/>
        <v>276.11481113830496</v>
      </c>
      <c r="U33">
        <f t="shared" si="12"/>
        <v>29.429231161874732</v>
      </c>
      <c r="V33">
        <f t="shared" si="13"/>
        <v>29.429231161874732</v>
      </c>
      <c r="W33">
        <f t="shared" si="14"/>
        <v>4.1227525629067836</v>
      </c>
      <c r="X33">
        <f t="shared" si="15"/>
        <v>65.174781863972981</v>
      </c>
      <c r="Y33">
        <f t="shared" si="16"/>
        <v>2.3721399357279997</v>
      </c>
      <c r="Z33">
        <f t="shared" si="17"/>
        <v>3.6396591870133452</v>
      </c>
      <c r="AA33">
        <f t="shared" si="18"/>
        <v>1.7506126271787839</v>
      </c>
      <c r="AB33">
        <f t="shared" si="19"/>
        <v>-4.8068039524113253</v>
      </c>
      <c r="AC33">
        <f t="shared" si="20"/>
        <v>-246.29704464725117</v>
      </c>
      <c r="AD33">
        <f t="shared" si="21"/>
        <v>-25.280043106254233</v>
      </c>
      <c r="AE33">
        <f t="shared" si="22"/>
        <v>-0.26908056761175203</v>
      </c>
      <c r="AF33">
        <v>0</v>
      </c>
      <c r="AG33">
        <v>0</v>
      </c>
      <c r="AH33">
        <f t="shared" si="23"/>
        <v>1</v>
      </c>
      <c r="AI33">
        <f t="shared" si="24"/>
        <v>0</v>
      </c>
      <c r="AJ33">
        <f t="shared" si="25"/>
        <v>52356.313774504939</v>
      </c>
      <c r="AK33">
        <f t="shared" si="26"/>
        <v>1799.99</v>
      </c>
      <c r="AL33">
        <f t="shared" si="27"/>
        <v>1499.10710238094</v>
      </c>
      <c r="AM33">
        <f t="shared" si="28"/>
        <v>0.83284190599999997</v>
      </c>
      <c r="AN33">
        <f t="shared" si="29"/>
        <v>0.15339796951000004</v>
      </c>
      <c r="AO33">
        <v>32.4</v>
      </c>
      <c r="AP33">
        <v>0.5</v>
      </c>
      <c r="AQ33" t="s">
        <v>331</v>
      </c>
      <c r="AR33">
        <v>2</v>
      </c>
      <c r="AS33">
        <v>1690232734.5999999</v>
      </c>
      <c r="AT33">
        <v>797.31100000000004</v>
      </c>
      <c r="AU33">
        <v>800.01900000000001</v>
      </c>
      <c r="AV33">
        <v>23.931999999999999</v>
      </c>
      <c r="AW33">
        <v>22.7837</v>
      </c>
      <c r="AX33">
        <v>797.64800000000002</v>
      </c>
      <c r="AY33">
        <v>23.76</v>
      </c>
      <c r="AZ33">
        <v>300.18400000000003</v>
      </c>
      <c r="BA33">
        <v>99.02</v>
      </c>
      <c r="BB33">
        <v>0.100004</v>
      </c>
      <c r="BC33">
        <v>27.285699999999999</v>
      </c>
      <c r="BD33">
        <v>27.158899999999999</v>
      </c>
      <c r="BE33">
        <v>29.4815</v>
      </c>
      <c r="BF33">
        <v>0</v>
      </c>
      <c r="BG33">
        <v>0</v>
      </c>
      <c r="BH33">
        <v>10009.4</v>
      </c>
      <c r="BI33">
        <v>1080.58</v>
      </c>
      <c r="BJ33">
        <v>1.5137799999999999</v>
      </c>
      <c r="BK33">
        <v>-2.7081900000000001</v>
      </c>
      <c r="BL33">
        <v>816.86</v>
      </c>
      <c r="BM33">
        <v>818.67100000000005</v>
      </c>
      <c r="BN33">
        <v>1.1482600000000001</v>
      </c>
      <c r="BO33">
        <v>800.01900000000001</v>
      </c>
      <c r="BP33">
        <v>22.7837</v>
      </c>
      <c r="BQ33">
        <v>2.3697499999999998</v>
      </c>
      <c r="BR33">
        <v>2.25604</v>
      </c>
      <c r="BS33">
        <v>20.1585</v>
      </c>
      <c r="BT33">
        <v>19.3659</v>
      </c>
      <c r="BU33">
        <v>1799.99</v>
      </c>
      <c r="BV33">
        <v>0.91000599999999998</v>
      </c>
      <c r="BW33">
        <v>3.3997100000000002E-2</v>
      </c>
      <c r="BX33">
        <v>2.2008300000000001E-2</v>
      </c>
      <c r="BY33">
        <v>3.3988900000000002E-2</v>
      </c>
      <c r="BZ33">
        <v>25</v>
      </c>
      <c r="CA33">
        <v>33528</v>
      </c>
      <c r="CB33">
        <v>1690232006</v>
      </c>
      <c r="CC33" t="s">
        <v>332</v>
      </c>
      <c r="CD33">
        <v>1690232006</v>
      </c>
      <c r="CE33">
        <v>1690231998.5</v>
      </c>
      <c r="CF33">
        <v>14</v>
      </c>
      <c r="CG33">
        <v>-0.13200000000000001</v>
      </c>
      <c r="CH33">
        <v>-7.0000000000000001E-3</v>
      </c>
      <c r="CI33">
        <v>-0.33800000000000002</v>
      </c>
      <c r="CJ33">
        <v>0.14299999999999999</v>
      </c>
      <c r="CK33">
        <v>799</v>
      </c>
      <c r="CL33">
        <v>19</v>
      </c>
      <c r="CM33">
        <v>7.0000000000000007E-2</v>
      </c>
      <c r="CN33">
        <v>0.14000000000000001</v>
      </c>
      <c r="CO33">
        <v>-2.3847027500000002</v>
      </c>
      <c r="CP33">
        <v>-1.945195159474663</v>
      </c>
      <c r="CQ33">
        <v>0.1903079351996062</v>
      </c>
      <c r="CR33">
        <v>-1</v>
      </c>
      <c r="CS33">
        <v>1.21662925</v>
      </c>
      <c r="CT33">
        <v>-0.34227658536585848</v>
      </c>
      <c r="CU33">
        <v>3.3170546678303332E-2</v>
      </c>
      <c r="CV33">
        <v>-1</v>
      </c>
      <c r="CW33">
        <v>0</v>
      </c>
      <c r="CX33">
        <v>0</v>
      </c>
      <c r="CY33" t="s">
        <v>333</v>
      </c>
      <c r="CZ33">
        <v>2.3646099999999999</v>
      </c>
      <c r="DA33">
        <v>2.7138</v>
      </c>
      <c r="DB33">
        <v>0.146427</v>
      </c>
      <c r="DC33">
        <v>0.146393</v>
      </c>
      <c r="DD33">
        <v>0.11369899999999999</v>
      </c>
      <c r="DE33">
        <v>0.108153</v>
      </c>
      <c r="DF33">
        <v>31184.2</v>
      </c>
      <c r="DG33">
        <v>27533.3</v>
      </c>
      <c r="DH33">
        <v>31188.2</v>
      </c>
      <c r="DI33">
        <v>28105</v>
      </c>
      <c r="DJ33">
        <v>37531.300000000003</v>
      </c>
      <c r="DK33">
        <v>35643.300000000003</v>
      </c>
      <c r="DL33">
        <v>44387.4</v>
      </c>
      <c r="DM33">
        <v>42602.1</v>
      </c>
      <c r="DN33">
        <v>1.47353</v>
      </c>
      <c r="DO33">
        <v>2.0653999999999999</v>
      </c>
      <c r="DP33">
        <v>7.6554700000000003E-2</v>
      </c>
      <c r="DQ33">
        <v>0.22754099999999999</v>
      </c>
      <c r="DR33">
        <v>25.905999999999999</v>
      </c>
      <c r="DS33">
        <v>25.763999999999999</v>
      </c>
      <c r="DT33">
        <v>56.2</v>
      </c>
      <c r="DU33">
        <v>29</v>
      </c>
      <c r="DV33">
        <v>22.825399999999998</v>
      </c>
      <c r="DW33">
        <v>61.978000000000002</v>
      </c>
      <c r="DX33">
        <v>36.0777</v>
      </c>
      <c r="DY33">
        <v>1</v>
      </c>
      <c r="DZ33">
        <v>-9.9329299999999995E-2</v>
      </c>
      <c r="EA33">
        <v>1.88608</v>
      </c>
      <c r="EB33">
        <v>20.174499999999998</v>
      </c>
      <c r="EC33">
        <v>5.2406499999999996</v>
      </c>
      <c r="ED33">
        <v>12.039899999999999</v>
      </c>
      <c r="EE33">
        <v>5.0165499999999996</v>
      </c>
      <c r="EF33">
        <v>3.2879999999999998</v>
      </c>
      <c r="EG33">
        <v>9999</v>
      </c>
      <c r="EH33">
        <v>9999</v>
      </c>
      <c r="EI33">
        <v>9999</v>
      </c>
      <c r="EJ33">
        <v>999.9</v>
      </c>
      <c r="EK33">
        <v>1.8689</v>
      </c>
      <c r="EL33">
        <v>1.8646199999999999</v>
      </c>
      <c r="EM33">
        <v>1.8691599999999999</v>
      </c>
      <c r="EN33">
        <v>1.8672200000000001</v>
      </c>
      <c r="EO33">
        <v>1.8633999999999999</v>
      </c>
      <c r="EP33">
        <v>1.8644799999999999</v>
      </c>
      <c r="EQ33">
        <v>1.8701300000000001</v>
      </c>
      <c r="ER33">
        <v>1.8693599999999999</v>
      </c>
      <c r="ES33">
        <v>0</v>
      </c>
      <c r="ET33">
        <v>0</v>
      </c>
      <c r="EU33">
        <v>0</v>
      </c>
      <c r="EV33">
        <v>0</v>
      </c>
      <c r="EW33" t="s">
        <v>334</v>
      </c>
      <c r="EX33" t="s">
        <v>335</v>
      </c>
      <c r="EY33" t="s">
        <v>336</v>
      </c>
      <c r="EZ33" t="s">
        <v>336</v>
      </c>
      <c r="FA33" t="s">
        <v>336</v>
      </c>
      <c r="FB33" t="s">
        <v>336</v>
      </c>
      <c r="FC33">
        <v>0</v>
      </c>
      <c r="FD33">
        <v>100</v>
      </c>
      <c r="FE33">
        <v>100</v>
      </c>
      <c r="FF33">
        <v>-0.33700000000000002</v>
      </c>
      <c r="FG33">
        <v>0.17199999999999999</v>
      </c>
      <c r="FH33">
        <v>0.2126736300064915</v>
      </c>
      <c r="FI33">
        <v>-6.1462078757559423E-4</v>
      </c>
      <c r="FJ33">
        <v>-1.8861989874597051E-7</v>
      </c>
      <c r="FK33">
        <v>1.1980462299894961E-10</v>
      </c>
      <c r="FL33">
        <v>0.1719881465068297</v>
      </c>
      <c r="FM33">
        <v>0</v>
      </c>
      <c r="FN33">
        <v>0</v>
      </c>
      <c r="FO33">
        <v>0</v>
      </c>
      <c r="FP33">
        <v>3</v>
      </c>
      <c r="FQ33">
        <v>2158</v>
      </c>
      <c r="FR33">
        <v>1</v>
      </c>
      <c r="FS33">
        <v>19</v>
      </c>
      <c r="FT33">
        <v>12.1</v>
      </c>
      <c r="FU33">
        <v>12.3</v>
      </c>
      <c r="FV33">
        <v>1.79688</v>
      </c>
      <c r="FW33">
        <v>2.5817899999999998</v>
      </c>
      <c r="FX33">
        <v>1.5490699999999999</v>
      </c>
      <c r="FY33">
        <v>2.3290999999999999</v>
      </c>
      <c r="FZ33">
        <v>1.50146</v>
      </c>
      <c r="GA33">
        <v>2.3889200000000002</v>
      </c>
      <c r="GB33">
        <v>33.625399999999999</v>
      </c>
      <c r="GC33">
        <v>23.982399999999998</v>
      </c>
      <c r="GD33">
        <v>19</v>
      </c>
      <c r="GE33">
        <v>281.15600000000001</v>
      </c>
      <c r="GF33">
        <v>605.69399999999996</v>
      </c>
      <c r="GG33">
        <v>24.7712</v>
      </c>
      <c r="GH33">
        <v>26.156500000000001</v>
      </c>
      <c r="GI33">
        <v>30.000399999999999</v>
      </c>
      <c r="GJ33">
        <v>26.218</v>
      </c>
      <c r="GK33">
        <v>26.183299999999999</v>
      </c>
      <c r="GL33">
        <v>35.928800000000003</v>
      </c>
      <c r="GM33">
        <v>0</v>
      </c>
      <c r="GN33">
        <v>100</v>
      </c>
      <c r="GO33">
        <v>24.721800000000002</v>
      </c>
      <c r="GP33">
        <v>800</v>
      </c>
      <c r="GQ33">
        <v>23.454599999999999</v>
      </c>
      <c r="GR33">
        <v>99.793700000000001</v>
      </c>
      <c r="GS33">
        <v>99.656800000000004</v>
      </c>
    </row>
    <row r="34" spans="1:201" x14ac:dyDescent="0.25">
      <c r="A34">
        <v>18</v>
      </c>
      <c r="B34">
        <v>1690232744.5999999</v>
      </c>
      <c r="C34">
        <v>238.5</v>
      </c>
      <c r="D34" t="s">
        <v>367</v>
      </c>
      <c r="E34" t="s">
        <v>368</v>
      </c>
      <c r="F34" t="s">
        <v>330</v>
      </c>
      <c r="H34">
        <v>1690232744.5999999</v>
      </c>
      <c r="I34">
        <f t="shared" si="0"/>
        <v>1.0451766433273676E-4</v>
      </c>
      <c r="J34">
        <f t="shared" si="1"/>
        <v>0.10451766433273676</v>
      </c>
      <c r="K34">
        <f t="shared" si="2"/>
        <v>0.18387884846113517</v>
      </c>
      <c r="L34">
        <f t="shared" si="3"/>
        <v>797.11099999999999</v>
      </c>
      <c r="M34">
        <f t="shared" si="4"/>
        <v>723.98766198942565</v>
      </c>
      <c r="N34">
        <f t="shared" si="5"/>
        <v>71.765106785202491</v>
      </c>
      <c r="O34">
        <f t="shared" si="6"/>
        <v>79.013440474203904</v>
      </c>
      <c r="P34">
        <f t="shared" si="7"/>
        <v>5.7701556349196905E-3</v>
      </c>
      <c r="Q34">
        <f t="shared" si="8"/>
        <v>2.1356317197971548</v>
      </c>
      <c r="R34">
        <f t="shared" si="9"/>
        <v>5.7615084892723815E-3</v>
      </c>
      <c r="S34">
        <f t="shared" si="10"/>
        <v>3.6017186210569596E-3</v>
      </c>
      <c r="T34">
        <f t="shared" si="11"/>
        <v>276.11293514441002</v>
      </c>
      <c r="U34">
        <f t="shared" si="12"/>
        <v>29.361153480578601</v>
      </c>
      <c r="V34">
        <f t="shared" si="13"/>
        <v>29.361153480578601</v>
      </c>
      <c r="W34">
        <f t="shared" si="14"/>
        <v>4.1065908088940004</v>
      </c>
      <c r="X34">
        <f t="shared" si="15"/>
        <v>65.288189009890345</v>
      </c>
      <c r="Y34">
        <f t="shared" si="16"/>
        <v>2.3671192107649799</v>
      </c>
      <c r="Z34">
        <f t="shared" si="17"/>
        <v>3.625646915104952</v>
      </c>
      <c r="AA34">
        <f t="shared" si="18"/>
        <v>1.7394715981290205</v>
      </c>
      <c r="AB34">
        <f t="shared" si="19"/>
        <v>-4.609228997073691</v>
      </c>
      <c r="AC34">
        <f t="shared" si="20"/>
        <v>-246.53574033639907</v>
      </c>
      <c r="AD34">
        <f t="shared" si="21"/>
        <v>-25.236356103855435</v>
      </c>
      <c r="AE34">
        <f t="shared" si="22"/>
        <v>-0.26839029291818406</v>
      </c>
      <c r="AF34">
        <v>0</v>
      </c>
      <c r="AG34">
        <v>0</v>
      </c>
      <c r="AH34">
        <f t="shared" si="23"/>
        <v>1</v>
      </c>
      <c r="AI34">
        <f t="shared" si="24"/>
        <v>0</v>
      </c>
      <c r="AJ34">
        <f t="shared" si="25"/>
        <v>52554.856833517362</v>
      </c>
      <c r="AK34">
        <f t="shared" si="26"/>
        <v>1799.98</v>
      </c>
      <c r="AL34">
        <f t="shared" si="27"/>
        <v>1499.0966661852999</v>
      </c>
      <c r="AM34">
        <f t="shared" si="28"/>
        <v>0.832840735</v>
      </c>
      <c r="AN34">
        <f t="shared" si="29"/>
        <v>0.1533977795</v>
      </c>
      <c r="AO34">
        <v>32.4</v>
      </c>
      <c r="AP34">
        <v>0.5</v>
      </c>
      <c r="AQ34" t="s">
        <v>331</v>
      </c>
      <c r="AR34">
        <v>2</v>
      </c>
      <c r="AS34">
        <v>1690232744.5999999</v>
      </c>
      <c r="AT34">
        <v>797.11099999999999</v>
      </c>
      <c r="AU34">
        <v>799.995</v>
      </c>
      <c r="AV34">
        <v>23.880199999999999</v>
      </c>
      <c r="AW34">
        <v>22.779</v>
      </c>
      <c r="AX34">
        <v>797.44799999999998</v>
      </c>
      <c r="AY34">
        <v>23.708300000000001</v>
      </c>
      <c r="AZ34">
        <v>300.173</v>
      </c>
      <c r="BA34">
        <v>99.024799999999999</v>
      </c>
      <c r="BB34">
        <v>9.9964899999999995E-2</v>
      </c>
      <c r="BC34">
        <v>27.219899999999999</v>
      </c>
      <c r="BD34">
        <v>27.084099999999999</v>
      </c>
      <c r="BE34">
        <v>29.420400000000001</v>
      </c>
      <c r="BF34">
        <v>0</v>
      </c>
      <c r="BG34">
        <v>0</v>
      </c>
      <c r="BH34">
        <v>10046.200000000001</v>
      </c>
      <c r="BI34">
        <v>1080.68</v>
      </c>
      <c r="BJ34">
        <v>1.5137799999999999</v>
      </c>
      <c r="BK34">
        <v>-2.8840300000000001</v>
      </c>
      <c r="BL34">
        <v>816.61199999999997</v>
      </c>
      <c r="BM34">
        <v>818.64300000000003</v>
      </c>
      <c r="BN34">
        <v>1.1012599999999999</v>
      </c>
      <c r="BO34">
        <v>799.995</v>
      </c>
      <c r="BP34">
        <v>22.779</v>
      </c>
      <c r="BQ34">
        <v>2.3647399999999998</v>
      </c>
      <c r="BR34">
        <v>2.2556799999999999</v>
      </c>
      <c r="BS34">
        <v>20.124300000000002</v>
      </c>
      <c r="BT34">
        <v>19.363399999999999</v>
      </c>
      <c r="BU34">
        <v>1799.98</v>
      </c>
      <c r="BV34">
        <v>0.90999399999999997</v>
      </c>
      <c r="BW34">
        <v>3.3991300000000002E-2</v>
      </c>
      <c r="BX34">
        <v>2.20045E-2</v>
      </c>
      <c r="BY34">
        <v>3.4010600000000002E-2</v>
      </c>
      <c r="BZ34">
        <v>25</v>
      </c>
      <c r="CA34">
        <v>33528</v>
      </c>
      <c r="CB34">
        <v>1690232006</v>
      </c>
      <c r="CC34" t="s">
        <v>332</v>
      </c>
      <c r="CD34">
        <v>1690232006</v>
      </c>
      <c r="CE34">
        <v>1690231998.5</v>
      </c>
      <c r="CF34">
        <v>14</v>
      </c>
      <c r="CG34">
        <v>-0.13200000000000001</v>
      </c>
      <c r="CH34">
        <v>-7.0000000000000001E-3</v>
      </c>
      <c r="CI34">
        <v>-0.33800000000000002</v>
      </c>
      <c r="CJ34">
        <v>0.14299999999999999</v>
      </c>
      <c r="CK34">
        <v>799</v>
      </c>
      <c r="CL34">
        <v>19</v>
      </c>
      <c r="CM34">
        <v>7.0000000000000007E-2</v>
      </c>
      <c r="CN34">
        <v>0.14000000000000001</v>
      </c>
      <c r="CO34">
        <v>-2.6537592682926832</v>
      </c>
      <c r="CP34">
        <v>-1.19918466898955</v>
      </c>
      <c r="CQ34">
        <v>0.1210144632232887</v>
      </c>
      <c r="CR34">
        <v>-1</v>
      </c>
      <c r="CS34">
        <v>1.156953414634146</v>
      </c>
      <c r="CT34">
        <v>-0.35045728222996492</v>
      </c>
      <c r="CU34">
        <v>3.4647891049729602E-2</v>
      </c>
      <c r="CV34">
        <v>-1</v>
      </c>
      <c r="CW34">
        <v>0</v>
      </c>
      <c r="CX34">
        <v>0</v>
      </c>
      <c r="CY34" t="s">
        <v>333</v>
      </c>
      <c r="CZ34">
        <v>2.3645700000000001</v>
      </c>
      <c r="DA34">
        <v>2.7138</v>
      </c>
      <c r="DB34">
        <v>0.14640900000000001</v>
      </c>
      <c r="DC34">
        <v>0.146397</v>
      </c>
      <c r="DD34">
        <v>0.11353100000000001</v>
      </c>
      <c r="DE34">
        <v>0.108142</v>
      </c>
      <c r="DF34">
        <v>31184.7</v>
      </c>
      <c r="DG34">
        <v>27532.799999999999</v>
      </c>
      <c r="DH34">
        <v>31188</v>
      </c>
      <c r="DI34">
        <v>28104.6</v>
      </c>
      <c r="DJ34">
        <v>37538.199999999997</v>
      </c>
      <c r="DK34">
        <v>35643.199999999997</v>
      </c>
      <c r="DL34">
        <v>44387.1</v>
      </c>
      <c r="DM34">
        <v>42601.5</v>
      </c>
      <c r="DN34">
        <v>1.4732499999999999</v>
      </c>
      <c r="DO34">
        <v>2.0653700000000002</v>
      </c>
      <c r="DP34">
        <v>7.1637300000000001E-2</v>
      </c>
      <c r="DQ34">
        <v>0.22415099999999999</v>
      </c>
      <c r="DR34">
        <v>25.9116</v>
      </c>
      <c r="DS34">
        <v>25.758099999999999</v>
      </c>
      <c r="DT34">
        <v>56.2</v>
      </c>
      <c r="DU34">
        <v>29</v>
      </c>
      <c r="DV34">
        <v>22.821200000000001</v>
      </c>
      <c r="DW34">
        <v>61.698</v>
      </c>
      <c r="DX34">
        <v>35.901400000000002</v>
      </c>
      <c r="DY34">
        <v>1</v>
      </c>
      <c r="DZ34">
        <v>-9.9629099999999998E-2</v>
      </c>
      <c r="EA34">
        <v>1.5285500000000001</v>
      </c>
      <c r="EB34">
        <v>20.1797</v>
      </c>
      <c r="EC34">
        <v>5.2403500000000003</v>
      </c>
      <c r="ED34">
        <v>12.039899999999999</v>
      </c>
      <c r="EE34">
        <v>5.0164</v>
      </c>
      <c r="EF34">
        <v>3.2879499999999999</v>
      </c>
      <c r="EG34">
        <v>9999</v>
      </c>
      <c r="EH34">
        <v>9999</v>
      </c>
      <c r="EI34">
        <v>9999</v>
      </c>
      <c r="EJ34">
        <v>999.9</v>
      </c>
      <c r="EK34">
        <v>1.8689</v>
      </c>
      <c r="EL34">
        <v>1.8646199999999999</v>
      </c>
      <c r="EM34">
        <v>1.8691800000000001</v>
      </c>
      <c r="EN34">
        <v>1.8672200000000001</v>
      </c>
      <c r="EO34">
        <v>1.8633900000000001</v>
      </c>
      <c r="EP34">
        <v>1.8644799999999999</v>
      </c>
      <c r="EQ34">
        <v>1.87015</v>
      </c>
      <c r="ER34">
        <v>1.86937</v>
      </c>
      <c r="ES34">
        <v>0</v>
      </c>
      <c r="ET34">
        <v>0</v>
      </c>
      <c r="EU34">
        <v>0</v>
      </c>
      <c r="EV34">
        <v>0</v>
      </c>
      <c r="EW34" t="s">
        <v>334</v>
      </c>
      <c r="EX34" t="s">
        <v>335</v>
      </c>
      <c r="EY34" t="s">
        <v>336</v>
      </c>
      <c r="EZ34" t="s">
        <v>336</v>
      </c>
      <c r="FA34" t="s">
        <v>336</v>
      </c>
      <c r="FB34" t="s">
        <v>336</v>
      </c>
      <c r="FC34">
        <v>0</v>
      </c>
      <c r="FD34">
        <v>100</v>
      </c>
      <c r="FE34">
        <v>100</v>
      </c>
      <c r="FF34">
        <v>-0.33700000000000002</v>
      </c>
      <c r="FG34">
        <v>0.1719</v>
      </c>
      <c r="FH34">
        <v>0.2126736300064915</v>
      </c>
      <c r="FI34">
        <v>-6.1462078757559423E-4</v>
      </c>
      <c r="FJ34">
        <v>-1.8861989874597051E-7</v>
      </c>
      <c r="FK34">
        <v>1.1980462299894961E-10</v>
      </c>
      <c r="FL34">
        <v>0.1719881465068297</v>
      </c>
      <c r="FM34">
        <v>0</v>
      </c>
      <c r="FN34">
        <v>0</v>
      </c>
      <c r="FO34">
        <v>0</v>
      </c>
      <c r="FP34">
        <v>3</v>
      </c>
      <c r="FQ34">
        <v>2158</v>
      </c>
      <c r="FR34">
        <v>1</v>
      </c>
      <c r="FS34">
        <v>19</v>
      </c>
      <c r="FT34">
        <v>12.3</v>
      </c>
      <c r="FU34">
        <v>12.4</v>
      </c>
      <c r="FV34">
        <v>1.79688</v>
      </c>
      <c r="FW34">
        <v>2.5878899999999998</v>
      </c>
      <c r="FX34">
        <v>1.5490699999999999</v>
      </c>
      <c r="FY34">
        <v>2.3290999999999999</v>
      </c>
      <c r="FZ34">
        <v>1.50146</v>
      </c>
      <c r="GA34">
        <v>2.3877000000000002</v>
      </c>
      <c r="GB34">
        <v>33.625399999999999</v>
      </c>
      <c r="GC34">
        <v>23.982399999999998</v>
      </c>
      <c r="GD34">
        <v>19</v>
      </c>
      <c r="GE34">
        <v>281.04199999999997</v>
      </c>
      <c r="GF34">
        <v>605.69000000000005</v>
      </c>
      <c r="GG34">
        <v>24.425000000000001</v>
      </c>
      <c r="GH34">
        <v>26.159800000000001</v>
      </c>
      <c r="GI34">
        <v>29.9999</v>
      </c>
      <c r="GJ34">
        <v>26.218599999999999</v>
      </c>
      <c r="GK34">
        <v>26.184799999999999</v>
      </c>
      <c r="GL34">
        <v>35.930799999999998</v>
      </c>
      <c r="GM34">
        <v>0</v>
      </c>
      <c r="GN34">
        <v>100</v>
      </c>
      <c r="GO34">
        <v>24.4268</v>
      </c>
      <c r="GP34">
        <v>800</v>
      </c>
      <c r="GQ34">
        <v>23.902100000000001</v>
      </c>
      <c r="GR34">
        <v>99.793000000000006</v>
      </c>
      <c r="GS34">
        <v>99.6554</v>
      </c>
    </row>
    <row r="35" spans="1:201" x14ac:dyDescent="0.25">
      <c r="A35">
        <v>19</v>
      </c>
      <c r="B35">
        <v>1690232754.5999999</v>
      </c>
      <c r="C35">
        <v>248.5</v>
      </c>
      <c r="D35" t="s">
        <v>369</v>
      </c>
      <c r="E35" t="s">
        <v>370</v>
      </c>
      <c r="F35" t="s">
        <v>330</v>
      </c>
      <c r="H35">
        <v>1690232754.5999999</v>
      </c>
      <c r="I35">
        <f t="shared" si="0"/>
        <v>1.0314365616608869E-4</v>
      </c>
      <c r="J35">
        <f t="shared" si="1"/>
        <v>0.1031436561660887</v>
      </c>
      <c r="K35">
        <f t="shared" si="2"/>
        <v>0.20694283082986892</v>
      </c>
      <c r="L35">
        <f t="shared" si="3"/>
        <v>796.85799999999995</v>
      </c>
      <c r="M35">
        <f t="shared" si="4"/>
        <v>717.19302199525919</v>
      </c>
      <c r="N35">
        <f t="shared" si="5"/>
        <v>71.086722893072647</v>
      </c>
      <c r="O35">
        <f t="shared" si="6"/>
        <v>78.982954509981994</v>
      </c>
      <c r="P35">
        <f t="shared" si="7"/>
        <v>5.7317952384026254E-3</v>
      </c>
      <c r="Q35">
        <f t="shared" si="8"/>
        <v>2.1325769873549456</v>
      </c>
      <c r="R35">
        <f t="shared" si="9"/>
        <v>5.7232503898333375E-3</v>
      </c>
      <c r="S35">
        <f t="shared" si="10"/>
        <v>3.5777981364434014E-3</v>
      </c>
      <c r="T35">
        <f t="shared" si="11"/>
        <v>276.11245154378338</v>
      </c>
      <c r="U35">
        <f t="shared" si="12"/>
        <v>29.304032261248953</v>
      </c>
      <c r="V35">
        <f t="shared" si="13"/>
        <v>29.304032261248953</v>
      </c>
      <c r="W35">
        <f t="shared" si="14"/>
        <v>4.0930727805165112</v>
      </c>
      <c r="X35">
        <f t="shared" si="15"/>
        <v>65.460906190645034</v>
      </c>
      <c r="Y35">
        <f t="shared" si="16"/>
        <v>2.3649748025357997</v>
      </c>
      <c r="Z35">
        <f t="shared" si="17"/>
        <v>3.6128048634832011</v>
      </c>
      <c r="AA35">
        <f t="shared" si="18"/>
        <v>1.7280979779807115</v>
      </c>
      <c r="AB35">
        <f t="shared" si="19"/>
        <v>-4.5486352369245111</v>
      </c>
      <c r="AC35">
        <f t="shared" si="20"/>
        <v>-246.571567740852</v>
      </c>
      <c r="AD35">
        <f t="shared" si="21"/>
        <v>-25.261380310254445</v>
      </c>
      <c r="AE35">
        <f t="shared" si="22"/>
        <v>-0.269131744247602</v>
      </c>
      <c r="AF35">
        <v>0</v>
      </c>
      <c r="AG35">
        <v>0</v>
      </c>
      <c r="AH35">
        <f t="shared" si="23"/>
        <v>1</v>
      </c>
      <c r="AI35">
        <f t="shared" si="24"/>
        <v>0</v>
      </c>
      <c r="AJ35">
        <f t="shared" si="25"/>
        <v>52433.475724113276</v>
      </c>
      <c r="AK35">
        <f t="shared" si="26"/>
        <v>1799.98</v>
      </c>
      <c r="AL35">
        <f t="shared" si="27"/>
        <v>1499.0926576298398</v>
      </c>
      <c r="AM35">
        <f t="shared" si="28"/>
        <v>0.83283850799999992</v>
      </c>
      <c r="AN35">
        <f t="shared" si="29"/>
        <v>0.15339751082999997</v>
      </c>
      <c r="AO35">
        <v>32.4</v>
      </c>
      <c r="AP35">
        <v>0.5</v>
      </c>
      <c r="AQ35" t="s">
        <v>331</v>
      </c>
      <c r="AR35">
        <v>2</v>
      </c>
      <c r="AS35">
        <v>1690232754.5999999</v>
      </c>
      <c r="AT35">
        <v>796.85799999999995</v>
      </c>
      <c r="AU35">
        <v>799.97900000000004</v>
      </c>
      <c r="AV35">
        <v>23.860199999999999</v>
      </c>
      <c r="AW35">
        <v>22.773399999999999</v>
      </c>
      <c r="AX35">
        <v>797.19500000000005</v>
      </c>
      <c r="AY35">
        <v>23.688199999999998</v>
      </c>
      <c r="AZ35">
        <v>300.15800000000002</v>
      </c>
      <c r="BA35">
        <v>99.018000000000001</v>
      </c>
      <c r="BB35">
        <v>9.9978999999999998E-2</v>
      </c>
      <c r="BC35">
        <v>27.159400000000002</v>
      </c>
      <c r="BD35">
        <v>27.016100000000002</v>
      </c>
      <c r="BE35">
        <v>29.350200000000001</v>
      </c>
      <c r="BF35">
        <v>0</v>
      </c>
      <c r="BG35">
        <v>0</v>
      </c>
      <c r="BH35">
        <v>10020.6</v>
      </c>
      <c r="BI35">
        <v>1080.55</v>
      </c>
      <c r="BJ35">
        <v>1.5137799999999999</v>
      </c>
      <c r="BK35">
        <v>-3.1204800000000001</v>
      </c>
      <c r="BL35">
        <v>816.33600000000001</v>
      </c>
      <c r="BM35">
        <v>818.62199999999996</v>
      </c>
      <c r="BN35">
        <v>1.0868</v>
      </c>
      <c r="BO35">
        <v>799.97900000000004</v>
      </c>
      <c r="BP35">
        <v>22.773399999999999</v>
      </c>
      <c r="BQ35">
        <v>2.36259</v>
      </c>
      <c r="BR35">
        <v>2.2549800000000002</v>
      </c>
      <c r="BS35">
        <v>20.1096</v>
      </c>
      <c r="BT35">
        <v>19.3584</v>
      </c>
      <c r="BU35">
        <v>1799.98</v>
      </c>
      <c r="BV35">
        <v>0.90998800000000002</v>
      </c>
      <c r="BW35">
        <v>3.4005899999999999E-2</v>
      </c>
      <c r="BX35">
        <v>2.20009E-2</v>
      </c>
      <c r="BY35">
        <v>3.4004899999999998E-2</v>
      </c>
      <c r="BZ35">
        <v>25</v>
      </c>
      <c r="CA35">
        <v>33528</v>
      </c>
      <c r="CB35">
        <v>1690232006</v>
      </c>
      <c r="CC35" t="s">
        <v>332</v>
      </c>
      <c r="CD35">
        <v>1690232006</v>
      </c>
      <c r="CE35">
        <v>1690231998.5</v>
      </c>
      <c r="CF35">
        <v>14</v>
      </c>
      <c r="CG35">
        <v>-0.13200000000000001</v>
      </c>
      <c r="CH35">
        <v>-7.0000000000000001E-3</v>
      </c>
      <c r="CI35">
        <v>-0.33800000000000002</v>
      </c>
      <c r="CJ35">
        <v>0.14299999999999999</v>
      </c>
      <c r="CK35">
        <v>799</v>
      </c>
      <c r="CL35">
        <v>19</v>
      </c>
      <c r="CM35">
        <v>7.0000000000000007E-2</v>
      </c>
      <c r="CN35">
        <v>0.14000000000000001</v>
      </c>
      <c r="CO35">
        <v>-2.8606287500000001</v>
      </c>
      <c r="CP35">
        <v>-1.2699373733583461</v>
      </c>
      <c r="CQ35">
        <v>0.1242452785860996</v>
      </c>
      <c r="CR35">
        <v>-1</v>
      </c>
      <c r="CS35">
        <v>1.1113850000000001</v>
      </c>
      <c r="CT35">
        <v>-0.20937163227017</v>
      </c>
      <c r="CU35">
        <v>2.0725168877478429E-2</v>
      </c>
      <c r="CV35">
        <v>-1</v>
      </c>
      <c r="CW35">
        <v>0</v>
      </c>
      <c r="CX35">
        <v>0</v>
      </c>
      <c r="CY35" t="s">
        <v>333</v>
      </c>
      <c r="CZ35">
        <v>2.3645100000000001</v>
      </c>
      <c r="DA35">
        <v>2.7137899999999999</v>
      </c>
      <c r="DB35">
        <v>0.146366</v>
      </c>
      <c r="DC35">
        <v>0.14638399999999999</v>
      </c>
      <c r="DD35">
        <v>0.113455</v>
      </c>
      <c r="DE35">
        <v>0.108116</v>
      </c>
      <c r="DF35">
        <v>31186</v>
      </c>
      <c r="DG35">
        <v>27533.7</v>
      </c>
      <c r="DH35">
        <v>31187.8</v>
      </c>
      <c r="DI35">
        <v>28105.1</v>
      </c>
      <c r="DJ35">
        <v>37541.1</v>
      </c>
      <c r="DK35">
        <v>35645</v>
      </c>
      <c r="DL35">
        <v>44386.7</v>
      </c>
      <c r="DM35">
        <v>42602.400000000001</v>
      </c>
      <c r="DN35">
        <v>1.4734700000000001</v>
      </c>
      <c r="DO35">
        <v>2.0654499999999998</v>
      </c>
      <c r="DP35">
        <v>6.7464999999999997E-2</v>
      </c>
      <c r="DQ35">
        <v>0.220723</v>
      </c>
      <c r="DR35">
        <v>25.911799999999999</v>
      </c>
      <c r="DS35">
        <v>25.7437</v>
      </c>
      <c r="DT35">
        <v>56.2</v>
      </c>
      <c r="DU35">
        <v>29</v>
      </c>
      <c r="DV35">
        <v>22.8293</v>
      </c>
      <c r="DW35">
        <v>61.957999999999998</v>
      </c>
      <c r="DX35">
        <v>35.520800000000001</v>
      </c>
      <c r="DY35">
        <v>1</v>
      </c>
      <c r="DZ35">
        <v>-9.9956799999999998E-2</v>
      </c>
      <c r="EA35">
        <v>1.1301000000000001</v>
      </c>
      <c r="EB35">
        <v>20.184000000000001</v>
      </c>
      <c r="EC35">
        <v>5.2408000000000001</v>
      </c>
      <c r="ED35">
        <v>12.039899999999999</v>
      </c>
      <c r="EE35">
        <v>5.0166500000000003</v>
      </c>
      <c r="EF35">
        <v>3.2879700000000001</v>
      </c>
      <c r="EG35">
        <v>9999</v>
      </c>
      <c r="EH35">
        <v>9999</v>
      </c>
      <c r="EI35">
        <v>9999</v>
      </c>
      <c r="EJ35">
        <v>999.9</v>
      </c>
      <c r="EK35">
        <v>1.8689</v>
      </c>
      <c r="EL35">
        <v>1.8646199999999999</v>
      </c>
      <c r="EM35">
        <v>1.8691899999999999</v>
      </c>
      <c r="EN35">
        <v>1.8672200000000001</v>
      </c>
      <c r="EO35">
        <v>1.8633999999999999</v>
      </c>
      <c r="EP35">
        <v>1.8644700000000001</v>
      </c>
      <c r="EQ35">
        <v>1.8701300000000001</v>
      </c>
      <c r="ER35">
        <v>1.8693900000000001</v>
      </c>
      <c r="ES35">
        <v>0</v>
      </c>
      <c r="ET35">
        <v>0</v>
      </c>
      <c r="EU35">
        <v>0</v>
      </c>
      <c r="EV35">
        <v>0</v>
      </c>
      <c r="EW35" t="s">
        <v>334</v>
      </c>
      <c r="EX35" t="s">
        <v>335</v>
      </c>
      <c r="EY35" t="s">
        <v>336</v>
      </c>
      <c r="EZ35" t="s">
        <v>336</v>
      </c>
      <c r="FA35" t="s">
        <v>336</v>
      </c>
      <c r="FB35" t="s">
        <v>336</v>
      </c>
      <c r="FC35">
        <v>0</v>
      </c>
      <c r="FD35">
        <v>100</v>
      </c>
      <c r="FE35">
        <v>100</v>
      </c>
      <c r="FF35">
        <v>-0.33700000000000002</v>
      </c>
      <c r="FG35">
        <v>0.17199999999999999</v>
      </c>
      <c r="FH35">
        <v>0.2126736300064915</v>
      </c>
      <c r="FI35">
        <v>-6.1462078757559423E-4</v>
      </c>
      <c r="FJ35">
        <v>-1.8861989874597051E-7</v>
      </c>
      <c r="FK35">
        <v>1.1980462299894961E-10</v>
      </c>
      <c r="FL35">
        <v>0.1719881465068297</v>
      </c>
      <c r="FM35">
        <v>0</v>
      </c>
      <c r="FN35">
        <v>0</v>
      </c>
      <c r="FO35">
        <v>0</v>
      </c>
      <c r="FP35">
        <v>3</v>
      </c>
      <c r="FQ35">
        <v>2158</v>
      </c>
      <c r="FR35">
        <v>1</v>
      </c>
      <c r="FS35">
        <v>19</v>
      </c>
      <c r="FT35">
        <v>12.5</v>
      </c>
      <c r="FU35">
        <v>12.6</v>
      </c>
      <c r="FV35">
        <v>1.79688</v>
      </c>
      <c r="FW35">
        <v>2.5842299999999998</v>
      </c>
      <c r="FX35">
        <v>1.5490699999999999</v>
      </c>
      <c r="FY35">
        <v>2.3290999999999999</v>
      </c>
      <c r="FZ35">
        <v>1.50146</v>
      </c>
      <c r="GA35">
        <v>2.36694</v>
      </c>
      <c r="GB35">
        <v>33.625399999999999</v>
      </c>
      <c r="GC35">
        <v>23.982399999999998</v>
      </c>
      <c r="GD35">
        <v>19</v>
      </c>
      <c r="GE35">
        <v>281.14699999999999</v>
      </c>
      <c r="GF35">
        <v>605.77300000000002</v>
      </c>
      <c r="GG35">
        <v>24.259799999999998</v>
      </c>
      <c r="GH35">
        <v>26.162500000000001</v>
      </c>
      <c r="GI35">
        <v>29.9999</v>
      </c>
      <c r="GJ35">
        <v>26.220800000000001</v>
      </c>
      <c r="GK35">
        <v>26.186399999999999</v>
      </c>
      <c r="GL35">
        <v>35.933199999999999</v>
      </c>
      <c r="GM35">
        <v>0</v>
      </c>
      <c r="GN35">
        <v>100</v>
      </c>
      <c r="GO35">
        <v>24.2866</v>
      </c>
      <c r="GP35">
        <v>800</v>
      </c>
      <c r="GQ35">
        <v>23.820399999999999</v>
      </c>
      <c r="GR35">
        <v>99.792299999999997</v>
      </c>
      <c r="GS35">
        <v>99.657399999999996</v>
      </c>
    </row>
    <row r="36" spans="1:201" x14ac:dyDescent="0.25">
      <c r="A36">
        <v>20</v>
      </c>
      <c r="B36">
        <v>1690232764.5999999</v>
      </c>
      <c r="C36">
        <v>258.5</v>
      </c>
      <c r="D36" t="s">
        <v>371</v>
      </c>
      <c r="E36" t="s">
        <v>372</v>
      </c>
      <c r="F36" t="s">
        <v>330</v>
      </c>
      <c r="H36">
        <v>1690232764.5999999</v>
      </c>
      <c r="I36">
        <f t="shared" si="0"/>
        <v>1.0517172994845474E-4</v>
      </c>
      <c r="J36">
        <f t="shared" si="1"/>
        <v>0.10517172994845474</v>
      </c>
      <c r="K36">
        <f t="shared" si="2"/>
        <v>0.22348325134766434</v>
      </c>
      <c r="L36">
        <f t="shared" si="3"/>
        <v>796.66</v>
      </c>
      <c r="M36">
        <f t="shared" si="4"/>
        <v>714.12438059678482</v>
      </c>
      <c r="N36">
        <f t="shared" si="5"/>
        <v>70.781672703904391</v>
      </c>
      <c r="O36">
        <f t="shared" si="6"/>
        <v>78.962333325140008</v>
      </c>
      <c r="P36">
        <f t="shared" si="7"/>
        <v>5.8801646683049689E-3</v>
      </c>
      <c r="Q36">
        <f t="shared" si="8"/>
        <v>2.1301629228309475</v>
      </c>
      <c r="R36">
        <f t="shared" si="9"/>
        <v>5.8711619222427429E-3</v>
      </c>
      <c r="S36">
        <f t="shared" si="10"/>
        <v>3.6702838965923775E-3</v>
      </c>
      <c r="T36">
        <f t="shared" si="11"/>
        <v>276.11343875392936</v>
      </c>
      <c r="U36">
        <f t="shared" si="12"/>
        <v>29.265419001887224</v>
      </c>
      <c r="V36">
        <f t="shared" si="13"/>
        <v>29.265419001887224</v>
      </c>
      <c r="W36">
        <f t="shared" si="14"/>
        <v>4.0839567468889415</v>
      </c>
      <c r="X36">
        <f t="shared" si="15"/>
        <v>65.65013105410938</v>
      </c>
      <c r="Y36">
        <f t="shared" si="16"/>
        <v>2.3662235830899006</v>
      </c>
      <c r="Z36">
        <f t="shared" si="17"/>
        <v>3.6042937692533159</v>
      </c>
      <c r="AA36">
        <f t="shared" si="18"/>
        <v>1.717733163799041</v>
      </c>
      <c r="AB36">
        <f t="shared" si="19"/>
        <v>-4.6380732907268536</v>
      </c>
      <c r="AC36">
        <f t="shared" si="20"/>
        <v>-246.47467361264776</v>
      </c>
      <c r="AD36">
        <f t="shared" si="21"/>
        <v>-25.270150914475746</v>
      </c>
      <c r="AE36">
        <f t="shared" si="22"/>
        <v>-0.26945906392100483</v>
      </c>
      <c r="AF36">
        <v>0</v>
      </c>
      <c r="AG36">
        <v>0</v>
      </c>
      <c r="AH36">
        <f t="shared" si="23"/>
        <v>1</v>
      </c>
      <c r="AI36">
        <f t="shared" si="24"/>
        <v>0</v>
      </c>
      <c r="AJ36">
        <f t="shared" si="25"/>
        <v>52336.435169928242</v>
      </c>
      <c r="AK36">
        <f t="shared" si="26"/>
        <v>1799.99</v>
      </c>
      <c r="AL36">
        <f t="shared" si="27"/>
        <v>1499.1039631983799</v>
      </c>
      <c r="AM36">
        <f t="shared" si="28"/>
        <v>0.83284016199999999</v>
      </c>
      <c r="AN36">
        <f t="shared" si="29"/>
        <v>0.15339720707000004</v>
      </c>
      <c r="AO36">
        <v>32.4</v>
      </c>
      <c r="AP36">
        <v>0.5</v>
      </c>
      <c r="AQ36" t="s">
        <v>331</v>
      </c>
      <c r="AR36">
        <v>2</v>
      </c>
      <c r="AS36">
        <v>1690232764.5999999</v>
      </c>
      <c r="AT36">
        <v>796.66</v>
      </c>
      <c r="AU36">
        <v>799.976</v>
      </c>
      <c r="AV36">
        <v>23.873100000000001</v>
      </c>
      <c r="AW36">
        <v>22.7652</v>
      </c>
      <c r="AX36">
        <v>796.99699999999996</v>
      </c>
      <c r="AY36">
        <v>23.7011</v>
      </c>
      <c r="AZ36">
        <v>300.22699999999998</v>
      </c>
      <c r="BA36">
        <v>99.0167</v>
      </c>
      <c r="BB36">
        <v>0.10002900000000001</v>
      </c>
      <c r="BC36">
        <v>27.119199999999999</v>
      </c>
      <c r="BD36">
        <v>26.956299999999999</v>
      </c>
      <c r="BE36">
        <v>29.277200000000001</v>
      </c>
      <c r="BF36">
        <v>0</v>
      </c>
      <c r="BG36">
        <v>0</v>
      </c>
      <c r="BH36">
        <v>10000</v>
      </c>
      <c r="BI36">
        <v>1080.43</v>
      </c>
      <c r="BJ36">
        <v>1.5137799999999999</v>
      </c>
      <c r="BK36">
        <v>-3.3160400000000001</v>
      </c>
      <c r="BL36">
        <v>816.14400000000001</v>
      </c>
      <c r="BM36">
        <v>818.61199999999997</v>
      </c>
      <c r="BN36">
        <v>1.1079000000000001</v>
      </c>
      <c r="BO36">
        <v>799.976</v>
      </c>
      <c r="BP36">
        <v>22.7652</v>
      </c>
      <c r="BQ36">
        <v>2.3638400000000002</v>
      </c>
      <c r="BR36">
        <v>2.25414</v>
      </c>
      <c r="BS36">
        <v>20.118099999999998</v>
      </c>
      <c r="BT36">
        <v>19.3523</v>
      </c>
      <c r="BU36">
        <v>1799.99</v>
      </c>
      <c r="BV36">
        <v>0.91000400000000004</v>
      </c>
      <c r="BW36">
        <v>3.4000000000000002E-2</v>
      </c>
      <c r="BX36">
        <v>2.1997099999999999E-2</v>
      </c>
      <c r="BY36">
        <v>3.3999099999999997E-2</v>
      </c>
      <c r="BZ36">
        <v>25</v>
      </c>
      <c r="CA36">
        <v>33528.199999999997</v>
      </c>
      <c r="CB36">
        <v>1690232006</v>
      </c>
      <c r="CC36" t="s">
        <v>332</v>
      </c>
      <c r="CD36">
        <v>1690232006</v>
      </c>
      <c r="CE36">
        <v>1690231998.5</v>
      </c>
      <c r="CF36">
        <v>14</v>
      </c>
      <c r="CG36">
        <v>-0.13200000000000001</v>
      </c>
      <c r="CH36">
        <v>-7.0000000000000001E-3</v>
      </c>
      <c r="CI36">
        <v>-0.33800000000000002</v>
      </c>
      <c r="CJ36">
        <v>0.14299999999999999</v>
      </c>
      <c r="CK36">
        <v>799</v>
      </c>
      <c r="CL36">
        <v>19</v>
      </c>
      <c r="CM36">
        <v>7.0000000000000007E-2</v>
      </c>
      <c r="CN36">
        <v>0.14000000000000001</v>
      </c>
      <c r="CO36">
        <v>-3.0833524390243898</v>
      </c>
      <c r="CP36">
        <v>-1.2572057142857189</v>
      </c>
      <c r="CQ36">
        <v>0.1264120610134212</v>
      </c>
      <c r="CR36">
        <v>-1</v>
      </c>
      <c r="CS36">
        <v>1.0935312195121949</v>
      </c>
      <c r="CT36">
        <v>-2.0870383275238382E-3</v>
      </c>
      <c r="CU36">
        <v>5.2493772894910296E-3</v>
      </c>
      <c r="CV36">
        <v>-1</v>
      </c>
      <c r="CW36">
        <v>0</v>
      </c>
      <c r="CX36">
        <v>0</v>
      </c>
      <c r="CY36" t="s">
        <v>333</v>
      </c>
      <c r="CZ36">
        <v>2.3647499999999999</v>
      </c>
      <c r="DA36">
        <v>2.7138200000000001</v>
      </c>
      <c r="DB36">
        <v>0.14634</v>
      </c>
      <c r="DC36">
        <v>0.14638200000000001</v>
      </c>
      <c r="DD36">
        <v>0.113496</v>
      </c>
      <c r="DE36">
        <v>0.108087</v>
      </c>
      <c r="DF36">
        <v>31187.5</v>
      </c>
      <c r="DG36">
        <v>27534.1</v>
      </c>
      <c r="DH36">
        <v>31188.3</v>
      </c>
      <c r="DI36">
        <v>28105.5</v>
      </c>
      <c r="DJ36">
        <v>37539.9</v>
      </c>
      <c r="DK36">
        <v>35646.5</v>
      </c>
      <c r="DL36">
        <v>44387.4</v>
      </c>
      <c r="DM36">
        <v>42602.9</v>
      </c>
      <c r="DN36">
        <v>1.47465</v>
      </c>
      <c r="DO36">
        <v>2.06535</v>
      </c>
      <c r="DP36">
        <v>6.4112199999999994E-2</v>
      </c>
      <c r="DQ36">
        <v>0.217557</v>
      </c>
      <c r="DR36">
        <v>25.9069</v>
      </c>
      <c r="DS36">
        <v>25.722100000000001</v>
      </c>
      <c r="DT36">
        <v>56.2</v>
      </c>
      <c r="DU36">
        <v>29</v>
      </c>
      <c r="DV36">
        <v>22.828099999999999</v>
      </c>
      <c r="DW36">
        <v>61.978000000000002</v>
      </c>
      <c r="DX36">
        <v>36.141800000000003</v>
      </c>
      <c r="DY36">
        <v>1</v>
      </c>
      <c r="DZ36">
        <v>-9.8831299999999997E-2</v>
      </c>
      <c r="EA36">
        <v>-2.6877800000000001</v>
      </c>
      <c r="EB36">
        <v>20.1492</v>
      </c>
      <c r="EC36">
        <v>5.24125</v>
      </c>
      <c r="ED36">
        <v>12.039899999999999</v>
      </c>
      <c r="EE36">
        <v>5.0167999999999999</v>
      </c>
      <c r="EF36">
        <v>3.2879999999999998</v>
      </c>
      <c r="EG36">
        <v>9999</v>
      </c>
      <c r="EH36">
        <v>9999</v>
      </c>
      <c r="EI36">
        <v>9999</v>
      </c>
      <c r="EJ36">
        <v>999.9</v>
      </c>
      <c r="EK36">
        <v>1.8689</v>
      </c>
      <c r="EL36">
        <v>1.8646199999999999</v>
      </c>
      <c r="EM36">
        <v>1.86917</v>
      </c>
      <c r="EN36">
        <v>1.8672200000000001</v>
      </c>
      <c r="EO36">
        <v>1.8633999999999999</v>
      </c>
      <c r="EP36">
        <v>1.8644799999999999</v>
      </c>
      <c r="EQ36">
        <v>1.87016</v>
      </c>
      <c r="ER36">
        <v>1.86937</v>
      </c>
      <c r="ES36">
        <v>0</v>
      </c>
      <c r="ET36">
        <v>0</v>
      </c>
      <c r="EU36">
        <v>0</v>
      </c>
      <c r="EV36">
        <v>0</v>
      </c>
      <c r="EW36" t="s">
        <v>334</v>
      </c>
      <c r="EX36" t="s">
        <v>335</v>
      </c>
      <c r="EY36" t="s">
        <v>336</v>
      </c>
      <c r="EZ36" t="s">
        <v>336</v>
      </c>
      <c r="FA36" t="s">
        <v>336</v>
      </c>
      <c r="FB36" t="s">
        <v>336</v>
      </c>
      <c r="FC36">
        <v>0</v>
      </c>
      <c r="FD36">
        <v>100</v>
      </c>
      <c r="FE36">
        <v>100</v>
      </c>
      <c r="FF36">
        <v>-0.33700000000000002</v>
      </c>
      <c r="FG36">
        <v>0.17199999999999999</v>
      </c>
      <c r="FH36">
        <v>0.2126736300064915</v>
      </c>
      <c r="FI36">
        <v>-6.1462078757559423E-4</v>
      </c>
      <c r="FJ36">
        <v>-1.8861989874597051E-7</v>
      </c>
      <c r="FK36">
        <v>1.1980462299894961E-10</v>
      </c>
      <c r="FL36">
        <v>0.1719881465068297</v>
      </c>
      <c r="FM36">
        <v>0</v>
      </c>
      <c r="FN36">
        <v>0</v>
      </c>
      <c r="FO36">
        <v>0</v>
      </c>
      <c r="FP36">
        <v>3</v>
      </c>
      <c r="FQ36">
        <v>2158</v>
      </c>
      <c r="FR36">
        <v>1</v>
      </c>
      <c r="FS36">
        <v>19</v>
      </c>
      <c r="FT36">
        <v>12.6</v>
      </c>
      <c r="FU36">
        <v>12.8</v>
      </c>
      <c r="FV36">
        <v>1.79688</v>
      </c>
      <c r="FW36">
        <v>2.5866699999999998</v>
      </c>
      <c r="FX36">
        <v>1.5490699999999999</v>
      </c>
      <c r="FY36">
        <v>2.3290999999999999</v>
      </c>
      <c r="FZ36">
        <v>1.50146</v>
      </c>
      <c r="GA36">
        <v>2.3767100000000001</v>
      </c>
      <c r="GB36">
        <v>33.625399999999999</v>
      </c>
      <c r="GC36">
        <v>23.982399999999998</v>
      </c>
      <c r="GD36">
        <v>19</v>
      </c>
      <c r="GE36">
        <v>281.65699999999998</v>
      </c>
      <c r="GF36">
        <v>605.70299999999997</v>
      </c>
      <c r="GG36">
        <v>24.530799999999999</v>
      </c>
      <c r="GH36">
        <v>26.1647</v>
      </c>
      <c r="GI36">
        <v>30.001200000000001</v>
      </c>
      <c r="GJ36">
        <v>26.223500000000001</v>
      </c>
      <c r="GK36">
        <v>26.1876</v>
      </c>
      <c r="GL36">
        <v>35.932600000000001</v>
      </c>
      <c r="GM36">
        <v>0</v>
      </c>
      <c r="GN36">
        <v>100</v>
      </c>
      <c r="GO36">
        <v>25.1966</v>
      </c>
      <c r="GP36">
        <v>800</v>
      </c>
      <c r="GQ36">
        <v>23.7803</v>
      </c>
      <c r="GR36">
        <v>99.793800000000005</v>
      </c>
      <c r="GS36">
        <v>99.658600000000007</v>
      </c>
    </row>
    <row r="37" spans="1:201" x14ac:dyDescent="0.25">
      <c r="A37">
        <v>21</v>
      </c>
      <c r="B37">
        <v>1690232774.5999999</v>
      </c>
      <c r="C37">
        <v>268.5</v>
      </c>
      <c r="D37" t="s">
        <v>373</v>
      </c>
      <c r="E37" t="s">
        <v>374</v>
      </c>
      <c r="F37" t="s">
        <v>330</v>
      </c>
      <c r="H37">
        <v>1690232774.5999999</v>
      </c>
      <c r="I37">
        <f t="shared" si="0"/>
        <v>1.2228628118883872E-4</v>
      </c>
      <c r="J37">
        <f t="shared" si="1"/>
        <v>0.12228628118883873</v>
      </c>
      <c r="K37">
        <f t="shared" si="2"/>
        <v>0.24010469659412878</v>
      </c>
      <c r="L37">
        <f t="shared" si="3"/>
        <v>796.39700000000005</v>
      </c>
      <c r="M37">
        <f t="shared" si="4"/>
        <v>718.63894323651152</v>
      </c>
      <c r="N37">
        <f t="shared" si="5"/>
        <v>71.228027854577149</v>
      </c>
      <c r="O37">
        <f t="shared" si="6"/>
        <v>78.935031608261497</v>
      </c>
      <c r="P37">
        <f t="shared" si="7"/>
        <v>6.8571161716153867E-3</v>
      </c>
      <c r="Q37">
        <f t="shared" si="8"/>
        <v>2.133055790125054</v>
      </c>
      <c r="R37">
        <f t="shared" si="9"/>
        <v>6.8448933490443224E-3</v>
      </c>
      <c r="S37">
        <f t="shared" si="10"/>
        <v>4.2791546770401829E-3</v>
      </c>
      <c r="T37">
        <f t="shared" si="11"/>
        <v>276.11278868754084</v>
      </c>
      <c r="U37">
        <f t="shared" si="12"/>
        <v>29.317092610457685</v>
      </c>
      <c r="V37">
        <f t="shared" si="13"/>
        <v>29.317092610457685</v>
      </c>
      <c r="W37">
        <f t="shared" si="14"/>
        <v>4.0961601529832823</v>
      </c>
      <c r="X37">
        <f t="shared" si="15"/>
        <v>65.890394773749293</v>
      </c>
      <c r="Y37">
        <f t="shared" si="16"/>
        <v>2.3833136947390501</v>
      </c>
      <c r="Z37">
        <f t="shared" si="17"/>
        <v>3.6170882006743739</v>
      </c>
      <c r="AA37">
        <f t="shared" si="18"/>
        <v>1.7128464582442322</v>
      </c>
      <c r="AB37">
        <f t="shared" si="19"/>
        <v>-5.3928250004277878</v>
      </c>
      <c r="AC37">
        <f t="shared" si="20"/>
        <v>-245.80588700361955</v>
      </c>
      <c r="AD37">
        <f t="shared" si="21"/>
        <v>-25.181451152723064</v>
      </c>
      <c r="AE37">
        <f t="shared" si="22"/>
        <v>-0.26737446922956565</v>
      </c>
      <c r="AF37">
        <v>0</v>
      </c>
      <c r="AG37">
        <v>0</v>
      </c>
      <c r="AH37">
        <f t="shared" si="23"/>
        <v>1</v>
      </c>
      <c r="AI37">
        <f t="shared" si="24"/>
        <v>0</v>
      </c>
      <c r="AJ37">
        <f t="shared" si="25"/>
        <v>52450.532063110848</v>
      </c>
      <c r="AK37">
        <f t="shared" si="26"/>
        <v>1799.99</v>
      </c>
      <c r="AL37">
        <f t="shared" si="27"/>
        <v>1499.1051421918301</v>
      </c>
      <c r="AM37">
        <f t="shared" si="28"/>
        <v>0.83284081700000001</v>
      </c>
      <c r="AN37">
        <f t="shared" si="29"/>
        <v>0.15339684592000002</v>
      </c>
      <c r="AO37">
        <v>32.4</v>
      </c>
      <c r="AP37">
        <v>0.5</v>
      </c>
      <c r="AQ37" t="s">
        <v>331</v>
      </c>
      <c r="AR37">
        <v>2</v>
      </c>
      <c r="AS37">
        <v>1690232774.5999999</v>
      </c>
      <c r="AT37">
        <v>796.39700000000005</v>
      </c>
      <c r="AU37">
        <v>800.03899999999999</v>
      </c>
      <c r="AV37">
        <v>24.0459</v>
      </c>
      <c r="AW37">
        <v>22.757999999999999</v>
      </c>
      <c r="AX37">
        <v>796.73299999999995</v>
      </c>
      <c r="AY37">
        <v>23.873899999999999</v>
      </c>
      <c r="AZ37">
        <v>300.24099999999999</v>
      </c>
      <c r="BA37">
        <v>99.015199999999993</v>
      </c>
      <c r="BB37">
        <v>9.9979499999999999E-2</v>
      </c>
      <c r="BC37">
        <v>27.179600000000001</v>
      </c>
      <c r="BD37">
        <v>27.0181</v>
      </c>
      <c r="BE37">
        <v>29.294499999999999</v>
      </c>
      <c r="BF37">
        <v>0</v>
      </c>
      <c r="BG37">
        <v>0</v>
      </c>
      <c r="BH37">
        <v>10025</v>
      </c>
      <c r="BI37">
        <v>1080.3800000000001</v>
      </c>
      <c r="BJ37">
        <v>1.5137799999999999</v>
      </c>
      <c r="BK37">
        <v>-3.6416599999999999</v>
      </c>
      <c r="BL37">
        <v>816.01900000000001</v>
      </c>
      <c r="BM37">
        <v>818.67</v>
      </c>
      <c r="BN37">
        <v>1.2878499999999999</v>
      </c>
      <c r="BO37">
        <v>800.03899999999999</v>
      </c>
      <c r="BP37">
        <v>22.757999999999999</v>
      </c>
      <c r="BQ37">
        <v>2.3809100000000001</v>
      </c>
      <c r="BR37">
        <v>2.25339</v>
      </c>
      <c r="BS37">
        <v>20.234500000000001</v>
      </c>
      <c r="BT37">
        <v>19.347000000000001</v>
      </c>
      <c r="BU37">
        <v>1799.99</v>
      </c>
      <c r="BV37">
        <v>0.91001600000000005</v>
      </c>
      <c r="BW37">
        <v>3.3995299999999999E-2</v>
      </c>
      <c r="BX37">
        <v>2.1994099999999999E-2</v>
      </c>
      <c r="BY37">
        <v>3.3994400000000001E-2</v>
      </c>
      <c r="BZ37">
        <v>25</v>
      </c>
      <c r="CA37">
        <v>33528.300000000003</v>
      </c>
      <c r="CB37">
        <v>1690232006</v>
      </c>
      <c r="CC37" t="s">
        <v>332</v>
      </c>
      <c r="CD37">
        <v>1690232006</v>
      </c>
      <c r="CE37">
        <v>1690231998.5</v>
      </c>
      <c r="CF37">
        <v>14</v>
      </c>
      <c r="CG37">
        <v>-0.13200000000000001</v>
      </c>
      <c r="CH37">
        <v>-7.0000000000000001E-3</v>
      </c>
      <c r="CI37">
        <v>-0.33800000000000002</v>
      </c>
      <c r="CJ37">
        <v>0.14299999999999999</v>
      </c>
      <c r="CK37">
        <v>799</v>
      </c>
      <c r="CL37">
        <v>19</v>
      </c>
      <c r="CM37">
        <v>7.0000000000000007E-2</v>
      </c>
      <c r="CN37">
        <v>0.14000000000000001</v>
      </c>
      <c r="CO37">
        <v>-3.3161341463414629</v>
      </c>
      <c r="CP37">
        <v>-1.4569496864111491</v>
      </c>
      <c r="CQ37">
        <v>0.14696253010049731</v>
      </c>
      <c r="CR37">
        <v>-1</v>
      </c>
      <c r="CS37">
        <v>1.13408</v>
      </c>
      <c r="CT37">
        <v>0.51301986062717819</v>
      </c>
      <c r="CU37">
        <v>5.6962987212707893E-2</v>
      </c>
      <c r="CV37">
        <v>-1</v>
      </c>
      <c r="CW37">
        <v>0</v>
      </c>
      <c r="CX37">
        <v>0</v>
      </c>
      <c r="CY37" t="s">
        <v>333</v>
      </c>
      <c r="CZ37">
        <v>2.3647800000000001</v>
      </c>
      <c r="DA37">
        <v>2.7137899999999999</v>
      </c>
      <c r="DB37">
        <v>0.14630699999999999</v>
      </c>
      <c r="DC37">
        <v>0.14638599999999999</v>
      </c>
      <c r="DD37">
        <v>0.11407299999999999</v>
      </c>
      <c r="DE37">
        <v>0.108061</v>
      </c>
      <c r="DF37">
        <v>31188.3</v>
      </c>
      <c r="DG37">
        <v>27533.4</v>
      </c>
      <c r="DH37">
        <v>31187.9</v>
      </c>
      <c r="DI37">
        <v>28104.9</v>
      </c>
      <c r="DJ37">
        <v>37514.800000000003</v>
      </c>
      <c r="DK37">
        <v>35646.9</v>
      </c>
      <c r="DL37">
        <v>44386.8</v>
      </c>
      <c r="DM37">
        <v>42602.1</v>
      </c>
      <c r="DN37">
        <v>1.47465</v>
      </c>
      <c r="DO37">
        <v>2.0651799999999998</v>
      </c>
      <c r="DP37">
        <v>6.8321800000000002E-2</v>
      </c>
      <c r="DQ37">
        <v>0.219941</v>
      </c>
      <c r="DR37">
        <v>25.899799999999999</v>
      </c>
      <c r="DS37">
        <v>25.700399999999998</v>
      </c>
      <c r="DT37">
        <v>56.2</v>
      </c>
      <c r="DU37">
        <v>29</v>
      </c>
      <c r="DV37">
        <v>22.827000000000002</v>
      </c>
      <c r="DW37">
        <v>61.908000000000001</v>
      </c>
      <c r="DX37">
        <v>35.320500000000003</v>
      </c>
      <c r="DY37">
        <v>1</v>
      </c>
      <c r="DZ37">
        <v>-0.101242</v>
      </c>
      <c r="EA37">
        <v>-0.42660900000000002</v>
      </c>
      <c r="EB37">
        <v>20.188199999999998</v>
      </c>
      <c r="EC37">
        <v>5.2411000000000003</v>
      </c>
      <c r="ED37">
        <v>12.039899999999999</v>
      </c>
      <c r="EE37">
        <v>5.0168999999999997</v>
      </c>
      <c r="EF37">
        <v>3.2879999999999998</v>
      </c>
      <c r="EG37">
        <v>9999</v>
      </c>
      <c r="EH37">
        <v>9999</v>
      </c>
      <c r="EI37">
        <v>9999</v>
      </c>
      <c r="EJ37">
        <v>999.9</v>
      </c>
      <c r="EK37">
        <v>1.8689</v>
      </c>
      <c r="EL37">
        <v>1.8646199999999999</v>
      </c>
      <c r="EM37">
        <v>1.86917</v>
      </c>
      <c r="EN37">
        <v>1.8672200000000001</v>
      </c>
      <c r="EO37">
        <v>1.8633999999999999</v>
      </c>
      <c r="EP37">
        <v>1.8644799999999999</v>
      </c>
      <c r="EQ37">
        <v>1.8701300000000001</v>
      </c>
      <c r="ER37">
        <v>1.8693900000000001</v>
      </c>
      <c r="ES37">
        <v>0</v>
      </c>
      <c r="ET37">
        <v>0</v>
      </c>
      <c r="EU37">
        <v>0</v>
      </c>
      <c r="EV37">
        <v>0</v>
      </c>
      <c r="EW37" t="s">
        <v>334</v>
      </c>
      <c r="EX37" t="s">
        <v>335</v>
      </c>
      <c r="EY37" t="s">
        <v>336</v>
      </c>
      <c r="EZ37" t="s">
        <v>336</v>
      </c>
      <c r="FA37" t="s">
        <v>336</v>
      </c>
      <c r="FB37" t="s">
        <v>336</v>
      </c>
      <c r="FC37">
        <v>0</v>
      </c>
      <c r="FD37">
        <v>100</v>
      </c>
      <c r="FE37">
        <v>100</v>
      </c>
      <c r="FF37">
        <v>-0.33600000000000002</v>
      </c>
      <c r="FG37">
        <v>0.17199999999999999</v>
      </c>
      <c r="FH37">
        <v>0.2126736300064915</v>
      </c>
      <c r="FI37">
        <v>-6.1462078757559423E-4</v>
      </c>
      <c r="FJ37">
        <v>-1.8861989874597051E-7</v>
      </c>
      <c r="FK37">
        <v>1.1980462299894961E-10</v>
      </c>
      <c r="FL37">
        <v>0.1719881465068297</v>
      </c>
      <c r="FM37">
        <v>0</v>
      </c>
      <c r="FN37">
        <v>0</v>
      </c>
      <c r="FO37">
        <v>0</v>
      </c>
      <c r="FP37">
        <v>3</v>
      </c>
      <c r="FQ37">
        <v>2158</v>
      </c>
      <c r="FR37">
        <v>1</v>
      </c>
      <c r="FS37">
        <v>19</v>
      </c>
      <c r="FT37">
        <v>12.8</v>
      </c>
      <c r="FU37">
        <v>12.9</v>
      </c>
      <c r="FV37">
        <v>1.79688</v>
      </c>
      <c r="FW37">
        <v>2.5903299999999998</v>
      </c>
      <c r="FX37">
        <v>1.5490699999999999</v>
      </c>
      <c r="FY37">
        <v>2.3290999999999999</v>
      </c>
      <c r="FZ37">
        <v>1.50146</v>
      </c>
      <c r="GA37">
        <v>2.2753899999999998</v>
      </c>
      <c r="GB37">
        <v>33.625399999999999</v>
      </c>
      <c r="GC37">
        <v>23.982399999999998</v>
      </c>
      <c r="GD37">
        <v>19</v>
      </c>
      <c r="GE37">
        <v>281.67700000000002</v>
      </c>
      <c r="GF37">
        <v>605.58000000000004</v>
      </c>
      <c r="GG37">
        <v>25.331900000000001</v>
      </c>
      <c r="GH37">
        <v>26.166899999999998</v>
      </c>
      <c r="GI37">
        <v>29.999099999999999</v>
      </c>
      <c r="GJ37">
        <v>26.227900000000002</v>
      </c>
      <c r="GK37">
        <v>26.189800000000002</v>
      </c>
      <c r="GL37">
        <v>35.930799999999998</v>
      </c>
      <c r="GM37">
        <v>0</v>
      </c>
      <c r="GN37">
        <v>100</v>
      </c>
      <c r="GO37">
        <v>25.235600000000002</v>
      </c>
      <c r="GP37">
        <v>800</v>
      </c>
      <c r="GQ37">
        <v>23.607800000000001</v>
      </c>
      <c r="GR37">
        <v>99.792599999999993</v>
      </c>
      <c r="GS37">
        <v>99.656599999999997</v>
      </c>
    </row>
    <row r="38" spans="1:201" x14ac:dyDescent="0.25">
      <c r="A38">
        <v>22</v>
      </c>
      <c r="B38">
        <v>1690232784.5999999</v>
      </c>
      <c r="C38">
        <v>278.5</v>
      </c>
      <c r="D38" t="s">
        <v>375</v>
      </c>
      <c r="E38" t="s">
        <v>376</v>
      </c>
      <c r="F38" t="s">
        <v>330</v>
      </c>
      <c r="H38">
        <v>1690232784.5999999</v>
      </c>
      <c r="I38">
        <f t="shared" si="0"/>
        <v>1.2900695205857659E-4</v>
      </c>
      <c r="J38">
        <f t="shared" si="1"/>
        <v>0.1290069520585766</v>
      </c>
      <c r="K38">
        <f t="shared" si="2"/>
        <v>0.25836144125065424</v>
      </c>
      <c r="L38">
        <f t="shared" si="3"/>
        <v>796.13099999999997</v>
      </c>
      <c r="M38">
        <f t="shared" si="4"/>
        <v>717.18076266129003</v>
      </c>
      <c r="N38">
        <f t="shared" si="5"/>
        <v>71.082578447840646</v>
      </c>
      <c r="O38">
        <f t="shared" si="6"/>
        <v>78.90764394217949</v>
      </c>
      <c r="P38">
        <f t="shared" si="7"/>
        <v>7.2257834264447185E-3</v>
      </c>
      <c r="Q38">
        <f t="shared" si="8"/>
        <v>2.1350738730022756</v>
      </c>
      <c r="R38">
        <f t="shared" si="9"/>
        <v>7.2122251783623076E-3</v>
      </c>
      <c r="S38">
        <f t="shared" si="10"/>
        <v>4.5088567464480504E-3</v>
      </c>
      <c r="T38">
        <f t="shared" si="11"/>
        <v>276.11244164946885</v>
      </c>
      <c r="U38">
        <f t="shared" si="12"/>
        <v>29.352040323526403</v>
      </c>
      <c r="V38">
        <f t="shared" si="13"/>
        <v>29.352040323526403</v>
      </c>
      <c r="W38">
        <f t="shared" si="14"/>
        <v>4.104431527783305</v>
      </c>
      <c r="X38">
        <f t="shared" si="15"/>
        <v>65.91348217429929</v>
      </c>
      <c r="Y38">
        <f t="shared" si="16"/>
        <v>2.389635996395</v>
      </c>
      <c r="Z38">
        <f t="shared" si="17"/>
        <v>3.6254130681124246</v>
      </c>
      <c r="AA38">
        <f t="shared" si="18"/>
        <v>1.714795531388305</v>
      </c>
      <c r="AB38">
        <f t="shared" si="19"/>
        <v>-5.6892065857832277</v>
      </c>
      <c r="AC38">
        <f t="shared" si="20"/>
        <v>-245.54897963838715</v>
      </c>
      <c r="AD38">
        <f t="shared" si="21"/>
        <v>-25.140634015155221</v>
      </c>
      <c r="AE38">
        <f t="shared" si="22"/>
        <v>-0.26637858985677099</v>
      </c>
      <c r="AF38">
        <v>0</v>
      </c>
      <c r="AG38">
        <v>0</v>
      </c>
      <c r="AH38">
        <f t="shared" si="23"/>
        <v>1</v>
      </c>
      <c r="AI38">
        <f t="shared" si="24"/>
        <v>0</v>
      </c>
      <c r="AJ38">
        <f t="shared" si="25"/>
        <v>52530.722177279386</v>
      </c>
      <c r="AK38">
        <f t="shared" si="26"/>
        <v>1799.99</v>
      </c>
      <c r="AL38">
        <f t="shared" si="27"/>
        <v>1499.1046921943303</v>
      </c>
      <c r="AM38">
        <f t="shared" si="28"/>
        <v>0.83284056700000009</v>
      </c>
      <c r="AN38">
        <f t="shared" si="29"/>
        <v>0.15339665312000003</v>
      </c>
      <c r="AO38">
        <v>32.4</v>
      </c>
      <c r="AP38">
        <v>0.5</v>
      </c>
      <c r="AQ38" t="s">
        <v>331</v>
      </c>
      <c r="AR38">
        <v>2</v>
      </c>
      <c r="AS38">
        <v>1690232784.5999999</v>
      </c>
      <c r="AT38">
        <v>796.13099999999997</v>
      </c>
      <c r="AU38">
        <v>800.02800000000002</v>
      </c>
      <c r="AV38">
        <v>24.11</v>
      </c>
      <c r="AW38">
        <v>22.751200000000001</v>
      </c>
      <c r="AX38">
        <v>796.46699999999998</v>
      </c>
      <c r="AY38">
        <v>23.937999999999999</v>
      </c>
      <c r="AZ38">
        <v>300.19499999999999</v>
      </c>
      <c r="BA38">
        <v>99.013900000000007</v>
      </c>
      <c r="BB38">
        <v>9.99945E-2</v>
      </c>
      <c r="BC38">
        <v>27.218800000000002</v>
      </c>
      <c r="BD38">
        <v>27.080100000000002</v>
      </c>
      <c r="BE38">
        <v>29.349</v>
      </c>
      <c r="BF38">
        <v>0</v>
      </c>
      <c r="BG38">
        <v>0</v>
      </c>
      <c r="BH38">
        <v>10042.5</v>
      </c>
      <c r="BI38">
        <v>1080.48</v>
      </c>
      <c r="BJ38">
        <v>1.5137799999999999</v>
      </c>
      <c r="BK38">
        <v>-3.89703</v>
      </c>
      <c r="BL38">
        <v>815.8</v>
      </c>
      <c r="BM38">
        <v>818.654</v>
      </c>
      <c r="BN38">
        <v>1.35876</v>
      </c>
      <c r="BO38">
        <v>800.02800000000002</v>
      </c>
      <c r="BP38">
        <v>22.751200000000001</v>
      </c>
      <c r="BQ38">
        <v>2.3872200000000001</v>
      </c>
      <c r="BR38">
        <v>2.2526899999999999</v>
      </c>
      <c r="BS38">
        <v>20.2774</v>
      </c>
      <c r="BT38">
        <v>19.341999999999999</v>
      </c>
      <c r="BU38">
        <v>1799.99</v>
      </c>
      <c r="BV38">
        <v>0.91001900000000002</v>
      </c>
      <c r="BW38">
        <v>3.4000000000000002E-2</v>
      </c>
      <c r="BX38">
        <v>2.19911E-2</v>
      </c>
      <c r="BY38">
        <v>3.3989800000000001E-2</v>
      </c>
      <c r="BZ38">
        <v>25</v>
      </c>
      <c r="CA38">
        <v>33528.300000000003</v>
      </c>
      <c r="CB38">
        <v>1690232006</v>
      </c>
      <c r="CC38" t="s">
        <v>332</v>
      </c>
      <c r="CD38">
        <v>1690232006</v>
      </c>
      <c r="CE38">
        <v>1690231998.5</v>
      </c>
      <c r="CF38">
        <v>14</v>
      </c>
      <c r="CG38">
        <v>-0.13200000000000001</v>
      </c>
      <c r="CH38">
        <v>-7.0000000000000001E-3</v>
      </c>
      <c r="CI38">
        <v>-0.33800000000000002</v>
      </c>
      <c r="CJ38">
        <v>0.14299999999999999</v>
      </c>
      <c r="CK38">
        <v>799</v>
      </c>
      <c r="CL38">
        <v>19</v>
      </c>
      <c r="CM38">
        <v>7.0000000000000007E-2</v>
      </c>
      <c r="CN38">
        <v>0.14000000000000001</v>
      </c>
      <c r="CO38">
        <v>-3.5698142499999999</v>
      </c>
      <c r="CP38">
        <v>-1.734037260787979</v>
      </c>
      <c r="CQ38">
        <v>0.1708171297307079</v>
      </c>
      <c r="CR38">
        <v>-1</v>
      </c>
      <c r="CS38">
        <v>1.2465949999999999</v>
      </c>
      <c r="CT38">
        <v>0.90101673545965955</v>
      </c>
      <c r="CU38">
        <v>8.8256105397870349E-2</v>
      </c>
      <c r="CV38">
        <v>-1</v>
      </c>
      <c r="CW38">
        <v>0</v>
      </c>
      <c r="CX38">
        <v>0</v>
      </c>
      <c r="CY38" t="s">
        <v>333</v>
      </c>
      <c r="CZ38">
        <v>2.3646500000000001</v>
      </c>
      <c r="DA38">
        <v>2.7138200000000001</v>
      </c>
      <c r="DB38">
        <v>0.14627399999999999</v>
      </c>
      <c r="DC38">
        <v>0.14638200000000001</v>
      </c>
      <c r="DD38">
        <v>0.114285</v>
      </c>
      <c r="DE38">
        <v>0.10803699999999999</v>
      </c>
      <c r="DF38">
        <v>31189.7</v>
      </c>
      <c r="DG38">
        <v>27533.8</v>
      </c>
      <c r="DH38">
        <v>31188.1</v>
      </c>
      <c r="DI38">
        <v>28105.200000000001</v>
      </c>
      <c r="DJ38">
        <v>37506</v>
      </c>
      <c r="DK38">
        <v>35648.199999999997</v>
      </c>
      <c r="DL38">
        <v>44387.1</v>
      </c>
      <c r="DM38">
        <v>42602.5</v>
      </c>
      <c r="DN38">
        <v>1.4744299999999999</v>
      </c>
      <c r="DO38">
        <v>2.0652699999999999</v>
      </c>
      <c r="DP38">
        <v>7.2345099999999996E-2</v>
      </c>
      <c r="DQ38">
        <v>0.22400200000000001</v>
      </c>
      <c r="DR38">
        <v>25.896000000000001</v>
      </c>
      <c r="DS38">
        <v>25.688700000000001</v>
      </c>
      <c r="DT38">
        <v>56.2</v>
      </c>
      <c r="DU38">
        <v>29</v>
      </c>
      <c r="DV38">
        <v>22.828099999999999</v>
      </c>
      <c r="DW38">
        <v>61.478000000000002</v>
      </c>
      <c r="DX38">
        <v>36.418300000000002</v>
      </c>
      <c r="DY38">
        <v>1</v>
      </c>
      <c r="DZ38">
        <v>-0.101301</v>
      </c>
      <c r="EA38">
        <v>0.26426500000000003</v>
      </c>
      <c r="EB38">
        <v>20.189399999999999</v>
      </c>
      <c r="EC38">
        <v>5.2403500000000003</v>
      </c>
      <c r="ED38">
        <v>12.039899999999999</v>
      </c>
      <c r="EE38">
        <v>5.0166500000000003</v>
      </c>
      <c r="EF38">
        <v>3.2879999999999998</v>
      </c>
      <c r="EG38">
        <v>9999</v>
      </c>
      <c r="EH38">
        <v>9999</v>
      </c>
      <c r="EI38">
        <v>9999</v>
      </c>
      <c r="EJ38">
        <v>999.9</v>
      </c>
      <c r="EK38">
        <v>1.8689</v>
      </c>
      <c r="EL38">
        <v>1.8646199999999999</v>
      </c>
      <c r="EM38">
        <v>1.8691899999999999</v>
      </c>
      <c r="EN38">
        <v>1.8672200000000001</v>
      </c>
      <c r="EO38">
        <v>1.8633999999999999</v>
      </c>
      <c r="EP38">
        <v>1.8644799999999999</v>
      </c>
      <c r="EQ38">
        <v>1.8701399999999999</v>
      </c>
      <c r="ER38">
        <v>1.8694</v>
      </c>
      <c r="ES38">
        <v>0</v>
      </c>
      <c r="ET38">
        <v>0</v>
      </c>
      <c r="EU38">
        <v>0</v>
      </c>
      <c r="EV38">
        <v>0</v>
      </c>
      <c r="EW38" t="s">
        <v>334</v>
      </c>
      <c r="EX38" t="s">
        <v>335</v>
      </c>
      <c r="EY38" t="s">
        <v>336</v>
      </c>
      <c r="EZ38" t="s">
        <v>336</v>
      </c>
      <c r="FA38" t="s">
        <v>336</v>
      </c>
      <c r="FB38" t="s">
        <v>336</v>
      </c>
      <c r="FC38">
        <v>0</v>
      </c>
      <c r="FD38">
        <v>100</v>
      </c>
      <c r="FE38">
        <v>100</v>
      </c>
      <c r="FF38">
        <v>-0.33600000000000002</v>
      </c>
      <c r="FG38">
        <v>0.17199999999999999</v>
      </c>
      <c r="FH38">
        <v>0.2126736300064915</v>
      </c>
      <c r="FI38">
        <v>-6.1462078757559423E-4</v>
      </c>
      <c r="FJ38">
        <v>-1.8861989874597051E-7</v>
      </c>
      <c r="FK38">
        <v>1.1980462299894961E-10</v>
      </c>
      <c r="FL38">
        <v>0.1719881465068297</v>
      </c>
      <c r="FM38">
        <v>0</v>
      </c>
      <c r="FN38">
        <v>0</v>
      </c>
      <c r="FO38">
        <v>0</v>
      </c>
      <c r="FP38">
        <v>3</v>
      </c>
      <c r="FQ38">
        <v>2158</v>
      </c>
      <c r="FR38">
        <v>1</v>
      </c>
      <c r="FS38">
        <v>19</v>
      </c>
      <c r="FT38">
        <v>13</v>
      </c>
      <c r="FU38">
        <v>13.1</v>
      </c>
      <c r="FV38">
        <v>1.79688</v>
      </c>
      <c r="FW38">
        <v>2.5842299999999998</v>
      </c>
      <c r="FX38">
        <v>1.5490699999999999</v>
      </c>
      <c r="FY38">
        <v>2.3290999999999999</v>
      </c>
      <c r="FZ38">
        <v>1.50146</v>
      </c>
      <c r="GA38">
        <v>2.3803700000000001</v>
      </c>
      <c r="GB38">
        <v>33.625399999999999</v>
      </c>
      <c r="GC38">
        <v>23.991199999999999</v>
      </c>
      <c r="GD38">
        <v>19</v>
      </c>
      <c r="GE38">
        <v>281.58600000000001</v>
      </c>
      <c r="GF38">
        <v>605.68200000000002</v>
      </c>
      <c r="GG38">
        <v>25.3062</v>
      </c>
      <c r="GH38">
        <v>26.166899999999998</v>
      </c>
      <c r="GI38">
        <v>29.9999</v>
      </c>
      <c r="GJ38">
        <v>26.228999999999999</v>
      </c>
      <c r="GK38">
        <v>26.191400000000002</v>
      </c>
      <c r="GL38">
        <v>35.932000000000002</v>
      </c>
      <c r="GM38">
        <v>0</v>
      </c>
      <c r="GN38">
        <v>100</v>
      </c>
      <c r="GO38">
        <v>25.221699999999998</v>
      </c>
      <c r="GP38">
        <v>800</v>
      </c>
      <c r="GQ38">
        <v>23.513500000000001</v>
      </c>
      <c r="GR38">
        <v>99.793199999999999</v>
      </c>
      <c r="GS38">
        <v>99.657700000000006</v>
      </c>
    </row>
    <row r="39" spans="1:201" x14ac:dyDescent="0.25">
      <c r="A39">
        <v>23</v>
      </c>
      <c r="B39">
        <v>1690232794.5999999</v>
      </c>
      <c r="C39">
        <v>288.5</v>
      </c>
      <c r="D39" t="s">
        <v>377</v>
      </c>
      <c r="E39" t="s">
        <v>378</v>
      </c>
      <c r="F39" t="s">
        <v>330</v>
      </c>
      <c r="H39">
        <v>1690232794.5999999</v>
      </c>
      <c r="I39">
        <f t="shared" si="0"/>
        <v>1.2839921469494324E-4</v>
      </c>
      <c r="J39">
        <f t="shared" si="1"/>
        <v>0.12839921469494323</v>
      </c>
      <c r="K39">
        <f t="shared" si="2"/>
        <v>0.28143468952330303</v>
      </c>
      <c r="L39">
        <f t="shared" si="3"/>
        <v>795.87199999999996</v>
      </c>
      <c r="M39">
        <f t="shared" si="4"/>
        <v>711.4255010350073</v>
      </c>
      <c r="N39">
        <f t="shared" si="5"/>
        <v>70.515040086014807</v>
      </c>
      <c r="O39">
        <f t="shared" si="6"/>
        <v>78.88520428588798</v>
      </c>
      <c r="P39">
        <f t="shared" si="7"/>
        <v>7.177254767944328E-3</v>
      </c>
      <c r="Q39">
        <f t="shared" si="8"/>
        <v>2.1298868046838981</v>
      </c>
      <c r="R39">
        <f t="shared" si="9"/>
        <v>7.1638453297149501E-3</v>
      </c>
      <c r="S39">
        <f t="shared" si="10"/>
        <v>4.4786060035758206E-3</v>
      </c>
      <c r="T39">
        <f t="shared" si="11"/>
        <v>276.11338931536363</v>
      </c>
      <c r="U39">
        <f t="shared" si="12"/>
        <v>29.360968133672863</v>
      </c>
      <c r="V39">
        <f t="shared" si="13"/>
        <v>29.360968133672863</v>
      </c>
      <c r="W39">
        <f t="shared" si="14"/>
        <v>4.1065468827371392</v>
      </c>
      <c r="X39">
        <f t="shared" si="15"/>
        <v>65.859450104075819</v>
      </c>
      <c r="Y39">
        <f t="shared" si="16"/>
        <v>2.3882371898346002</v>
      </c>
      <c r="Z39">
        <f t="shared" si="17"/>
        <v>3.6262634839199794</v>
      </c>
      <c r="AA39">
        <f t="shared" si="18"/>
        <v>1.718309692902539</v>
      </c>
      <c r="AB39">
        <f t="shared" si="19"/>
        <v>-5.662405368046997</v>
      </c>
      <c r="AC39">
        <f t="shared" si="20"/>
        <v>-245.51827214541188</v>
      </c>
      <c r="AD39">
        <f t="shared" si="21"/>
        <v>-25.200332527748696</v>
      </c>
      <c r="AE39">
        <f t="shared" si="22"/>
        <v>-0.26762072584392627</v>
      </c>
      <c r="AF39">
        <v>0</v>
      </c>
      <c r="AG39">
        <v>0</v>
      </c>
      <c r="AH39">
        <f t="shared" si="23"/>
        <v>1</v>
      </c>
      <c r="AI39">
        <f t="shared" si="24"/>
        <v>0</v>
      </c>
      <c r="AJ39">
        <f t="shared" si="25"/>
        <v>52306.516342354975</v>
      </c>
      <c r="AK39">
        <f t="shared" si="26"/>
        <v>1799.98</v>
      </c>
      <c r="AL39">
        <f t="shared" si="27"/>
        <v>1499.09551779806</v>
      </c>
      <c r="AM39">
        <f t="shared" si="28"/>
        <v>0.83284009699999995</v>
      </c>
      <c r="AN39">
        <f t="shared" si="29"/>
        <v>0.15339803182</v>
      </c>
      <c r="AO39">
        <v>32.4</v>
      </c>
      <c r="AP39">
        <v>0.5</v>
      </c>
      <c r="AQ39" t="s">
        <v>331</v>
      </c>
      <c r="AR39">
        <v>2</v>
      </c>
      <c r="AS39">
        <v>1690232794.5999999</v>
      </c>
      <c r="AT39">
        <v>795.87199999999996</v>
      </c>
      <c r="AU39">
        <v>800.01300000000003</v>
      </c>
      <c r="AV39">
        <v>24.094899999999999</v>
      </c>
      <c r="AW39">
        <v>22.7423</v>
      </c>
      <c r="AX39">
        <v>796.20699999999999</v>
      </c>
      <c r="AY39">
        <v>23.922899999999998</v>
      </c>
      <c r="AZ39">
        <v>300.15499999999997</v>
      </c>
      <c r="BA39">
        <v>99.018000000000001</v>
      </c>
      <c r="BB39">
        <v>9.9954000000000001E-2</v>
      </c>
      <c r="BC39">
        <v>27.222799999999999</v>
      </c>
      <c r="BD39">
        <v>27.0825</v>
      </c>
      <c r="BE39">
        <v>29.391400000000001</v>
      </c>
      <c r="BF39">
        <v>0</v>
      </c>
      <c r="BG39">
        <v>0</v>
      </c>
      <c r="BH39">
        <v>9997.5</v>
      </c>
      <c r="BI39">
        <v>1080.71</v>
      </c>
      <c r="BJ39">
        <v>1.5137799999999999</v>
      </c>
      <c r="BK39">
        <v>-4.1414200000000001</v>
      </c>
      <c r="BL39">
        <v>815.52200000000005</v>
      </c>
      <c r="BM39">
        <v>818.63</v>
      </c>
      <c r="BN39">
        <v>1.35266</v>
      </c>
      <c r="BO39">
        <v>800.01300000000003</v>
      </c>
      <c r="BP39">
        <v>22.7423</v>
      </c>
      <c r="BQ39">
        <v>2.3858299999999999</v>
      </c>
      <c r="BR39">
        <v>2.2518899999999999</v>
      </c>
      <c r="BS39">
        <v>20.267900000000001</v>
      </c>
      <c r="BT39">
        <v>19.336400000000001</v>
      </c>
      <c r="BU39">
        <v>1799.98</v>
      </c>
      <c r="BV39">
        <v>0.909995</v>
      </c>
      <c r="BW39">
        <v>3.4006399999999999E-2</v>
      </c>
      <c r="BX39">
        <v>2.20091E-2</v>
      </c>
      <c r="BY39">
        <v>3.3989199999999997E-2</v>
      </c>
      <c r="BZ39">
        <v>25</v>
      </c>
      <c r="CA39">
        <v>33527.9</v>
      </c>
      <c r="CB39">
        <v>1690232006</v>
      </c>
      <c r="CC39" t="s">
        <v>332</v>
      </c>
      <c r="CD39">
        <v>1690232006</v>
      </c>
      <c r="CE39">
        <v>1690231998.5</v>
      </c>
      <c r="CF39">
        <v>14</v>
      </c>
      <c r="CG39">
        <v>-0.13200000000000001</v>
      </c>
      <c r="CH39">
        <v>-7.0000000000000001E-3</v>
      </c>
      <c r="CI39">
        <v>-0.33800000000000002</v>
      </c>
      <c r="CJ39">
        <v>0.14299999999999999</v>
      </c>
      <c r="CK39">
        <v>799</v>
      </c>
      <c r="CL39">
        <v>19</v>
      </c>
      <c r="CM39">
        <v>7.0000000000000007E-2</v>
      </c>
      <c r="CN39">
        <v>0.14000000000000001</v>
      </c>
      <c r="CO39">
        <v>-3.8436468292682928</v>
      </c>
      <c r="CP39">
        <v>-1.49812829268294</v>
      </c>
      <c r="CQ39">
        <v>0.15261372871529441</v>
      </c>
      <c r="CR39">
        <v>-1</v>
      </c>
      <c r="CS39">
        <v>1.3423387804878051</v>
      </c>
      <c r="CT39">
        <v>0.2091721254355412</v>
      </c>
      <c r="CU39">
        <v>2.4797557825772809E-2</v>
      </c>
      <c r="CV39">
        <v>-1</v>
      </c>
      <c r="CW39">
        <v>0</v>
      </c>
      <c r="CX39">
        <v>0</v>
      </c>
      <c r="CY39" t="s">
        <v>333</v>
      </c>
      <c r="CZ39">
        <v>2.3645100000000001</v>
      </c>
      <c r="DA39">
        <v>2.71374</v>
      </c>
      <c r="DB39">
        <v>0.14624699999999999</v>
      </c>
      <c r="DC39">
        <v>0.14638599999999999</v>
      </c>
      <c r="DD39">
        <v>0.11423999999999999</v>
      </c>
      <c r="DE39">
        <v>0.108011</v>
      </c>
      <c r="DF39">
        <v>31190.2</v>
      </c>
      <c r="DG39">
        <v>27533.3</v>
      </c>
      <c r="DH39">
        <v>31187.7</v>
      </c>
      <c r="DI39">
        <v>28104.799999999999</v>
      </c>
      <c r="DJ39">
        <v>37507.199999999997</v>
      </c>
      <c r="DK39">
        <v>35648.699999999997</v>
      </c>
      <c r="DL39">
        <v>44386.3</v>
      </c>
      <c r="DM39">
        <v>42601.9</v>
      </c>
      <c r="DN39">
        <v>1.4737499999999999</v>
      </c>
      <c r="DO39">
        <v>2.0653700000000002</v>
      </c>
      <c r="DP39">
        <v>7.25687E-2</v>
      </c>
      <c r="DQ39">
        <v>0.22683300000000001</v>
      </c>
      <c r="DR39">
        <v>25.8948</v>
      </c>
      <c r="DS39">
        <v>25.684899999999999</v>
      </c>
      <c r="DT39">
        <v>56.2</v>
      </c>
      <c r="DU39">
        <v>29</v>
      </c>
      <c r="DV39">
        <v>22.8262</v>
      </c>
      <c r="DW39">
        <v>61.527999999999999</v>
      </c>
      <c r="DX39">
        <v>35.288499999999999</v>
      </c>
      <c r="DY39">
        <v>1</v>
      </c>
      <c r="DZ39">
        <v>-0.100234</v>
      </c>
      <c r="EA39">
        <v>0.628807</v>
      </c>
      <c r="EB39">
        <v>20.187799999999999</v>
      </c>
      <c r="EC39">
        <v>5.2408000000000001</v>
      </c>
      <c r="ED39">
        <v>12.039899999999999</v>
      </c>
      <c r="EE39">
        <v>5.0167000000000002</v>
      </c>
      <c r="EF39">
        <v>3.2879999999999998</v>
      </c>
      <c r="EG39">
        <v>9999</v>
      </c>
      <c r="EH39">
        <v>9999</v>
      </c>
      <c r="EI39">
        <v>9999</v>
      </c>
      <c r="EJ39">
        <v>999.9</v>
      </c>
      <c r="EK39">
        <v>1.8689</v>
      </c>
      <c r="EL39">
        <v>1.8646199999999999</v>
      </c>
      <c r="EM39">
        <v>1.8691899999999999</v>
      </c>
      <c r="EN39">
        <v>1.8672200000000001</v>
      </c>
      <c r="EO39">
        <v>1.8633999999999999</v>
      </c>
      <c r="EP39">
        <v>1.8644700000000001</v>
      </c>
      <c r="EQ39">
        <v>1.87015</v>
      </c>
      <c r="ER39">
        <v>1.86938</v>
      </c>
      <c r="ES39">
        <v>0</v>
      </c>
      <c r="ET39">
        <v>0</v>
      </c>
      <c r="EU39">
        <v>0</v>
      </c>
      <c r="EV39">
        <v>0</v>
      </c>
      <c r="EW39" t="s">
        <v>334</v>
      </c>
      <c r="EX39" t="s">
        <v>335</v>
      </c>
      <c r="EY39" t="s">
        <v>336</v>
      </c>
      <c r="EZ39" t="s">
        <v>336</v>
      </c>
      <c r="FA39" t="s">
        <v>336</v>
      </c>
      <c r="FB39" t="s">
        <v>336</v>
      </c>
      <c r="FC39">
        <v>0</v>
      </c>
      <c r="FD39">
        <v>100</v>
      </c>
      <c r="FE39">
        <v>100</v>
      </c>
      <c r="FF39">
        <v>-0.33500000000000002</v>
      </c>
      <c r="FG39">
        <v>0.17199999999999999</v>
      </c>
      <c r="FH39">
        <v>0.2126736300064915</v>
      </c>
      <c r="FI39">
        <v>-6.1462078757559423E-4</v>
      </c>
      <c r="FJ39">
        <v>-1.8861989874597051E-7</v>
      </c>
      <c r="FK39">
        <v>1.1980462299894961E-10</v>
      </c>
      <c r="FL39">
        <v>0.1719881465068297</v>
      </c>
      <c r="FM39">
        <v>0</v>
      </c>
      <c r="FN39">
        <v>0</v>
      </c>
      <c r="FO39">
        <v>0</v>
      </c>
      <c r="FP39">
        <v>3</v>
      </c>
      <c r="FQ39">
        <v>2158</v>
      </c>
      <c r="FR39">
        <v>1</v>
      </c>
      <c r="FS39">
        <v>19</v>
      </c>
      <c r="FT39">
        <v>13.1</v>
      </c>
      <c r="FU39">
        <v>13.3</v>
      </c>
      <c r="FV39">
        <v>1.79688</v>
      </c>
      <c r="FW39">
        <v>2.5976599999999999</v>
      </c>
      <c r="FX39">
        <v>1.5490699999999999</v>
      </c>
      <c r="FY39">
        <v>2.3290999999999999</v>
      </c>
      <c r="FZ39">
        <v>1.50146</v>
      </c>
      <c r="GA39">
        <v>2.2985799999999998</v>
      </c>
      <c r="GB39">
        <v>33.625399999999999</v>
      </c>
      <c r="GC39">
        <v>23.973700000000001</v>
      </c>
      <c r="GD39">
        <v>19</v>
      </c>
      <c r="GE39">
        <v>281.29899999999998</v>
      </c>
      <c r="GF39">
        <v>605.77599999999995</v>
      </c>
      <c r="GG39">
        <v>25.122399999999999</v>
      </c>
      <c r="GH39">
        <v>26.1692</v>
      </c>
      <c r="GI39">
        <v>30.000499999999999</v>
      </c>
      <c r="GJ39">
        <v>26.228999999999999</v>
      </c>
      <c r="GK39">
        <v>26.192</v>
      </c>
      <c r="GL39">
        <v>35.9315</v>
      </c>
      <c r="GM39">
        <v>0</v>
      </c>
      <c r="GN39">
        <v>100</v>
      </c>
      <c r="GO39">
        <v>25.069900000000001</v>
      </c>
      <c r="GP39">
        <v>800</v>
      </c>
      <c r="GQ39">
        <v>23.460899999999999</v>
      </c>
      <c r="GR39">
        <v>99.791600000000003</v>
      </c>
      <c r="GS39">
        <v>99.656199999999998</v>
      </c>
    </row>
    <row r="40" spans="1:201" x14ac:dyDescent="0.25">
      <c r="A40">
        <v>24</v>
      </c>
      <c r="B40">
        <v>1690232804.5999999</v>
      </c>
      <c r="C40">
        <v>298.5</v>
      </c>
      <c r="D40" t="s">
        <v>379</v>
      </c>
      <c r="E40" t="s">
        <v>380</v>
      </c>
      <c r="F40" t="s">
        <v>330</v>
      </c>
      <c r="H40">
        <v>1690232804.5999999</v>
      </c>
      <c r="I40">
        <f t="shared" si="0"/>
        <v>1.2645939183048531E-4</v>
      </c>
      <c r="J40">
        <f t="shared" si="1"/>
        <v>0.12645939183048532</v>
      </c>
      <c r="K40">
        <f t="shared" si="2"/>
        <v>0.29671100790420896</v>
      </c>
      <c r="L40">
        <f t="shared" si="3"/>
        <v>795.71100000000001</v>
      </c>
      <c r="M40">
        <f t="shared" si="4"/>
        <v>707.05825242339404</v>
      </c>
      <c r="N40">
        <f t="shared" si="5"/>
        <v>70.081572844443727</v>
      </c>
      <c r="O40">
        <f t="shared" si="6"/>
        <v>78.8685772614852</v>
      </c>
      <c r="P40">
        <f t="shared" si="7"/>
        <v>7.0810902047803966E-3</v>
      </c>
      <c r="Q40">
        <f t="shared" si="8"/>
        <v>2.1343113842525967</v>
      </c>
      <c r="R40">
        <f t="shared" si="9"/>
        <v>7.0680643453838064E-3</v>
      </c>
      <c r="S40">
        <f t="shared" si="10"/>
        <v>4.4187085169268697E-3</v>
      </c>
      <c r="T40">
        <f t="shared" si="11"/>
        <v>276.11324450697259</v>
      </c>
      <c r="U40">
        <f t="shared" si="12"/>
        <v>29.336359140818757</v>
      </c>
      <c r="V40">
        <f t="shared" si="13"/>
        <v>29.336359140818757</v>
      </c>
      <c r="W40">
        <f t="shared" si="14"/>
        <v>4.1007183286150433</v>
      </c>
      <c r="X40">
        <f t="shared" si="15"/>
        <v>65.862657999368039</v>
      </c>
      <c r="Y40">
        <f t="shared" si="16"/>
        <v>2.38537226969384</v>
      </c>
      <c r="Z40">
        <f t="shared" si="17"/>
        <v>3.6217370239092501</v>
      </c>
      <c r="AA40">
        <f t="shared" si="18"/>
        <v>1.7153460589212033</v>
      </c>
      <c r="AB40">
        <f t="shared" si="19"/>
        <v>-5.5768591797244023</v>
      </c>
      <c r="AC40">
        <f t="shared" si="20"/>
        <v>-245.6475571065742</v>
      </c>
      <c r="AD40">
        <f t="shared" si="21"/>
        <v>-25.155581533573958</v>
      </c>
      <c r="AE40">
        <f t="shared" si="22"/>
        <v>-0.26675331289996507</v>
      </c>
      <c r="AF40">
        <v>0</v>
      </c>
      <c r="AG40">
        <v>0</v>
      </c>
      <c r="AH40">
        <f t="shared" si="23"/>
        <v>1</v>
      </c>
      <c r="AI40">
        <f t="shared" si="24"/>
        <v>0</v>
      </c>
      <c r="AJ40">
        <f t="shared" si="25"/>
        <v>52500.912914372631</v>
      </c>
      <c r="AK40">
        <f t="shared" si="26"/>
        <v>1799.98</v>
      </c>
      <c r="AL40">
        <f t="shared" si="27"/>
        <v>1499.0932588231599</v>
      </c>
      <c r="AM40">
        <f t="shared" si="28"/>
        <v>0.83283884199999991</v>
      </c>
      <c r="AN40">
        <f t="shared" si="29"/>
        <v>0.15339795137000001</v>
      </c>
      <c r="AO40">
        <v>32.4</v>
      </c>
      <c r="AP40">
        <v>0.5</v>
      </c>
      <c r="AQ40" t="s">
        <v>331</v>
      </c>
      <c r="AR40">
        <v>2</v>
      </c>
      <c r="AS40">
        <v>1690232804.5999999</v>
      </c>
      <c r="AT40">
        <v>795.71100000000001</v>
      </c>
      <c r="AU40">
        <v>800</v>
      </c>
      <c r="AV40">
        <v>24.066199999999998</v>
      </c>
      <c r="AW40">
        <v>22.734000000000002</v>
      </c>
      <c r="AX40">
        <v>796.04700000000003</v>
      </c>
      <c r="AY40">
        <v>23.894300000000001</v>
      </c>
      <c r="AZ40">
        <v>300.15600000000001</v>
      </c>
      <c r="BA40">
        <v>99.017200000000003</v>
      </c>
      <c r="BB40">
        <v>9.9913199999999994E-2</v>
      </c>
      <c r="BC40">
        <v>27.201499999999999</v>
      </c>
      <c r="BD40">
        <v>27.0535</v>
      </c>
      <c r="BE40">
        <v>29.3598</v>
      </c>
      <c r="BF40">
        <v>0</v>
      </c>
      <c r="BG40">
        <v>0</v>
      </c>
      <c r="BH40">
        <v>10035.6</v>
      </c>
      <c r="BI40">
        <v>1080.77</v>
      </c>
      <c r="BJ40">
        <v>1.5137799999999999</v>
      </c>
      <c r="BK40">
        <v>-4.28925</v>
      </c>
      <c r="BL40">
        <v>815.33299999999997</v>
      </c>
      <c r="BM40">
        <v>818.61099999999999</v>
      </c>
      <c r="BN40">
        <v>1.3322400000000001</v>
      </c>
      <c r="BO40">
        <v>800</v>
      </c>
      <c r="BP40">
        <v>22.734000000000002</v>
      </c>
      <c r="BQ40">
        <v>2.3829699999999998</v>
      </c>
      <c r="BR40">
        <v>2.2510599999999998</v>
      </c>
      <c r="BS40">
        <v>20.2485</v>
      </c>
      <c r="BT40">
        <v>19.330400000000001</v>
      </c>
      <c r="BU40">
        <v>1799.98</v>
      </c>
      <c r="BV40">
        <v>0.90998000000000001</v>
      </c>
      <c r="BW40">
        <v>3.4001799999999999E-2</v>
      </c>
      <c r="BX40">
        <v>2.2006100000000001E-2</v>
      </c>
      <c r="BY40">
        <v>3.4012100000000003E-2</v>
      </c>
      <c r="BZ40">
        <v>25</v>
      </c>
      <c r="CA40">
        <v>33527.9</v>
      </c>
      <c r="CB40">
        <v>1690232006</v>
      </c>
      <c r="CC40" t="s">
        <v>332</v>
      </c>
      <c r="CD40">
        <v>1690232006</v>
      </c>
      <c r="CE40">
        <v>1690231998.5</v>
      </c>
      <c r="CF40">
        <v>14</v>
      </c>
      <c r="CG40">
        <v>-0.13200000000000001</v>
      </c>
      <c r="CH40">
        <v>-7.0000000000000001E-3</v>
      </c>
      <c r="CI40">
        <v>-0.33800000000000002</v>
      </c>
      <c r="CJ40">
        <v>0.14299999999999999</v>
      </c>
      <c r="CK40">
        <v>799</v>
      </c>
      <c r="CL40">
        <v>19</v>
      </c>
      <c r="CM40">
        <v>7.0000000000000007E-2</v>
      </c>
      <c r="CN40">
        <v>0.14000000000000001</v>
      </c>
      <c r="CO40">
        <v>-4.0819834999999998</v>
      </c>
      <c r="CP40">
        <v>-1.3272963602251391</v>
      </c>
      <c r="CQ40">
        <v>0.12947850851685769</v>
      </c>
      <c r="CR40">
        <v>-1</v>
      </c>
      <c r="CS40">
        <v>1.3516345000000001</v>
      </c>
      <c r="CT40">
        <v>-8.9182288930584025E-2</v>
      </c>
      <c r="CU40">
        <v>9.2592332160930067E-3</v>
      </c>
      <c r="CV40">
        <v>-1</v>
      </c>
      <c r="CW40">
        <v>0</v>
      </c>
      <c r="CX40">
        <v>0</v>
      </c>
      <c r="CY40" t="s">
        <v>333</v>
      </c>
      <c r="CZ40">
        <v>2.3645</v>
      </c>
      <c r="DA40">
        <v>2.71374</v>
      </c>
      <c r="DB40">
        <v>0.14622599999999999</v>
      </c>
      <c r="DC40">
        <v>0.14638200000000001</v>
      </c>
      <c r="DD40">
        <v>0.11414299999999999</v>
      </c>
      <c r="DE40">
        <v>0.10798199999999999</v>
      </c>
      <c r="DF40">
        <v>31191</v>
      </c>
      <c r="DG40">
        <v>27533</v>
      </c>
      <c r="DH40">
        <v>31187.599999999999</v>
      </c>
      <c r="DI40">
        <v>28104.400000000001</v>
      </c>
      <c r="DJ40">
        <v>37511.5</v>
      </c>
      <c r="DK40">
        <v>35649.199999999997</v>
      </c>
      <c r="DL40">
        <v>44386.5</v>
      </c>
      <c r="DM40">
        <v>42601.1</v>
      </c>
      <c r="DN40">
        <v>1.4739</v>
      </c>
      <c r="DO40">
        <v>2.0653000000000001</v>
      </c>
      <c r="DP40">
        <v>7.0929500000000006E-2</v>
      </c>
      <c r="DQ40">
        <v>0.22497</v>
      </c>
      <c r="DR40">
        <v>25.892600000000002</v>
      </c>
      <c r="DS40">
        <v>25.683700000000002</v>
      </c>
      <c r="DT40">
        <v>56.2</v>
      </c>
      <c r="DU40">
        <v>29</v>
      </c>
      <c r="DV40">
        <v>22.829599999999999</v>
      </c>
      <c r="DW40">
        <v>61.758000000000003</v>
      </c>
      <c r="DX40">
        <v>36.6066</v>
      </c>
      <c r="DY40">
        <v>1</v>
      </c>
      <c r="DZ40">
        <v>-0.10013</v>
      </c>
      <c r="EA40">
        <v>0.65245600000000004</v>
      </c>
      <c r="EB40">
        <v>20.1877</v>
      </c>
      <c r="EC40">
        <v>5.2409499999999998</v>
      </c>
      <c r="ED40">
        <v>12.039899999999999</v>
      </c>
      <c r="EE40">
        <v>5.01675</v>
      </c>
      <c r="EF40">
        <v>3.2879999999999998</v>
      </c>
      <c r="EG40">
        <v>9999</v>
      </c>
      <c r="EH40">
        <v>9999</v>
      </c>
      <c r="EI40">
        <v>9999</v>
      </c>
      <c r="EJ40">
        <v>999.9</v>
      </c>
      <c r="EK40">
        <v>1.8689</v>
      </c>
      <c r="EL40">
        <v>1.8646199999999999</v>
      </c>
      <c r="EM40">
        <v>1.8692</v>
      </c>
      <c r="EN40">
        <v>1.8672200000000001</v>
      </c>
      <c r="EO40">
        <v>1.8633999999999999</v>
      </c>
      <c r="EP40">
        <v>1.8644700000000001</v>
      </c>
      <c r="EQ40">
        <v>1.87015</v>
      </c>
      <c r="ER40">
        <v>1.8693900000000001</v>
      </c>
      <c r="ES40">
        <v>0</v>
      </c>
      <c r="ET40">
        <v>0</v>
      </c>
      <c r="EU40">
        <v>0</v>
      </c>
      <c r="EV40">
        <v>0</v>
      </c>
      <c r="EW40" t="s">
        <v>334</v>
      </c>
      <c r="EX40" t="s">
        <v>335</v>
      </c>
      <c r="EY40" t="s">
        <v>336</v>
      </c>
      <c r="EZ40" t="s">
        <v>336</v>
      </c>
      <c r="FA40" t="s">
        <v>336</v>
      </c>
      <c r="FB40" t="s">
        <v>336</v>
      </c>
      <c r="FC40">
        <v>0</v>
      </c>
      <c r="FD40">
        <v>100</v>
      </c>
      <c r="FE40">
        <v>100</v>
      </c>
      <c r="FF40">
        <v>-0.33600000000000002</v>
      </c>
      <c r="FG40">
        <v>0.1719</v>
      </c>
      <c r="FH40">
        <v>0.2126736300064915</v>
      </c>
      <c r="FI40">
        <v>-6.1462078757559423E-4</v>
      </c>
      <c r="FJ40">
        <v>-1.8861989874597051E-7</v>
      </c>
      <c r="FK40">
        <v>1.1980462299894961E-10</v>
      </c>
      <c r="FL40">
        <v>0.1719881465068297</v>
      </c>
      <c r="FM40">
        <v>0</v>
      </c>
      <c r="FN40">
        <v>0</v>
      </c>
      <c r="FO40">
        <v>0</v>
      </c>
      <c r="FP40">
        <v>3</v>
      </c>
      <c r="FQ40">
        <v>2158</v>
      </c>
      <c r="FR40">
        <v>1</v>
      </c>
      <c r="FS40">
        <v>19</v>
      </c>
      <c r="FT40">
        <v>13.3</v>
      </c>
      <c r="FU40">
        <v>13.4</v>
      </c>
      <c r="FV40">
        <v>1.79688</v>
      </c>
      <c r="FW40">
        <v>2.5842299999999998</v>
      </c>
      <c r="FX40">
        <v>1.5490699999999999</v>
      </c>
      <c r="FY40">
        <v>2.3290999999999999</v>
      </c>
      <c r="FZ40">
        <v>1.50146</v>
      </c>
      <c r="GA40">
        <v>2.4279799999999998</v>
      </c>
      <c r="GB40">
        <v>33.625399999999999</v>
      </c>
      <c r="GC40">
        <v>23.991199999999999</v>
      </c>
      <c r="GD40">
        <v>19</v>
      </c>
      <c r="GE40">
        <v>281.363</v>
      </c>
      <c r="GF40">
        <v>605.73599999999999</v>
      </c>
      <c r="GG40">
        <v>24.941500000000001</v>
      </c>
      <c r="GH40">
        <v>26.1692</v>
      </c>
      <c r="GI40">
        <v>30.000299999999999</v>
      </c>
      <c r="GJ40">
        <v>26.228999999999999</v>
      </c>
      <c r="GK40">
        <v>26.194099999999999</v>
      </c>
      <c r="GL40">
        <v>35.930999999999997</v>
      </c>
      <c r="GM40">
        <v>0</v>
      </c>
      <c r="GN40">
        <v>100</v>
      </c>
      <c r="GO40">
        <v>24.922699999999999</v>
      </c>
      <c r="GP40">
        <v>800</v>
      </c>
      <c r="GQ40">
        <v>23.4208</v>
      </c>
      <c r="GR40">
        <v>99.791799999999995</v>
      </c>
      <c r="GS40">
        <v>99.654499999999999</v>
      </c>
    </row>
    <row r="41" spans="1:201" x14ac:dyDescent="0.25">
      <c r="A41">
        <v>25</v>
      </c>
      <c r="B41">
        <v>1690232814.5999999</v>
      </c>
      <c r="C41">
        <v>308.5</v>
      </c>
      <c r="D41" t="s">
        <v>381</v>
      </c>
      <c r="E41" t="s">
        <v>382</v>
      </c>
      <c r="F41" t="s">
        <v>330</v>
      </c>
      <c r="H41">
        <v>1690232814.5999999</v>
      </c>
      <c r="I41">
        <f t="shared" si="0"/>
        <v>1.2522064465122853E-4</v>
      </c>
      <c r="J41">
        <f t="shared" si="1"/>
        <v>0.12522064465122854</v>
      </c>
      <c r="K41">
        <f t="shared" si="2"/>
        <v>0.31164150327795859</v>
      </c>
      <c r="L41">
        <f t="shared" si="3"/>
        <v>795.52300000000002</v>
      </c>
      <c r="M41">
        <f t="shared" si="4"/>
        <v>702.8993676781796</v>
      </c>
      <c r="N41">
        <f t="shared" si="5"/>
        <v>69.6680592044533</v>
      </c>
      <c r="O41">
        <f t="shared" si="6"/>
        <v>78.84847534516399</v>
      </c>
      <c r="P41">
        <f t="shared" si="7"/>
        <v>7.0149492637725354E-3</v>
      </c>
      <c r="Q41">
        <f t="shared" si="8"/>
        <v>2.1284681049732637</v>
      </c>
      <c r="R41">
        <f t="shared" si="9"/>
        <v>7.0021303405431619E-3</v>
      </c>
      <c r="S41">
        <f t="shared" si="10"/>
        <v>4.3774812165586112E-3</v>
      </c>
      <c r="T41">
        <f t="shared" si="11"/>
        <v>276.11426505733874</v>
      </c>
      <c r="U41">
        <f t="shared" si="12"/>
        <v>29.324254985318746</v>
      </c>
      <c r="V41">
        <f t="shared" si="13"/>
        <v>29.324254985318746</v>
      </c>
      <c r="W41">
        <f t="shared" si="14"/>
        <v>4.0978541486628854</v>
      </c>
      <c r="X41">
        <f t="shared" si="15"/>
        <v>65.874722787019209</v>
      </c>
      <c r="Y41">
        <f t="shared" si="16"/>
        <v>2.3833059112743995</v>
      </c>
      <c r="Z41">
        <f t="shared" si="17"/>
        <v>3.6179369118256632</v>
      </c>
      <c r="AA41">
        <f t="shared" si="18"/>
        <v>1.7145482373884859</v>
      </c>
      <c r="AB41">
        <f t="shared" si="19"/>
        <v>-5.5222304291191779</v>
      </c>
      <c r="AC41">
        <f t="shared" si="20"/>
        <v>-245.64010064447973</v>
      </c>
      <c r="AD41">
        <f t="shared" si="21"/>
        <v>-25.220109199020676</v>
      </c>
      <c r="AE41">
        <f t="shared" si="22"/>
        <v>-0.26817521528084853</v>
      </c>
      <c r="AF41">
        <v>0</v>
      </c>
      <c r="AG41">
        <v>0</v>
      </c>
      <c r="AH41">
        <f t="shared" si="23"/>
        <v>1</v>
      </c>
      <c r="AI41">
        <f t="shared" si="24"/>
        <v>0</v>
      </c>
      <c r="AJ41">
        <f t="shared" si="25"/>
        <v>52252.23218879637</v>
      </c>
      <c r="AK41">
        <f t="shared" si="26"/>
        <v>1799.99</v>
      </c>
      <c r="AL41">
        <f t="shared" si="27"/>
        <v>1499.1030290035701</v>
      </c>
      <c r="AM41">
        <f t="shared" si="28"/>
        <v>0.83283964300000002</v>
      </c>
      <c r="AN41">
        <f t="shared" si="29"/>
        <v>0.15339766613000003</v>
      </c>
      <c r="AO41">
        <v>32.4</v>
      </c>
      <c r="AP41">
        <v>0.5</v>
      </c>
      <c r="AQ41" t="s">
        <v>331</v>
      </c>
      <c r="AR41">
        <v>2</v>
      </c>
      <c r="AS41">
        <v>1690232814.5999999</v>
      </c>
      <c r="AT41">
        <v>795.52300000000002</v>
      </c>
      <c r="AU41">
        <v>799.96100000000001</v>
      </c>
      <c r="AV41">
        <v>24.0458</v>
      </c>
      <c r="AW41">
        <v>22.727</v>
      </c>
      <c r="AX41">
        <v>795.85900000000004</v>
      </c>
      <c r="AY41">
        <v>23.873799999999999</v>
      </c>
      <c r="AZ41">
        <v>300.24200000000002</v>
      </c>
      <c r="BA41">
        <v>99.015199999999993</v>
      </c>
      <c r="BB41">
        <v>0.100068</v>
      </c>
      <c r="BC41">
        <v>27.183599999999998</v>
      </c>
      <c r="BD41">
        <v>27.0412</v>
      </c>
      <c r="BE41">
        <v>29.342300000000002</v>
      </c>
      <c r="BF41">
        <v>0</v>
      </c>
      <c r="BG41">
        <v>0</v>
      </c>
      <c r="BH41">
        <v>9985.6200000000008</v>
      </c>
      <c r="BI41">
        <v>1080.79</v>
      </c>
      <c r="BJ41">
        <v>1.5137799999999999</v>
      </c>
      <c r="BK41">
        <v>-4.4373199999999997</v>
      </c>
      <c r="BL41">
        <v>815.12400000000002</v>
      </c>
      <c r="BM41">
        <v>818.56399999999996</v>
      </c>
      <c r="BN41">
        <v>1.3187599999999999</v>
      </c>
      <c r="BO41">
        <v>799.96100000000001</v>
      </c>
      <c r="BP41">
        <v>22.727</v>
      </c>
      <c r="BQ41">
        <v>2.3809</v>
      </c>
      <c r="BR41">
        <v>2.2503199999999999</v>
      </c>
      <c r="BS41">
        <v>20.234400000000001</v>
      </c>
      <c r="BT41">
        <v>19.325099999999999</v>
      </c>
      <c r="BU41">
        <v>1799.99</v>
      </c>
      <c r="BV41">
        <v>0.90999099999999999</v>
      </c>
      <c r="BW41">
        <v>3.3997600000000003E-2</v>
      </c>
      <c r="BX41">
        <v>2.2003399999999999E-2</v>
      </c>
      <c r="BY41">
        <v>3.4007900000000001E-2</v>
      </c>
      <c r="BZ41">
        <v>25</v>
      </c>
      <c r="CA41">
        <v>33528.1</v>
      </c>
      <c r="CB41">
        <v>1690232006</v>
      </c>
      <c r="CC41" t="s">
        <v>332</v>
      </c>
      <c r="CD41">
        <v>1690232006</v>
      </c>
      <c r="CE41">
        <v>1690231998.5</v>
      </c>
      <c r="CF41">
        <v>14</v>
      </c>
      <c r="CG41">
        <v>-0.13200000000000001</v>
      </c>
      <c r="CH41">
        <v>-7.0000000000000001E-3</v>
      </c>
      <c r="CI41">
        <v>-0.33800000000000002</v>
      </c>
      <c r="CJ41">
        <v>0.14299999999999999</v>
      </c>
      <c r="CK41">
        <v>799</v>
      </c>
      <c r="CL41">
        <v>19</v>
      </c>
      <c r="CM41">
        <v>7.0000000000000007E-2</v>
      </c>
      <c r="CN41">
        <v>0.14000000000000001</v>
      </c>
      <c r="CO41">
        <v>-4.2990142499999999</v>
      </c>
      <c r="CP41">
        <v>-1.1884170731707231</v>
      </c>
      <c r="CQ41">
        <v>0.1178616136383577</v>
      </c>
      <c r="CR41">
        <v>-1</v>
      </c>
      <c r="CS41">
        <v>1.33502875</v>
      </c>
      <c r="CT41">
        <v>-0.1072317073170751</v>
      </c>
      <c r="CU41">
        <v>1.0392608476099709E-2</v>
      </c>
      <c r="CV41">
        <v>-1</v>
      </c>
      <c r="CW41">
        <v>0</v>
      </c>
      <c r="CX41">
        <v>0</v>
      </c>
      <c r="CY41" t="s">
        <v>333</v>
      </c>
      <c r="CZ41">
        <v>2.3647900000000002</v>
      </c>
      <c r="DA41">
        <v>2.7138499999999999</v>
      </c>
      <c r="DB41">
        <v>0.146199</v>
      </c>
      <c r="DC41">
        <v>0.14637500000000001</v>
      </c>
      <c r="DD41">
        <v>0.11407100000000001</v>
      </c>
      <c r="DE41">
        <v>0.107957</v>
      </c>
      <c r="DF41">
        <v>31192.3</v>
      </c>
      <c r="DG41">
        <v>27533.1</v>
      </c>
      <c r="DH41">
        <v>31187.9</v>
      </c>
      <c r="DI41">
        <v>28104.2</v>
      </c>
      <c r="DJ41">
        <v>37514.9</v>
      </c>
      <c r="DK41">
        <v>35650</v>
      </c>
      <c r="DL41">
        <v>44386.9</v>
      </c>
      <c r="DM41">
        <v>42600.800000000003</v>
      </c>
      <c r="DN41">
        <v>1.4737499999999999</v>
      </c>
      <c r="DO41">
        <v>2.0653700000000002</v>
      </c>
      <c r="DP41">
        <v>7.0333499999999993E-2</v>
      </c>
      <c r="DQ41">
        <v>0.22389000000000001</v>
      </c>
      <c r="DR41">
        <v>25.89</v>
      </c>
      <c r="DS41">
        <v>25.683800000000002</v>
      </c>
      <c r="DT41">
        <v>56.2</v>
      </c>
      <c r="DU41">
        <v>29</v>
      </c>
      <c r="DV41">
        <v>22.8307</v>
      </c>
      <c r="DW41">
        <v>61.478000000000002</v>
      </c>
      <c r="DX41">
        <v>35.2684</v>
      </c>
      <c r="DY41">
        <v>1</v>
      </c>
      <c r="DZ41">
        <v>-0.10041700000000001</v>
      </c>
      <c r="EA41">
        <v>0.55845599999999995</v>
      </c>
      <c r="EB41">
        <v>20.188300000000002</v>
      </c>
      <c r="EC41">
        <v>5.2409499999999998</v>
      </c>
      <c r="ED41">
        <v>12.039899999999999</v>
      </c>
      <c r="EE41">
        <v>5.01675</v>
      </c>
      <c r="EF41">
        <v>3.2879999999999998</v>
      </c>
      <c r="EG41">
        <v>9999</v>
      </c>
      <c r="EH41">
        <v>9999</v>
      </c>
      <c r="EI41">
        <v>9999</v>
      </c>
      <c r="EJ41">
        <v>999.9</v>
      </c>
      <c r="EK41">
        <v>1.8689</v>
      </c>
      <c r="EL41">
        <v>1.8646199999999999</v>
      </c>
      <c r="EM41">
        <v>1.8691899999999999</v>
      </c>
      <c r="EN41">
        <v>1.8672200000000001</v>
      </c>
      <c r="EO41">
        <v>1.8633999999999999</v>
      </c>
      <c r="EP41">
        <v>1.8644700000000001</v>
      </c>
      <c r="EQ41">
        <v>1.8701399999999999</v>
      </c>
      <c r="ER41">
        <v>1.8693599999999999</v>
      </c>
      <c r="ES41">
        <v>0</v>
      </c>
      <c r="ET41">
        <v>0</v>
      </c>
      <c r="EU41">
        <v>0</v>
      </c>
      <c r="EV41">
        <v>0</v>
      </c>
      <c r="EW41" t="s">
        <v>334</v>
      </c>
      <c r="EX41" t="s">
        <v>335</v>
      </c>
      <c r="EY41" t="s">
        <v>336</v>
      </c>
      <c r="EZ41" t="s">
        <v>336</v>
      </c>
      <c r="FA41" t="s">
        <v>336</v>
      </c>
      <c r="FB41" t="s">
        <v>336</v>
      </c>
      <c r="FC41">
        <v>0</v>
      </c>
      <c r="FD41">
        <v>100</v>
      </c>
      <c r="FE41">
        <v>100</v>
      </c>
      <c r="FF41">
        <v>-0.33600000000000002</v>
      </c>
      <c r="FG41">
        <v>0.17199999999999999</v>
      </c>
      <c r="FH41">
        <v>0.2126736300064915</v>
      </c>
      <c r="FI41">
        <v>-6.1462078757559423E-4</v>
      </c>
      <c r="FJ41">
        <v>-1.8861989874597051E-7</v>
      </c>
      <c r="FK41">
        <v>1.1980462299894961E-10</v>
      </c>
      <c r="FL41">
        <v>0.1719881465068297</v>
      </c>
      <c r="FM41">
        <v>0</v>
      </c>
      <c r="FN41">
        <v>0</v>
      </c>
      <c r="FO41">
        <v>0</v>
      </c>
      <c r="FP41">
        <v>3</v>
      </c>
      <c r="FQ41">
        <v>2158</v>
      </c>
      <c r="FR41">
        <v>1</v>
      </c>
      <c r="FS41">
        <v>19</v>
      </c>
      <c r="FT41">
        <v>13.5</v>
      </c>
      <c r="FU41">
        <v>13.6</v>
      </c>
      <c r="FV41">
        <v>1.79688</v>
      </c>
      <c r="FW41">
        <v>2.5915499999999998</v>
      </c>
      <c r="FX41">
        <v>1.5490699999999999</v>
      </c>
      <c r="FY41">
        <v>2.3290999999999999</v>
      </c>
      <c r="FZ41">
        <v>1.50146</v>
      </c>
      <c r="GA41">
        <v>2.31934</v>
      </c>
      <c r="GB41">
        <v>33.625399999999999</v>
      </c>
      <c r="GC41">
        <v>23.973700000000001</v>
      </c>
      <c r="GD41">
        <v>19</v>
      </c>
      <c r="GE41">
        <v>281.30900000000003</v>
      </c>
      <c r="GF41">
        <v>605.80100000000004</v>
      </c>
      <c r="GG41">
        <v>24.8218</v>
      </c>
      <c r="GH41">
        <v>26.166899999999998</v>
      </c>
      <c r="GI41">
        <v>30</v>
      </c>
      <c r="GJ41">
        <v>26.231200000000001</v>
      </c>
      <c r="GK41">
        <v>26.194199999999999</v>
      </c>
      <c r="GL41">
        <v>35.930999999999997</v>
      </c>
      <c r="GM41">
        <v>0</v>
      </c>
      <c r="GN41">
        <v>100</v>
      </c>
      <c r="GO41">
        <v>24.821000000000002</v>
      </c>
      <c r="GP41">
        <v>800</v>
      </c>
      <c r="GQ41">
        <v>23.375</v>
      </c>
      <c r="GR41">
        <v>99.792699999999996</v>
      </c>
      <c r="GS41">
        <v>99.653899999999993</v>
      </c>
    </row>
    <row r="42" spans="1:201" x14ac:dyDescent="0.25">
      <c r="A42">
        <v>26</v>
      </c>
      <c r="B42">
        <v>1690232824.5999999</v>
      </c>
      <c r="C42">
        <v>318.5</v>
      </c>
      <c r="D42" t="s">
        <v>383</v>
      </c>
      <c r="E42" t="s">
        <v>384</v>
      </c>
      <c r="F42" t="s">
        <v>330</v>
      </c>
      <c r="H42">
        <v>1690232824.5999999</v>
      </c>
      <c r="I42">
        <f t="shared" si="0"/>
        <v>1.2526703411020176E-4</v>
      </c>
      <c r="J42">
        <f t="shared" si="1"/>
        <v>0.12526703411020176</v>
      </c>
      <c r="K42">
        <f t="shared" si="2"/>
        <v>0.33843708262782457</v>
      </c>
      <c r="L42">
        <f t="shared" si="3"/>
        <v>795.20899999999995</v>
      </c>
      <c r="M42">
        <f t="shared" si="4"/>
        <v>696.95197017513203</v>
      </c>
      <c r="N42">
        <f t="shared" si="5"/>
        <v>69.082463259814887</v>
      </c>
      <c r="O42">
        <f t="shared" si="6"/>
        <v>78.821782385621091</v>
      </c>
      <c r="P42">
        <f t="shared" si="7"/>
        <v>7.043957474686057E-3</v>
      </c>
      <c r="Q42">
        <f t="shared" si="8"/>
        <v>2.1355161594261158</v>
      </c>
      <c r="R42">
        <f t="shared" si="9"/>
        <v>7.0310749937114283E-3</v>
      </c>
      <c r="S42">
        <f t="shared" si="10"/>
        <v>4.3955773238011763E-3</v>
      </c>
      <c r="T42">
        <f t="shared" si="11"/>
        <v>276.11384643366443</v>
      </c>
      <c r="U42">
        <f t="shared" si="12"/>
        <v>29.294865161133472</v>
      </c>
      <c r="V42">
        <f t="shared" si="13"/>
        <v>29.294865161133472</v>
      </c>
      <c r="W42">
        <f t="shared" si="14"/>
        <v>4.0909069560288538</v>
      </c>
      <c r="X42">
        <f t="shared" si="15"/>
        <v>65.944591886274495</v>
      </c>
      <c r="Y42">
        <f t="shared" si="16"/>
        <v>2.38261714102125</v>
      </c>
      <c r="Z42">
        <f t="shared" si="17"/>
        <v>3.6130591954078963</v>
      </c>
      <c r="AA42">
        <f t="shared" si="18"/>
        <v>1.7082898150076038</v>
      </c>
      <c r="AB42">
        <f t="shared" si="19"/>
        <v>-5.5242762042598974</v>
      </c>
      <c r="AC42">
        <f t="shared" si="20"/>
        <v>-245.71783528430981</v>
      </c>
      <c r="AD42">
        <f t="shared" si="21"/>
        <v>-25.13826702188479</v>
      </c>
      <c r="AE42">
        <f t="shared" si="22"/>
        <v>-0.26653207679007096</v>
      </c>
      <c r="AF42">
        <v>0</v>
      </c>
      <c r="AG42">
        <v>0</v>
      </c>
      <c r="AH42">
        <f t="shared" si="23"/>
        <v>1</v>
      </c>
      <c r="AI42">
        <f t="shared" si="24"/>
        <v>0</v>
      </c>
      <c r="AJ42">
        <f t="shared" si="25"/>
        <v>52560.16186593836</v>
      </c>
      <c r="AK42">
        <f t="shared" si="26"/>
        <v>1799.99</v>
      </c>
      <c r="AL42">
        <f t="shared" si="27"/>
        <v>1499.10556338949</v>
      </c>
      <c r="AM42">
        <f t="shared" si="28"/>
        <v>0.83284105100000005</v>
      </c>
      <c r="AN42">
        <f t="shared" si="29"/>
        <v>0.15339743356000002</v>
      </c>
      <c r="AO42">
        <v>32.4</v>
      </c>
      <c r="AP42">
        <v>0.5</v>
      </c>
      <c r="AQ42" t="s">
        <v>331</v>
      </c>
      <c r="AR42">
        <v>2</v>
      </c>
      <c r="AS42">
        <v>1690232824.5999999</v>
      </c>
      <c r="AT42">
        <v>795.20899999999995</v>
      </c>
      <c r="AU42">
        <v>799.93899999999996</v>
      </c>
      <c r="AV42">
        <v>24.037500000000001</v>
      </c>
      <c r="AW42">
        <v>22.717400000000001</v>
      </c>
      <c r="AX42">
        <v>795.54399999999998</v>
      </c>
      <c r="AY42">
        <v>23.865500000000001</v>
      </c>
      <c r="AZ42">
        <v>300.06</v>
      </c>
      <c r="BA42">
        <v>99.020899999999997</v>
      </c>
      <c r="BB42">
        <v>9.9937899999999996E-2</v>
      </c>
      <c r="BC42">
        <v>27.160599999999999</v>
      </c>
      <c r="BD42">
        <v>27.0139</v>
      </c>
      <c r="BE42">
        <v>29.325500000000002</v>
      </c>
      <c r="BF42">
        <v>0</v>
      </c>
      <c r="BG42">
        <v>0</v>
      </c>
      <c r="BH42">
        <v>10045.6</v>
      </c>
      <c r="BI42">
        <v>1080.77</v>
      </c>
      <c r="BJ42">
        <v>1.5137799999999999</v>
      </c>
      <c r="BK42">
        <v>-4.7299800000000003</v>
      </c>
      <c r="BL42">
        <v>814.79399999999998</v>
      </c>
      <c r="BM42">
        <v>818.53399999999999</v>
      </c>
      <c r="BN42">
        <v>1.3200700000000001</v>
      </c>
      <c r="BO42">
        <v>799.93899999999996</v>
      </c>
      <c r="BP42">
        <v>22.717400000000001</v>
      </c>
      <c r="BQ42">
        <v>2.3802099999999999</v>
      </c>
      <c r="BR42">
        <v>2.2494999999999998</v>
      </c>
      <c r="BS42">
        <v>20.229800000000001</v>
      </c>
      <c r="BT42">
        <v>19.319299999999998</v>
      </c>
      <c r="BU42">
        <v>1799.99</v>
      </c>
      <c r="BV42">
        <v>0.91000400000000004</v>
      </c>
      <c r="BW42">
        <v>3.39929E-2</v>
      </c>
      <c r="BX42">
        <v>2.20003E-2</v>
      </c>
      <c r="BY42">
        <v>3.4003199999999997E-2</v>
      </c>
      <c r="BZ42">
        <v>25</v>
      </c>
      <c r="CA42">
        <v>33528.199999999997</v>
      </c>
      <c r="CB42">
        <v>1690232006</v>
      </c>
      <c r="CC42" t="s">
        <v>332</v>
      </c>
      <c r="CD42">
        <v>1690232006</v>
      </c>
      <c r="CE42">
        <v>1690231998.5</v>
      </c>
      <c r="CF42">
        <v>14</v>
      </c>
      <c r="CG42">
        <v>-0.13200000000000001</v>
      </c>
      <c r="CH42">
        <v>-7.0000000000000001E-3</v>
      </c>
      <c r="CI42">
        <v>-0.33800000000000002</v>
      </c>
      <c r="CJ42">
        <v>0.14299999999999999</v>
      </c>
      <c r="CK42">
        <v>799</v>
      </c>
      <c r="CL42">
        <v>19</v>
      </c>
      <c r="CM42">
        <v>7.0000000000000007E-2</v>
      </c>
      <c r="CN42">
        <v>0.14000000000000001</v>
      </c>
      <c r="CO42">
        <v>-4.4747634999999999</v>
      </c>
      <c r="CP42">
        <v>-1.028617936210138</v>
      </c>
      <c r="CQ42">
        <v>0.1058671780475422</v>
      </c>
      <c r="CR42">
        <v>-1</v>
      </c>
      <c r="CS42">
        <v>1.322803</v>
      </c>
      <c r="CT42">
        <v>-4.1842626641651039E-2</v>
      </c>
      <c r="CU42">
        <v>4.692558044393281E-3</v>
      </c>
      <c r="CV42">
        <v>-1</v>
      </c>
      <c r="CW42">
        <v>0</v>
      </c>
      <c r="CX42">
        <v>0</v>
      </c>
      <c r="CY42" t="s">
        <v>333</v>
      </c>
      <c r="CZ42">
        <v>2.3641700000000001</v>
      </c>
      <c r="DA42">
        <v>2.7137699999999998</v>
      </c>
      <c r="DB42">
        <v>0.14616799999999999</v>
      </c>
      <c r="DC42">
        <v>0.14638000000000001</v>
      </c>
      <c r="DD42">
        <v>0.11405</v>
      </c>
      <c r="DE42">
        <v>0.107931</v>
      </c>
      <c r="DF42">
        <v>31193.200000000001</v>
      </c>
      <c r="DG42">
        <v>27533</v>
      </c>
      <c r="DH42">
        <v>31187.8</v>
      </c>
      <c r="DI42">
        <v>28104.3</v>
      </c>
      <c r="DJ42">
        <v>37515.5</v>
      </c>
      <c r="DK42">
        <v>35651.199999999997</v>
      </c>
      <c r="DL42">
        <v>44386.5</v>
      </c>
      <c r="DM42">
        <v>42601</v>
      </c>
      <c r="DN42">
        <v>1.47343</v>
      </c>
      <c r="DO42">
        <v>2.0652499999999998</v>
      </c>
      <c r="DP42">
        <v>6.8768899999999994E-2</v>
      </c>
      <c r="DQ42">
        <v>0.222996</v>
      </c>
      <c r="DR42">
        <v>25.888200000000001</v>
      </c>
      <c r="DS42">
        <v>25.6815</v>
      </c>
      <c r="DT42">
        <v>56.2</v>
      </c>
      <c r="DU42">
        <v>29</v>
      </c>
      <c r="DV42">
        <v>22.825199999999999</v>
      </c>
      <c r="DW42">
        <v>61.468000000000004</v>
      </c>
      <c r="DX42">
        <v>36.330100000000002</v>
      </c>
      <c r="DY42">
        <v>1</v>
      </c>
      <c r="DZ42">
        <v>-0.10023600000000001</v>
      </c>
      <c r="EA42">
        <v>0.45896799999999999</v>
      </c>
      <c r="EB42">
        <v>20.188800000000001</v>
      </c>
      <c r="EC42">
        <v>5.2409499999999998</v>
      </c>
      <c r="ED42">
        <v>12.039899999999999</v>
      </c>
      <c r="EE42">
        <v>5.0167999999999999</v>
      </c>
      <c r="EF42">
        <v>3.2879999999999998</v>
      </c>
      <c r="EG42">
        <v>9999</v>
      </c>
      <c r="EH42">
        <v>9999</v>
      </c>
      <c r="EI42">
        <v>9999</v>
      </c>
      <c r="EJ42">
        <v>999.9</v>
      </c>
      <c r="EK42">
        <v>1.8689</v>
      </c>
      <c r="EL42">
        <v>1.8646199999999999</v>
      </c>
      <c r="EM42">
        <v>1.8691899999999999</v>
      </c>
      <c r="EN42">
        <v>1.8672200000000001</v>
      </c>
      <c r="EO42">
        <v>1.8633999999999999</v>
      </c>
      <c r="EP42">
        <v>1.8644700000000001</v>
      </c>
      <c r="EQ42">
        <v>1.8701399999999999</v>
      </c>
      <c r="ER42">
        <v>1.8693900000000001</v>
      </c>
      <c r="ES42">
        <v>0</v>
      </c>
      <c r="ET42">
        <v>0</v>
      </c>
      <c r="EU42">
        <v>0</v>
      </c>
      <c r="EV42">
        <v>0</v>
      </c>
      <c r="EW42" t="s">
        <v>334</v>
      </c>
      <c r="EX42" t="s">
        <v>335</v>
      </c>
      <c r="EY42" t="s">
        <v>336</v>
      </c>
      <c r="EZ42" t="s">
        <v>336</v>
      </c>
      <c r="FA42" t="s">
        <v>336</v>
      </c>
      <c r="FB42" t="s">
        <v>336</v>
      </c>
      <c r="FC42">
        <v>0</v>
      </c>
      <c r="FD42">
        <v>100</v>
      </c>
      <c r="FE42">
        <v>100</v>
      </c>
      <c r="FF42">
        <v>-0.33500000000000002</v>
      </c>
      <c r="FG42">
        <v>0.17199999999999999</v>
      </c>
      <c r="FH42">
        <v>0.2126736300064915</v>
      </c>
      <c r="FI42">
        <v>-6.1462078757559423E-4</v>
      </c>
      <c r="FJ42">
        <v>-1.8861989874597051E-7</v>
      </c>
      <c r="FK42">
        <v>1.1980462299894961E-10</v>
      </c>
      <c r="FL42">
        <v>0.1719881465068297</v>
      </c>
      <c r="FM42">
        <v>0</v>
      </c>
      <c r="FN42">
        <v>0</v>
      </c>
      <c r="FO42">
        <v>0</v>
      </c>
      <c r="FP42">
        <v>3</v>
      </c>
      <c r="FQ42">
        <v>2158</v>
      </c>
      <c r="FR42">
        <v>1</v>
      </c>
      <c r="FS42">
        <v>19</v>
      </c>
      <c r="FT42">
        <v>13.6</v>
      </c>
      <c r="FU42">
        <v>13.8</v>
      </c>
      <c r="FV42">
        <v>1.79688</v>
      </c>
      <c r="FW42">
        <v>2.5842299999999998</v>
      </c>
      <c r="FX42">
        <v>1.5490699999999999</v>
      </c>
      <c r="FY42">
        <v>2.3290999999999999</v>
      </c>
      <c r="FZ42">
        <v>1.50146</v>
      </c>
      <c r="GA42">
        <v>2.4206500000000002</v>
      </c>
      <c r="GB42">
        <v>33.625399999999999</v>
      </c>
      <c r="GC42">
        <v>23.991199999999999</v>
      </c>
      <c r="GD42">
        <v>19</v>
      </c>
      <c r="GE42">
        <v>281.17099999999999</v>
      </c>
      <c r="GF42">
        <v>605.69500000000005</v>
      </c>
      <c r="GG42">
        <v>24.755400000000002</v>
      </c>
      <c r="GH42">
        <v>26.166899999999998</v>
      </c>
      <c r="GI42">
        <v>30</v>
      </c>
      <c r="GJ42">
        <v>26.231200000000001</v>
      </c>
      <c r="GK42">
        <v>26.194199999999999</v>
      </c>
      <c r="GL42">
        <v>35.932400000000001</v>
      </c>
      <c r="GM42">
        <v>0</v>
      </c>
      <c r="GN42">
        <v>100</v>
      </c>
      <c r="GO42">
        <v>24.761099999999999</v>
      </c>
      <c r="GP42">
        <v>800</v>
      </c>
      <c r="GQ42">
        <v>23.330400000000001</v>
      </c>
      <c r="GR42">
        <v>99.792000000000002</v>
      </c>
      <c r="GS42">
        <v>99.654200000000003</v>
      </c>
    </row>
    <row r="43" spans="1:201" x14ac:dyDescent="0.25">
      <c r="A43">
        <v>27</v>
      </c>
      <c r="B43">
        <v>1690232834.5999999</v>
      </c>
      <c r="C43">
        <v>328.5</v>
      </c>
      <c r="D43" t="s">
        <v>385</v>
      </c>
      <c r="E43" t="s">
        <v>386</v>
      </c>
      <c r="F43" t="s">
        <v>330</v>
      </c>
      <c r="H43">
        <v>1690232834.5999999</v>
      </c>
      <c r="I43">
        <f t="shared" si="0"/>
        <v>1.26045480079257E-4</v>
      </c>
      <c r="J43">
        <f t="shared" si="1"/>
        <v>0.12604548007925701</v>
      </c>
      <c r="K43">
        <f t="shared" si="2"/>
        <v>0.36772815665862146</v>
      </c>
      <c r="L43">
        <f t="shared" si="3"/>
        <v>794.99699999999996</v>
      </c>
      <c r="M43">
        <f t="shared" si="4"/>
        <v>690.86685000005161</v>
      </c>
      <c r="N43">
        <f t="shared" si="5"/>
        <v>68.476821597300756</v>
      </c>
      <c r="O43">
        <f t="shared" si="6"/>
        <v>78.797915603253003</v>
      </c>
      <c r="P43">
        <f t="shared" si="7"/>
        <v>7.1004082755838256E-3</v>
      </c>
      <c r="Q43">
        <f t="shared" si="8"/>
        <v>2.126447607412393</v>
      </c>
      <c r="R43">
        <f t="shared" si="9"/>
        <v>7.0872629811733938E-3</v>
      </c>
      <c r="S43">
        <f t="shared" si="10"/>
        <v>4.4307183636217284E-3</v>
      </c>
      <c r="T43">
        <f t="shared" si="11"/>
        <v>276.11367903459444</v>
      </c>
      <c r="U43">
        <f t="shared" si="12"/>
        <v>29.281596129923411</v>
      </c>
      <c r="V43">
        <f t="shared" si="13"/>
        <v>29.281596129923411</v>
      </c>
      <c r="W43">
        <f t="shared" si="14"/>
        <v>4.0877737766974747</v>
      </c>
      <c r="X43">
        <f t="shared" si="15"/>
        <v>66.024657280656157</v>
      </c>
      <c r="Y43">
        <f t="shared" si="16"/>
        <v>2.3825308728375001</v>
      </c>
      <c r="Z43">
        <f t="shared" si="17"/>
        <v>3.6085471261287889</v>
      </c>
      <c r="AA43">
        <f t="shared" si="18"/>
        <v>1.7052429038599746</v>
      </c>
      <c r="AB43">
        <f t="shared" si="19"/>
        <v>-5.5586056714952337</v>
      </c>
      <c r="AC43">
        <f t="shared" si="20"/>
        <v>-245.59506362937503</v>
      </c>
      <c r="AD43">
        <f t="shared" si="21"/>
        <v>-25.228518200165396</v>
      </c>
      <c r="AE43">
        <f t="shared" si="22"/>
        <v>-0.26850846644123294</v>
      </c>
      <c r="AF43">
        <v>0</v>
      </c>
      <c r="AG43">
        <v>0</v>
      </c>
      <c r="AH43">
        <f t="shared" si="23"/>
        <v>1</v>
      </c>
      <c r="AI43">
        <f t="shared" si="24"/>
        <v>0</v>
      </c>
      <c r="AJ43">
        <f t="shared" si="25"/>
        <v>52173.100934191738</v>
      </c>
      <c r="AK43">
        <f t="shared" si="26"/>
        <v>1799.99</v>
      </c>
      <c r="AL43">
        <f t="shared" si="27"/>
        <v>1499.1019184097399</v>
      </c>
      <c r="AM43">
        <f t="shared" si="28"/>
        <v>0.83283902599999993</v>
      </c>
      <c r="AN43">
        <f t="shared" si="29"/>
        <v>0.15339734056000001</v>
      </c>
      <c r="AO43">
        <v>32.4</v>
      </c>
      <c r="AP43">
        <v>0.5</v>
      </c>
      <c r="AQ43" t="s">
        <v>331</v>
      </c>
      <c r="AR43">
        <v>2</v>
      </c>
      <c r="AS43">
        <v>1690232834.5999999</v>
      </c>
      <c r="AT43">
        <v>794.99699999999996</v>
      </c>
      <c r="AU43">
        <v>800.04700000000003</v>
      </c>
      <c r="AV43">
        <v>24.037500000000001</v>
      </c>
      <c r="AW43">
        <v>22.709900000000001</v>
      </c>
      <c r="AX43">
        <v>795.33199999999999</v>
      </c>
      <c r="AY43">
        <v>23.865500000000001</v>
      </c>
      <c r="AZ43">
        <v>300.21899999999999</v>
      </c>
      <c r="BA43">
        <v>99.017200000000003</v>
      </c>
      <c r="BB43">
        <v>0.100049</v>
      </c>
      <c r="BC43">
        <v>27.139299999999999</v>
      </c>
      <c r="BD43">
        <v>26.9895</v>
      </c>
      <c r="BE43">
        <v>29.3124</v>
      </c>
      <c r="BF43">
        <v>0</v>
      </c>
      <c r="BG43">
        <v>0</v>
      </c>
      <c r="BH43">
        <v>9968.1200000000008</v>
      </c>
      <c r="BI43">
        <v>1080.76</v>
      </c>
      <c r="BJ43">
        <v>1.5137799999999999</v>
      </c>
      <c r="BK43">
        <v>-5.0498700000000003</v>
      </c>
      <c r="BL43">
        <v>814.577</v>
      </c>
      <c r="BM43">
        <v>818.63800000000003</v>
      </c>
      <c r="BN43">
        <v>1.32755</v>
      </c>
      <c r="BO43">
        <v>800.04700000000003</v>
      </c>
      <c r="BP43">
        <v>22.709900000000001</v>
      </c>
      <c r="BQ43">
        <v>2.3801299999999999</v>
      </c>
      <c r="BR43">
        <v>2.2486700000000002</v>
      </c>
      <c r="BS43">
        <v>20.229199999999999</v>
      </c>
      <c r="BT43">
        <v>19.313400000000001</v>
      </c>
      <c r="BU43">
        <v>1799.99</v>
      </c>
      <c r="BV43">
        <v>0.909995</v>
      </c>
      <c r="BW43">
        <v>3.4008200000000002E-2</v>
      </c>
      <c r="BX43">
        <v>2.1997800000000001E-2</v>
      </c>
      <c r="BY43">
        <v>3.39992E-2</v>
      </c>
      <c r="BZ43">
        <v>25</v>
      </c>
      <c r="CA43">
        <v>33528.1</v>
      </c>
      <c r="CB43">
        <v>1690232006</v>
      </c>
      <c r="CC43" t="s">
        <v>332</v>
      </c>
      <c r="CD43">
        <v>1690232006</v>
      </c>
      <c r="CE43">
        <v>1690231998.5</v>
      </c>
      <c r="CF43">
        <v>14</v>
      </c>
      <c r="CG43">
        <v>-0.13200000000000001</v>
      </c>
      <c r="CH43">
        <v>-7.0000000000000001E-3</v>
      </c>
      <c r="CI43">
        <v>-0.33800000000000002</v>
      </c>
      <c r="CJ43">
        <v>0.14299999999999999</v>
      </c>
      <c r="CK43">
        <v>799</v>
      </c>
      <c r="CL43">
        <v>19</v>
      </c>
      <c r="CM43">
        <v>7.0000000000000007E-2</v>
      </c>
      <c r="CN43">
        <v>0.14000000000000001</v>
      </c>
      <c r="CO43">
        <v>-4.7226335000000006</v>
      </c>
      <c r="CP43">
        <v>-2.0131364352720471</v>
      </c>
      <c r="CQ43">
        <v>0.1966743264326842</v>
      </c>
      <c r="CR43">
        <v>-1</v>
      </c>
      <c r="CS43">
        <v>1.321056</v>
      </c>
      <c r="CT43">
        <v>2.2000300187617401E-2</v>
      </c>
      <c r="CU43">
        <v>2.30377386042986E-3</v>
      </c>
      <c r="CV43">
        <v>-1</v>
      </c>
      <c r="CW43">
        <v>0</v>
      </c>
      <c r="CX43">
        <v>0</v>
      </c>
      <c r="CY43" t="s">
        <v>333</v>
      </c>
      <c r="CZ43">
        <v>2.3647</v>
      </c>
      <c r="DA43">
        <v>2.7138100000000001</v>
      </c>
      <c r="DB43">
        <v>0.14613699999999999</v>
      </c>
      <c r="DC43">
        <v>0.14638699999999999</v>
      </c>
      <c r="DD43">
        <v>0.11404599999999999</v>
      </c>
      <c r="DE43">
        <v>0.107902</v>
      </c>
      <c r="DF43">
        <v>31194.5</v>
      </c>
      <c r="DG43">
        <v>27532.9</v>
      </c>
      <c r="DH43">
        <v>31187.9</v>
      </c>
      <c r="DI43">
        <v>28104.400000000001</v>
      </c>
      <c r="DJ43">
        <v>37515.800000000003</v>
      </c>
      <c r="DK43">
        <v>35652.400000000001</v>
      </c>
      <c r="DL43">
        <v>44386.7</v>
      </c>
      <c r="DM43">
        <v>42601.1</v>
      </c>
      <c r="DN43">
        <v>1.47403</v>
      </c>
      <c r="DO43">
        <v>2.0653999999999999</v>
      </c>
      <c r="DP43">
        <v>6.7539500000000002E-2</v>
      </c>
      <c r="DQ43">
        <v>0.222549</v>
      </c>
      <c r="DR43">
        <v>25.884</v>
      </c>
      <c r="DS43">
        <v>25.675699999999999</v>
      </c>
      <c r="DT43">
        <v>56.3</v>
      </c>
      <c r="DU43">
        <v>29</v>
      </c>
      <c r="DV43">
        <v>22.867000000000001</v>
      </c>
      <c r="DW43">
        <v>61.728000000000002</v>
      </c>
      <c r="DX43">
        <v>35.492800000000003</v>
      </c>
      <c r="DY43">
        <v>1</v>
      </c>
      <c r="DZ43">
        <v>-0.100396</v>
      </c>
      <c r="EA43">
        <v>0.34279100000000001</v>
      </c>
      <c r="EB43">
        <v>20.189299999999999</v>
      </c>
      <c r="EC43">
        <v>5.2409499999999998</v>
      </c>
      <c r="ED43">
        <v>12.039899999999999</v>
      </c>
      <c r="EE43">
        <v>5.0167000000000002</v>
      </c>
      <c r="EF43">
        <v>3.2879999999999998</v>
      </c>
      <c r="EG43">
        <v>9999</v>
      </c>
      <c r="EH43">
        <v>9999</v>
      </c>
      <c r="EI43">
        <v>9999</v>
      </c>
      <c r="EJ43">
        <v>999.9</v>
      </c>
      <c r="EK43">
        <v>1.8689</v>
      </c>
      <c r="EL43">
        <v>1.8646199999999999</v>
      </c>
      <c r="EM43">
        <v>1.8692</v>
      </c>
      <c r="EN43">
        <v>1.8672200000000001</v>
      </c>
      <c r="EO43">
        <v>1.8633999999999999</v>
      </c>
      <c r="EP43">
        <v>1.8644799999999999</v>
      </c>
      <c r="EQ43">
        <v>1.8701700000000001</v>
      </c>
      <c r="ER43">
        <v>1.8693900000000001</v>
      </c>
      <c r="ES43">
        <v>0</v>
      </c>
      <c r="ET43">
        <v>0</v>
      </c>
      <c r="EU43">
        <v>0</v>
      </c>
      <c r="EV43">
        <v>0</v>
      </c>
      <c r="EW43" t="s">
        <v>334</v>
      </c>
      <c r="EX43" t="s">
        <v>335</v>
      </c>
      <c r="EY43" t="s">
        <v>336</v>
      </c>
      <c r="EZ43" t="s">
        <v>336</v>
      </c>
      <c r="FA43" t="s">
        <v>336</v>
      </c>
      <c r="FB43" t="s">
        <v>336</v>
      </c>
      <c r="FC43">
        <v>0</v>
      </c>
      <c r="FD43">
        <v>100</v>
      </c>
      <c r="FE43">
        <v>100</v>
      </c>
      <c r="FF43">
        <v>-0.33500000000000002</v>
      </c>
      <c r="FG43">
        <v>0.17199999999999999</v>
      </c>
      <c r="FH43">
        <v>0.2126736300064915</v>
      </c>
      <c r="FI43">
        <v>-6.1462078757559423E-4</v>
      </c>
      <c r="FJ43">
        <v>-1.8861989874597051E-7</v>
      </c>
      <c r="FK43">
        <v>1.1980462299894961E-10</v>
      </c>
      <c r="FL43">
        <v>0.1719881465068297</v>
      </c>
      <c r="FM43">
        <v>0</v>
      </c>
      <c r="FN43">
        <v>0</v>
      </c>
      <c r="FO43">
        <v>0</v>
      </c>
      <c r="FP43">
        <v>3</v>
      </c>
      <c r="FQ43">
        <v>2158</v>
      </c>
      <c r="FR43">
        <v>1</v>
      </c>
      <c r="FS43">
        <v>19</v>
      </c>
      <c r="FT43">
        <v>13.8</v>
      </c>
      <c r="FU43">
        <v>13.9</v>
      </c>
      <c r="FV43">
        <v>1.79688</v>
      </c>
      <c r="FW43">
        <v>2.5891099999999998</v>
      </c>
      <c r="FX43">
        <v>1.5490699999999999</v>
      </c>
      <c r="FY43">
        <v>2.3290999999999999</v>
      </c>
      <c r="FZ43">
        <v>1.50146</v>
      </c>
      <c r="GA43">
        <v>2.3315399999999999</v>
      </c>
      <c r="GB43">
        <v>33.625399999999999</v>
      </c>
      <c r="GC43">
        <v>23.982399999999998</v>
      </c>
      <c r="GD43">
        <v>19</v>
      </c>
      <c r="GE43">
        <v>281.42599999999999</v>
      </c>
      <c r="GF43">
        <v>605.84900000000005</v>
      </c>
      <c r="GG43">
        <v>24.730899999999998</v>
      </c>
      <c r="GH43">
        <v>26.165800000000001</v>
      </c>
      <c r="GI43">
        <v>30.0001</v>
      </c>
      <c r="GJ43">
        <v>26.231200000000001</v>
      </c>
      <c r="GK43">
        <v>26.196400000000001</v>
      </c>
      <c r="GL43">
        <v>35.927900000000001</v>
      </c>
      <c r="GM43">
        <v>0</v>
      </c>
      <c r="GN43">
        <v>100</v>
      </c>
      <c r="GO43">
        <v>24.742699999999999</v>
      </c>
      <c r="GP43">
        <v>800</v>
      </c>
      <c r="GQ43">
        <v>23.2759</v>
      </c>
      <c r="GR43">
        <v>99.792400000000001</v>
      </c>
      <c r="GS43">
        <v>99.654499999999999</v>
      </c>
    </row>
    <row r="44" spans="1:201" x14ac:dyDescent="0.25">
      <c r="A44">
        <v>28</v>
      </c>
      <c r="B44">
        <v>1690232844.5999999</v>
      </c>
      <c r="C44">
        <v>338.5</v>
      </c>
      <c r="D44" t="s">
        <v>387</v>
      </c>
      <c r="E44" t="s">
        <v>388</v>
      </c>
      <c r="F44" t="s">
        <v>330</v>
      </c>
      <c r="H44">
        <v>1690232844.5999999</v>
      </c>
      <c r="I44">
        <f t="shared" si="0"/>
        <v>1.2907274295243182E-4</v>
      </c>
      <c r="J44">
        <f t="shared" si="1"/>
        <v>0.12907274295243182</v>
      </c>
      <c r="K44">
        <f t="shared" si="2"/>
        <v>0.3926308611038215</v>
      </c>
      <c r="L44">
        <f t="shared" si="3"/>
        <v>794.64599999999996</v>
      </c>
      <c r="M44">
        <f t="shared" si="4"/>
        <v>687.33628225287043</v>
      </c>
      <c r="N44">
        <f t="shared" si="5"/>
        <v>68.128878696561017</v>
      </c>
      <c r="O44">
        <f t="shared" si="6"/>
        <v>78.76543453120081</v>
      </c>
      <c r="P44">
        <f t="shared" si="7"/>
        <v>7.2920415414889552E-3</v>
      </c>
      <c r="Q44">
        <f t="shared" si="8"/>
        <v>2.1323120172866399</v>
      </c>
      <c r="R44">
        <f t="shared" si="9"/>
        <v>7.2782159125719731E-3</v>
      </c>
      <c r="S44">
        <f t="shared" si="10"/>
        <v>4.5501249135987383E-3</v>
      </c>
      <c r="T44">
        <f t="shared" si="11"/>
        <v>276.11161005313335</v>
      </c>
      <c r="U44">
        <f t="shared" si="12"/>
        <v>29.271682539925187</v>
      </c>
      <c r="V44">
        <f t="shared" si="13"/>
        <v>29.271682539925187</v>
      </c>
      <c r="W44">
        <f t="shared" si="14"/>
        <v>4.0854342739823926</v>
      </c>
      <c r="X44">
        <f t="shared" si="15"/>
        <v>66.106639651800393</v>
      </c>
      <c r="Y44">
        <f t="shared" si="16"/>
        <v>2.38499942875116</v>
      </c>
      <c r="Z44">
        <f t="shared" si="17"/>
        <v>3.6078061769793881</v>
      </c>
      <c r="AA44">
        <f t="shared" si="18"/>
        <v>1.7004348452312326</v>
      </c>
      <c r="AB44">
        <f t="shared" si="19"/>
        <v>-5.6921079642022434</v>
      </c>
      <c r="AC44">
        <f t="shared" si="20"/>
        <v>-245.53508801468945</v>
      </c>
      <c r="AD44">
        <f t="shared" si="21"/>
        <v>-25.151307222350695</v>
      </c>
      <c r="AE44">
        <f t="shared" si="22"/>
        <v>-0.26689314810903397</v>
      </c>
      <c r="AF44">
        <v>0</v>
      </c>
      <c r="AG44">
        <v>0</v>
      </c>
      <c r="AH44">
        <f t="shared" si="23"/>
        <v>1</v>
      </c>
      <c r="AI44">
        <f t="shared" si="24"/>
        <v>0</v>
      </c>
      <c r="AJ44">
        <f t="shared" si="25"/>
        <v>52426.221702872346</v>
      </c>
      <c r="AK44">
        <f t="shared" si="26"/>
        <v>1799.98</v>
      </c>
      <c r="AL44">
        <f t="shared" si="27"/>
        <v>1499.09494360444</v>
      </c>
      <c r="AM44">
        <f t="shared" si="28"/>
        <v>0.83283977799999998</v>
      </c>
      <c r="AN44">
        <f t="shared" si="29"/>
        <v>0.15339704332999998</v>
      </c>
      <c r="AO44">
        <v>32.4</v>
      </c>
      <c r="AP44">
        <v>0.5</v>
      </c>
      <c r="AQ44" t="s">
        <v>331</v>
      </c>
      <c r="AR44">
        <v>2</v>
      </c>
      <c r="AS44">
        <v>1690232844.5999999</v>
      </c>
      <c r="AT44">
        <v>794.64599999999996</v>
      </c>
      <c r="AU44">
        <v>799.99199999999996</v>
      </c>
      <c r="AV44">
        <v>24.061699999999998</v>
      </c>
      <c r="AW44">
        <v>22.701799999999999</v>
      </c>
      <c r="AX44">
        <v>794.98099999999999</v>
      </c>
      <c r="AY44">
        <v>23.889700000000001</v>
      </c>
      <c r="AZ44">
        <v>300.12</v>
      </c>
      <c r="BA44">
        <v>99.020200000000003</v>
      </c>
      <c r="BB44">
        <v>9.9954799999999996E-2</v>
      </c>
      <c r="BC44">
        <v>27.1358</v>
      </c>
      <c r="BD44">
        <v>26.988099999999999</v>
      </c>
      <c r="BE44">
        <v>29.278199999999998</v>
      </c>
      <c r="BF44">
        <v>0</v>
      </c>
      <c r="BG44">
        <v>0</v>
      </c>
      <c r="BH44">
        <v>10018.1</v>
      </c>
      <c r="BI44">
        <v>1080.6400000000001</v>
      </c>
      <c r="BJ44">
        <v>1.5137799999999999</v>
      </c>
      <c r="BK44">
        <v>-5.3460099999999997</v>
      </c>
      <c r="BL44">
        <v>814.23800000000006</v>
      </c>
      <c r="BM44">
        <v>818.57500000000005</v>
      </c>
      <c r="BN44">
        <v>1.3599000000000001</v>
      </c>
      <c r="BO44">
        <v>799.99199999999996</v>
      </c>
      <c r="BP44">
        <v>22.701799999999999</v>
      </c>
      <c r="BQ44">
        <v>2.3826000000000001</v>
      </c>
      <c r="BR44">
        <v>2.2479399999999998</v>
      </c>
      <c r="BS44">
        <v>20.245999999999999</v>
      </c>
      <c r="BT44">
        <v>19.3081</v>
      </c>
      <c r="BU44">
        <v>1799.98</v>
      </c>
      <c r="BV44">
        <v>0.91000599999999998</v>
      </c>
      <c r="BW44">
        <v>3.40045E-2</v>
      </c>
      <c r="BX44">
        <v>2.1994900000000001E-2</v>
      </c>
      <c r="BY44">
        <v>3.3994700000000003E-2</v>
      </c>
      <c r="BZ44">
        <v>25</v>
      </c>
      <c r="CA44">
        <v>33528.1</v>
      </c>
      <c r="CB44">
        <v>1690232006</v>
      </c>
      <c r="CC44" t="s">
        <v>332</v>
      </c>
      <c r="CD44">
        <v>1690232006</v>
      </c>
      <c r="CE44">
        <v>1690231998.5</v>
      </c>
      <c r="CF44">
        <v>14</v>
      </c>
      <c r="CG44">
        <v>-0.13200000000000001</v>
      </c>
      <c r="CH44">
        <v>-7.0000000000000001E-3</v>
      </c>
      <c r="CI44">
        <v>-0.33800000000000002</v>
      </c>
      <c r="CJ44">
        <v>0.14299999999999999</v>
      </c>
      <c r="CK44">
        <v>799</v>
      </c>
      <c r="CL44">
        <v>19</v>
      </c>
      <c r="CM44">
        <v>7.0000000000000007E-2</v>
      </c>
      <c r="CN44">
        <v>0.14000000000000001</v>
      </c>
      <c r="CO44">
        <v>-5.0124944999999999</v>
      </c>
      <c r="CP44">
        <v>-1.514229118198857</v>
      </c>
      <c r="CQ44">
        <v>0.14995201052253351</v>
      </c>
      <c r="CR44">
        <v>-1</v>
      </c>
      <c r="CS44">
        <v>1.3291584999999999</v>
      </c>
      <c r="CT44">
        <v>8.2032720450278013E-2</v>
      </c>
      <c r="CU44">
        <v>8.4846356875236464E-3</v>
      </c>
      <c r="CV44">
        <v>-1</v>
      </c>
      <c r="CW44">
        <v>0</v>
      </c>
      <c r="CX44">
        <v>0</v>
      </c>
      <c r="CY44" t="s">
        <v>333</v>
      </c>
      <c r="CZ44">
        <v>2.3643900000000002</v>
      </c>
      <c r="DA44">
        <v>2.7137600000000002</v>
      </c>
      <c r="DB44">
        <v>0.14609900000000001</v>
      </c>
      <c r="DC44">
        <v>0.14638399999999999</v>
      </c>
      <c r="DD44">
        <v>0.11413</v>
      </c>
      <c r="DE44">
        <v>0.107878</v>
      </c>
      <c r="DF44">
        <v>31196</v>
      </c>
      <c r="DG44">
        <v>27533.200000000001</v>
      </c>
      <c r="DH44">
        <v>31187.9</v>
      </c>
      <c r="DI44">
        <v>28104.7</v>
      </c>
      <c r="DJ44">
        <v>37512.400000000001</v>
      </c>
      <c r="DK44">
        <v>35653.9</v>
      </c>
      <c r="DL44">
        <v>44386.9</v>
      </c>
      <c r="DM44">
        <v>42601.7</v>
      </c>
      <c r="DN44">
        <v>1.4744999999999999</v>
      </c>
      <c r="DO44">
        <v>2.0655800000000002</v>
      </c>
      <c r="DP44">
        <v>6.7651299999999998E-2</v>
      </c>
      <c r="DQ44">
        <v>0.22087200000000001</v>
      </c>
      <c r="DR44">
        <v>25.880700000000001</v>
      </c>
      <c r="DS44">
        <v>25.668800000000001</v>
      </c>
      <c r="DT44">
        <v>56.3</v>
      </c>
      <c r="DU44">
        <v>29</v>
      </c>
      <c r="DV44">
        <v>22.867000000000001</v>
      </c>
      <c r="DW44">
        <v>61.658000000000001</v>
      </c>
      <c r="DX44">
        <v>35.909500000000001</v>
      </c>
      <c r="DY44">
        <v>1</v>
      </c>
      <c r="DZ44">
        <v>-0.101159</v>
      </c>
      <c r="EA44">
        <v>-0.27807999999999999</v>
      </c>
      <c r="EB44">
        <v>20.1892</v>
      </c>
      <c r="EC44">
        <v>5.2409499999999998</v>
      </c>
      <c r="ED44">
        <v>12.039899999999999</v>
      </c>
      <c r="EE44">
        <v>5.0164499999999999</v>
      </c>
      <c r="EF44">
        <v>3.2879999999999998</v>
      </c>
      <c r="EG44">
        <v>9999</v>
      </c>
      <c r="EH44">
        <v>9999</v>
      </c>
      <c r="EI44">
        <v>9999</v>
      </c>
      <c r="EJ44">
        <v>999.9</v>
      </c>
      <c r="EK44">
        <v>1.8689</v>
      </c>
      <c r="EL44">
        <v>1.8646199999999999</v>
      </c>
      <c r="EM44">
        <v>1.8692</v>
      </c>
      <c r="EN44">
        <v>1.8672200000000001</v>
      </c>
      <c r="EO44">
        <v>1.8633900000000001</v>
      </c>
      <c r="EP44">
        <v>1.8644799999999999</v>
      </c>
      <c r="EQ44">
        <v>1.87018</v>
      </c>
      <c r="ER44">
        <v>1.86938</v>
      </c>
      <c r="ES44">
        <v>0</v>
      </c>
      <c r="ET44">
        <v>0</v>
      </c>
      <c r="EU44">
        <v>0</v>
      </c>
      <c r="EV44">
        <v>0</v>
      </c>
      <c r="EW44" t="s">
        <v>334</v>
      </c>
      <c r="EX44" t="s">
        <v>335</v>
      </c>
      <c r="EY44" t="s">
        <v>336</v>
      </c>
      <c r="EZ44" t="s">
        <v>336</v>
      </c>
      <c r="FA44" t="s">
        <v>336</v>
      </c>
      <c r="FB44" t="s">
        <v>336</v>
      </c>
      <c r="FC44">
        <v>0</v>
      </c>
      <c r="FD44">
        <v>100</v>
      </c>
      <c r="FE44">
        <v>100</v>
      </c>
      <c r="FF44">
        <v>-0.33500000000000002</v>
      </c>
      <c r="FG44">
        <v>0.17199999999999999</v>
      </c>
      <c r="FH44">
        <v>0.2126736300064915</v>
      </c>
      <c r="FI44">
        <v>-6.1462078757559423E-4</v>
      </c>
      <c r="FJ44">
        <v>-1.8861989874597051E-7</v>
      </c>
      <c r="FK44">
        <v>1.1980462299894961E-10</v>
      </c>
      <c r="FL44">
        <v>0.1719881465068297</v>
      </c>
      <c r="FM44">
        <v>0</v>
      </c>
      <c r="FN44">
        <v>0</v>
      </c>
      <c r="FO44">
        <v>0</v>
      </c>
      <c r="FP44">
        <v>3</v>
      </c>
      <c r="FQ44">
        <v>2158</v>
      </c>
      <c r="FR44">
        <v>1</v>
      </c>
      <c r="FS44">
        <v>19</v>
      </c>
      <c r="FT44">
        <v>14</v>
      </c>
      <c r="FU44">
        <v>14.1</v>
      </c>
      <c r="FV44">
        <v>1.79688</v>
      </c>
      <c r="FW44">
        <v>2.5830099999999998</v>
      </c>
      <c r="FX44">
        <v>1.5490699999999999</v>
      </c>
      <c r="FY44">
        <v>2.3290999999999999</v>
      </c>
      <c r="FZ44">
        <v>1.50146</v>
      </c>
      <c r="GA44">
        <v>2.3803700000000001</v>
      </c>
      <c r="GB44">
        <v>33.625399999999999</v>
      </c>
      <c r="GC44">
        <v>23.991199999999999</v>
      </c>
      <c r="GD44">
        <v>19</v>
      </c>
      <c r="GE44">
        <v>281.62700000000001</v>
      </c>
      <c r="GF44">
        <v>605.99699999999996</v>
      </c>
      <c r="GG44">
        <v>25.007899999999999</v>
      </c>
      <c r="GH44">
        <v>26.1647</v>
      </c>
      <c r="GI44">
        <v>29.999500000000001</v>
      </c>
      <c r="GJ44">
        <v>26.231200000000001</v>
      </c>
      <c r="GK44">
        <v>26.196400000000001</v>
      </c>
      <c r="GL44">
        <v>35.9313</v>
      </c>
      <c r="GM44">
        <v>0</v>
      </c>
      <c r="GN44">
        <v>100</v>
      </c>
      <c r="GO44">
        <v>25.0108</v>
      </c>
      <c r="GP44">
        <v>800</v>
      </c>
      <c r="GQ44">
        <v>23.197900000000001</v>
      </c>
      <c r="GR44">
        <v>99.792699999999996</v>
      </c>
      <c r="GS44">
        <v>99.655799999999999</v>
      </c>
    </row>
    <row r="45" spans="1:201" x14ac:dyDescent="0.25">
      <c r="A45">
        <v>29</v>
      </c>
      <c r="B45">
        <v>1690232854.5999999</v>
      </c>
      <c r="C45">
        <v>348.5</v>
      </c>
      <c r="D45" t="s">
        <v>389</v>
      </c>
      <c r="E45" t="s">
        <v>390</v>
      </c>
      <c r="F45" t="s">
        <v>330</v>
      </c>
      <c r="H45">
        <v>1690232854.5999999</v>
      </c>
      <c r="I45">
        <f t="shared" si="0"/>
        <v>1.3395665841747946E-4</v>
      </c>
      <c r="J45">
        <f t="shared" si="1"/>
        <v>0.13395665841747947</v>
      </c>
      <c r="K45">
        <f t="shared" si="2"/>
        <v>0.42366110448719685</v>
      </c>
      <c r="L45">
        <f t="shared" si="3"/>
        <v>794.32100000000003</v>
      </c>
      <c r="M45">
        <f t="shared" si="4"/>
        <v>683.64312907105978</v>
      </c>
      <c r="N45">
        <f t="shared" si="5"/>
        <v>67.761787453514842</v>
      </c>
      <c r="O45">
        <f t="shared" si="6"/>
        <v>78.732029158255003</v>
      </c>
      <c r="P45">
        <f t="shared" si="7"/>
        <v>7.5684117168679085E-3</v>
      </c>
      <c r="Q45">
        <f t="shared" si="8"/>
        <v>2.1328062450655447</v>
      </c>
      <c r="R45">
        <f t="shared" si="9"/>
        <v>7.5535228380471586E-3</v>
      </c>
      <c r="S45">
        <f t="shared" si="10"/>
        <v>4.7222870127163067E-3</v>
      </c>
      <c r="T45">
        <f t="shared" si="11"/>
        <v>276.11258987864528</v>
      </c>
      <c r="U45">
        <f t="shared" si="12"/>
        <v>29.288502783165605</v>
      </c>
      <c r="V45">
        <f t="shared" si="13"/>
        <v>29.288502783165605</v>
      </c>
      <c r="W45">
        <f t="shared" si="14"/>
        <v>4.0894043642882352</v>
      </c>
      <c r="X45">
        <f t="shared" si="15"/>
        <v>66.145056213324665</v>
      </c>
      <c r="Y45">
        <f t="shared" si="16"/>
        <v>2.3890470295994999</v>
      </c>
      <c r="Z45">
        <f t="shared" si="17"/>
        <v>3.6118300691960643</v>
      </c>
      <c r="AA45">
        <f t="shared" si="18"/>
        <v>1.7003573346887353</v>
      </c>
      <c r="AB45">
        <f t="shared" si="19"/>
        <v>-5.9074886362108439</v>
      </c>
      <c r="AC45">
        <f t="shared" si="20"/>
        <v>-245.34136137001158</v>
      </c>
      <c r="AD45">
        <f t="shared" si="21"/>
        <v>-25.130120902706874</v>
      </c>
      <c r="AE45">
        <f t="shared" si="22"/>
        <v>-0.26638103028400906</v>
      </c>
      <c r="AF45">
        <v>0</v>
      </c>
      <c r="AG45">
        <v>0</v>
      </c>
      <c r="AH45">
        <f t="shared" si="23"/>
        <v>1</v>
      </c>
      <c r="AI45">
        <f t="shared" si="24"/>
        <v>0</v>
      </c>
      <c r="AJ45">
        <f t="shared" si="25"/>
        <v>52444.180522086157</v>
      </c>
      <c r="AK45">
        <f t="shared" si="26"/>
        <v>1799.99</v>
      </c>
      <c r="AL45">
        <f t="shared" si="27"/>
        <v>1499.1045571950797</v>
      </c>
      <c r="AM45">
        <f t="shared" si="28"/>
        <v>0.83284049199999988</v>
      </c>
      <c r="AN45">
        <f t="shared" si="29"/>
        <v>0.15339673546999999</v>
      </c>
      <c r="AO45">
        <v>32.4</v>
      </c>
      <c r="AP45">
        <v>0.5</v>
      </c>
      <c r="AQ45" t="s">
        <v>331</v>
      </c>
      <c r="AR45">
        <v>2</v>
      </c>
      <c r="AS45">
        <v>1690232854.5999999</v>
      </c>
      <c r="AT45">
        <v>794.32100000000003</v>
      </c>
      <c r="AU45">
        <v>800.04100000000005</v>
      </c>
      <c r="AV45">
        <v>24.102900000000002</v>
      </c>
      <c r="AW45">
        <v>22.6922</v>
      </c>
      <c r="AX45">
        <v>794.65499999999997</v>
      </c>
      <c r="AY45">
        <v>23.931000000000001</v>
      </c>
      <c r="AZ45">
        <v>300.24700000000001</v>
      </c>
      <c r="BA45">
        <v>99.018699999999995</v>
      </c>
      <c r="BB45">
        <v>9.9955000000000002E-2</v>
      </c>
      <c r="BC45">
        <v>27.154800000000002</v>
      </c>
      <c r="BD45">
        <v>26.994900000000001</v>
      </c>
      <c r="BE45">
        <v>29.318000000000001</v>
      </c>
      <c r="BF45">
        <v>0</v>
      </c>
      <c r="BG45">
        <v>0</v>
      </c>
      <c r="BH45">
        <v>10022.5</v>
      </c>
      <c r="BI45">
        <v>1080.74</v>
      </c>
      <c r="BJ45">
        <v>1.4016500000000001</v>
      </c>
      <c r="BK45">
        <v>-5.7201500000000003</v>
      </c>
      <c r="BL45">
        <v>813.93899999999996</v>
      </c>
      <c r="BM45">
        <v>818.61699999999996</v>
      </c>
      <c r="BN45">
        <v>1.41076</v>
      </c>
      <c r="BO45">
        <v>800.04100000000005</v>
      </c>
      <c r="BP45">
        <v>22.6922</v>
      </c>
      <c r="BQ45">
        <v>2.3866399999999999</v>
      </c>
      <c r="BR45">
        <v>2.24695</v>
      </c>
      <c r="BS45">
        <v>20.273399999999999</v>
      </c>
      <c r="BT45">
        <v>19.300999999999998</v>
      </c>
      <c r="BU45">
        <v>1799.99</v>
      </c>
      <c r="BV45">
        <v>0.91001699999999996</v>
      </c>
      <c r="BW45">
        <v>3.4000299999999997E-2</v>
      </c>
      <c r="BX45">
        <v>2.1992100000000001E-2</v>
      </c>
      <c r="BY45">
        <v>3.39905E-2</v>
      </c>
      <c r="BZ45">
        <v>25</v>
      </c>
      <c r="CA45">
        <v>33528.199999999997</v>
      </c>
      <c r="CB45">
        <v>1690232006</v>
      </c>
      <c r="CC45" t="s">
        <v>332</v>
      </c>
      <c r="CD45">
        <v>1690232006</v>
      </c>
      <c r="CE45">
        <v>1690231998.5</v>
      </c>
      <c r="CF45">
        <v>14</v>
      </c>
      <c r="CG45">
        <v>-0.13200000000000001</v>
      </c>
      <c r="CH45">
        <v>-7.0000000000000001E-3</v>
      </c>
      <c r="CI45">
        <v>-0.33800000000000002</v>
      </c>
      <c r="CJ45">
        <v>0.14299999999999999</v>
      </c>
      <c r="CK45">
        <v>799</v>
      </c>
      <c r="CL45">
        <v>19</v>
      </c>
      <c r="CM45">
        <v>7.0000000000000007E-2</v>
      </c>
      <c r="CN45">
        <v>0.14000000000000001</v>
      </c>
      <c r="CO45">
        <v>-5.3059820000000002</v>
      </c>
      <c r="CP45">
        <v>-2.0129972983114199</v>
      </c>
      <c r="CQ45">
        <v>0.1962409244933381</v>
      </c>
      <c r="CR45">
        <v>-1</v>
      </c>
      <c r="CS45">
        <v>1.358835</v>
      </c>
      <c r="CT45">
        <v>0.2713152720450237</v>
      </c>
      <c r="CU45">
        <v>2.653827076129869E-2</v>
      </c>
      <c r="CV45">
        <v>-1</v>
      </c>
      <c r="CW45">
        <v>0</v>
      </c>
      <c r="CX45">
        <v>0</v>
      </c>
      <c r="CY45" t="s">
        <v>333</v>
      </c>
      <c r="CZ45">
        <v>2.3647900000000002</v>
      </c>
      <c r="DA45">
        <v>2.7137699999999998</v>
      </c>
      <c r="DB45">
        <v>0.14605699999999999</v>
      </c>
      <c r="DC45">
        <v>0.14638799999999999</v>
      </c>
      <c r="DD45">
        <v>0.11426699999999999</v>
      </c>
      <c r="DE45">
        <v>0.107844</v>
      </c>
      <c r="DF45">
        <v>31197.7</v>
      </c>
      <c r="DG45">
        <v>27533.3</v>
      </c>
      <c r="DH45">
        <v>31188.2</v>
      </c>
      <c r="DI45">
        <v>28104.799999999999</v>
      </c>
      <c r="DJ45">
        <v>37506.9</v>
      </c>
      <c r="DK45">
        <v>35655.4</v>
      </c>
      <c r="DL45">
        <v>44387.4</v>
      </c>
      <c r="DM45">
        <v>42601.9</v>
      </c>
      <c r="DN45">
        <v>1.4738199999999999</v>
      </c>
      <c r="DO45">
        <v>2.0652300000000001</v>
      </c>
      <c r="DP45">
        <v>6.8433599999999997E-2</v>
      </c>
      <c r="DQ45">
        <v>0.22381499999999999</v>
      </c>
      <c r="DR45">
        <v>25.874700000000001</v>
      </c>
      <c r="DS45">
        <v>25.660599999999999</v>
      </c>
      <c r="DT45">
        <v>56.3</v>
      </c>
      <c r="DU45">
        <v>29</v>
      </c>
      <c r="DV45">
        <v>22.866900000000001</v>
      </c>
      <c r="DW45">
        <v>61.677999999999997</v>
      </c>
      <c r="DX45">
        <v>35.673099999999998</v>
      </c>
      <c r="DY45">
        <v>1</v>
      </c>
      <c r="DZ45">
        <v>-0.10191600000000001</v>
      </c>
      <c r="EA45">
        <v>5.2118699999999997E-2</v>
      </c>
      <c r="EB45">
        <v>20.189800000000002</v>
      </c>
      <c r="EC45">
        <v>5.2413999999999996</v>
      </c>
      <c r="ED45">
        <v>12.039899999999999</v>
      </c>
      <c r="EE45">
        <v>5.0167999999999999</v>
      </c>
      <c r="EF45">
        <v>3.2879999999999998</v>
      </c>
      <c r="EG45">
        <v>9999</v>
      </c>
      <c r="EH45">
        <v>9999</v>
      </c>
      <c r="EI45">
        <v>9999</v>
      </c>
      <c r="EJ45">
        <v>999.9</v>
      </c>
      <c r="EK45">
        <v>1.8689</v>
      </c>
      <c r="EL45">
        <v>1.8646199999999999</v>
      </c>
      <c r="EM45">
        <v>1.8691899999999999</v>
      </c>
      <c r="EN45">
        <v>1.8672200000000001</v>
      </c>
      <c r="EO45">
        <v>1.8633900000000001</v>
      </c>
      <c r="EP45">
        <v>1.8644799999999999</v>
      </c>
      <c r="EQ45">
        <v>1.87015</v>
      </c>
      <c r="ER45">
        <v>1.86938</v>
      </c>
      <c r="ES45">
        <v>0</v>
      </c>
      <c r="ET45">
        <v>0</v>
      </c>
      <c r="EU45">
        <v>0</v>
      </c>
      <c r="EV45">
        <v>0</v>
      </c>
      <c r="EW45" t="s">
        <v>334</v>
      </c>
      <c r="EX45" t="s">
        <v>335</v>
      </c>
      <c r="EY45" t="s">
        <v>336</v>
      </c>
      <c r="EZ45" t="s">
        <v>336</v>
      </c>
      <c r="FA45" t="s">
        <v>336</v>
      </c>
      <c r="FB45" t="s">
        <v>336</v>
      </c>
      <c r="FC45">
        <v>0</v>
      </c>
      <c r="FD45">
        <v>100</v>
      </c>
      <c r="FE45">
        <v>100</v>
      </c>
      <c r="FF45">
        <v>-0.33400000000000002</v>
      </c>
      <c r="FG45">
        <v>0.1719</v>
      </c>
      <c r="FH45">
        <v>0.2126736300064915</v>
      </c>
      <c r="FI45">
        <v>-6.1462078757559423E-4</v>
      </c>
      <c r="FJ45">
        <v>-1.8861989874597051E-7</v>
      </c>
      <c r="FK45">
        <v>1.1980462299894961E-10</v>
      </c>
      <c r="FL45">
        <v>0.1719881465068297</v>
      </c>
      <c r="FM45">
        <v>0</v>
      </c>
      <c r="FN45">
        <v>0</v>
      </c>
      <c r="FO45">
        <v>0</v>
      </c>
      <c r="FP45">
        <v>3</v>
      </c>
      <c r="FQ45">
        <v>2158</v>
      </c>
      <c r="FR45">
        <v>1</v>
      </c>
      <c r="FS45">
        <v>19</v>
      </c>
      <c r="FT45">
        <v>14.1</v>
      </c>
      <c r="FU45">
        <v>14.3</v>
      </c>
      <c r="FV45">
        <v>1.79688</v>
      </c>
      <c r="FW45">
        <v>2.5891099999999998</v>
      </c>
      <c r="FX45">
        <v>1.5490699999999999</v>
      </c>
      <c r="FY45">
        <v>2.3290999999999999</v>
      </c>
      <c r="FZ45">
        <v>1.50146</v>
      </c>
      <c r="GA45">
        <v>2.3730500000000001</v>
      </c>
      <c r="GB45">
        <v>33.625399999999999</v>
      </c>
      <c r="GC45">
        <v>23.982399999999998</v>
      </c>
      <c r="GD45">
        <v>19</v>
      </c>
      <c r="GE45">
        <v>281.34100000000001</v>
      </c>
      <c r="GF45">
        <v>605.70000000000005</v>
      </c>
      <c r="GG45">
        <v>25.046399999999998</v>
      </c>
      <c r="GH45">
        <v>26.162500000000001</v>
      </c>
      <c r="GI45">
        <v>29.999700000000001</v>
      </c>
      <c r="GJ45">
        <v>26.231200000000001</v>
      </c>
      <c r="GK45">
        <v>26.196400000000001</v>
      </c>
      <c r="GL45">
        <v>35.929000000000002</v>
      </c>
      <c r="GM45">
        <v>0</v>
      </c>
      <c r="GN45">
        <v>100</v>
      </c>
      <c r="GO45">
        <v>25.022099999999998</v>
      </c>
      <c r="GP45">
        <v>800</v>
      </c>
      <c r="GQ45">
        <v>23.111599999999999</v>
      </c>
      <c r="GR45">
        <v>99.793700000000001</v>
      </c>
      <c r="GS45">
        <v>99.656199999999998</v>
      </c>
    </row>
    <row r="46" spans="1:201" x14ac:dyDescent="0.25">
      <c r="A46">
        <v>30</v>
      </c>
      <c r="B46">
        <v>1690232864.5999999</v>
      </c>
      <c r="C46">
        <v>358.5</v>
      </c>
      <c r="D46" t="s">
        <v>391</v>
      </c>
      <c r="E46" t="s">
        <v>392</v>
      </c>
      <c r="F46" t="s">
        <v>330</v>
      </c>
      <c r="H46">
        <v>1690232864.5999999</v>
      </c>
      <c r="I46">
        <f t="shared" si="0"/>
        <v>1.3495054680334395E-4</v>
      </c>
      <c r="J46">
        <f t="shared" si="1"/>
        <v>0.13495054680334395</v>
      </c>
      <c r="K46">
        <f t="shared" si="2"/>
        <v>0.45138426234029466</v>
      </c>
      <c r="L46">
        <f t="shared" si="3"/>
        <v>793.94299999999998</v>
      </c>
      <c r="M46">
        <f t="shared" si="4"/>
        <v>678.17459554360335</v>
      </c>
      <c r="N46">
        <f t="shared" si="5"/>
        <v>67.219169924941653</v>
      </c>
      <c r="O46">
        <f t="shared" si="6"/>
        <v>78.693878801136293</v>
      </c>
      <c r="P46">
        <f t="shared" si="7"/>
        <v>7.624226420772773E-3</v>
      </c>
      <c r="Q46">
        <f t="shared" si="8"/>
        <v>2.1312710145175124</v>
      </c>
      <c r="R46">
        <f t="shared" si="9"/>
        <v>7.6091065068188985E-3</v>
      </c>
      <c r="S46">
        <f t="shared" si="10"/>
        <v>4.7570475050162306E-3</v>
      </c>
      <c r="T46">
        <f t="shared" si="11"/>
        <v>276.11425468939632</v>
      </c>
      <c r="U46">
        <f t="shared" si="12"/>
        <v>29.290762701908804</v>
      </c>
      <c r="V46">
        <f t="shared" si="13"/>
        <v>29.290762701908804</v>
      </c>
      <c r="W46">
        <f t="shared" si="14"/>
        <v>4.089938030256671</v>
      </c>
      <c r="X46">
        <f t="shared" si="15"/>
        <v>66.152996970602629</v>
      </c>
      <c r="Y46">
        <f t="shared" si="16"/>
        <v>2.3895020448245701</v>
      </c>
      <c r="Z46">
        <f t="shared" si="17"/>
        <v>3.6120843412225572</v>
      </c>
      <c r="AA46">
        <f t="shared" si="18"/>
        <v>1.7004359854321009</v>
      </c>
      <c r="AB46">
        <f t="shared" si="19"/>
        <v>-5.9513191140274682</v>
      </c>
      <c r="AC46">
        <f t="shared" si="20"/>
        <v>-245.28654625785987</v>
      </c>
      <c r="AD46">
        <f t="shared" si="21"/>
        <v>-25.143037817558557</v>
      </c>
      <c r="AE46">
        <f t="shared" si="22"/>
        <v>-0.26664850004956975</v>
      </c>
      <c r="AF46">
        <v>0</v>
      </c>
      <c r="AG46">
        <v>0</v>
      </c>
      <c r="AH46">
        <f t="shared" si="23"/>
        <v>1</v>
      </c>
      <c r="AI46">
        <f t="shared" si="24"/>
        <v>0</v>
      </c>
      <c r="AJ46">
        <f t="shared" si="25"/>
        <v>52377.773648592927</v>
      </c>
      <c r="AK46">
        <f t="shared" si="26"/>
        <v>1799.99</v>
      </c>
      <c r="AL46">
        <f t="shared" si="27"/>
        <v>1499.1071761805299</v>
      </c>
      <c r="AM46">
        <f t="shared" si="28"/>
        <v>0.83284194699999992</v>
      </c>
      <c r="AN46">
        <f t="shared" si="29"/>
        <v>0.15339766037000002</v>
      </c>
      <c r="AO46">
        <v>32.4</v>
      </c>
      <c r="AP46">
        <v>0.5</v>
      </c>
      <c r="AQ46" t="s">
        <v>331</v>
      </c>
      <c r="AR46">
        <v>2</v>
      </c>
      <c r="AS46">
        <v>1690232864.5999999</v>
      </c>
      <c r="AT46">
        <v>793.94299999999998</v>
      </c>
      <c r="AU46">
        <v>799.97199999999998</v>
      </c>
      <c r="AV46">
        <v>24.107700000000001</v>
      </c>
      <c r="AW46">
        <v>22.6861</v>
      </c>
      <c r="AX46">
        <v>794.27800000000002</v>
      </c>
      <c r="AY46">
        <v>23.935700000000001</v>
      </c>
      <c r="AZ46">
        <v>300.154</v>
      </c>
      <c r="BA46">
        <v>99.017799999999994</v>
      </c>
      <c r="BB46">
        <v>9.9994100000000002E-2</v>
      </c>
      <c r="BC46">
        <v>27.155999999999999</v>
      </c>
      <c r="BD46">
        <v>27.004000000000001</v>
      </c>
      <c r="BE46">
        <v>29.307300000000001</v>
      </c>
      <c r="BF46">
        <v>0</v>
      </c>
      <c r="BG46">
        <v>0</v>
      </c>
      <c r="BH46">
        <v>10009.4</v>
      </c>
      <c r="BI46">
        <v>1080.69</v>
      </c>
      <c r="BJ46">
        <v>1.08768</v>
      </c>
      <c r="BK46">
        <v>-6.0287499999999996</v>
      </c>
      <c r="BL46">
        <v>813.55600000000004</v>
      </c>
      <c r="BM46">
        <v>818.54200000000003</v>
      </c>
      <c r="BN46">
        <v>1.42161</v>
      </c>
      <c r="BO46">
        <v>799.97199999999998</v>
      </c>
      <c r="BP46">
        <v>22.6861</v>
      </c>
      <c r="BQ46">
        <v>2.3870900000000002</v>
      </c>
      <c r="BR46">
        <v>2.2463299999999999</v>
      </c>
      <c r="BS46">
        <v>20.276499999999999</v>
      </c>
      <c r="BT46">
        <v>19.296600000000002</v>
      </c>
      <c r="BU46">
        <v>1799.99</v>
      </c>
      <c r="BV46">
        <v>0.91001200000000004</v>
      </c>
      <c r="BW46">
        <v>3.3996699999999998E-2</v>
      </c>
      <c r="BX46">
        <v>2.2004599999999999E-2</v>
      </c>
      <c r="BY46">
        <v>3.39869E-2</v>
      </c>
      <c r="BZ46">
        <v>25</v>
      </c>
      <c r="CA46">
        <v>33528.199999999997</v>
      </c>
      <c r="CB46">
        <v>1690232006</v>
      </c>
      <c r="CC46" t="s">
        <v>332</v>
      </c>
      <c r="CD46">
        <v>1690232006</v>
      </c>
      <c r="CE46">
        <v>1690231998.5</v>
      </c>
      <c r="CF46">
        <v>14</v>
      </c>
      <c r="CG46">
        <v>-0.13200000000000001</v>
      </c>
      <c r="CH46">
        <v>-7.0000000000000001E-3</v>
      </c>
      <c r="CI46">
        <v>-0.33800000000000002</v>
      </c>
      <c r="CJ46">
        <v>0.14299999999999999</v>
      </c>
      <c r="CK46">
        <v>799</v>
      </c>
      <c r="CL46">
        <v>19</v>
      </c>
      <c r="CM46">
        <v>7.0000000000000007E-2</v>
      </c>
      <c r="CN46">
        <v>0.14000000000000001</v>
      </c>
      <c r="CO46">
        <v>-5.6834230000000003</v>
      </c>
      <c r="CP46">
        <v>-1.917833696060026</v>
      </c>
      <c r="CQ46">
        <v>0.1861820969534933</v>
      </c>
      <c r="CR46">
        <v>-1</v>
      </c>
      <c r="CS46">
        <v>1.4023127500000001</v>
      </c>
      <c r="CT46">
        <v>0.18085789868667659</v>
      </c>
      <c r="CU46">
        <v>1.846829742931113E-2</v>
      </c>
      <c r="CV46">
        <v>-1</v>
      </c>
      <c r="CW46">
        <v>0</v>
      </c>
      <c r="CX46">
        <v>0</v>
      </c>
      <c r="CY46" t="s">
        <v>333</v>
      </c>
      <c r="CZ46">
        <v>2.3645</v>
      </c>
      <c r="DA46">
        <v>2.7137899999999999</v>
      </c>
      <c r="DB46">
        <v>0.14601</v>
      </c>
      <c r="DC46">
        <v>0.14637800000000001</v>
      </c>
      <c r="DD46">
        <v>0.11428199999999999</v>
      </c>
      <c r="DE46">
        <v>0.107823</v>
      </c>
      <c r="DF46">
        <v>31199.5</v>
      </c>
      <c r="DG46">
        <v>27534.2</v>
      </c>
      <c r="DH46">
        <v>31188.3</v>
      </c>
      <c r="DI46">
        <v>28105.4</v>
      </c>
      <c r="DJ46">
        <v>37506.199999999997</v>
      </c>
      <c r="DK46">
        <v>35656.9</v>
      </c>
      <c r="DL46">
        <v>44387.199999999997</v>
      </c>
      <c r="DM46">
        <v>42602.7</v>
      </c>
      <c r="DN46">
        <v>1.4742</v>
      </c>
      <c r="DO46">
        <v>2.0654699999999999</v>
      </c>
      <c r="DP46">
        <v>6.9327700000000006E-2</v>
      </c>
      <c r="DQ46">
        <v>0.223555</v>
      </c>
      <c r="DR46">
        <v>25.869199999999999</v>
      </c>
      <c r="DS46">
        <v>25.6541</v>
      </c>
      <c r="DT46">
        <v>56.3</v>
      </c>
      <c r="DU46">
        <v>29</v>
      </c>
      <c r="DV46">
        <v>22.867100000000001</v>
      </c>
      <c r="DW46">
        <v>61.908000000000001</v>
      </c>
      <c r="DX46">
        <v>35.649000000000001</v>
      </c>
      <c r="DY46">
        <v>1</v>
      </c>
      <c r="DZ46">
        <v>-0.101578</v>
      </c>
      <c r="EA46">
        <v>0.122971</v>
      </c>
      <c r="EB46">
        <v>20.189800000000002</v>
      </c>
      <c r="EC46">
        <v>5.2408000000000001</v>
      </c>
      <c r="ED46">
        <v>12.039899999999999</v>
      </c>
      <c r="EE46">
        <v>5.0163500000000001</v>
      </c>
      <c r="EF46">
        <v>3.2879999999999998</v>
      </c>
      <c r="EG46">
        <v>9999</v>
      </c>
      <c r="EH46">
        <v>9999</v>
      </c>
      <c r="EI46">
        <v>9999</v>
      </c>
      <c r="EJ46">
        <v>999.9</v>
      </c>
      <c r="EK46">
        <v>1.8689</v>
      </c>
      <c r="EL46">
        <v>1.8646199999999999</v>
      </c>
      <c r="EM46">
        <v>1.8691899999999999</v>
      </c>
      <c r="EN46">
        <v>1.8672200000000001</v>
      </c>
      <c r="EO46">
        <v>1.8633900000000001</v>
      </c>
      <c r="EP46">
        <v>1.8644700000000001</v>
      </c>
      <c r="EQ46">
        <v>1.87015</v>
      </c>
      <c r="ER46">
        <v>1.8693900000000001</v>
      </c>
      <c r="ES46">
        <v>0</v>
      </c>
      <c r="ET46">
        <v>0</v>
      </c>
      <c r="EU46">
        <v>0</v>
      </c>
      <c r="EV46">
        <v>0</v>
      </c>
      <c r="EW46" t="s">
        <v>334</v>
      </c>
      <c r="EX46" t="s">
        <v>335</v>
      </c>
      <c r="EY46" t="s">
        <v>336</v>
      </c>
      <c r="EZ46" t="s">
        <v>336</v>
      </c>
      <c r="FA46" t="s">
        <v>336</v>
      </c>
      <c r="FB46" t="s">
        <v>336</v>
      </c>
      <c r="FC46">
        <v>0</v>
      </c>
      <c r="FD46">
        <v>100</v>
      </c>
      <c r="FE46">
        <v>100</v>
      </c>
      <c r="FF46">
        <v>-0.33500000000000002</v>
      </c>
      <c r="FG46">
        <v>0.17199999999999999</v>
      </c>
      <c r="FH46">
        <v>0.2126736300064915</v>
      </c>
      <c r="FI46">
        <v>-6.1462078757559423E-4</v>
      </c>
      <c r="FJ46">
        <v>-1.8861989874597051E-7</v>
      </c>
      <c r="FK46">
        <v>1.1980462299894961E-10</v>
      </c>
      <c r="FL46">
        <v>0.1719881465068297</v>
      </c>
      <c r="FM46">
        <v>0</v>
      </c>
      <c r="FN46">
        <v>0</v>
      </c>
      <c r="FO46">
        <v>0</v>
      </c>
      <c r="FP46">
        <v>3</v>
      </c>
      <c r="FQ46">
        <v>2158</v>
      </c>
      <c r="FR46">
        <v>1</v>
      </c>
      <c r="FS46">
        <v>19</v>
      </c>
      <c r="FT46">
        <v>14.3</v>
      </c>
      <c r="FU46">
        <v>14.4</v>
      </c>
      <c r="FV46">
        <v>1.79688</v>
      </c>
      <c r="FW46">
        <v>2.5817899999999998</v>
      </c>
      <c r="FX46">
        <v>1.5490699999999999</v>
      </c>
      <c r="FY46">
        <v>2.3290999999999999</v>
      </c>
      <c r="FZ46">
        <v>1.50146</v>
      </c>
      <c r="GA46">
        <v>2.3864700000000001</v>
      </c>
      <c r="GB46">
        <v>33.625399999999999</v>
      </c>
      <c r="GC46">
        <v>23.982399999999998</v>
      </c>
      <c r="GD46">
        <v>19</v>
      </c>
      <c r="GE46">
        <v>281.5</v>
      </c>
      <c r="GF46">
        <v>605.91200000000003</v>
      </c>
      <c r="GG46">
        <v>25.0275</v>
      </c>
      <c r="GH46">
        <v>26.160900000000002</v>
      </c>
      <c r="GI46">
        <v>30.0002</v>
      </c>
      <c r="GJ46">
        <v>26.231200000000001</v>
      </c>
      <c r="GK46">
        <v>26.196400000000001</v>
      </c>
      <c r="GL46">
        <v>35.930199999999999</v>
      </c>
      <c r="GM46">
        <v>0</v>
      </c>
      <c r="GN46">
        <v>100</v>
      </c>
      <c r="GO46">
        <v>25.0199</v>
      </c>
      <c r="GP46">
        <v>800</v>
      </c>
      <c r="GQ46">
        <v>23.0442</v>
      </c>
      <c r="GR46">
        <v>99.793599999999998</v>
      </c>
      <c r="GS46">
        <v>99.658199999999994</v>
      </c>
    </row>
    <row r="47" spans="1:201" x14ac:dyDescent="0.25">
      <c r="A47">
        <v>31</v>
      </c>
      <c r="B47">
        <v>1690232874.5999999</v>
      </c>
      <c r="C47">
        <v>368.5</v>
      </c>
      <c r="D47" t="s">
        <v>393</v>
      </c>
      <c r="E47" t="s">
        <v>394</v>
      </c>
      <c r="F47" t="s">
        <v>330</v>
      </c>
      <c r="H47">
        <v>1690232874.5999999</v>
      </c>
      <c r="I47">
        <f t="shared" si="0"/>
        <v>1.3636338785139623E-4</v>
      </c>
      <c r="J47">
        <f t="shared" si="1"/>
        <v>0.13636338785139623</v>
      </c>
      <c r="K47">
        <f t="shared" si="2"/>
        <v>0.48574802791864102</v>
      </c>
      <c r="L47">
        <f t="shared" si="3"/>
        <v>793.61400000000003</v>
      </c>
      <c r="M47">
        <f t="shared" si="4"/>
        <v>671.84112288189419</v>
      </c>
      <c r="N47">
        <f t="shared" si="5"/>
        <v>66.591311257891206</v>
      </c>
      <c r="O47">
        <f t="shared" si="6"/>
        <v>78.661152306258003</v>
      </c>
      <c r="P47">
        <f t="shared" si="7"/>
        <v>7.7084056822603886E-3</v>
      </c>
      <c r="Q47">
        <f t="shared" si="8"/>
        <v>2.1334444868126541</v>
      </c>
      <c r="R47">
        <f t="shared" si="9"/>
        <v>7.692966123073677E-3</v>
      </c>
      <c r="S47">
        <f t="shared" si="10"/>
        <v>4.8094884052118751E-3</v>
      </c>
      <c r="T47">
        <f t="shared" si="11"/>
        <v>276.11493216963248</v>
      </c>
      <c r="U47">
        <f t="shared" si="12"/>
        <v>29.289399274457065</v>
      </c>
      <c r="V47">
        <f t="shared" si="13"/>
        <v>29.289399274457065</v>
      </c>
      <c r="W47">
        <f t="shared" si="14"/>
        <v>4.089616057950205</v>
      </c>
      <c r="X47">
        <f t="shared" si="15"/>
        <v>66.16564211907604</v>
      </c>
      <c r="Y47">
        <f t="shared" si="16"/>
        <v>2.3901130279933005</v>
      </c>
      <c r="Z47">
        <f t="shared" si="17"/>
        <v>3.6123174376391542</v>
      </c>
      <c r="AA47">
        <f t="shared" si="18"/>
        <v>1.6995030299569045</v>
      </c>
      <c r="AB47">
        <f t="shared" si="19"/>
        <v>-6.0136254042465742</v>
      </c>
      <c r="AC47">
        <f t="shared" si="20"/>
        <v>-245.25335058399597</v>
      </c>
      <c r="AD47">
        <f t="shared" si="21"/>
        <v>-25.113990125361688</v>
      </c>
      <c r="AE47">
        <f t="shared" si="22"/>
        <v>-0.26603394397173474</v>
      </c>
      <c r="AF47">
        <v>0</v>
      </c>
      <c r="AG47">
        <v>0</v>
      </c>
      <c r="AH47">
        <f t="shared" si="23"/>
        <v>1</v>
      </c>
      <c r="AI47">
        <f t="shared" si="24"/>
        <v>0</v>
      </c>
      <c r="AJ47">
        <f t="shared" si="25"/>
        <v>52471.282510782672</v>
      </c>
      <c r="AK47">
        <f t="shared" si="26"/>
        <v>1799.99</v>
      </c>
      <c r="AL47">
        <f t="shared" si="27"/>
        <v>1499.1042385968501</v>
      </c>
      <c r="AM47">
        <f t="shared" si="28"/>
        <v>0.832840315</v>
      </c>
      <c r="AN47">
        <f t="shared" si="29"/>
        <v>0.15339803674999999</v>
      </c>
      <c r="AO47">
        <v>32.4</v>
      </c>
      <c r="AP47">
        <v>0.5</v>
      </c>
      <c r="AQ47" t="s">
        <v>331</v>
      </c>
      <c r="AR47">
        <v>2</v>
      </c>
      <c r="AS47">
        <v>1690232874.5999999</v>
      </c>
      <c r="AT47">
        <v>793.61400000000003</v>
      </c>
      <c r="AU47">
        <v>800.02300000000002</v>
      </c>
      <c r="AV47">
        <v>24.113900000000001</v>
      </c>
      <c r="AW47">
        <v>22.678000000000001</v>
      </c>
      <c r="AX47">
        <v>793.94799999999998</v>
      </c>
      <c r="AY47">
        <v>23.9419</v>
      </c>
      <c r="AZ47">
        <v>300.274</v>
      </c>
      <c r="BA47">
        <v>99.017600000000002</v>
      </c>
      <c r="BB47">
        <v>0.100047</v>
      </c>
      <c r="BC47">
        <v>27.1571</v>
      </c>
      <c r="BD47">
        <v>26.996300000000002</v>
      </c>
      <c r="BE47">
        <v>29.313700000000001</v>
      </c>
      <c r="BF47">
        <v>0</v>
      </c>
      <c r="BG47">
        <v>0</v>
      </c>
      <c r="BH47">
        <v>10028.1</v>
      </c>
      <c r="BI47">
        <v>1080.79</v>
      </c>
      <c r="BJ47">
        <v>1.5137799999999999</v>
      </c>
      <c r="BK47">
        <v>-6.4089999999999998</v>
      </c>
      <c r="BL47">
        <v>813.22400000000005</v>
      </c>
      <c r="BM47">
        <v>818.58600000000001</v>
      </c>
      <c r="BN47">
        <v>1.4359599999999999</v>
      </c>
      <c r="BO47">
        <v>800.02300000000002</v>
      </c>
      <c r="BP47">
        <v>22.678000000000001</v>
      </c>
      <c r="BQ47">
        <v>2.3877000000000002</v>
      </c>
      <c r="BR47">
        <v>2.24552</v>
      </c>
      <c r="BS47">
        <v>20.2806</v>
      </c>
      <c r="BT47">
        <v>19.290800000000001</v>
      </c>
      <c r="BU47">
        <v>1799.99</v>
      </c>
      <c r="BV47">
        <v>0.90998699999999999</v>
      </c>
      <c r="BW47">
        <v>3.3992500000000002E-2</v>
      </c>
      <c r="BX47">
        <v>2.2008E-2</v>
      </c>
      <c r="BY47">
        <v>3.40127E-2</v>
      </c>
      <c r="BZ47">
        <v>25</v>
      </c>
      <c r="CA47">
        <v>33528.1</v>
      </c>
      <c r="CB47">
        <v>1690232006</v>
      </c>
      <c r="CC47" t="s">
        <v>332</v>
      </c>
      <c r="CD47">
        <v>1690232006</v>
      </c>
      <c r="CE47">
        <v>1690231998.5</v>
      </c>
      <c r="CF47">
        <v>14</v>
      </c>
      <c r="CG47">
        <v>-0.13200000000000001</v>
      </c>
      <c r="CH47">
        <v>-7.0000000000000001E-3</v>
      </c>
      <c r="CI47">
        <v>-0.33800000000000002</v>
      </c>
      <c r="CJ47">
        <v>0.14299999999999999</v>
      </c>
      <c r="CK47">
        <v>799</v>
      </c>
      <c r="CL47">
        <v>19</v>
      </c>
      <c r="CM47">
        <v>7.0000000000000007E-2</v>
      </c>
      <c r="CN47">
        <v>0.14000000000000001</v>
      </c>
      <c r="CO47">
        <v>-6.0311067500000002</v>
      </c>
      <c r="CP47">
        <v>-2.3594441651031661</v>
      </c>
      <c r="CQ47">
        <v>0.2336570525726486</v>
      </c>
      <c r="CR47">
        <v>-1</v>
      </c>
      <c r="CS47">
        <v>1.4225915</v>
      </c>
      <c r="CT47">
        <v>6.7870919324575868E-2</v>
      </c>
      <c r="CU47">
        <v>6.5900203148397084E-3</v>
      </c>
      <c r="CV47">
        <v>-1</v>
      </c>
      <c r="CW47">
        <v>0</v>
      </c>
      <c r="CX47">
        <v>0</v>
      </c>
      <c r="CY47" t="s">
        <v>333</v>
      </c>
      <c r="CZ47">
        <v>2.3649100000000001</v>
      </c>
      <c r="DA47">
        <v>2.7138599999999999</v>
      </c>
      <c r="DB47">
        <v>0.14596899999999999</v>
      </c>
      <c r="DC47">
        <v>0.14638399999999999</v>
      </c>
      <c r="DD47">
        <v>0.114302</v>
      </c>
      <c r="DE47">
        <v>0.107796</v>
      </c>
      <c r="DF47">
        <v>31201.4</v>
      </c>
      <c r="DG47">
        <v>27534.1</v>
      </c>
      <c r="DH47">
        <v>31188.7</v>
      </c>
      <c r="DI47">
        <v>28105.599999999999</v>
      </c>
      <c r="DJ47">
        <v>37506.1</v>
      </c>
      <c r="DK47">
        <v>35658.1</v>
      </c>
      <c r="DL47">
        <v>44388.2</v>
      </c>
      <c r="DM47">
        <v>42602.8</v>
      </c>
      <c r="DN47">
        <v>1.4741500000000001</v>
      </c>
      <c r="DO47">
        <v>2.0652499999999998</v>
      </c>
      <c r="DP47">
        <v>6.9029599999999997E-2</v>
      </c>
      <c r="DQ47">
        <v>0.22411300000000001</v>
      </c>
      <c r="DR47">
        <v>25.866399999999999</v>
      </c>
      <c r="DS47">
        <v>25.651399999999999</v>
      </c>
      <c r="DT47">
        <v>56.3</v>
      </c>
      <c r="DU47">
        <v>29</v>
      </c>
      <c r="DV47">
        <v>22.869</v>
      </c>
      <c r="DW47">
        <v>61.628</v>
      </c>
      <c r="DX47">
        <v>36.085700000000003</v>
      </c>
      <c r="DY47">
        <v>1</v>
      </c>
      <c r="DZ47">
        <v>-0.10172299999999999</v>
      </c>
      <c r="EA47">
        <v>0.11059099999999999</v>
      </c>
      <c r="EB47">
        <v>20.189900000000002</v>
      </c>
      <c r="EC47">
        <v>5.2411000000000003</v>
      </c>
      <c r="ED47">
        <v>12.039899999999999</v>
      </c>
      <c r="EE47">
        <v>5.0164</v>
      </c>
      <c r="EF47">
        <v>3.2879999999999998</v>
      </c>
      <c r="EG47">
        <v>9999</v>
      </c>
      <c r="EH47">
        <v>9999</v>
      </c>
      <c r="EI47">
        <v>9999</v>
      </c>
      <c r="EJ47">
        <v>999.9</v>
      </c>
      <c r="EK47">
        <v>1.8689</v>
      </c>
      <c r="EL47">
        <v>1.8646199999999999</v>
      </c>
      <c r="EM47">
        <v>1.8691800000000001</v>
      </c>
      <c r="EN47">
        <v>1.8672200000000001</v>
      </c>
      <c r="EO47">
        <v>1.8633999999999999</v>
      </c>
      <c r="EP47">
        <v>1.8644700000000001</v>
      </c>
      <c r="EQ47">
        <v>1.87015</v>
      </c>
      <c r="ER47">
        <v>1.8694</v>
      </c>
      <c r="ES47">
        <v>0</v>
      </c>
      <c r="ET47">
        <v>0</v>
      </c>
      <c r="EU47">
        <v>0</v>
      </c>
      <c r="EV47">
        <v>0</v>
      </c>
      <c r="EW47" t="s">
        <v>334</v>
      </c>
      <c r="EX47" t="s">
        <v>335</v>
      </c>
      <c r="EY47" t="s">
        <v>336</v>
      </c>
      <c r="EZ47" t="s">
        <v>336</v>
      </c>
      <c r="FA47" t="s">
        <v>336</v>
      </c>
      <c r="FB47" t="s">
        <v>336</v>
      </c>
      <c r="FC47">
        <v>0</v>
      </c>
      <c r="FD47">
        <v>100</v>
      </c>
      <c r="FE47">
        <v>100</v>
      </c>
      <c r="FF47">
        <v>-0.33400000000000002</v>
      </c>
      <c r="FG47">
        <v>0.17199999999999999</v>
      </c>
      <c r="FH47">
        <v>0.2126736300064915</v>
      </c>
      <c r="FI47">
        <v>-6.1462078757559423E-4</v>
      </c>
      <c r="FJ47">
        <v>-1.8861989874597051E-7</v>
      </c>
      <c r="FK47">
        <v>1.1980462299894961E-10</v>
      </c>
      <c r="FL47">
        <v>0.1719881465068297</v>
      </c>
      <c r="FM47">
        <v>0</v>
      </c>
      <c r="FN47">
        <v>0</v>
      </c>
      <c r="FO47">
        <v>0</v>
      </c>
      <c r="FP47">
        <v>3</v>
      </c>
      <c r="FQ47">
        <v>2158</v>
      </c>
      <c r="FR47">
        <v>1</v>
      </c>
      <c r="FS47">
        <v>19</v>
      </c>
      <c r="FT47">
        <v>14.5</v>
      </c>
      <c r="FU47">
        <v>14.6</v>
      </c>
      <c r="FV47">
        <v>1.79688</v>
      </c>
      <c r="FW47">
        <v>2.5817899999999998</v>
      </c>
      <c r="FX47">
        <v>1.5490699999999999</v>
      </c>
      <c r="FY47">
        <v>2.3290999999999999</v>
      </c>
      <c r="FZ47">
        <v>1.50146</v>
      </c>
      <c r="GA47">
        <v>2.3852500000000001</v>
      </c>
      <c r="GB47">
        <v>33.625399999999999</v>
      </c>
      <c r="GC47">
        <v>23.982399999999998</v>
      </c>
      <c r="GD47">
        <v>19</v>
      </c>
      <c r="GE47">
        <v>281.47899999999998</v>
      </c>
      <c r="GF47">
        <v>605.721</v>
      </c>
      <c r="GG47">
        <v>25.014399999999998</v>
      </c>
      <c r="GH47">
        <v>26.1587</v>
      </c>
      <c r="GI47">
        <v>30</v>
      </c>
      <c r="GJ47">
        <v>26.231200000000001</v>
      </c>
      <c r="GK47">
        <v>26.196400000000001</v>
      </c>
      <c r="GL47">
        <v>35.928199999999997</v>
      </c>
      <c r="GM47">
        <v>0</v>
      </c>
      <c r="GN47">
        <v>100</v>
      </c>
      <c r="GO47">
        <v>25.0137</v>
      </c>
      <c r="GP47">
        <v>800</v>
      </c>
      <c r="GQ47">
        <v>22.971399999999999</v>
      </c>
      <c r="GR47">
        <v>99.795400000000001</v>
      </c>
      <c r="GS47">
        <v>99.658600000000007</v>
      </c>
    </row>
    <row r="48" spans="1:201" x14ac:dyDescent="0.25">
      <c r="A48">
        <v>32</v>
      </c>
      <c r="B48">
        <v>1690232884.5999999</v>
      </c>
      <c r="C48">
        <v>378.5</v>
      </c>
      <c r="D48" t="s">
        <v>395</v>
      </c>
      <c r="E48" t="s">
        <v>396</v>
      </c>
      <c r="F48" t="s">
        <v>330</v>
      </c>
      <c r="H48">
        <v>1690232884.5999999</v>
      </c>
      <c r="I48">
        <f t="shared" si="0"/>
        <v>1.3661276144098791E-4</v>
      </c>
      <c r="J48">
        <f t="shared" si="1"/>
        <v>0.13661276144098791</v>
      </c>
      <c r="K48">
        <f t="shared" si="2"/>
        <v>0.51935270179477633</v>
      </c>
      <c r="L48">
        <f t="shared" si="3"/>
        <v>793.24300000000005</v>
      </c>
      <c r="M48">
        <f t="shared" si="4"/>
        <v>664.92334251362036</v>
      </c>
      <c r="N48">
        <f t="shared" si="5"/>
        <v>65.90314301786735</v>
      </c>
      <c r="O48">
        <f t="shared" si="6"/>
        <v>78.621404204728009</v>
      </c>
      <c r="P48">
        <f t="shared" si="7"/>
        <v>7.730968916702113E-3</v>
      </c>
      <c r="Q48">
        <f t="shared" si="8"/>
        <v>2.1324589145049471</v>
      </c>
      <c r="R48">
        <f t="shared" si="9"/>
        <v>7.7154317754205889E-3</v>
      </c>
      <c r="S48">
        <f t="shared" si="10"/>
        <v>4.8235381800798525E-3</v>
      </c>
      <c r="T48">
        <f t="shared" si="11"/>
        <v>276.11469759493571</v>
      </c>
      <c r="U48">
        <f t="shared" si="12"/>
        <v>29.280524399218862</v>
      </c>
      <c r="V48">
        <f t="shared" si="13"/>
        <v>29.280524399218862</v>
      </c>
      <c r="W48">
        <f t="shared" si="14"/>
        <v>4.0875208032541588</v>
      </c>
      <c r="X48">
        <f t="shared" si="15"/>
        <v>66.197779671151622</v>
      </c>
      <c r="Y48">
        <f t="shared" si="16"/>
        <v>2.3899135514687999</v>
      </c>
      <c r="Z48">
        <f t="shared" si="17"/>
        <v>3.610262403574696</v>
      </c>
      <c r="AA48">
        <f t="shared" si="18"/>
        <v>1.6976072517853589</v>
      </c>
      <c r="AB48">
        <f t="shared" si="19"/>
        <v>-6.0246227795475669</v>
      </c>
      <c r="AC48">
        <f t="shared" si="20"/>
        <v>-245.23491319416672</v>
      </c>
      <c r="AD48">
        <f t="shared" si="21"/>
        <v>-25.121384817045946</v>
      </c>
      <c r="AE48">
        <f t="shared" si="22"/>
        <v>-0.26622319582452292</v>
      </c>
      <c r="AF48">
        <v>0</v>
      </c>
      <c r="AG48">
        <v>0</v>
      </c>
      <c r="AH48">
        <f t="shared" si="23"/>
        <v>1</v>
      </c>
      <c r="AI48">
        <f t="shared" si="24"/>
        <v>0</v>
      </c>
      <c r="AJ48">
        <f t="shared" si="25"/>
        <v>52430.391167437389</v>
      </c>
      <c r="AK48">
        <f t="shared" si="26"/>
        <v>1799.99</v>
      </c>
      <c r="AL48">
        <f t="shared" si="27"/>
        <v>1499.1008150158698</v>
      </c>
      <c r="AM48">
        <f t="shared" si="28"/>
        <v>0.83283841299999983</v>
      </c>
      <c r="AN48">
        <f t="shared" si="29"/>
        <v>0.15339790643000001</v>
      </c>
      <c r="AO48">
        <v>32.4</v>
      </c>
      <c r="AP48">
        <v>0.5</v>
      </c>
      <c r="AQ48" t="s">
        <v>331</v>
      </c>
      <c r="AR48">
        <v>2</v>
      </c>
      <c r="AS48">
        <v>1690232884.5999999</v>
      </c>
      <c r="AT48">
        <v>793.24300000000005</v>
      </c>
      <c r="AU48">
        <v>800.01700000000005</v>
      </c>
      <c r="AV48">
        <v>24.1128</v>
      </c>
      <c r="AW48">
        <v>22.674099999999999</v>
      </c>
      <c r="AX48">
        <v>793.577</v>
      </c>
      <c r="AY48">
        <v>23.940799999999999</v>
      </c>
      <c r="AZ48">
        <v>300.238</v>
      </c>
      <c r="BA48">
        <v>99.013900000000007</v>
      </c>
      <c r="BB48">
        <v>9.9996000000000002E-2</v>
      </c>
      <c r="BC48">
        <v>27.147400000000001</v>
      </c>
      <c r="BD48">
        <v>27.000599999999999</v>
      </c>
      <c r="BE48">
        <v>29.300699999999999</v>
      </c>
      <c r="BF48">
        <v>0</v>
      </c>
      <c r="BG48">
        <v>0</v>
      </c>
      <c r="BH48">
        <v>10020</v>
      </c>
      <c r="BI48">
        <v>1080.74</v>
      </c>
      <c r="BJ48">
        <v>1.4885600000000001</v>
      </c>
      <c r="BK48">
        <v>-6.77386</v>
      </c>
      <c r="BL48">
        <v>812.84299999999996</v>
      </c>
      <c r="BM48">
        <v>818.57799999999997</v>
      </c>
      <c r="BN48">
        <v>1.4386699999999999</v>
      </c>
      <c r="BO48">
        <v>800.01700000000005</v>
      </c>
      <c r="BP48">
        <v>22.674099999999999</v>
      </c>
      <c r="BQ48">
        <v>2.3875000000000002</v>
      </c>
      <c r="BR48">
        <v>2.24505</v>
      </c>
      <c r="BS48">
        <v>20.279199999999999</v>
      </c>
      <c r="BT48">
        <v>19.287500000000001</v>
      </c>
      <c r="BU48">
        <v>1799.99</v>
      </c>
      <c r="BV48">
        <v>0.90997899999999998</v>
      </c>
      <c r="BW48">
        <v>3.4005399999999998E-2</v>
      </c>
      <c r="BX48">
        <v>2.2005400000000001E-2</v>
      </c>
      <c r="BY48">
        <v>3.4010100000000001E-2</v>
      </c>
      <c r="BZ48">
        <v>25</v>
      </c>
      <c r="CA48">
        <v>33528.1</v>
      </c>
      <c r="CB48">
        <v>1690232006</v>
      </c>
      <c r="CC48" t="s">
        <v>332</v>
      </c>
      <c r="CD48">
        <v>1690232006</v>
      </c>
      <c r="CE48">
        <v>1690231998.5</v>
      </c>
      <c r="CF48">
        <v>14</v>
      </c>
      <c r="CG48">
        <v>-0.13200000000000001</v>
      </c>
      <c r="CH48">
        <v>-7.0000000000000001E-3</v>
      </c>
      <c r="CI48">
        <v>-0.33800000000000002</v>
      </c>
      <c r="CJ48">
        <v>0.14299999999999999</v>
      </c>
      <c r="CK48">
        <v>799</v>
      </c>
      <c r="CL48">
        <v>19</v>
      </c>
      <c r="CM48">
        <v>7.0000000000000007E-2</v>
      </c>
      <c r="CN48">
        <v>0.14000000000000001</v>
      </c>
      <c r="CO48">
        <v>-6.3972827499999996</v>
      </c>
      <c r="CP48">
        <v>-2.377530393996226</v>
      </c>
      <c r="CQ48">
        <v>0.2362841047974609</v>
      </c>
      <c r="CR48">
        <v>-1</v>
      </c>
      <c r="CS48">
        <v>1.4321317499999999</v>
      </c>
      <c r="CT48">
        <v>4.9631482176356899E-2</v>
      </c>
      <c r="CU48">
        <v>5.116192865549523E-3</v>
      </c>
      <c r="CV48">
        <v>-1</v>
      </c>
      <c r="CW48">
        <v>0</v>
      </c>
      <c r="CX48">
        <v>0</v>
      </c>
      <c r="CY48" t="s">
        <v>333</v>
      </c>
      <c r="CZ48">
        <v>2.3647800000000001</v>
      </c>
      <c r="DA48">
        <v>2.7138100000000001</v>
      </c>
      <c r="DB48">
        <v>0.14591799999999999</v>
      </c>
      <c r="DC48">
        <v>0.14637800000000001</v>
      </c>
      <c r="DD48">
        <v>0.11429400000000001</v>
      </c>
      <c r="DE48">
        <v>0.107779</v>
      </c>
      <c r="DF48">
        <v>31203.599999999999</v>
      </c>
      <c r="DG48">
        <v>27534.3</v>
      </c>
      <c r="DH48">
        <v>31188.9</v>
      </c>
      <c r="DI48">
        <v>28105.599999999999</v>
      </c>
      <c r="DJ48">
        <v>37506.800000000003</v>
      </c>
      <c r="DK48">
        <v>35658.9</v>
      </c>
      <c r="DL48">
        <v>44388.6</v>
      </c>
      <c r="DM48">
        <v>42602.9</v>
      </c>
      <c r="DN48">
        <v>1.47417</v>
      </c>
      <c r="DO48">
        <v>2.0653999999999999</v>
      </c>
      <c r="DP48">
        <v>6.9811899999999996E-2</v>
      </c>
      <c r="DQ48">
        <v>0.22348000000000001</v>
      </c>
      <c r="DR48">
        <v>25.857900000000001</v>
      </c>
      <c r="DS48">
        <v>25.648599999999998</v>
      </c>
      <c r="DT48">
        <v>56.3</v>
      </c>
      <c r="DU48">
        <v>29</v>
      </c>
      <c r="DV48">
        <v>22.867599999999999</v>
      </c>
      <c r="DW48">
        <v>61.707999999999998</v>
      </c>
      <c r="DX48">
        <v>35.400599999999997</v>
      </c>
      <c r="DY48">
        <v>1</v>
      </c>
      <c r="DZ48">
        <v>-0.101989</v>
      </c>
      <c r="EA48">
        <v>6.2742400000000004E-2</v>
      </c>
      <c r="EB48">
        <v>20.190100000000001</v>
      </c>
      <c r="EC48">
        <v>5.2408000000000001</v>
      </c>
      <c r="ED48">
        <v>12.039899999999999</v>
      </c>
      <c r="EE48">
        <v>5.0164499999999999</v>
      </c>
      <c r="EF48">
        <v>3.2879999999999998</v>
      </c>
      <c r="EG48">
        <v>9999</v>
      </c>
      <c r="EH48">
        <v>9999</v>
      </c>
      <c r="EI48">
        <v>9999</v>
      </c>
      <c r="EJ48">
        <v>999.9</v>
      </c>
      <c r="EK48">
        <v>1.8689</v>
      </c>
      <c r="EL48">
        <v>1.8646199999999999</v>
      </c>
      <c r="EM48">
        <v>1.8691899999999999</v>
      </c>
      <c r="EN48">
        <v>1.8672200000000001</v>
      </c>
      <c r="EO48">
        <v>1.8633999999999999</v>
      </c>
      <c r="EP48">
        <v>1.8644700000000001</v>
      </c>
      <c r="EQ48">
        <v>1.87016</v>
      </c>
      <c r="ER48">
        <v>1.8693900000000001</v>
      </c>
      <c r="ES48">
        <v>0</v>
      </c>
      <c r="ET48">
        <v>0</v>
      </c>
      <c r="EU48">
        <v>0</v>
      </c>
      <c r="EV48">
        <v>0</v>
      </c>
      <c r="EW48" t="s">
        <v>334</v>
      </c>
      <c r="EX48" t="s">
        <v>335</v>
      </c>
      <c r="EY48" t="s">
        <v>336</v>
      </c>
      <c r="EZ48" t="s">
        <v>336</v>
      </c>
      <c r="FA48" t="s">
        <v>336</v>
      </c>
      <c r="FB48" t="s">
        <v>336</v>
      </c>
      <c r="FC48">
        <v>0</v>
      </c>
      <c r="FD48">
        <v>100</v>
      </c>
      <c r="FE48">
        <v>100</v>
      </c>
      <c r="FF48">
        <v>-0.33400000000000002</v>
      </c>
      <c r="FG48">
        <v>0.17199999999999999</v>
      </c>
      <c r="FH48">
        <v>0.2126736300064915</v>
      </c>
      <c r="FI48">
        <v>-6.1462078757559423E-4</v>
      </c>
      <c r="FJ48">
        <v>-1.8861989874597051E-7</v>
      </c>
      <c r="FK48">
        <v>1.1980462299894961E-10</v>
      </c>
      <c r="FL48">
        <v>0.1719881465068297</v>
      </c>
      <c r="FM48">
        <v>0</v>
      </c>
      <c r="FN48">
        <v>0</v>
      </c>
      <c r="FO48">
        <v>0</v>
      </c>
      <c r="FP48">
        <v>3</v>
      </c>
      <c r="FQ48">
        <v>2158</v>
      </c>
      <c r="FR48">
        <v>1</v>
      </c>
      <c r="FS48">
        <v>19</v>
      </c>
      <c r="FT48">
        <v>14.6</v>
      </c>
      <c r="FU48">
        <v>14.8</v>
      </c>
      <c r="FV48">
        <v>1.79688</v>
      </c>
      <c r="FW48">
        <v>2.5866699999999998</v>
      </c>
      <c r="FX48">
        <v>1.5490699999999999</v>
      </c>
      <c r="FY48">
        <v>2.3290999999999999</v>
      </c>
      <c r="FZ48">
        <v>1.50146</v>
      </c>
      <c r="GA48">
        <v>2.33643</v>
      </c>
      <c r="GB48">
        <v>33.625399999999999</v>
      </c>
      <c r="GC48">
        <v>23.982399999999998</v>
      </c>
      <c r="GD48">
        <v>19</v>
      </c>
      <c r="GE48">
        <v>281.48899999999998</v>
      </c>
      <c r="GF48">
        <v>605.84900000000005</v>
      </c>
      <c r="GG48">
        <v>25.0154</v>
      </c>
      <c r="GH48">
        <v>26.156500000000001</v>
      </c>
      <c r="GI48">
        <v>29.9998</v>
      </c>
      <c r="GJ48">
        <v>26.231200000000001</v>
      </c>
      <c r="GK48">
        <v>26.196400000000001</v>
      </c>
      <c r="GL48">
        <v>35.928400000000003</v>
      </c>
      <c r="GM48">
        <v>0</v>
      </c>
      <c r="GN48">
        <v>100</v>
      </c>
      <c r="GO48">
        <v>25.019200000000001</v>
      </c>
      <c r="GP48">
        <v>800</v>
      </c>
      <c r="GQ48">
        <v>22.9055</v>
      </c>
      <c r="GR48">
        <v>99.796400000000006</v>
      </c>
      <c r="GS48">
        <v>99.658699999999996</v>
      </c>
    </row>
    <row r="49" spans="1:201" x14ac:dyDescent="0.25">
      <c r="A49">
        <v>33</v>
      </c>
      <c r="B49">
        <v>1690232894.5999999</v>
      </c>
      <c r="C49">
        <v>388.5</v>
      </c>
      <c r="D49" t="s">
        <v>397</v>
      </c>
      <c r="E49" t="s">
        <v>398</v>
      </c>
      <c r="F49" t="s">
        <v>330</v>
      </c>
      <c r="H49">
        <v>1690232894.5999999</v>
      </c>
      <c r="I49">
        <f t="shared" si="0"/>
        <v>1.3787377869580114E-4</v>
      </c>
      <c r="J49">
        <f t="shared" si="1"/>
        <v>0.13787377869580114</v>
      </c>
      <c r="K49">
        <f t="shared" si="2"/>
        <v>0.56112230848265676</v>
      </c>
      <c r="L49">
        <f t="shared" si="3"/>
        <v>792.77700000000004</v>
      </c>
      <c r="M49">
        <f t="shared" si="4"/>
        <v>657.072026362418</v>
      </c>
      <c r="N49">
        <f t="shared" si="5"/>
        <v>65.12695678534574</v>
      </c>
      <c r="O49">
        <f t="shared" si="6"/>
        <v>78.577616072394008</v>
      </c>
      <c r="P49">
        <f t="shared" si="7"/>
        <v>7.8078036003971446E-3</v>
      </c>
      <c r="Q49">
        <f t="shared" si="8"/>
        <v>2.1287798516959948</v>
      </c>
      <c r="R49">
        <f t="shared" si="9"/>
        <v>7.7919291049147526E-3</v>
      </c>
      <c r="S49">
        <f t="shared" si="10"/>
        <v>4.8713792329354057E-3</v>
      </c>
      <c r="T49">
        <f t="shared" si="11"/>
        <v>276.1145399698114</v>
      </c>
      <c r="U49">
        <f t="shared" si="12"/>
        <v>29.278739287567905</v>
      </c>
      <c r="V49">
        <f t="shared" si="13"/>
        <v>29.278739287567905</v>
      </c>
      <c r="W49">
        <f t="shared" si="14"/>
        <v>4.0870994722564298</v>
      </c>
      <c r="X49">
        <f t="shared" si="15"/>
        <v>66.234809131868772</v>
      </c>
      <c r="Y49">
        <f t="shared" si="16"/>
        <v>2.3905911300258</v>
      </c>
      <c r="Z49">
        <f t="shared" si="17"/>
        <v>3.6092670324848428</v>
      </c>
      <c r="AA49">
        <f t="shared" si="18"/>
        <v>1.6965083422306297</v>
      </c>
      <c r="AB49">
        <f t="shared" si="19"/>
        <v>-6.0802336404848303</v>
      </c>
      <c r="AC49">
        <f t="shared" si="20"/>
        <v>-245.14634963049667</v>
      </c>
      <c r="AD49">
        <f t="shared" si="21"/>
        <v>-25.15490135898202</v>
      </c>
      <c r="AE49">
        <f t="shared" si="22"/>
        <v>-0.26694466015212015</v>
      </c>
      <c r="AF49">
        <v>0</v>
      </c>
      <c r="AG49">
        <v>0</v>
      </c>
      <c r="AH49">
        <f t="shared" si="23"/>
        <v>1</v>
      </c>
      <c r="AI49">
        <f t="shared" si="24"/>
        <v>0</v>
      </c>
      <c r="AJ49">
        <f t="shared" si="25"/>
        <v>52272.802947355041</v>
      </c>
      <c r="AK49">
        <f t="shared" si="26"/>
        <v>1799.99</v>
      </c>
      <c r="AL49">
        <f t="shared" si="27"/>
        <v>1499.1021434084901</v>
      </c>
      <c r="AM49">
        <f t="shared" si="28"/>
        <v>0.83283915100000006</v>
      </c>
      <c r="AN49">
        <f t="shared" si="29"/>
        <v>0.15339781886000001</v>
      </c>
      <c r="AO49">
        <v>32.4</v>
      </c>
      <c r="AP49">
        <v>0.5</v>
      </c>
      <c r="AQ49" t="s">
        <v>331</v>
      </c>
      <c r="AR49">
        <v>2</v>
      </c>
      <c r="AS49">
        <v>1690232894.5999999</v>
      </c>
      <c r="AT49">
        <v>792.77700000000004</v>
      </c>
      <c r="AU49">
        <v>800.01199999999994</v>
      </c>
      <c r="AV49">
        <v>24.1189</v>
      </c>
      <c r="AW49">
        <v>22.666899999999998</v>
      </c>
      <c r="AX49">
        <v>793.11099999999999</v>
      </c>
      <c r="AY49">
        <v>23.946899999999999</v>
      </c>
      <c r="AZ49">
        <v>300.23200000000003</v>
      </c>
      <c r="BA49">
        <v>99.016900000000007</v>
      </c>
      <c r="BB49">
        <v>0.100022</v>
      </c>
      <c r="BC49">
        <v>27.142700000000001</v>
      </c>
      <c r="BD49">
        <v>26.993500000000001</v>
      </c>
      <c r="BE49">
        <v>29.297999999999998</v>
      </c>
      <c r="BF49">
        <v>0</v>
      </c>
      <c r="BG49">
        <v>0</v>
      </c>
      <c r="BH49">
        <v>9988.1200000000008</v>
      </c>
      <c r="BI49">
        <v>1080.77</v>
      </c>
      <c r="BJ49">
        <v>1.4885600000000001</v>
      </c>
      <c r="BK49">
        <v>-7.2347400000000004</v>
      </c>
      <c r="BL49">
        <v>812.37099999999998</v>
      </c>
      <c r="BM49">
        <v>818.56600000000003</v>
      </c>
      <c r="BN49">
        <v>1.45201</v>
      </c>
      <c r="BO49">
        <v>800.01199999999994</v>
      </c>
      <c r="BP49">
        <v>22.666899999999998</v>
      </c>
      <c r="BQ49">
        <v>2.3881800000000002</v>
      </c>
      <c r="BR49">
        <v>2.2444000000000002</v>
      </c>
      <c r="BS49">
        <v>20.283799999999999</v>
      </c>
      <c r="BT49">
        <v>19.282800000000002</v>
      </c>
      <c r="BU49">
        <v>1799.99</v>
      </c>
      <c r="BV49">
        <v>0.90998500000000004</v>
      </c>
      <c r="BW49">
        <v>3.4005399999999998E-2</v>
      </c>
      <c r="BX49">
        <v>2.20033E-2</v>
      </c>
      <c r="BY49">
        <v>3.4006799999999997E-2</v>
      </c>
      <c r="BZ49">
        <v>25</v>
      </c>
      <c r="CA49">
        <v>33528.199999999997</v>
      </c>
      <c r="CB49">
        <v>1690232006</v>
      </c>
      <c r="CC49" t="s">
        <v>332</v>
      </c>
      <c r="CD49">
        <v>1690232006</v>
      </c>
      <c r="CE49">
        <v>1690231998.5</v>
      </c>
      <c r="CF49">
        <v>14</v>
      </c>
      <c r="CG49">
        <v>-0.13200000000000001</v>
      </c>
      <c r="CH49">
        <v>-7.0000000000000001E-3</v>
      </c>
      <c r="CI49">
        <v>-0.33800000000000002</v>
      </c>
      <c r="CJ49">
        <v>0.14299999999999999</v>
      </c>
      <c r="CK49">
        <v>799</v>
      </c>
      <c r="CL49">
        <v>19</v>
      </c>
      <c r="CM49">
        <v>7.0000000000000007E-2</v>
      </c>
      <c r="CN49">
        <v>0.14000000000000001</v>
      </c>
      <c r="CO49">
        <v>-6.7922717500000003</v>
      </c>
      <c r="CP49">
        <v>-2.6918842401500811</v>
      </c>
      <c r="CQ49">
        <v>0.26136987663928968</v>
      </c>
      <c r="CR49">
        <v>-1</v>
      </c>
      <c r="CS49">
        <v>1.4404872500000001</v>
      </c>
      <c r="CT49">
        <v>5.0198836772980107E-2</v>
      </c>
      <c r="CU49">
        <v>5.1004754619054932E-3</v>
      </c>
      <c r="CV49">
        <v>-1</v>
      </c>
      <c r="CW49">
        <v>0</v>
      </c>
      <c r="CX49">
        <v>0</v>
      </c>
      <c r="CY49" t="s">
        <v>333</v>
      </c>
      <c r="CZ49">
        <v>2.36477</v>
      </c>
      <c r="DA49">
        <v>2.7138</v>
      </c>
      <c r="DB49">
        <v>0.145866</v>
      </c>
      <c r="DC49">
        <v>0.14638100000000001</v>
      </c>
      <c r="DD49">
        <v>0.114318</v>
      </c>
      <c r="DE49">
        <v>0.10775800000000001</v>
      </c>
      <c r="DF49">
        <v>31205.200000000001</v>
      </c>
      <c r="DG49">
        <v>27534.5</v>
      </c>
      <c r="DH49">
        <v>31188.7</v>
      </c>
      <c r="DI49">
        <v>28105.8</v>
      </c>
      <c r="DJ49">
        <v>37505.199999999997</v>
      </c>
      <c r="DK49">
        <v>35660</v>
      </c>
      <c r="DL49">
        <v>44388</v>
      </c>
      <c r="DM49">
        <v>42603.3</v>
      </c>
      <c r="DN49">
        <v>1.4742299999999999</v>
      </c>
      <c r="DO49">
        <v>2.06542</v>
      </c>
      <c r="DP49">
        <v>6.98492E-2</v>
      </c>
      <c r="DQ49">
        <v>0.22370399999999999</v>
      </c>
      <c r="DR49">
        <v>25.850100000000001</v>
      </c>
      <c r="DS49">
        <v>25.642299999999999</v>
      </c>
      <c r="DT49">
        <v>56.3</v>
      </c>
      <c r="DU49">
        <v>29</v>
      </c>
      <c r="DV49">
        <v>22.866399999999999</v>
      </c>
      <c r="DW49">
        <v>61.878</v>
      </c>
      <c r="DX49">
        <v>36.258000000000003</v>
      </c>
      <c r="DY49">
        <v>1</v>
      </c>
      <c r="DZ49">
        <v>-0.102243</v>
      </c>
      <c r="EA49">
        <v>6.3183600000000006E-2</v>
      </c>
      <c r="EB49">
        <v>20.189800000000002</v>
      </c>
      <c r="EC49">
        <v>5.2411000000000003</v>
      </c>
      <c r="ED49">
        <v>12.039899999999999</v>
      </c>
      <c r="EE49">
        <v>5.0166500000000003</v>
      </c>
      <c r="EF49">
        <v>3.2879999999999998</v>
      </c>
      <c r="EG49">
        <v>9999</v>
      </c>
      <c r="EH49">
        <v>9999</v>
      </c>
      <c r="EI49">
        <v>9999</v>
      </c>
      <c r="EJ49">
        <v>999.9</v>
      </c>
      <c r="EK49">
        <v>1.8689</v>
      </c>
      <c r="EL49">
        <v>1.8646199999999999</v>
      </c>
      <c r="EM49">
        <v>1.8692</v>
      </c>
      <c r="EN49">
        <v>1.8672200000000001</v>
      </c>
      <c r="EO49">
        <v>1.8633900000000001</v>
      </c>
      <c r="EP49">
        <v>1.8644700000000001</v>
      </c>
      <c r="EQ49">
        <v>1.87015</v>
      </c>
      <c r="ER49">
        <v>1.86941</v>
      </c>
      <c r="ES49">
        <v>0</v>
      </c>
      <c r="ET49">
        <v>0</v>
      </c>
      <c r="EU49">
        <v>0</v>
      </c>
      <c r="EV49">
        <v>0</v>
      </c>
      <c r="EW49" t="s">
        <v>334</v>
      </c>
      <c r="EX49" t="s">
        <v>335</v>
      </c>
      <c r="EY49" t="s">
        <v>336</v>
      </c>
      <c r="EZ49" t="s">
        <v>336</v>
      </c>
      <c r="FA49" t="s">
        <v>336</v>
      </c>
      <c r="FB49" t="s">
        <v>336</v>
      </c>
      <c r="FC49">
        <v>0</v>
      </c>
      <c r="FD49">
        <v>100</v>
      </c>
      <c r="FE49">
        <v>100</v>
      </c>
      <c r="FF49">
        <v>-0.33400000000000002</v>
      </c>
      <c r="FG49">
        <v>0.17199999999999999</v>
      </c>
      <c r="FH49">
        <v>0.2126736300064915</v>
      </c>
      <c r="FI49">
        <v>-6.1462078757559423E-4</v>
      </c>
      <c r="FJ49">
        <v>-1.8861989874597051E-7</v>
      </c>
      <c r="FK49">
        <v>1.1980462299894961E-10</v>
      </c>
      <c r="FL49">
        <v>0.1719881465068297</v>
      </c>
      <c r="FM49">
        <v>0</v>
      </c>
      <c r="FN49">
        <v>0</v>
      </c>
      <c r="FO49">
        <v>0</v>
      </c>
      <c r="FP49">
        <v>3</v>
      </c>
      <c r="FQ49">
        <v>2158</v>
      </c>
      <c r="FR49">
        <v>1</v>
      </c>
      <c r="FS49">
        <v>19</v>
      </c>
      <c r="FT49">
        <v>14.8</v>
      </c>
      <c r="FU49">
        <v>14.9</v>
      </c>
      <c r="FV49">
        <v>1.79688</v>
      </c>
      <c r="FW49">
        <v>2.5854499999999998</v>
      </c>
      <c r="FX49">
        <v>1.5490699999999999</v>
      </c>
      <c r="FY49">
        <v>2.3290999999999999</v>
      </c>
      <c r="FZ49">
        <v>1.50146</v>
      </c>
      <c r="GA49">
        <v>2.3986800000000001</v>
      </c>
      <c r="GB49">
        <v>33.625399999999999</v>
      </c>
      <c r="GC49">
        <v>23.991199999999999</v>
      </c>
      <c r="GD49">
        <v>19</v>
      </c>
      <c r="GE49">
        <v>281.50200000000001</v>
      </c>
      <c r="GF49">
        <v>605.87</v>
      </c>
      <c r="GG49">
        <v>25.015599999999999</v>
      </c>
      <c r="GH49">
        <v>26.153700000000001</v>
      </c>
      <c r="GI49">
        <v>30</v>
      </c>
      <c r="GJ49">
        <v>26.228999999999999</v>
      </c>
      <c r="GK49">
        <v>26.196400000000001</v>
      </c>
      <c r="GL49">
        <v>35.9283</v>
      </c>
      <c r="GM49">
        <v>0</v>
      </c>
      <c r="GN49">
        <v>100</v>
      </c>
      <c r="GO49">
        <v>25.0167</v>
      </c>
      <c r="GP49">
        <v>800</v>
      </c>
      <c r="GQ49">
        <v>22.833400000000001</v>
      </c>
      <c r="GR49">
        <v>99.795199999999994</v>
      </c>
      <c r="GS49">
        <v>99.659599999999998</v>
      </c>
    </row>
    <row r="50" spans="1:201" x14ac:dyDescent="0.25">
      <c r="A50">
        <v>34</v>
      </c>
      <c r="B50">
        <v>1690232904.5999999</v>
      </c>
      <c r="C50">
        <v>398.5</v>
      </c>
      <c r="D50" t="s">
        <v>399</v>
      </c>
      <c r="E50" t="s">
        <v>400</v>
      </c>
      <c r="F50" t="s">
        <v>330</v>
      </c>
      <c r="H50">
        <v>1690232904.5999999</v>
      </c>
      <c r="I50">
        <f t="shared" si="0"/>
        <v>1.393935196994825E-4</v>
      </c>
      <c r="J50">
        <f t="shared" si="1"/>
        <v>0.13939351969948249</v>
      </c>
      <c r="K50">
        <f t="shared" si="2"/>
        <v>0.60836277750728862</v>
      </c>
      <c r="L50">
        <f t="shared" si="3"/>
        <v>792.24699999999996</v>
      </c>
      <c r="M50">
        <f t="shared" si="4"/>
        <v>648.3531889707956</v>
      </c>
      <c r="N50">
        <f t="shared" si="5"/>
        <v>64.262212930867534</v>
      </c>
      <c r="O50">
        <f t="shared" si="6"/>
        <v>78.524400394573007</v>
      </c>
      <c r="P50">
        <f t="shared" si="7"/>
        <v>7.8949208099328098E-3</v>
      </c>
      <c r="Q50">
        <f t="shared" si="8"/>
        <v>2.1275294957993127</v>
      </c>
      <c r="R50">
        <f t="shared" si="9"/>
        <v>7.8786809722585019E-3</v>
      </c>
      <c r="S50">
        <f t="shared" si="10"/>
        <v>4.9256318798424834E-3</v>
      </c>
      <c r="T50">
        <f t="shared" si="11"/>
        <v>276.1123956364047</v>
      </c>
      <c r="U50">
        <f t="shared" si="12"/>
        <v>29.281726751612794</v>
      </c>
      <c r="V50">
        <f t="shared" si="13"/>
        <v>29.281726751612794</v>
      </c>
      <c r="W50">
        <f t="shared" si="14"/>
        <v>4.0878046098335519</v>
      </c>
      <c r="X50">
        <f t="shared" si="15"/>
        <v>66.250991664583253</v>
      </c>
      <c r="Y50">
        <f t="shared" si="16"/>
        <v>2.3915119179756004</v>
      </c>
      <c r="Z50">
        <f t="shared" si="17"/>
        <v>3.6097752771511571</v>
      </c>
      <c r="AA50">
        <f t="shared" si="18"/>
        <v>1.6962926918579515</v>
      </c>
      <c r="AB50">
        <f t="shared" si="19"/>
        <v>-6.1472542187471788</v>
      </c>
      <c r="AC50">
        <f t="shared" si="20"/>
        <v>-245.06974271445486</v>
      </c>
      <c r="AD50">
        <f t="shared" si="21"/>
        <v>-25.162494825848043</v>
      </c>
      <c r="AE50">
        <f t="shared" si="22"/>
        <v>-0.26709612264539828</v>
      </c>
      <c r="AF50">
        <v>0</v>
      </c>
      <c r="AG50">
        <v>0</v>
      </c>
      <c r="AH50">
        <f t="shared" si="23"/>
        <v>1</v>
      </c>
      <c r="AI50">
        <f t="shared" si="24"/>
        <v>0</v>
      </c>
      <c r="AJ50">
        <f t="shared" si="25"/>
        <v>52218.578527687969</v>
      </c>
      <c r="AK50">
        <f t="shared" si="26"/>
        <v>1799.98</v>
      </c>
      <c r="AL50">
        <f t="shared" si="27"/>
        <v>1499.09385281656</v>
      </c>
      <c r="AM50">
        <f t="shared" si="28"/>
        <v>0.83283917200000002</v>
      </c>
      <c r="AN50">
        <f t="shared" si="29"/>
        <v>0.15339747977000004</v>
      </c>
      <c r="AO50">
        <v>32.4</v>
      </c>
      <c r="AP50">
        <v>0.5</v>
      </c>
      <c r="AQ50" t="s">
        <v>331</v>
      </c>
      <c r="AR50">
        <v>2</v>
      </c>
      <c r="AS50">
        <v>1690232904.5999999</v>
      </c>
      <c r="AT50">
        <v>792.24699999999996</v>
      </c>
      <c r="AU50">
        <v>800.00300000000004</v>
      </c>
      <c r="AV50">
        <v>24.128399999999999</v>
      </c>
      <c r="AW50">
        <v>22.660599999999999</v>
      </c>
      <c r="AX50">
        <v>792.58</v>
      </c>
      <c r="AY50">
        <v>23.956399999999999</v>
      </c>
      <c r="AZ50">
        <v>300.27100000000002</v>
      </c>
      <c r="BA50">
        <v>99.016000000000005</v>
      </c>
      <c r="BB50">
        <v>0.100059</v>
      </c>
      <c r="BC50">
        <v>27.145099999999999</v>
      </c>
      <c r="BD50">
        <v>26.986699999999999</v>
      </c>
      <c r="BE50">
        <v>29.2944</v>
      </c>
      <c r="BF50">
        <v>0</v>
      </c>
      <c r="BG50">
        <v>0</v>
      </c>
      <c r="BH50">
        <v>9977.5</v>
      </c>
      <c r="BI50">
        <v>1080.77</v>
      </c>
      <c r="BJ50">
        <v>1.47454</v>
      </c>
      <c r="BK50">
        <v>-7.75671</v>
      </c>
      <c r="BL50">
        <v>811.83500000000004</v>
      </c>
      <c r="BM50">
        <v>818.55200000000002</v>
      </c>
      <c r="BN50">
        <v>1.4678100000000001</v>
      </c>
      <c r="BO50">
        <v>800.00300000000004</v>
      </c>
      <c r="BP50">
        <v>22.660599999999999</v>
      </c>
      <c r="BQ50">
        <v>2.3891</v>
      </c>
      <c r="BR50">
        <v>2.24376</v>
      </c>
      <c r="BS50">
        <v>20.290099999999999</v>
      </c>
      <c r="BT50">
        <v>19.278300000000002</v>
      </c>
      <c r="BU50">
        <v>1799.98</v>
      </c>
      <c r="BV50">
        <v>0.90999300000000005</v>
      </c>
      <c r="BW50">
        <v>3.40021E-2</v>
      </c>
      <c r="BX50">
        <v>2.2001099999999999E-2</v>
      </c>
      <c r="BY50">
        <v>3.4003499999999999E-2</v>
      </c>
      <c r="BZ50">
        <v>25</v>
      </c>
      <c r="CA50">
        <v>33528</v>
      </c>
      <c r="CB50">
        <v>1690232006</v>
      </c>
      <c r="CC50" t="s">
        <v>332</v>
      </c>
      <c r="CD50">
        <v>1690232006</v>
      </c>
      <c r="CE50">
        <v>1690231998.5</v>
      </c>
      <c r="CF50">
        <v>14</v>
      </c>
      <c r="CG50">
        <v>-0.13200000000000001</v>
      </c>
      <c r="CH50">
        <v>-7.0000000000000001E-3</v>
      </c>
      <c r="CI50">
        <v>-0.33800000000000002</v>
      </c>
      <c r="CJ50">
        <v>0.14299999999999999</v>
      </c>
      <c r="CK50">
        <v>799</v>
      </c>
      <c r="CL50">
        <v>19</v>
      </c>
      <c r="CM50">
        <v>7.0000000000000007E-2</v>
      </c>
      <c r="CN50">
        <v>0.14000000000000001</v>
      </c>
      <c r="CO50">
        <v>-7.2426627499999991</v>
      </c>
      <c r="CP50">
        <v>-2.9098175234521348</v>
      </c>
      <c r="CQ50">
        <v>0.28137732519685638</v>
      </c>
      <c r="CR50">
        <v>-1</v>
      </c>
      <c r="CS50">
        <v>1.4524485</v>
      </c>
      <c r="CT50">
        <v>9.1220938086304201E-2</v>
      </c>
      <c r="CU50">
        <v>8.7971087722046436E-3</v>
      </c>
      <c r="CV50">
        <v>-1</v>
      </c>
      <c r="CW50">
        <v>0</v>
      </c>
      <c r="CX50">
        <v>0</v>
      </c>
      <c r="CY50" t="s">
        <v>333</v>
      </c>
      <c r="CZ50">
        <v>2.3648899999999999</v>
      </c>
      <c r="DA50">
        <v>2.7138300000000002</v>
      </c>
      <c r="DB50">
        <v>0.14580000000000001</v>
      </c>
      <c r="DC50">
        <v>0.14637900000000001</v>
      </c>
      <c r="DD50">
        <v>0.11434900000000001</v>
      </c>
      <c r="DE50">
        <v>0.107736</v>
      </c>
      <c r="DF50">
        <v>31207.7</v>
      </c>
      <c r="DG50">
        <v>27534.2</v>
      </c>
      <c r="DH50">
        <v>31188.799999999999</v>
      </c>
      <c r="DI50">
        <v>28105.4</v>
      </c>
      <c r="DJ50">
        <v>37504.400000000001</v>
      </c>
      <c r="DK50">
        <v>35660.400000000001</v>
      </c>
      <c r="DL50">
        <v>44388.6</v>
      </c>
      <c r="DM50">
        <v>42602.7</v>
      </c>
      <c r="DN50">
        <v>1.4744299999999999</v>
      </c>
      <c r="DO50">
        <v>2.0652300000000001</v>
      </c>
      <c r="DP50">
        <v>6.9774699999999995E-2</v>
      </c>
      <c r="DQ50">
        <v>0.223853</v>
      </c>
      <c r="DR50">
        <v>25.8446</v>
      </c>
      <c r="DS50">
        <v>25.636199999999999</v>
      </c>
      <c r="DT50">
        <v>56.3</v>
      </c>
      <c r="DU50">
        <v>29</v>
      </c>
      <c r="DV50">
        <v>22.866</v>
      </c>
      <c r="DW50">
        <v>62.438000000000002</v>
      </c>
      <c r="DX50">
        <v>35.236400000000003</v>
      </c>
      <c r="DY50">
        <v>1</v>
      </c>
      <c r="DZ50">
        <v>-0.102294</v>
      </c>
      <c r="EA50">
        <v>1.38344E-2</v>
      </c>
      <c r="EB50">
        <v>20.189699999999998</v>
      </c>
      <c r="EC50">
        <v>5.2404999999999999</v>
      </c>
      <c r="ED50">
        <v>12.039899999999999</v>
      </c>
      <c r="EE50">
        <v>5.0163000000000002</v>
      </c>
      <c r="EF50">
        <v>3.2879999999999998</v>
      </c>
      <c r="EG50">
        <v>9999</v>
      </c>
      <c r="EH50">
        <v>9999</v>
      </c>
      <c r="EI50">
        <v>9999</v>
      </c>
      <c r="EJ50">
        <v>999.9</v>
      </c>
      <c r="EK50">
        <v>1.8689</v>
      </c>
      <c r="EL50">
        <v>1.8646199999999999</v>
      </c>
      <c r="EM50">
        <v>1.8692</v>
      </c>
      <c r="EN50">
        <v>1.8672200000000001</v>
      </c>
      <c r="EO50">
        <v>1.8633999999999999</v>
      </c>
      <c r="EP50">
        <v>1.8644799999999999</v>
      </c>
      <c r="EQ50">
        <v>1.8701399999999999</v>
      </c>
      <c r="ER50">
        <v>1.86944</v>
      </c>
      <c r="ES50">
        <v>0</v>
      </c>
      <c r="ET50">
        <v>0</v>
      </c>
      <c r="EU50">
        <v>0</v>
      </c>
      <c r="EV50">
        <v>0</v>
      </c>
      <c r="EW50" t="s">
        <v>334</v>
      </c>
      <c r="EX50" t="s">
        <v>335</v>
      </c>
      <c r="EY50" t="s">
        <v>336</v>
      </c>
      <c r="EZ50" t="s">
        <v>336</v>
      </c>
      <c r="FA50" t="s">
        <v>336</v>
      </c>
      <c r="FB50" t="s">
        <v>336</v>
      </c>
      <c r="FC50">
        <v>0</v>
      </c>
      <c r="FD50">
        <v>100</v>
      </c>
      <c r="FE50">
        <v>100</v>
      </c>
      <c r="FF50">
        <v>-0.33300000000000002</v>
      </c>
      <c r="FG50">
        <v>0.17199999999999999</v>
      </c>
      <c r="FH50">
        <v>0.2126736300064915</v>
      </c>
      <c r="FI50">
        <v>-6.1462078757559423E-4</v>
      </c>
      <c r="FJ50">
        <v>-1.8861989874597051E-7</v>
      </c>
      <c r="FK50">
        <v>1.1980462299894961E-10</v>
      </c>
      <c r="FL50">
        <v>0.1719881465068297</v>
      </c>
      <c r="FM50">
        <v>0</v>
      </c>
      <c r="FN50">
        <v>0</v>
      </c>
      <c r="FO50">
        <v>0</v>
      </c>
      <c r="FP50">
        <v>3</v>
      </c>
      <c r="FQ50">
        <v>2158</v>
      </c>
      <c r="FR50">
        <v>1</v>
      </c>
      <c r="FS50">
        <v>19</v>
      </c>
      <c r="FT50">
        <v>15</v>
      </c>
      <c r="FU50">
        <v>15.1</v>
      </c>
      <c r="FV50">
        <v>1.79688</v>
      </c>
      <c r="FW50">
        <v>2.5927699999999998</v>
      </c>
      <c r="FX50">
        <v>1.5490699999999999</v>
      </c>
      <c r="FY50">
        <v>2.3290999999999999</v>
      </c>
      <c r="FZ50">
        <v>1.50146</v>
      </c>
      <c r="GA50">
        <v>2.2875999999999999</v>
      </c>
      <c r="GB50">
        <v>33.625399999999999</v>
      </c>
      <c r="GC50">
        <v>23.982399999999998</v>
      </c>
      <c r="GD50">
        <v>19</v>
      </c>
      <c r="GE50">
        <v>281.58600000000001</v>
      </c>
      <c r="GF50">
        <v>605.70000000000005</v>
      </c>
      <c r="GG50">
        <v>25.022200000000002</v>
      </c>
      <c r="GH50">
        <v>26.151499999999999</v>
      </c>
      <c r="GI50">
        <v>30</v>
      </c>
      <c r="GJ50">
        <v>26.228999999999999</v>
      </c>
      <c r="GK50">
        <v>26.196400000000001</v>
      </c>
      <c r="GL50">
        <v>35.927599999999998</v>
      </c>
      <c r="GM50">
        <v>0</v>
      </c>
      <c r="GN50">
        <v>100</v>
      </c>
      <c r="GO50">
        <v>25.028600000000001</v>
      </c>
      <c r="GP50">
        <v>800</v>
      </c>
      <c r="GQ50">
        <v>22.758299999999998</v>
      </c>
      <c r="GR50">
        <v>99.796000000000006</v>
      </c>
      <c r="GS50">
        <v>99.658199999999994</v>
      </c>
    </row>
    <row r="51" spans="1:201" x14ac:dyDescent="0.25">
      <c r="A51">
        <v>35</v>
      </c>
      <c r="B51">
        <v>1690232914.5999999</v>
      </c>
      <c r="C51">
        <v>408.5</v>
      </c>
      <c r="D51" t="s">
        <v>401</v>
      </c>
      <c r="E51" t="s">
        <v>402</v>
      </c>
      <c r="F51" t="s">
        <v>330</v>
      </c>
      <c r="H51">
        <v>1690232914.5999999</v>
      </c>
      <c r="I51">
        <f t="shared" si="0"/>
        <v>1.4112551766600531E-4</v>
      </c>
      <c r="J51">
        <f t="shared" si="1"/>
        <v>0.14112551766600531</v>
      </c>
      <c r="K51">
        <f t="shared" si="2"/>
        <v>0.65815882737567977</v>
      </c>
      <c r="L51">
        <f t="shared" si="3"/>
        <v>791.72</v>
      </c>
      <c r="M51">
        <f t="shared" si="4"/>
        <v>639.68611112108647</v>
      </c>
      <c r="N51">
        <f t="shared" si="5"/>
        <v>63.40356127356317</v>
      </c>
      <c r="O51">
        <f t="shared" si="6"/>
        <v>78.472655039408011</v>
      </c>
      <c r="P51">
        <f t="shared" si="7"/>
        <v>8.0036656629782245E-3</v>
      </c>
      <c r="Q51">
        <f t="shared" si="8"/>
        <v>2.1328524851593569</v>
      </c>
      <c r="R51">
        <f t="shared" si="9"/>
        <v>7.9870174382558282E-3</v>
      </c>
      <c r="S51">
        <f t="shared" si="10"/>
        <v>4.9933787603856812E-3</v>
      </c>
      <c r="T51">
        <f t="shared" si="11"/>
        <v>276.11363101086118</v>
      </c>
      <c r="U51">
        <f t="shared" si="12"/>
        <v>29.277389421968159</v>
      </c>
      <c r="V51">
        <f t="shared" si="13"/>
        <v>29.277389421968159</v>
      </c>
      <c r="W51">
        <f t="shared" si="14"/>
        <v>4.086780895354762</v>
      </c>
      <c r="X51">
        <f t="shared" si="15"/>
        <v>66.27952708804844</v>
      </c>
      <c r="Y51">
        <f t="shared" si="16"/>
        <v>2.3926963916312802</v>
      </c>
      <c r="Z51">
        <f t="shared" si="17"/>
        <v>3.6100082434998733</v>
      </c>
      <c r="AA51">
        <f t="shared" si="18"/>
        <v>1.6940845037234817</v>
      </c>
      <c r="AB51">
        <f t="shared" si="19"/>
        <v>-6.2236353290708344</v>
      </c>
      <c r="AC51">
        <f t="shared" si="20"/>
        <v>-245.05767825582745</v>
      </c>
      <c r="AD51">
        <f t="shared" si="21"/>
        <v>-25.098054593113378</v>
      </c>
      <c r="AE51">
        <f t="shared" si="22"/>
        <v>-0.26573716715049045</v>
      </c>
      <c r="AF51">
        <v>0</v>
      </c>
      <c r="AG51">
        <v>0</v>
      </c>
      <c r="AH51">
        <f t="shared" si="23"/>
        <v>1</v>
      </c>
      <c r="AI51">
        <f t="shared" si="24"/>
        <v>0</v>
      </c>
      <c r="AJ51">
        <f t="shared" si="25"/>
        <v>52447.633444823725</v>
      </c>
      <c r="AK51">
        <f t="shared" si="26"/>
        <v>1799.99</v>
      </c>
      <c r="AL51">
        <f t="shared" si="27"/>
        <v>1499.1048739933199</v>
      </c>
      <c r="AM51">
        <f t="shared" si="28"/>
        <v>0.8328406679999999</v>
      </c>
      <c r="AN51">
        <f t="shared" si="29"/>
        <v>0.15339731388</v>
      </c>
      <c r="AO51">
        <v>32.4</v>
      </c>
      <c r="AP51">
        <v>0.5</v>
      </c>
      <c r="AQ51" t="s">
        <v>331</v>
      </c>
      <c r="AR51">
        <v>2</v>
      </c>
      <c r="AS51">
        <v>1690232914.5999999</v>
      </c>
      <c r="AT51">
        <v>791.72</v>
      </c>
      <c r="AU51">
        <v>800.03</v>
      </c>
      <c r="AV51">
        <v>24.1402</v>
      </c>
      <c r="AW51">
        <v>22.653700000000001</v>
      </c>
      <c r="AX51">
        <v>792.053</v>
      </c>
      <c r="AY51">
        <v>23.9682</v>
      </c>
      <c r="AZ51">
        <v>300.17399999999998</v>
      </c>
      <c r="BA51">
        <v>99.0167</v>
      </c>
      <c r="BB51">
        <v>9.9976400000000007E-2</v>
      </c>
      <c r="BC51">
        <v>27.1462</v>
      </c>
      <c r="BD51">
        <v>26.981200000000001</v>
      </c>
      <c r="BE51">
        <v>29.322900000000001</v>
      </c>
      <c r="BF51">
        <v>0</v>
      </c>
      <c r="BG51">
        <v>0</v>
      </c>
      <c r="BH51">
        <v>10023.1</v>
      </c>
      <c r="BI51">
        <v>1080.68</v>
      </c>
      <c r="BJ51">
        <v>1.4577199999999999</v>
      </c>
      <c r="BK51">
        <v>-8.3096300000000003</v>
      </c>
      <c r="BL51">
        <v>811.30499999999995</v>
      </c>
      <c r="BM51">
        <v>818.57299999999998</v>
      </c>
      <c r="BN51">
        <v>1.4864900000000001</v>
      </c>
      <c r="BO51">
        <v>800.03</v>
      </c>
      <c r="BP51">
        <v>22.653700000000001</v>
      </c>
      <c r="BQ51">
        <v>2.3902800000000002</v>
      </c>
      <c r="BR51">
        <v>2.24309</v>
      </c>
      <c r="BS51">
        <v>20.298100000000002</v>
      </c>
      <c r="BT51">
        <v>19.273399999999999</v>
      </c>
      <c r="BU51">
        <v>1799.99</v>
      </c>
      <c r="BV51">
        <v>0.91000499999999995</v>
      </c>
      <c r="BW51">
        <v>3.3997800000000002E-2</v>
      </c>
      <c r="BX51">
        <v>2.1998400000000001E-2</v>
      </c>
      <c r="BY51">
        <v>3.39992E-2</v>
      </c>
      <c r="BZ51">
        <v>25</v>
      </c>
      <c r="CA51">
        <v>33528.199999999997</v>
      </c>
      <c r="CB51">
        <v>1690232006</v>
      </c>
      <c r="CC51" t="s">
        <v>332</v>
      </c>
      <c r="CD51">
        <v>1690232006</v>
      </c>
      <c r="CE51">
        <v>1690231998.5</v>
      </c>
      <c r="CF51">
        <v>14</v>
      </c>
      <c r="CG51">
        <v>-0.13200000000000001</v>
      </c>
      <c r="CH51">
        <v>-7.0000000000000001E-3</v>
      </c>
      <c r="CI51">
        <v>-0.33800000000000002</v>
      </c>
      <c r="CJ51">
        <v>0.14299999999999999</v>
      </c>
      <c r="CK51">
        <v>799</v>
      </c>
      <c r="CL51">
        <v>19</v>
      </c>
      <c r="CM51">
        <v>7.0000000000000007E-2</v>
      </c>
      <c r="CN51">
        <v>0.14000000000000001</v>
      </c>
      <c r="CO51">
        <v>-7.6878114999999996</v>
      </c>
      <c r="CP51">
        <v>-3.1397239024390191</v>
      </c>
      <c r="CQ51">
        <v>0.30261109273744408</v>
      </c>
      <c r="CR51">
        <v>-1</v>
      </c>
      <c r="CS51">
        <v>1.466702</v>
      </c>
      <c r="CT51">
        <v>9.9472120075045439E-2</v>
      </c>
      <c r="CU51">
        <v>9.5853380743717125E-3</v>
      </c>
      <c r="CV51">
        <v>-1</v>
      </c>
      <c r="CW51">
        <v>0</v>
      </c>
      <c r="CX51">
        <v>0</v>
      </c>
      <c r="CY51" t="s">
        <v>333</v>
      </c>
      <c r="CZ51">
        <v>2.3645900000000002</v>
      </c>
      <c r="DA51">
        <v>2.7137899999999999</v>
      </c>
      <c r="DB51">
        <v>0.145736</v>
      </c>
      <c r="DC51">
        <v>0.14638300000000001</v>
      </c>
      <c r="DD51">
        <v>0.114389</v>
      </c>
      <c r="DE51">
        <v>0.107714</v>
      </c>
      <c r="DF51">
        <v>31210.3</v>
      </c>
      <c r="DG51">
        <v>27534.400000000001</v>
      </c>
      <c r="DH51">
        <v>31189</v>
      </c>
      <c r="DI51">
        <v>28105.8</v>
      </c>
      <c r="DJ51">
        <v>37502.6</v>
      </c>
      <c r="DK51">
        <v>35661.800000000003</v>
      </c>
      <c r="DL51">
        <v>44388.5</v>
      </c>
      <c r="DM51">
        <v>42603.3</v>
      </c>
      <c r="DN51">
        <v>1.4744299999999999</v>
      </c>
      <c r="DO51">
        <v>2.0654499999999998</v>
      </c>
      <c r="DP51">
        <v>6.9700200000000004E-2</v>
      </c>
      <c r="DQ51">
        <v>0.22586400000000001</v>
      </c>
      <c r="DR51">
        <v>25.840199999999999</v>
      </c>
      <c r="DS51">
        <v>25.631900000000002</v>
      </c>
      <c r="DT51">
        <v>56.3</v>
      </c>
      <c r="DU51">
        <v>29</v>
      </c>
      <c r="DV51">
        <v>22.868200000000002</v>
      </c>
      <c r="DW51">
        <v>61.917999999999999</v>
      </c>
      <c r="DX51">
        <v>36.510399999999997</v>
      </c>
      <c r="DY51">
        <v>1</v>
      </c>
      <c r="DZ51">
        <v>-0.102922</v>
      </c>
      <c r="EA51">
        <v>-8.3959700000000009E-3</v>
      </c>
      <c r="EB51">
        <v>20.189699999999998</v>
      </c>
      <c r="EC51">
        <v>5.2411000000000003</v>
      </c>
      <c r="ED51">
        <v>12.039899999999999</v>
      </c>
      <c r="EE51">
        <v>5.0167000000000002</v>
      </c>
      <c r="EF51">
        <v>3.2879999999999998</v>
      </c>
      <c r="EG51">
        <v>9999</v>
      </c>
      <c r="EH51">
        <v>9999</v>
      </c>
      <c r="EI51">
        <v>9999</v>
      </c>
      <c r="EJ51">
        <v>999.9</v>
      </c>
      <c r="EK51">
        <v>1.8689100000000001</v>
      </c>
      <c r="EL51">
        <v>1.8646199999999999</v>
      </c>
      <c r="EM51">
        <v>1.8692</v>
      </c>
      <c r="EN51">
        <v>1.8672200000000001</v>
      </c>
      <c r="EO51">
        <v>1.8633999999999999</v>
      </c>
      <c r="EP51">
        <v>1.8644799999999999</v>
      </c>
      <c r="EQ51">
        <v>1.87016</v>
      </c>
      <c r="ER51">
        <v>1.8694</v>
      </c>
      <c r="ES51">
        <v>0</v>
      </c>
      <c r="ET51">
        <v>0</v>
      </c>
      <c r="EU51">
        <v>0</v>
      </c>
      <c r="EV51">
        <v>0</v>
      </c>
      <c r="EW51" t="s">
        <v>334</v>
      </c>
      <c r="EX51" t="s">
        <v>335</v>
      </c>
      <c r="EY51" t="s">
        <v>336</v>
      </c>
      <c r="EZ51" t="s">
        <v>336</v>
      </c>
      <c r="FA51" t="s">
        <v>336</v>
      </c>
      <c r="FB51" t="s">
        <v>336</v>
      </c>
      <c r="FC51">
        <v>0</v>
      </c>
      <c r="FD51">
        <v>100</v>
      </c>
      <c r="FE51">
        <v>100</v>
      </c>
      <c r="FF51">
        <v>-0.33300000000000002</v>
      </c>
      <c r="FG51">
        <v>0.17199999999999999</v>
      </c>
      <c r="FH51">
        <v>0.2126736300064915</v>
      </c>
      <c r="FI51">
        <v>-6.1462078757559423E-4</v>
      </c>
      <c r="FJ51">
        <v>-1.8861989874597051E-7</v>
      </c>
      <c r="FK51">
        <v>1.1980462299894961E-10</v>
      </c>
      <c r="FL51">
        <v>0.1719881465068297</v>
      </c>
      <c r="FM51">
        <v>0</v>
      </c>
      <c r="FN51">
        <v>0</v>
      </c>
      <c r="FO51">
        <v>0</v>
      </c>
      <c r="FP51">
        <v>3</v>
      </c>
      <c r="FQ51">
        <v>2158</v>
      </c>
      <c r="FR51">
        <v>1</v>
      </c>
      <c r="FS51">
        <v>19</v>
      </c>
      <c r="FT51">
        <v>15.1</v>
      </c>
      <c r="FU51">
        <v>15.3</v>
      </c>
      <c r="FV51">
        <v>1.79688</v>
      </c>
      <c r="FW51">
        <v>2.5878899999999998</v>
      </c>
      <c r="FX51">
        <v>1.5490699999999999</v>
      </c>
      <c r="FY51">
        <v>2.3290999999999999</v>
      </c>
      <c r="FZ51">
        <v>1.50146</v>
      </c>
      <c r="GA51">
        <v>2.3913600000000002</v>
      </c>
      <c r="GB51">
        <v>33.625399999999999</v>
      </c>
      <c r="GC51">
        <v>23.991199999999999</v>
      </c>
      <c r="GD51">
        <v>19</v>
      </c>
      <c r="GE51">
        <v>281.58300000000003</v>
      </c>
      <c r="GF51">
        <v>605.89099999999996</v>
      </c>
      <c r="GG51">
        <v>25.037700000000001</v>
      </c>
      <c r="GH51">
        <v>26.147099999999998</v>
      </c>
      <c r="GI51">
        <v>29.9998</v>
      </c>
      <c r="GJ51">
        <v>26.2285</v>
      </c>
      <c r="GK51">
        <v>26.196400000000001</v>
      </c>
      <c r="GL51">
        <v>35.9285</v>
      </c>
      <c r="GM51">
        <v>0</v>
      </c>
      <c r="GN51">
        <v>100</v>
      </c>
      <c r="GO51">
        <v>25.041499999999999</v>
      </c>
      <c r="GP51">
        <v>800</v>
      </c>
      <c r="GQ51">
        <v>22.678799999999999</v>
      </c>
      <c r="GR51">
        <v>99.796300000000002</v>
      </c>
      <c r="GS51">
        <v>99.659599999999998</v>
      </c>
    </row>
    <row r="52" spans="1:201" x14ac:dyDescent="0.25">
      <c r="A52">
        <v>36</v>
      </c>
      <c r="B52">
        <v>1690232924.5999999</v>
      </c>
      <c r="C52">
        <v>418.5</v>
      </c>
      <c r="D52" t="s">
        <v>403</v>
      </c>
      <c r="E52" t="s">
        <v>404</v>
      </c>
      <c r="F52" t="s">
        <v>330</v>
      </c>
      <c r="H52">
        <v>1690232924.5999999</v>
      </c>
      <c r="I52">
        <f t="shared" si="0"/>
        <v>1.4290521113993E-4</v>
      </c>
      <c r="J52">
        <f t="shared" si="1"/>
        <v>0.14290521113993002</v>
      </c>
      <c r="K52">
        <f t="shared" si="2"/>
        <v>0.70151380078101444</v>
      </c>
      <c r="L52">
        <f t="shared" si="3"/>
        <v>791.16700000000003</v>
      </c>
      <c r="M52">
        <f t="shared" si="4"/>
        <v>632.5750992052325</v>
      </c>
      <c r="N52">
        <f t="shared" si="5"/>
        <v>62.697925068457401</v>
      </c>
      <c r="O52">
        <f t="shared" si="6"/>
        <v>78.416822516345306</v>
      </c>
      <c r="P52">
        <f t="shared" si="7"/>
        <v>8.1184081447070143E-3</v>
      </c>
      <c r="Q52">
        <f t="shared" si="8"/>
        <v>2.1357415297108049</v>
      </c>
      <c r="R52">
        <f t="shared" si="9"/>
        <v>8.1013028210429518E-3</v>
      </c>
      <c r="S52">
        <f t="shared" si="10"/>
        <v>5.0648480748607151E-3</v>
      </c>
      <c r="T52">
        <f t="shared" si="11"/>
        <v>276.11313743560328</v>
      </c>
      <c r="U52">
        <f t="shared" si="12"/>
        <v>29.27065541672901</v>
      </c>
      <c r="V52">
        <f t="shared" si="13"/>
        <v>29.27065541672901</v>
      </c>
      <c r="W52">
        <f t="shared" si="14"/>
        <v>4.0851919504893957</v>
      </c>
      <c r="X52">
        <f t="shared" si="15"/>
        <v>66.328249716960315</v>
      </c>
      <c r="Y52">
        <f t="shared" si="16"/>
        <v>2.39396365025847</v>
      </c>
      <c r="Z52">
        <f t="shared" si="17"/>
        <v>3.6092670324848428</v>
      </c>
      <c r="AA52">
        <f t="shared" si="18"/>
        <v>1.6912283002309256</v>
      </c>
      <c r="AB52">
        <f t="shared" si="19"/>
        <v>-6.3021198112709129</v>
      </c>
      <c r="AC52">
        <f t="shared" si="20"/>
        <v>-245.01724974897959</v>
      </c>
      <c r="AD52">
        <f t="shared" si="21"/>
        <v>-25.058691095904699</v>
      </c>
      <c r="AE52">
        <f t="shared" si="22"/>
        <v>-0.2649232205519354</v>
      </c>
      <c r="AF52">
        <v>0</v>
      </c>
      <c r="AG52">
        <v>0</v>
      </c>
      <c r="AH52">
        <f t="shared" si="23"/>
        <v>1</v>
      </c>
      <c r="AI52">
        <f t="shared" si="24"/>
        <v>0</v>
      </c>
      <c r="AJ52">
        <f t="shared" si="25"/>
        <v>52572.907932765353</v>
      </c>
      <c r="AK52">
        <f t="shared" si="26"/>
        <v>1799.99</v>
      </c>
      <c r="AL52">
        <f t="shared" si="27"/>
        <v>1499.1057451884799</v>
      </c>
      <c r="AM52">
        <f t="shared" si="28"/>
        <v>0.83284115199999997</v>
      </c>
      <c r="AN52">
        <f t="shared" si="29"/>
        <v>0.15339703966999998</v>
      </c>
      <c r="AO52">
        <v>32.4</v>
      </c>
      <c r="AP52">
        <v>0.5</v>
      </c>
      <c r="AQ52" t="s">
        <v>331</v>
      </c>
      <c r="AR52">
        <v>2</v>
      </c>
      <c r="AS52">
        <v>1690232924.5999999</v>
      </c>
      <c r="AT52">
        <v>791.16700000000003</v>
      </c>
      <c r="AU52">
        <v>799.95799999999997</v>
      </c>
      <c r="AV52">
        <v>24.153300000000002</v>
      </c>
      <c r="AW52">
        <v>22.648299999999999</v>
      </c>
      <c r="AX52">
        <v>791.5</v>
      </c>
      <c r="AY52">
        <v>23.981300000000001</v>
      </c>
      <c r="AZ52">
        <v>300.21899999999999</v>
      </c>
      <c r="BA52">
        <v>99.0154</v>
      </c>
      <c r="BB52">
        <v>9.9985900000000003E-2</v>
      </c>
      <c r="BC52">
        <v>27.142700000000001</v>
      </c>
      <c r="BD52">
        <v>26.987300000000001</v>
      </c>
      <c r="BE52">
        <v>29.3262</v>
      </c>
      <c r="BF52">
        <v>0</v>
      </c>
      <c r="BG52">
        <v>0</v>
      </c>
      <c r="BH52">
        <v>10048.1</v>
      </c>
      <c r="BI52">
        <v>1080.6099999999999</v>
      </c>
      <c r="BJ52">
        <v>1.4577199999999999</v>
      </c>
      <c r="BK52">
        <v>-8.7914399999999997</v>
      </c>
      <c r="BL52">
        <v>810.74900000000002</v>
      </c>
      <c r="BM52">
        <v>818.49599999999998</v>
      </c>
      <c r="BN52">
        <v>1.5049399999999999</v>
      </c>
      <c r="BO52">
        <v>799.95799999999997</v>
      </c>
      <c r="BP52">
        <v>22.648299999999999</v>
      </c>
      <c r="BQ52">
        <v>2.39154</v>
      </c>
      <c r="BR52">
        <v>2.2425299999999999</v>
      </c>
      <c r="BS52">
        <v>20.3066</v>
      </c>
      <c r="BT52">
        <v>19.269400000000001</v>
      </c>
      <c r="BU52">
        <v>1799.99</v>
      </c>
      <c r="BV52">
        <v>0.91001399999999999</v>
      </c>
      <c r="BW52">
        <v>3.3994299999999998E-2</v>
      </c>
      <c r="BX52">
        <v>2.1996100000000001E-2</v>
      </c>
      <c r="BY52">
        <v>3.3995699999999997E-2</v>
      </c>
      <c r="BZ52">
        <v>25</v>
      </c>
      <c r="CA52">
        <v>33528.300000000003</v>
      </c>
      <c r="CB52">
        <v>1690232006</v>
      </c>
      <c r="CC52" t="s">
        <v>332</v>
      </c>
      <c r="CD52">
        <v>1690232006</v>
      </c>
      <c r="CE52">
        <v>1690231998.5</v>
      </c>
      <c r="CF52">
        <v>14</v>
      </c>
      <c r="CG52">
        <v>-0.13200000000000001</v>
      </c>
      <c r="CH52">
        <v>-7.0000000000000001E-3</v>
      </c>
      <c r="CI52">
        <v>-0.33800000000000002</v>
      </c>
      <c r="CJ52">
        <v>0.14299999999999999</v>
      </c>
      <c r="CK52">
        <v>799</v>
      </c>
      <c r="CL52">
        <v>19</v>
      </c>
      <c r="CM52">
        <v>7.0000000000000007E-2</v>
      </c>
      <c r="CN52">
        <v>0.14000000000000001</v>
      </c>
      <c r="CO52">
        <v>-8.2248160975609768</v>
      </c>
      <c r="CP52">
        <v>-3.1082682229965259</v>
      </c>
      <c r="CQ52">
        <v>0.30767015125782832</v>
      </c>
      <c r="CR52">
        <v>-1</v>
      </c>
      <c r="CS52">
        <v>1.4844919512195121</v>
      </c>
      <c r="CT52">
        <v>0.1091253658536631</v>
      </c>
      <c r="CU52">
        <v>1.0769476337454221E-2</v>
      </c>
      <c r="CV52">
        <v>-1</v>
      </c>
      <c r="CW52">
        <v>0</v>
      </c>
      <c r="CX52">
        <v>0</v>
      </c>
      <c r="CY52" t="s">
        <v>333</v>
      </c>
      <c r="CZ52">
        <v>2.3647499999999999</v>
      </c>
      <c r="DA52">
        <v>2.7138200000000001</v>
      </c>
      <c r="DB52">
        <v>0.14566699999999999</v>
      </c>
      <c r="DC52">
        <v>0.146372</v>
      </c>
      <c r="DD52">
        <v>0.11443200000000001</v>
      </c>
      <c r="DE52">
        <v>0.107695</v>
      </c>
      <c r="DF52">
        <v>31212.7</v>
      </c>
      <c r="DG52">
        <v>27535.200000000001</v>
      </c>
      <c r="DH52">
        <v>31188.9</v>
      </c>
      <c r="DI52">
        <v>28106.2</v>
      </c>
      <c r="DJ52">
        <v>37500.5</v>
      </c>
      <c r="DK52">
        <v>35663</v>
      </c>
      <c r="DL52">
        <v>44388.3</v>
      </c>
      <c r="DM52">
        <v>42603.9</v>
      </c>
      <c r="DN52">
        <v>1.4742500000000001</v>
      </c>
      <c r="DO52">
        <v>2.0653999999999999</v>
      </c>
      <c r="DP52">
        <v>7.0370699999999994E-2</v>
      </c>
      <c r="DQ52">
        <v>0.22620000000000001</v>
      </c>
      <c r="DR52">
        <v>25.8354</v>
      </c>
      <c r="DS52">
        <v>25.6297</v>
      </c>
      <c r="DT52">
        <v>56.3</v>
      </c>
      <c r="DU52">
        <v>29</v>
      </c>
      <c r="DV52">
        <v>22.869</v>
      </c>
      <c r="DW52">
        <v>61.817999999999998</v>
      </c>
      <c r="DX52">
        <v>35.220399999999998</v>
      </c>
      <c r="DY52">
        <v>1</v>
      </c>
      <c r="DZ52">
        <v>-0.102828</v>
      </c>
      <c r="EA52">
        <v>-2.9441700000000001E-2</v>
      </c>
      <c r="EB52">
        <v>20.189800000000002</v>
      </c>
      <c r="EC52">
        <v>5.2411000000000003</v>
      </c>
      <c r="ED52">
        <v>12.039899999999999</v>
      </c>
      <c r="EE52">
        <v>5.0170000000000003</v>
      </c>
      <c r="EF52">
        <v>3.2879999999999998</v>
      </c>
      <c r="EG52">
        <v>9999</v>
      </c>
      <c r="EH52">
        <v>9999</v>
      </c>
      <c r="EI52">
        <v>9999</v>
      </c>
      <c r="EJ52">
        <v>999.9</v>
      </c>
      <c r="EK52">
        <v>1.8689</v>
      </c>
      <c r="EL52">
        <v>1.8646199999999999</v>
      </c>
      <c r="EM52">
        <v>1.8691899999999999</v>
      </c>
      <c r="EN52">
        <v>1.8672200000000001</v>
      </c>
      <c r="EO52">
        <v>1.8633999999999999</v>
      </c>
      <c r="EP52">
        <v>1.86449</v>
      </c>
      <c r="EQ52">
        <v>1.87015</v>
      </c>
      <c r="ER52">
        <v>1.86938</v>
      </c>
      <c r="ES52">
        <v>0</v>
      </c>
      <c r="ET52">
        <v>0</v>
      </c>
      <c r="EU52">
        <v>0</v>
      </c>
      <c r="EV52">
        <v>0</v>
      </c>
      <c r="EW52" t="s">
        <v>334</v>
      </c>
      <c r="EX52" t="s">
        <v>335</v>
      </c>
      <c r="EY52" t="s">
        <v>336</v>
      </c>
      <c r="EZ52" t="s">
        <v>336</v>
      </c>
      <c r="FA52" t="s">
        <v>336</v>
      </c>
      <c r="FB52" t="s">
        <v>336</v>
      </c>
      <c r="FC52">
        <v>0</v>
      </c>
      <c r="FD52">
        <v>100</v>
      </c>
      <c r="FE52">
        <v>100</v>
      </c>
      <c r="FF52">
        <v>-0.33300000000000002</v>
      </c>
      <c r="FG52">
        <v>0.17199999999999999</v>
      </c>
      <c r="FH52">
        <v>0.2126736300064915</v>
      </c>
      <c r="FI52">
        <v>-6.1462078757559423E-4</v>
      </c>
      <c r="FJ52">
        <v>-1.8861989874597051E-7</v>
      </c>
      <c r="FK52">
        <v>1.1980462299894961E-10</v>
      </c>
      <c r="FL52">
        <v>0.1719881465068297</v>
      </c>
      <c r="FM52">
        <v>0</v>
      </c>
      <c r="FN52">
        <v>0</v>
      </c>
      <c r="FO52">
        <v>0</v>
      </c>
      <c r="FP52">
        <v>3</v>
      </c>
      <c r="FQ52">
        <v>2158</v>
      </c>
      <c r="FR52">
        <v>1</v>
      </c>
      <c r="FS52">
        <v>19</v>
      </c>
      <c r="FT52">
        <v>15.3</v>
      </c>
      <c r="FU52">
        <v>15.4</v>
      </c>
      <c r="FV52">
        <v>1.79688</v>
      </c>
      <c r="FW52">
        <v>2.5915499999999998</v>
      </c>
      <c r="FX52">
        <v>1.5490699999999999</v>
      </c>
      <c r="FY52">
        <v>2.3290999999999999</v>
      </c>
      <c r="FZ52">
        <v>1.50146</v>
      </c>
      <c r="GA52">
        <v>2.2912599999999999</v>
      </c>
      <c r="GB52">
        <v>33.625399999999999</v>
      </c>
      <c r="GC52">
        <v>23.982399999999998</v>
      </c>
      <c r="GD52">
        <v>19</v>
      </c>
      <c r="GE52">
        <v>281.50200000000001</v>
      </c>
      <c r="GF52">
        <v>605.84900000000005</v>
      </c>
      <c r="GG52">
        <v>25.055399999999999</v>
      </c>
      <c r="GH52">
        <v>26.1449</v>
      </c>
      <c r="GI52">
        <v>30.0001</v>
      </c>
      <c r="GJ52">
        <v>26.226800000000001</v>
      </c>
      <c r="GK52">
        <v>26.196400000000001</v>
      </c>
      <c r="GL52">
        <v>35.928100000000001</v>
      </c>
      <c r="GM52">
        <v>0</v>
      </c>
      <c r="GN52">
        <v>100</v>
      </c>
      <c r="GO52">
        <v>25.0579</v>
      </c>
      <c r="GP52">
        <v>800</v>
      </c>
      <c r="GQ52">
        <v>22.596499999999999</v>
      </c>
      <c r="GR52">
        <v>99.7958</v>
      </c>
      <c r="GS52">
        <v>99.661000000000001</v>
      </c>
    </row>
    <row r="53" spans="1:201" x14ac:dyDescent="0.25">
      <c r="A53">
        <v>37</v>
      </c>
      <c r="B53">
        <v>1690232934.5999999</v>
      </c>
      <c r="C53">
        <v>428.5</v>
      </c>
      <c r="D53" t="s">
        <v>405</v>
      </c>
      <c r="E53" t="s">
        <v>406</v>
      </c>
      <c r="F53" t="s">
        <v>330</v>
      </c>
      <c r="H53">
        <v>1690232934.5999999</v>
      </c>
      <c r="I53">
        <f t="shared" si="0"/>
        <v>1.4478299008534266E-4</v>
      </c>
      <c r="J53">
        <f t="shared" si="1"/>
        <v>0.14478299008534265</v>
      </c>
      <c r="K53">
        <f t="shared" si="2"/>
        <v>0.76388264555786667</v>
      </c>
      <c r="L53">
        <f t="shared" si="3"/>
        <v>790.58799999999997</v>
      </c>
      <c r="M53">
        <f t="shared" si="4"/>
        <v>622.09970977581213</v>
      </c>
      <c r="N53">
        <f t="shared" si="5"/>
        <v>61.659046939800277</v>
      </c>
      <c r="O53">
        <f t="shared" si="6"/>
        <v>78.358664754255997</v>
      </c>
      <c r="P53">
        <f t="shared" si="7"/>
        <v>8.2402587153638483E-3</v>
      </c>
      <c r="Q53">
        <f t="shared" si="8"/>
        <v>2.1313707262086132</v>
      </c>
      <c r="R53">
        <f t="shared" si="9"/>
        <v>8.2226006126551576E-3</v>
      </c>
      <c r="S53">
        <f t="shared" si="10"/>
        <v>5.1407087088631573E-3</v>
      </c>
      <c r="T53">
        <f t="shared" si="11"/>
        <v>276.11275364173548</v>
      </c>
      <c r="U53">
        <f t="shared" si="12"/>
        <v>29.263680308657658</v>
      </c>
      <c r="V53">
        <f t="shared" si="13"/>
        <v>29.263680308657658</v>
      </c>
      <c r="W53">
        <f t="shared" si="14"/>
        <v>4.0835466833045597</v>
      </c>
      <c r="X53">
        <f t="shared" si="15"/>
        <v>66.40781087986997</v>
      </c>
      <c r="Y53">
        <f t="shared" si="16"/>
        <v>2.3953871977748</v>
      </c>
      <c r="Z53">
        <f t="shared" si="17"/>
        <v>3.6070865249691693</v>
      </c>
      <c r="AA53">
        <f t="shared" si="18"/>
        <v>1.6881594855297597</v>
      </c>
      <c r="AB53">
        <f t="shared" si="19"/>
        <v>-6.3849298627636113</v>
      </c>
      <c r="AC53">
        <f t="shared" si="20"/>
        <v>-244.8978725333495</v>
      </c>
      <c r="AD53">
        <f t="shared" si="21"/>
        <v>-25.095686752426623</v>
      </c>
      <c r="AE53">
        <f t="shared" si="22"/>
        <v>-0.26573550680424773</v>
      </c>
      <c r="AF53">
        <v>0</v>
      </c>
      <c r="AG53">
        <v>0</v>
      </c>
      <c r="AH53">
        <f t="shared" si="23"/>
        <v>1</v>
      </c>
      <c r="AI53">
        <f t="shared" si="24"/>
        <v>0</v>
      </c>
      <c r="AJ53">
        <f t="shared" si="25"/>
        <v>52386.115078723808</v>
      </c>
      <c r="AK53">
        <f t="shared" si="26"/>
        <v>1799.99</v>
      </c>
      <c r="AL53">
        <f t="shared" si="27"/>
        <v>1499.10544459015</v>
      </c>
      <c r="AM53">
        <f t="shared" si="28"/>
        <v>0.83284098500000003</v>
      </c>
      <c r="AN53">
        <f t="shared" si="29"/>
        <v>0.15339682645</v>
      </c>
      <c r="AO53">
        <v>32.4</v>
      </c>
      <c r="AP53">
        <v>0.5</v>
      </c>
      <c r="AQ53" t="s">
        <v>331</v>
      </c>
      <c r="AR53">
        <v>2</v>
      </c>
      <c r="AS53">
        <v>1690232934.5999999</v>
      </c>
      <c r="AT53">
        <v>790.58799999999997</v>
      </c>
      <c r="AU53">
        <v>800.07</v>
      </c>
      <c r="AV53">
        <v>24.167899999999999</v>
      </c>
      <c r="AW53">
        <v>22.642700000000001</v>
      </c>
      <c r="AX53">
        <v>790.92</v>
      </c>
      <c r="AY53">
        <v>23.995899999999999</v>
      </c>
      <c r="AZ53">
        <v>300.13099999999997</v>
      </c>
      <c r="BA53">
        <v>99.014399999999995</v>
      </c>
      <c r="BB53">
        <v>0.100012</v>
      </c>
      <c r="BC53">
        <v>27.132400000000001</v>
      </c>
      <c r="BD53">
        <v>26.9907</v>
      </c>
      <c r="BE53">
        <v>29.294</v>
      </c>
      <c r="BF53">
        <v>0</v>
      </c>
      <c r="BG53">
        <v>0</v>
      </c>
      <c r="BH53">
        <v>10010.6</v>
      </c>
      <c r="BI53">
        <v>1080.6400000000001</v>
      </c>
      <c r="BJ53">
        <v>1.4577199999999999</v>
      </c>
      <c r="BK53">
        <v>-9.4821799999999996</v>
      </c>
      <c r="BL53">
        <v>810.16800000000001</v>
      </c>
      <c r="BM53">
        <v>818.60500000000002</v>
      </c>
      <c r="BN53">
        <v>1.5252300000000001</v>
      </c>
      <c r="BO53">
        <v>800.07</v>
      </c>
      <c r="BP53">
        <v>22.642700000000001</v>
      </c>
      <c r="BQ53">
        <v>2.39297</v>
      </c>
      <c r="BR53">
        <v>2.2419500000000001</v>
      </c>
      <c r="BS53">
        <v>20.316299999999998</v>
      </c>
      <c r="BT53">
        <v>19.2653</v>
      </c>
      <c r="BU53">
        <v>1799.99</v>
      </c>
      <c r="BV53">
        <v>0.91001799999999999</v>
      </c>
      <c r="BW53">
        <v>3.3995299999999999E-2</v>
      </c>
      <c r="BX53">
        <v>2.1994E-2</v>
      </c>
      <c r="BY53">
        <v>3.3992500000000002E-2</v>
      </c>
      <c r="BZ53">
        <v>25</v>
      </c>
      <c r="CA53">
        <v>33528.300000000003</v>
      </c>
      <c r="CB53">
        <v>1690232006</v>
      </c>
      <c r="CC53" t="s">
        <v>332</v>
      </c>
      <c r="CD53">
        <v>1690232006</v>
      </c>
      <c r="CE53">
        <v>1690231998.5</v>
      </c>
      <c r="CF53">
        <v>14</v>
      </c>
      <c r="CG53">
        <v>-0.13200000000000001</v>
      </c>
      <c r="CH53">
        <v>-7.0000000000000001E-3</v>
      </c>
      <c r="CI53">
        <v>-0.33800000000000002</v>
      </c>
      <c r="CJ53">
        <v>0.14299999999999999</v>
      </c>
      <c r="CK53">
        <v>799</v>
      </c>
      <c r="CL53">
        <v>19</v>
      </c>
      <c r="CM53">
        <v>7.0000000000000007E-2</v>
      </c>
      <c r="CN53">
        <v>0.14000000000000001</v>
      </c>
      <c r="CO53">
        <v>-8.7668485</v>
      </c>
      <c r="CP53">
        <v>-3.5064661913695749</v>
      </c>
      <c r="CQ53">
        <v>0.3401496360247207</v>
      </c>
      <c r="CR53">
        <v>-1</v>
      </c>
      <c r="CS53">
        <v>1.5027969999999999</v>
      </c>
      <c r="CT53">
        <v>0.11562146341462889</v>
      </c>
      <c r="CU53">
        <v>1.1146780521747061E-2</v>
      </c>
      <c r="CV53">
        <v>-1</v>
      </c>
      <c r="CW53">
        <v>0</v>
      </c>
      <c r="CX53">
        <v>0</v>
      </c>
      <c r="CY53" t="s">
        <v>333</v>
      </c>
      <c r="CZ53">
        <v>2.3644500000000002</v>
      </c>
      <c r="DA53">
        <v>2.7138100000000001</v>
      </c>
      <c r="DB53">
        <v>0.145595</v>
      </c>
      <c r="DC53">
        <v>0.14638499999999999</v>
      </c>
      <c r="DD53">
        <v>0.114481</v>
      </c>
      <c r="DE53">
        <v>0.10767599999999999</v>
      </c>
      <c r="DF53">
        <v>31215.7</v>
      </c>
      <c r="DG53">
        <v>27534.3</v>
      </c>
      <c r="DH53">
        <v>31189.200000000001</v>
      </c>
      <c r="DI53">
        <v>28105.7</v>
      </c>
      <c r="DJ53">
        <v>37498.699999999997</v>
      </c>
      <c r="DK53">
        <v>35663.300000000003</v>
      </c>
      <c r="DL53">
        <v>44388.6</v>
      </c>
      <c r="DM53">
        <v>42603.199999999997</v>
      </c>
      <c r="DN53">
        <v>1.47438</v>
      </c>
      <c r="DO53">
        <v>2.0657199999999998</v>
      </c>
      <c r="DP53">
        <v>7.08178E-2</v>
      </c>
      <c r="DQ53">
        <v>0.224523</v>
      </c>
      <c r="DR53">
        <v>25.831499999999998</v>
      </c>
      <c r="DS53">
        <v>25.6249</v>
      </c>
      <c r="DT53">
        <v>56.3</v>
      </c>
      <c r="DU53">
        <v>29</v>
      </c>
      <c r="DV53">
        <v>22.864899999999999</v>
      </c>
      <c r="DW53">
        <v>61.777999999999999</v>
      </c>
      <c r="DX53">
        <v>36.450299999999999</v>
      </c>
      <c r="DY53">
        <v>1</v>
      </c>
      <c r="DZ53">
        <v>-0.10308199999999999</v>
      </c>
      <c r="EA53">
        <v>-2.6780999999999999E-2</v>
      </c>
      <c r="EB53">
        <v>20.190000000000001</v>
      </c>
      <c r="EC53">
        <v>5.2409499999999998</v>
      </c>
      <c r="ED53">
        <v>12.039899999999999</v>
      </c>
      <c r="EE53">
        <v>5.0166500000000003</v>
      </c>
      <c r="EF53">
        <v>3.2879999999999998</v>
      </c>
      <c r="EG53">
        <v>9999</v>
      </c>
      <c r="EH53">
        <v>9999</v>
      </c>
      <c r="EI53">
        <v>9999</v>
      </c>
      <c r="EJ53">
        <v>999.9</v>
      </c>
      <c r="EK53">
        <v>1.8689</v>
      </c>
      <c r="EL53">
        <v>1.8646100000000001</v>
      </c>
      <c r="EM53">
        <v>1.8691899999999999</v>
      </c>
      <c r="EN53">
        <v>1.8672200000000001</v>
      </c>
      <c r="EO53">
        <v>1.8633999999999999</v>
      </c>
      <c r="EP53">
        <v>1.8644799999999999</v>
      </c>
      <c r="EQ53">
        <v>1.87015</v>
      </c>
      <c r="ER53">
        <v>1.8694</v>
      </c>
      <c r="ES53">
        <v>0</v>
      </c>
      <c r="ET53">
        <v>0</v>
      </c>
      <c r="EU53">
        <v>0</v>
      </c>
      <c r="EV53">
        <v>0</v>
      </c>
      <c r="EW53" t="s">
        <v>334</v>
      </c>
      <c r="EX53" t="s">
        <v>335</v>
      </c>
      <c r="EY53" t="s">
        <v>336</v>
      </c>
      <c r="EZ53" t="s">
        <v>336</v>
      </c>
      <c r="FA53" t="s">
        <v>336</v>
      </c>
      <c r="FB53" t="s">
        <v>336</v>
      </c>
      <c r="FC53">
        <v>0</v>
      </c>
      <c r="FD53">
        <v>100</v>
      </c>
      <c r="FE53">
        <v>100</v>
      </c>
      <c r="FF53">
        <v>-0.33200000000000002</v>
      </c>
      <c r="FG53">
        <v>0.17199999999999999</v>
      </c>
      <c r="FH53">
        <v>0.2126736300064915</v>
      </c>
      <c r="FI53">
        <v>-6.1462078757559423E-4</v>
      </c>
      <c r="FJ53">
        <v>-1.8861989874597051E-7</v>
      </c>
      <c r="FK53">
        <v>1.1980462299894961E-10</v>
      </c>
      <c r="FL53">
        <v>0.1719881465068297</v>
      </c>
      <c r="FM53">
        <v>0</v>
      </c>
      <c r="FN53">
        <v>0</v>
      </c>
      <c r="FO53">
        <v>0</v>
      </c>
      <c r="FP53">
        <v>3</v>
      </c>
      <c r="FQ53">
        <v>2158</v>
      </c>
      <c r="FR53">
        <v>1</v>
      </c>
      <c r="FS53">
        <v>19</v>
      </c>
      <c r="FT53">
        <v>15.5</v>
      </c>
      <c r="FU53">
        <v>15.6</v>
      </c>
      <c r="FV53">
        <v>1.79688</v>
      </c>
      <c r="FW53">
        <v>2.5842299999999998</v>
      </c>
      <c r="FX53">
        <v>1.5490699999999999</v>
      </c>
      <c r="FY53">
        <v>2.3290999999999999</v>
      </c>
      <c r="FZ53">
        <v>1.50146</v>
      </c>
      <c r="GA53">
        <v>2.4011200000000001</v>
      </c>
      <c r="GB53">
        <v>33.625399999999999</v>
      </c>
      <c r="GC53">
        <v>23.991199999999999</v>
      </c>
      <c r="GD53">
        <v>19</v>
      </c>
      <c r="GE53">
        <v>281.54500000000002</v>
      </c>
      <c r="GF53">
        <v>606.09900000000005</v>
      </c>
      <c r="GG53">
        <v>25.067900000000002</v>
      </c>
      <c r="GH53">
        <v>26.140999999999998</v>
      </c>
      <c r="GI53">
        <v>29.9999</v>
      </c>
      <c r="GJ53">
        <v>26.224599999999999</v>
      </c>
      <c r="GK53">
        <v>26.194199999999999</v>
      </c>
      <c r="GL53">
        <v>35.923999999999999</v>
      </c>
      <c r="GM53">
        <v>0.27381100000000003</v>
      </c>
      <c r="GN53">
        <v>100</v>
      </c>
      <c r="GO53">
        <v>25.068200000000001</v>
      </c>
      <c r="GP53">
        <v>800</v>
      </c>
      <c r="GQ53">
        <v>22.5105</v>
      </c>
      <c r="GR53">
        <v>99.796599999999998</v>
      </c>
      <c r="GS53">
        <v>99.659499999999994</v>
      </c>
    </row>
    <row r="54" spans="1:201" x14ac:dyDescent="0.25">
      <c r="A54">
        <v>38</v>
      </c>
      <c r="B54">
        <v>1690232944.5999999</v>
      </c>
      <c r="C54">
        <v>438.5</v>
      </c>
      <c r="D54" t="s">
        <v>407</v>
      </c>
      <c r="E54" t="s">
        <v>408</v>
      </c>
      <c r="F54" t="s">
        <v>330</v>
      </c>
      <c r="H54">
        <v>1690232944.5999999</v>
      </c>
      <c r="I54">
        <f t="shared" si="0"/>
        <v>1.4794458355345415E-4</v>
      </c>
      <c r="J54">
        <f t="shared" si="1"/>
        <v>0.14794458355345416</v>
      </c>
      <c r="K54">
        <f t="shared" si="2"/>
        <v>0.82170626147303782</v>
      </c>
      <c r="L54">
        <f t="shared" si="3"/>
        <v>789.92</v>
      </c>
      <c r="M54">
        <f t="shared" si="4"/>
        <v>613.57657647935434</v>
      </c>
      <c r="N54">
        <f t="shared" si="5"/>
        <v>60.814011375599954</v>
      </c>
      <c r="O54">
        <f t="shared" si="6"/>
        <v>78.292108446271982</v>
      </c>
      <c r="P54">
        <f t="shared" si="7"/>
        <v>8.4132717426641107E-3</v>
      </c>
      <c r="Q54">
        <f t="shared" si="8"/>
        <v>2.1289650605148327</v>
      </c>
      <c r="R54">
        <f t="shared" si="9"/>
        <v>8.3948444988311399E-3</v>
      </c>
      <c r="S54">
        <f t="shared" si="10"/>
        <v>5.2484300307782637E-3</v>
      </c>
      <c r="T54">
        <f t="shared" si="11"/>
        <v>276.11282619933246</v>
      </c>
      <c r="U54">
        <f t="shared" si="12"/>
        <v>29.27564301163903</v>
      </c>
      <c r="V54">
        <f t="shared" si="13"/>
        <v>29.27564301163903</v>
      </c>
      <c r="W54">
        <f t="shared" si="14"/>
        <v>4.0863687634885881</v>
      </c>
      <c r="X54">
        <f t="shared" si="15"/>
        <v>66.404053265691772</v>
      </c>
      <c r="Y54">
        <f t="shared" si="16"/>
        <v>2.3967839726283597</v>
      </c>
      <c r="Z54">
        <f t="shared" si="17"/>
        <v>3.6093940877953585</v>
      </c>
      <c r="AA54">
        <f t="shared" si="18"/>
        <v>1.6895847908602284</v>
      </c>
      <c r="AB54">
        <f t="shared" si="19"/>
        <v>-6.524356134707328</v>
      </c>
      <c r="AC54">
        <f t="shared" si="20"/>
        <v>-244.74343134421778</v>
      </c>
      <c r="AD54">
        <f t="shared" si="21"/>
        <v>-25.111059199048764</v>
      </c>
      <c r="AE54">
        <f t="shared" si="22"/>
        <v>-0.26602047864139422</v>
      </c>
      <c r="AF54">
        <v>0</v>
      </c>
      <c r="AG54">
        <v>0</v>
      </c>
      <c r="AH54">
        <f t="shared" si="23"/>
        <v>1</v>
      </c>
      <c r="AI54">
        <f t="shared" si="24"/>
        <v>0</v>
      </c>
      <c r="AJ54">
        <f t="shared" si="25"/>
        <v>52280.60658456364</v>
      </c>
      <c r="AK54">
        <f t="shared" si="26"/>
        <v>1799.99</v>
      </c>
      <c r="AL54">
        <f t="shared" si="27"/>
        <v>1499.10382639914</v>
      </c>
      <c r="AM54">
        <f t="shared" si="28"/>
        <v>0.83284008600000003</v>
      </c>
      <c r="AN54">
        <f t="shared" si="29"/>
        <v>0.15339686676000003</v>
      </c>
      <c r="AO54">
        <v>32.4</v>
      </c>
      <c r="AP54">
        <v>0.5</v>
      </c>
      <c r="AQ54" t="s">
        <v>331</v>
      </c>
      <c r="AR54">
        <v>2</v>
      </c>
      <c r="AS54">
        <v>1690232944.5999999</v>
      </c>
      <c r="AT54">
        <v>789.92</v>
      </c>
      <c r="AU54">
        <v>800.04899999999998</v>
      </c>
      <c r="AV54">
        <v>24.182099999999998</v>
      </c>
      <c r="AW54">
        <v>22.624099999999999</v>
      </c>
      <c r="AX54">
        <v>790.25099999999998</v>
      </c>
      <c r="AY54">
        <v>24.010100000000001</v>
      </c>
      <c r="AZ54">
        <v>300.22399999999999</v>
      </c>
      <c r="BA54">
        <v>99.013999999999996</v>
      </c>
      <c r="BB54">
        <v>9.9971599999999994E-2</v>
      </c>
      <c r="BC54">
        <v>27.1433</v>
      </c>
      <c r="BD54">
        <v>26.986699999999999</v>
      </c>
      <c r="BE54">
        <v>29.307500000000001</v>
      </c>
      <c r="BF54">
        <v>0</v>
      </c>
      <c r="BG54">
        <v>0</v>
      </c>
      <c r="BH54">
        <v>9990</v>
      </c>
      <c r="BI54">
        <v>1080.54</v>
      </c>
      <c r="BJ54">
        <v>1.4577199999999999</v>
      </c>
      <c r="BK54">
        <v>-10.1296</v>
      </c>
      <c r="BL54">
        <v>809.495</v>
      </c>
      <c r="BM54">
        <v>818.56899999999996</v>
      </c>
      <c r="BN54">
        <v>1.5580099999999999</v>
      </c>
      <c r="BO54">
        <v>800.04899999999998</v>
      </c>
      <c r="BP54">
        <v>22.624099999999999</v>
      </c>
      <c r="BQ54">
        <v>2.3943599999999998</v>
      </c>
      <c r="BR54">
        <v>2.2401</v>
      </c>
      <c r="BS54">
        <v>20.325700000000001</v>
      </c>
      <c r="BT54">
        <v>19.251999999999999</v>
      </c>
      <c r="BU54">
        <v>1799.99</v>
      </c>
      <c r="BV54">
        <v>0.91001200000000004</v>
      </c>
      <c r="BW54">
        <v>3.4007700000000002E-2</v>
      </c>
      <c r="BX54">
        <v>2.1991799999999999E-2</v>
      </c>
      <c r="BY54">
        <v>3.3988999999999998E-2</v>
      </c>
      <c r="BZ54">
        <v>25</v>
      </c>
      <c r="CA54">
        <v>33528.199999999997</v>
      </c>
      <c r="CB54">
        <v>1690232006</v>
      </c>
      <c r="CC54" t="s">
        <v>332</v>
      </c>
      <c r="CD54">
        <v>1690232006</v>
      </c>
      <c r="CE54">
        <v>1690231998.5</v>
      </c>
      <c r="CF54">
        <v>14</v>
      </c>
      <c r="CG54">
        <v>-0.13200000000000001</v>
      </c>
      <c r="CH54">
        <v>-7.0000000000000001E-3</v>
      </c>
      <c r="CI54">
        <v>-0.33800000000000002</v>
      </c>
      <c r="CJ54">
        <v>0.14299999999999999</v>
      </c>
      <c r="CK54">
        <v>799</v>
      </c>
      <c r="CL54">
        <v>19</v>
      </c>
      <c r="CM54">
        <v>7.0000000000000007E-2</v>
      </c>
      <c r="CN54">
        <v>0.14000000000000001</v>
      </c>
      <c r="CO54">
        <v>-9.3906970731707311</v>
      </c>
      <c r="CP54">
        <v>-3.8727152613240472</v>
      </c>
      <c r="CQ54">
        <v>0.38267800106453831</v>
      </c>
      <c r="CR54">
        <v>-1</v>
      </c>
      <c r="CS54">
        <v>1.525148048780488</v>
      </c>
      <c r="CT54">
        <v>0.1508134494773524</v>
      </c>
      <c r="CU54">
        <v>1.501474270947614E-2</v>
      </c>
      <c r="CV54">
        <v>-1</v>
      </c>
      <c r="CW54">
        <v>0</v>
      </c>
      <c r="CX54">
        <v>0</v>
      </c>
      <c r="CY54" t="s">
        <v>333</v>
      </c>
      <c r="CZ54">
        <v>2.3647499999999999</v>
      </c>
      <c r="DA54">
        <v>2.7137500000000001</v>
      </c>
      <c r="DB54">
        <v>0.145512</v>
      </c>
      <c r="DC54">
        <v>0.14638200000000001</v>
      </c>
      <c r="DD54">
        <v>0.114527</v>
      </c>
      <c r="DE54">
        <v>0.107613</v>
      </c>
      <c r="DF54">
        <v>31218.400000000001</v>
      </c>
      <c r="DG54">
        <v>27535.1</v>
      </c>
      <c r="DH54">
        <v>31188.9</v>
      </c>
      <c r="DI54">
        <v>28106.400000000001</v>
      </c>
      <c r="DJ54">
        <v>37496.400000000001</v>
      </c>
      <c r="DK54">
        <v>35666.699999999997</v>
      </c>
      <c r="DL54">
        <v>44388.2</v>
      </c>
      <c r="DM54">
        <v>42604.3</v>
      </c>
      <c r="DN54">
        <v>1.4742999999999999</v>
      </c>
      <c r="DO54">
        <v>2.0657000000000001</v>
      </c>
      <c r="DP54">
        <v>7.0706000000000005E-2</v>
      </c>
      <c r="DQ54">
        <v>0.22545499999999999</v>
      </c>
      <c r="DR54">
        <v>25.8293</v>
      </c>
      <c r="DS54">
        <v>25.623200000000001</v>
      </c>
      <c r="DT54">
        <v>56.3</v>
      </c>
      <c r="DU54">
        <v>29</v>
      </c>
      <c r="DV54">
        <v>22.868400000000001</v>
      </c>
      <c r="DW54">
        <v>61.828000000000003</v>
      </c>
      <c r="DX54">
        <v>35.320500000000003</v>
      </c>
      <c r="DY54">
        <v>1</v>
      </c>
      <c r="DZ54">
        <v>-0.10346</v>
      </c>
      <c r="EA54">
        <v>-6.4591499999999996E-2</v>
      </c>
      <c r="EB54">
        <v>20.189800000000002</v>
      </c>
      <c r="EC54">
        <v>5.2408000000000001</v>
      </c>
      <c r="ED54">
        <v>12.039899999999999</v>
      </c>
      <c r="EE54">
        <v>5.0166500000000003</v>
      </c>
      <c r="EF54">
        <v>3.2879999999999998</v>
      </c>
      <c r="EG54">
        <v>9999</v>
      </c>
      <c r="EH54">
        <v>9999</v>
      </c>
      <c r="EI54">
        <v>9999</v>
      </c>
      <c r="EJ54">
        <v>999.9</v>
      </c>
      <c r="EK54">
        <v>1.8689</v>
      </c>
      <c r="EL54">
        <v>1.8646199999999999</v>
      </c>
      <c r="EM54">
        <v>1.8691899999999999</v>
      </c>
      <c r="EN54">
        <v>1.8672200000000001</v>
      </c>
      <c r="EO54">
        <v>1.8633900000000001</v>
      </c>
      <c r="EP54">
        <v>1.8644700000000001</v>
      </c>
      <c r="EQ54">
        <v>1.8701399999999999</v>
      </c>
      <c r="ER54">
        <v>1.86938</v>
      </c>
      <c r="ES54">
        <v>0</v>
      </c>
      <c r="ET54">
        <v>0</v>
      </c>
      <c r="EU54">
        <v>0</v>
      </c>
      <c r="EV54">
        <v>0</v>
      </c>
      <c r="EW54" t="s">
        <v>334</v>
      </c>
      <c r="EX54" t="s">
        <v>335</v>
      </c>
      <c r="EY54" t="s">
        <v>336</v>
      </c>
      <c r="EZ54" t="s">
        <v>336</v>
      </c>
      <c r="FA54" t="s">
        <v>336</v>
      </c>
      <c r="FB54" t="s">
        <v>336</v>
      </c>
      <c r="FC54">
        <v>0</v>
      </c>
      <c r="FD54">
        <v>100</v>
      </c>
      <c r="FE54">
        <v>100</v>
      </c>
      <c r="FF54">
        <v>-0.33100000000000002</v>
      </c>
      <c r="FG54">
        <v>0.17199999999999999</v>
      </c>
      <c r="FH54">
        <v>0.2126736300064915</v>
      </c>
      <c r="FI54">
        <v>-6.1462078757559423E-4</v>
      </c>
      <c r="FJ54">
        <v>-1.8861989874597051E-7</v>
      </c>
      <c r="FK54">
        <v>1.1980462299894961E-10</v>
      </c>
      <c r="FL54">
        <v>0.1719881465068297</v>
      </c>
      <c r="FM54">
        <v>0</v>
      </c>
      <c r="FN54">
        <v>0</v>
      </c>
      <c r="FO54">
        <v>0</v>
      </c>
      <c r="FP54">
        <v>3</v>
      </c>
      <c r="FQ54">
        <v>2158</v>
      </c>
      <c r="FR54">
        <v>1</v>
      </c>
      <c r="FS54">
        <v>19</v>
      </c>
      <c r="FT54">
        <v>15.6</v>
      </c>
      <c r="FU54">
        <v>15.8</v>
      </c>
      <c r="FV54">
        <v>1.79688</v>
      </c>
      <c r="FW54">
        <v>2.5915499999999998</v>
      </c>
      <c r="FX54">
        <v>1.5490699999999999</v>
      </c>
      <c r="FY54">
        <v>2.3290999999999999</v>
      </c>
      <c r="FZ54">
        <v>1.50146</v>
      </c>
      <c r="GA54">
        <v>2.3059099999999999</v>
      </c>
      <c r="GB54">
        <v>33.625399999999999</v>
      </c>
      <c r="GC54">
        <v>23.982399999999998</v>
      </c>
      <c r="GD54">
        <v>19</v>
      </c>
      <c r="GE54">
        <v>281.51299999999998</v>
      </c>
      <c r="GF54">
        <v>606.07799999999997</v>
      </c>
      <c r="GG54">
        <v>25.08</v>
      </c>
      <c r="GH54">
        <v>26.138200000000001</v>
      </c>
      <c r="GI54">
        <v>30</v>
      </c>
      <c r="GJ54">
        <v>26.224599999999999</v>
      </c>
      <c r="GK54">
        <v>26.194199999999999</v>
      </c>
      <c r="GL54">
        <v>35.922800000000002</v>
      </c>
      <c r="GM54">
        <v>1.44567</v>
      </c>
      <c r="GN54">
        <v>100</v>
      </c>
      <c r="GO54">
        <v>25.085599999999999</v>
      </c>
      <c r="GP54">
        <v>800</v>
      </c>
      <c r="GQ54">
        <v>22.422899999999998</v>
      </c>
      <c r="GR54">
        <v>99.795699999999997</v>
      </c>
      <c r="GS54">
        <v>99.661799999999999</v>
      </c>
    </row>
    <row r="55" spans="1:201" x14ac:dyDescent="0.25">
      <c r="A55">
        <v>39</v>
      </c>
      <c r="B55">
        <v>1690232954.5999999</v>
      </c>
      <c r="C55">
        <v>448.5</v>
      </c>
      <c r="D55" t="s">
        <v>409</v>
      </c>
      <c r="E55" t="s">
        <v>410</v>
      </c>
      <c r="F55" t="s">
        <v>330</v>
      </c>
      <c r="H55">
        <v>1690232954.5999999</v>
      </c>
      <c r="I55">
        <f t="shared" si="0"/>
        <v>1.5255062904556457E-4</v>
      </c>
      <c r="J55">
        <f t="shared" si="1"/>
        <v>0.15255062904556457</v>
      </c>
      <c r="K55">
        <f t="shared" si="2"/>
        <v>0.88395725842405903</v>
      </c>
      <c r="L55">
        <f t="shared" si="3"/>
        <v>789.18799999999999</v>
      </c>
      <c r="M55">
        <f t="shared" si="4"/>
        <v>606.3200258349533</v>
      </c>
      <c r="N55">
        <f t="shared" si="5"/>
        <v>60.095203211822614</v>
      </c>
      <c r="O55">
        <f t="shared" si="6"/>
        <v>78.220100296079991</v>
      </c>
      <c r="P55">
        <f t="shared" si="7"/>
        <v>8.6822867841571463E-3</v>
      </c>
      <c r="Q55">
        <f t="shared" si="8"/>
        <v>2.1300659371390913</v>
      </c>
      <c r="R55">
        <f t="shared" si="9"/>
        <v>8.6626738758377505E-3</v>
      </c>
      <c r="S55">
        <f t="shared" si="10"/>
        <v>5.4159295881946283E-3</v>
      </c>
      <c r="T55">
        <f t="shared" si="11"/>
        <v>276.11560285199999</v>
      </c>
      <c r="U55">
        <f t="shared" si="12"/>
        <v>29.275952839197497</v>
      </c>
      <c r="V55">
        <f t="shared" si="13"/>
        <v>29.275952839197497</v>
      </c>
      <c r="W55">
        <f t="shared" si="14"/>
        <v>4.0864418764277772</v>
      </c>
      <c r="X55">
        <f t="shared" si="15"/>
        <v>66.429733197480004</v>
      </c>
      <c r="Y55">
        <f t="shared" si="16"/>
        <v>2.3981188445639998</v>
      </c>
      <c r="Z55">
        <f t="shared" si="17"/>
        <v>3.6100082434998733</v>
      </c>
      <c r="AA55">
        <f t="shared" si="18"/>
        <v>1.6883230318637774</v>
      </c>
      <c r="AB55">
        <f t="shared" si="19"/>
        <v>-6.727482740909398</v>
      </c>
      <c r="AC55">
        <f t="shared" si="20"/>
        <v>-244.5725415441899</v>
      </c>
      <c r="AD55">
        <f t="shared" si="21"/>
        <v>-25.080956755140161</v>
      </c>
      <c r="AE55">
        <f t="shared" si="22"/>
        <v>-0.26537818823948101</v>
      </c>
      <c r="AF55">
        <v>0</v>
      </c>
      <c r="AG55">
        <v>0</v>
      </c>
      <c r="AH55">
        <f t="shared" si="23"/>
        <v>1</v>
      </c>
      <c r="AI55">
        <f t="shared" si="24"/>
        <v>0</v>
      </c>
      <c r="AJ55">
        <f t="shared" si="25"/>
        <v>52327.505390434053</v>
      </c>
      <c r="AK55">
        <f t="shared" si="26"/>
        <v>1800</v>
      </c>
      <c r="AL55">
        <f t="shared" si="27"/>
        <v>1499.1133121999999</v>
      </c>
      <c r="AM55">
        <f t="shared" si="28"/>
        <v>0.83284072899999995</v>
      </c>
      <c r="AN55">
        <f t="shared" si="29"/>
        <v>0.15339755714</v>
      </c>
      <c r="AO55">
        <v>32.4</v>
      </c>
      <c r="AP55">
        <v>0.5</v>
      </c>
      <c r="AQ55" t="s">
        <v>331</v>
      </c>
      <c r="AR55">
        <v>2</v>
      </c>
      <c r="AS55">
        <v>1690232954.5999999</v>
      </c>
      <c r="AT55">
        <v>789.18799999999999</v>
      </c>
      <c r="AU55">
        <v>800.029</v>
      </c>
      <c r="AV55">
        <v>24.195399999999999</v>
      </c>
      <c r="AW55">
        <v>22.5886</v>
      </c>
      <c r="AX55">
        <v>789.52</v>
      </c>
      <c r="AY55">
        <v>24.023399999999999</v>
      </c>
      <c r="AZ55">
        <v>300.16500000000002</v>
      </c>
      <c r="BA55">
        <v>99.014600000000002</v>
      </c>
      <c r="BB55">
        <v>0.10006</v>
      </c>
      <c r="BC55">
        <v>27.1462</v>
      </c>
      <c r="BD55">
        <v>26.989699999999999</v>
      </c>
      <c r="BE55">
        <v>29.316600000000001</v>
      </c>
      <c r="BF55">
        <v>0</v>
      </c>
      <c r="BG55">
        <v>0</v>
      </c>
      <c r="BH55">
        <v>9999.3799999999992</v>
      </c>
      <c r="BI55">
        <v>1080.5999999999999</v>
      </c>
      <c r="BJ55">
        <v>1.4577199999999999</v>
      </c>
      <c r="BK55">
        <v>-10.8401</v>
      </c>
      <c r="BL55">
        <v>808.75699999999995</v>
      </c>
      <c r="BM55">
        <v>818.51800000000003</v>
      </c>
      <c r="BN55">
        <v>1.6067800000000001</v>
      </c>
      <c r="BO55">
        <v>800.029</v>
      </c>
      <c r="BP55">
        <v>22.5886</v>
      </c>
      <c r="BQ55">
        <v>2.3957000000000002</v>
      </c>
      <c r="BR55">
        <v>2.2366100000000002</v>
      </c>
      <c r="BS55">
        <v>20.334700000000002</v>
      </c>
      <c r="BT55">
        <v>19.226900000000001</v>
      </c>
      <c r="BU55">
        <v>1800</v>
      </c>
      <c r="BV55">
        <v>0.91000700000000001</v>
      </c>
      <c r="BW55">
        <v>3.40045E-2</v>
      </c>
      <c r="BX55">
        <v>2.20027E-2</v>
      </c>
      <c r="BY55">
        <v>3.3985799999999997E-2</v>
      </c>
      <c r="BZ55">
        <v>25</v>
      </c>
      <c r="CA55">
        <v>33528.300000000003</v>
      </c>
      <c r="CB55">
        <v>1690232006</v>
      </c>
      <c r="CC55" t="s">
        <v>332</v>
      </c>
      <c r="CD55">
        <v>1690232006</v>
      </c>
      <c r="CE55">
        <v>1690231998.5</v>
      </c>
      <c r="CF55">
        <v>14</v>
      </c>
      <c r="CG55">
        <v>-0.13200000000000001</v>
      </c>
      <c r="CH55">
        <v>-7.0000000000000001E-3</v>
      </c>
      <c r="CI55">
        <v>-0.33800000000000002</v>
      </c>
      <c r="CJ55">
        <v>0.14299999999999999</v>
      </c>
      <c r="CK55">
        <v>799</v>
      </c>
      <c r="CL55">
        <v>19</v>
      </c>
      <c r="CM55">
        <v>7.0000000000000007E-2</v>
      </c>
      <c r="CN55">
        <v>0.14000000000000001</v>
      </c>
      <c r="CO55">
        <v>-10.0951015</v>
      </c>
      <c r="CP55">
        <v>-4.0168763977485549</v>
      </c>
      <c r="CQ55">
        <v>0.38712665800452178</v>
      </c>
      <c r="CR55">
        <v>-1</v>
      </c>
      <c r="CS55">
        <v>1.5597055</v>
      </c>
      <c r="CT55">
        <v>0.24355091932457429</v>
      </c>
      <c r="CU55">
        <v>2.3530789292966769E-2</v>
      </c>
      <c r="CV55">
        <v>-1</v>
      </c>
      <c r="CW55">
        <v>0</v>
      </c>
      <c r="CX55">
        <v>0</v>
      </c>
      <c r="CY55" t="s">
        <v>333</v>
      </c>
      <c r="CZ55">
        <v>2.3645700000000001</v>
      </c>
      <c r="DA55">
        <v>2.7138499999999999</v>
      </c>
      <c r="DB55">
        <v>0.145424</v>
      </c>
      <c r="DC55">
        <v>0.14638000000000001</v>
      </c>
      <c r="DD55">
        <v>0.11457299999999999</v>
      </c>
      <c r="DE55">
        <v>0.10749599999999999</v>
      </c>
      <c r="DF55">
        <v>31222</v>
      </c>
      <c r="DG55">
        <v>27534.799999999999</v>
      </c>
      <c r="DH55">
        <v>31189.200000000001</v>
      </c>
      <c r="DI55">
        <v>28106</v>
      </c>
      <c r="DJ55">
        <v>37495</v>
      </c>
      <c r="DK55">
        <v>35671</v>
      </c>
      <c r="DL55">
        <v>44388.9</v>
      </c>
      <c r="DM55">
        <v>42603.8</v>
      </c>
      <c r="DN55">
        <v>1.47465</v>
      </c>
      <c r="DO55">
        <v>2.0654699999999999</v>
      </c>
      <c r="DP55">
        <v>7.0892300000000005E-2</v>
      </c>
      <c r="DQ55">
        <v>0.22601299999999999</v>
      </c>
      <c r="DR55">
        <v>25.8293</v>
      </c>
      <c r="DS55">
        <v>25.623200000000001</v>
      </c>
      <c r="DT55">
        <v>56.3</v>
      </c>
      <c r="DU55">
        <v>29</v>
      </c>
      <c r="DV55">
        <v>22.87</v>
      </c>
      <c r="DW55">
        <v>61.698</v>
      </c>
      <c r="DX55">
        <v>36.394199999999998</v>
      </c>
      <c r="DY55">
        <v>1</v>
      </c>
      <c r="DZ55">
        <v>-0.10338700000000001</v>
      </c>
      <c r="EA55">
        <v>-0.11287</v>
      </c>
      <c r="EB55">
        <v>20.189900000000002</v>
      </c>
      <c r="EC55">
        <v>5.2406499999999996</v>
      </c>
      <c r="ED55">
        <v>12.039899999999999</v>
      </c>
      <c r="EE55">
        <v>5.0164499999999999</v>
      </c>
      <c r="EF55">
        <v>3.2879999999999998</v>
      </c>
      <c r="EG55">
        <v>9999</v>
      </c>
      <c r="EH55">
        <v>9999</v>
      </c>
      <c r="EI55">
        <v>9999</v>
      </c>
      <c r="EJ55">
        <v>999.9</v>
      </c>
      <c r="EK55">
        <v>1.8689</v>
      </c>
      <c r="EL55">
        <v>1.8646199999999999</v>
      </c>
      <c r="EM55">
        <v>1.8691899999999999</v>
      </c>
      <c r="EN55">
        <v>1.8672200000000001</v>
      </c>
      <c r="EO55">
        <v>1.8633999999999999</v>
      </c>
      <c r="EP55">
        <v>1.8644700000000001</v>
      </c>
      <c r="EQ55">
        <v>1.8701700000000001</v>
      </c>
      <c r="ER55">
        <v>1.86937</v>
      </c>
      <c r="ES55">
        <v>0</v>
      </c>
      <c r="ET55">
        <v>0</v>
      </c>
      <c r="EU55">
        <v>0</v>
      </c>
      <c r="EV55">
        <v>0</v>
      </c>
      <c r="EW55" t="s">
        <v>334</v>
      </c>
      <c r="EX55" t="s">
        <v>335</v>
      </c>
      <c r="EY55" t="s">
        <v>336</v>
      </c>
      <c r="EZ55" t="s">
        <v>336</v>
      </c>
      <c r="FA55" t="s">
        <v>336</v>
      </c>
      <c r="FB55" t="s">
        <v>336</v>
      </c>
      <c r="FC55">
        <v>0</v>
      </c>
      <c r="FD55">
        <v>100</v>
      </c>
      <c r="FE55">
        <v>100</v>
      </c>
      <c r="FF55">
        <v>-0.33200000000000002</v>
      </c>
      <c r="FG55">
        <v>0.17199999999999999</v>
      </c>
      <c r="FH55">
        <v>0.2126736300064915</v>
      </c>
      <c r="FI55">
        <v>-6.1462078757559423E-4</v>
      </c>
      <c r="FJ55">
        <v>-1.8861989874597051E-7</v>
      </c>
      <c r="FK55">
        <v>1.1980462299894961E-10</v>
      </c>
      <c r="FL55">
        <v>0.1719881465068297</v>
      </c>
      <c r="FM55">
        <v>0</v>
      </c>
      <c r="FN55">
        <v>0</v>
      </c>
      <c r="FO55">
        <v>0</v>
      </c>
      <c r="FP55">
        <v>3</v>
      </c>
      <c r="FQ55">
        <v>2158</v>
      </c>
      <c r="FR55">
        <v>1</v>
      </c>
      <c r="FS55">
        <v>19</v>
      </c>
      <c r="FT55">
        <v>15.8</v>
      </c>
      <c r="FU55">
        <v>15.9</v>
      </c>
      <c r="FV55">
        <v>1.79688</v>
      </c>
      <c r="FW55">
        <v>2.5866699999999998</v>
      </c>
      <c r="FX55">
        <v>1.5490699999999999</v>
      </c>
      <c r="FY55">
        <v>2.3290999999999999</v>
      </c>
      <c r="FZ55">
        <v>1.50146</v>
      </c>
      <c r="GA55">
        <v>2.4157700000000002</v>
      </c>
      <c r="GB55">
        <v>33.625399999999999</v>
      </c>
      <c r="GC55">
        <v>23.991199999999999</v>
      </c>
      <c r="GD55">
        <v>19</v>
      </c>
      <c r="GE55">
        <v>281.65199999999999</v>
      </c>
      <c r="GF55">
        <v>605.86900000000003</v>
      </c>
      <c r="GG55">
        <v>25.103200000000001</v>
      </c>
      <c r="GH55">
        <v>26.133900000000001</v>
      </c>
      <c r="GI55">
        <v>30.0001</v>
      </c>
      <c r="GJ55">
        <v>26.2224</v>
      </c>
      <c r="GK55">
        <v>26.192699999999999</v>
      </c>
      <c r="GL55">
        <v>35.921399999999998</v>
      </c>
      <c r="GM55">
        <v>3.0997499999999998</v>
      </c>
      <c r="GN55">
        <v>100</v>
      </c>
      <c r="GO55">
        <v>25.1114</v>
      </c>
      <c r="GP55">
        <v>800</v>
      </c>
      <c r="GQ55">
        <v>22.329799999999999</v>
      </c>
      <c r="GR55">
        <v>99.7971</v>
      </c>
      <c r="GS55">
        <v>99.660600000000002</v>
      </c>
    </row>
    <row r="56" spans="1:201" x14ac:dyDescent="0.25">
      <c r="A56">
        <v>40</v>
      </c>
      <c r="B56">
        <v>1690232964.5999999</v>
      </c>
      <c r="C56">
        <v>458.5</v>
      </c>
      <c r="D56" t="s">
        <v>411</v>
      </c>
      <c r="E56" t="s">
        <v>412</v>
      </c>
      <c r="F56" t="s">
        <v>330</v>
      </c>
      <c r="H56">
        <v>1690232964.5999999</v>
      </c>
      <c r="I56">
        <f t="shared" si="0"/>
        <v>1.6035213814090973E-4</v>
      </c>
      <c r="J56">
        <f t="shared" si="1"/>
        <v>0.16035213814090973</v>
      </c>
      <c r="K56">
        <f t="shared" si="2"/>
        <v>0.94943557825152969</v>
      </c>
      <c r="L56">
        <f t="shared" si="3"/>
        <v>788.404</v>
      </c>
      <c r="M56">
        <f t="shared" si="4"/>
        <v>602.24658520991704</v>
      </c>
      <c r="N56">
        <f t="shared" si="5"/>
        <v>59.692885024443292</v>
      </c>
      <c r="O56">
        <f t="shared" si="6"/>
        <v>78.144252670867999</v>
      </c>
      <c r="P56">
        <f t="shared" si="7"/>
        <v>9.1371956207982538E-3</v>
      </c>
      <c r="Q56">
        <f t="shared" si="8"/>
        <v>2.1291461904199656</v>
      </c>
      <c r="R56">
        <f t="shared" si="9"/>
        <v>9.1154670492078795E-3</v>
      </c>
      <c r="S56">
        <f t="shared" si="10"/>
        <v>5.6991147885273857E-3</v>
      </c>
      <c r="T56">
        <f t="shared" si="11"/>
        <v>276.11502218713247</v>
      </c>
      <c r="U56">
        <f t="shared" si="12"/>
        <v>29.272964567685996</v>
      </c>
      <c r="V56">
        <f t="shared" si="13"/>
        <v>29.272964567685996</v>
      </c>
      <c r="W56">
        <f t="shared" si="14"/>
        <v>4.0857367532819699</v>
      </c>
      <c r="X56">
        <f t="shared" si="15"/>
        <v>66.463607357537327</v>
      </c>
      <c r="Y56">
        <f t="shared" si="16"/>
        <v>2.3991868666951999</v>
      </c>
      <c r="Z56">
        <f t="shared" si="17"/>
        <v>3.6097752771511571</v>
      </c>
      <c r="AA56">
        <f t="shared" si="18"/>
        <v>1.6865498865867701</v>
      </c>
      <c r="AB56">
        <f t="shared" si="19"/>
        <v>-7.0715292920141195</v>
      </c>
      <c r="AC56">
        <f t="shared" si="20"/>
        <v>-244.25018879604079</v>
      </c>
      <c r="AD56">
        <f t="shared" si="21"/>
        <v>-25.058208872337463</v>
      </c>
      <c r="AE56">
        <f t="shared" si="22"/>
        <v>-0.26490477325990014</v>
      </c>
      <c r="AF56">
        <v>0</v>
      </c>
      <c r="AG56">
        <v>0</v>
      </c>
      <c r="AH56">
        <f t="shared" si="23"/>
        <v>1</v>
      </c>
      <c r="AI56">
        <f t="shared" si="24"/>
        <v>0</v>
      </c>
      <c r="AJ56">
        <f t="shared" si="25"/>
        <v>52288.152937658975</v>
      </c>
      <c r="AK56">
        <f t="shared" si="26"/>
        <v>1799.99</v>
      </c>
      <c r="AL56">
        <f t="shared" si="27"/>
        <v>1499.1013874126902</v>
      </c>
      <c r="AM56">
        <f t="shared" si="28"/>
        <v>0.83283873100000005</v>
      </c>
      <c r="AN56">
        <f t="shared" si="29"/>
        <v>0.15339808676000002</v>
      </c>
      <c r="AO56">
        <v>32.4</v>
      </c>
      <c r="AP56">
        <v>0.5</v>
      </c>
      <c r="AQ56" t="s">
        <v>331</v>
      </c>
      <c r="AR56">
        <v>2</v>
      </c>
      <c r="AS56">
        <v>1690232964.5999999</v>
      </c>
      <c r="AT56">
        <v>788.404</v>
      </c>
      <c r="AU56">
        <v>800.01099999999997</v>
      </c>
      <c r="AV56">
        <v>24.2056</v>
      </c>
      <c r="AW56">
        <v>22.517499999999998</v>
      </c>
      <c r="AX56">
        <v>788.73400000000004</v>
      </c>
      <c r="AY56">
        <v>24.0337</v>
      </c>
      <c r="AZ56">
        <v>300.31700000000001</v>
      </c>
      <c r="BA56">
        <v>99.016999999999996</v>
      </c>
      <c r="BB56">
        <v>0.10001699999999999</v>
      </c>
      <c r="BC56">
        <v>27.145099999999999</v>
      </c>
      <c r="BD56">
        <v>26.994399999999999</v>
      </c>
      <c r="BE56">
        <v>29.324200000000001</v>
      </c>
      <c r="BF56">
        <v>0</v>
      </c>
      <c r="BG56">
        <v>0</v>
      </c>
      <c r="BH56">
        <v>9991.25</v>
      </c>
      <c r="BI56">
        <v>1080.72</v>
      </c>
      <c r="BJ56">
        <v>1.4577199999999999</v>
      </c>
      <c r="BK56">
        <v>-11.6074</v>
      </c>
      <c r="BL56">
        <v>807.96100000000001</v>
      </c>
      <c r="BM56">
        <v>818.44</v>
      </c>
      <c r="BN56">
        <v>1.6881999999999999</v>
      </c>
      <c r="BO56">
        <v>800.01099999999997</v>
      </c>
      <c r="BP56">
        <v>22.517499999999998</v>
      </c>
      <c r="BQ56">
        <v>2.3967700000000001</v>
      </c>
      <c r="BR56">
        <v>2.2296100000000001</v>
      </c>
      <c r="BS56">
        <v>20.341999999999999</v>
      </c>
      <c r="BT56">
        <v>19.1767</v>
      </c>
      <c r="BU56">
        <v>1799.99</v>
      </c>
      <c r="BV56">
        <v>0.90997700000000004</v>
      </c>
      <c r="BW56">
        <v>3.4000900000000001E-2</v>
      </c>
      <c r="BX56">
        <v>2.2008300000000001E-2</v>
      </c>
      <c r="BY56">
        <v>3.4013599999999998E-2</v>
      </c>
      <c r="BZ56">
        <v>25</v>
      </c>
      <c r="CA56">
        <v>33528</v>
      </c>
      <c r="CB56">
        <v>1690232006</v>
      </c>
      <c r="CC56" t="s">
        <v>332</v>
      </c>
      <c r="CD56">
        <v>1690232006</v>
      </c>
      <c r="CE56">
        <v>1690231998.5</v>
      </c>
      <c r="CF56">
        <v>14</v>
      </c>
      <c r="CG56">
        <v>-0.13200000000000001</v>
      </c>
      <c r="CH56">
        <v>-7.0000000000000001E-3</v>
      </c>
      <c r="CI56">
        <v>-0.33800000000000002</v>
      </c>
      <c r="CJ56">
        <v>0.14299999999999999</v>
      </c>
      <c r="CK56">
        <v>799</v>
      </c>
      <c r="CL56">
        <v>19</v>
      </c>
      <c r="CM56">
        <v>7.0000000000000007E-2</v>
      </c>
      <c r="CN56">
        <v>0.14000000000000001</v>
      </c>
      <c r="CO56">
        <v>-10.739549999999999</v>
      </c>
      <c r="CP56">
        <v>-4.4103196998123746</v>
      </c>
      <c r="CQ56">
        <v>0.4253852929991821</v>
      </c>
      <c r="CR56">
        <v>-1</v>
      </c>
      <c r="CS56">
        <v>1.6050487499999999</v>
      </c>
      <c r="CT56">
        <v>0.36073699812382382</v>
      </c>
      <c r="CU56">
        <v>3.4943038662049723E-2</v>
      </c>
      <c r="CV56">
        <v>-1</v>
      </c>
      <c r="CW56">
        <v>0</v>
      </c>
      <c r="CX56">
        <v>0</v>
      </c>
      <c r="CY56" t="s">
        <v>333</v>
      </c>
      <c r="CZ56">
        <v>2.36504</v>
      </c>
      <c r="DA56">
        <v>2.7138</v>
      </c>
      <c r="DB56">
        <v>0.14533199999999999</v>
      </c>
      <c r="DC56">
        <v>0.14638000000000001</v>
      </c>
      <c r="DD56">
        <v>0.114611</v>
      </c>
      <c r="DE56">
        <v>0.107262</v>
      </c>
      <c r="DF56">
        <v>31225.5</v>
      </c>
      <c r="DG56">
        <v>27535.1</v>
      </c>
      <c r="DH56">
        <v>31189.4</v>
      </c>
      <c r="DI56">
        <v>28106.3</v>
      </c>
      <c r="DJ56">
        <v>37493.5</v>
      </c>
      <c r="DK56">
        <v>35680.800000000003</v>
      </c>
      <c r="DL56">
        <v>44389.1</v>
      </c>
      <c r="DM56">
        <v>42604.4</v>
      </c>
      <c r="DN56">
        <v>1.47455</v>
      </c>
      <c r="DO56">
        <v>2.06562</v>
      </c>
      <c r="DP56">
        <v>7.1302099999999993E-2</v>
      </c>
      <c r="DQ56">
        <v>0.226609</v>
      </c>
      <c r="DR56">
        <v>25.827300000000001</v>
      </c>
      <c r="DS56">
        <v>25.621099999999998</v>
      </c>
      <c r="DT56">
        <v>56.3</v>
      </c>
      <c r="DU56">
        <v>29</v>
      </c>
      <c r="DV56">
        <v>22.867899999999999</v>
      </c>
      <c r="DW56">
        <v>61.777999999999999</v>
      </c>
      <c r="DX56">
        <v>35.360599999999998</v>
      </c>
      <c r="DY56">
        <v>1</v>
      </c>
      <c r="DZ56">
        <v>-0.103669</v>
      </c>
      <c r="EA56">
        <v>-9.3564800000000004E-2</v>
      </c>
      <c r="EB56">
        <v>20.189800000000002</v>
      </c>
      <c r="EC56">
        <v>5.2404999999999999</v>
      </c>
      <c r="ED56">
        <v>12.039899999999999</v>
      </c>
      <c r="EE56">
        <v>5.0166000000000004</v>
      </c>
      <c r="EF56">
        <v>3.2879999999999998</v>
      </c>
      <c r="EG56">
        <v>9999</v>
      </c>
      <c r="EH56">
        <v>9999</v>
      </c>
      <c r="EI56">
        <v>9999</v>
      </c>
      <c r="EJ56">
        <v>999.9</v>
      </c>
      <c r="EK56">
        <v>1.8689</v>
      </c>
      <c r="EL56">
        <v>1.8646199999999999</v>
      </c>
      <c r="EM56">
        <v>1.8692</v>
      </c>
      <c r="EN56">
        <v>1.8672200000000001</v>
      </c>
      <c r="EO56">
        <v>1.8633999999999999</v>
      </c>
      <c r="EP56">
        <v>1.86449</v>
      </c>
      <c r="EQ56">
        <v>1.87015</v>
      </c>
      <c r="ER56">
        <v>1.86938</v>
      </c>
      <c r="ES56">
        <v>0</v>
      </c>
      <c r="ET56">
        <v>0</v>
      </c>
      <c r="EU56">
        <v>0</v>
      </c>
      <c r="EV56">
        <v>0</v>
      </c>
      <c r="EW56" t="s">
        <v>334</v>
      </c>
      <c r="EX56" t="s">
        <v>335</v>
      </c>
      <c r="EY56" t="s">
        <v>336</v>
      </c>
      <c r="EZ56" t="s">
        <v>336</v>
      </c>
      <c r="FA56" t="s">
        <v>336</v>
      </c>
      <c r="FB56" t="s">
        <v>336</v>
      </c>
      <c r="FC56">
        <v>0</v>
      </c>
      <c r="FD56">
        <v>100</v>
      </c>
      <c r="FE56">
        <v>100</v>
      </c>
      <c r="FF56">
        <v>-0.33</v>
      </c>
      <c r="FG56">
        <v>0.1719</v>
      </c>
      <c r="FH56">
        <v>0.2126736300064915</v>
      </c>
      <c r="FI56">
        <v>-6.1462078757559423E-4</v>
      </c>
      <c r="FJ56">
        <v>-1.8861989874597051E-7</v>
      </c>
      <c r="FK56">
        <v>1.1980462299894961E-10</v>
      </c>
      <c r="FL56">
        <v>0.1719881465068297</v>
      </c>
      <c r="FM56">
        <v>0</v>
      </c>
      <c r="FN56">
        <v>0</v>
      </c>
      <c r="FO56">
        <v>0</v>
      </c>
      <c r="FP56">
        <v>3</v>
      </c>
      <c r="FQ56">
        <v>2158</v>
      </c>
      <c r="FR56">
        <v>1</v>
      </c>
      <c r="FS56">
        <v>19</v>
      </c>
      <c r="FT56">
        <v>16</v>
      </c>
      <c r="FU56">
        <v>16.100000000000001</v>
      </c>
      <c r="FV56">
        <v>1.79565</v>
      </c>
      <c r="FW56">
        <v>2.5891099999999998</v>
      </c>
      <c r="FX56">
        <v>1.5490699999999999</v>
      </c>
      <c r="FY56">
        <v>2.3290999999999999</v>
      </c>
      <c r="FZ56">
        <v>1.50146</v>
      </c>
      <c r="GA56">
        <v>2.2875999999999999</v>
      </c>
      <c r="GB56">
        <v>33.625399999999999</v>
      </c>
      <c r="GC56">
        <v>23.973700000000001</v>
      </c>
      <c r="GD56">
        <v>19</v>
      </c>
      <c r="GE56">
        <v>281.60000000000002</v>
      </c>
      <c r="GF56">
        <v>605.98900000000003</v>
      </c>
      <c r="GG56">
        <v>25.123699999999999</v>
      </c>
      <c r="GH56">
        <v>26.130500000000001</v>
      </c>
      <c r="GI56">
        <v>29.9999</v>
      </c>
      <c r="GJ56">
        <v>26.220199999999998</v>
      </c>
      <c r="GK56">
        <v>26.192</v>
      </c>
      <c r="GL56">
        <v>35.919600000000003</v>
      </c>
      <c r="GM56">
        <v>5.0427900000000001</v>
      </c>
      <c r="GN56">
        <v>100</v>
      </c>
      <c r="GO56">
        <v>25.124700000000001</v>
      </c>
      <c r="GP56">
        <v>800</v>
      </c>
      <c r="GQ56">
        <v>22.2425</v>
      </c>
      <c r="GR56">
        <v>99.797499999999999</v>
      </c>
      <c r="GS56">
        <v>99.661900000000003</v>
      </c>
    </row>
    <row r="57" spans="1:201" x14ac:dyDescent="0.25">
      <c r="A57">
        <v>41</v>
      </c>
      <c r="B57">
        <v>1690232974.5999999</v>
      </c>
      <c r="C57">
        <v>468.5</v>
      </c>
      <c r="D57" t="s">
        <v>413</v>
      </c>
      <c r="E57" t="s">
        <v>414</v>
      </c>
      <c r="F57" t="s">
        <v>330</v>
      </c>
      <c r="H57">
        <v>1690232974.5999999</v>
      </c>
      <c r="I57">
        <f t="shared" si="0"/>
        <v>1.708523755299722E-4</v>
      </c>
      <c r="J57">
        <f t="shared" si="1"/>
        <v>0.17085237552997221</v>
      </c>
      <c r="K57">
        <f t="shared" si="2"/>
        <v>1.0174695264689593</v>
      </c>
      <c r="L57">
        <f t="shared" si="3"/>
        <v>787.63900000000001</v>
      </c>
      <c r="M57">
        <f t="shared" si="4"/>
        <v>600.73177897542121</v>
      </c>
      <c r="N57">
        <f t="shared" si="5"/>
        <v>59.540837509261365</v>
      </c>
      <c r="O57">
        <f t="shared" si="6"/>
        <v>78.065931179705203</v>
      </c>
      <c r="P57">
        <f t="shared" si="7"/>
        <v>9.7463813321310832E-3</v>
      </c>
      <c r="Q57">
        <f t="shared" si="8"/>
        <v>2.1317373969228592</v>
      </c>
      <c r="R57">
        <f t="shared" si="9"/>
        <v>9.7216930418459746E-3</v>
      </c>
      <c r="S57">
        <f t="shared" si="10"/>
        <v>6.0782710432131324E-3</v>
      </c>
      <c r="T57">
        <f t="shared" si="11"/>
        <v>276.11478203246662</v>
      </c>
      <c r="U57">
        <f t="shared" si="12"/>
        <v>29.266357132134026</v>
      </c>
      <c r="V57">
        <f t="shared" si="13"/>
        <v>29.266357132134026</v>
      </c>
      <c r="W57">
        <f t="shared" si="14"/>
        <v>4.0841780159262226</v>
      </c>
      <c r="X57">
        <f t="shared" si="15"/>
        <v>66.468763584608851</v>
      </c>
      <c r="Y57">
        <f t="shared" si="16"/>
        <v>2.39928853502632</v>
      </c>
      <c r="Z57">
        <f t="shared" si="17"/>
        <v>3.6096482101284137</v>
      </c>
      <c r="AA57">
        <f t="shared" si="18"/>
        <v>1.6848894808999026</v>
      </c>
      <c r="AB57">
        <f t="shared" si="19"/>
        <v>-7.534589760871774</v>
      </c>
      <c r="AC57">
        <f t="shared" si="20"/>
        <v>-243.85703345931407</v>
      </c>
      <c r="AD57">
        <f t="shared" si="21"/>
        <v>-24.986565365386316</v>
      </c>
      <c r="AE57">
        <f t="shared" si="22"/>
        <v>-0.26340655310553984</v>
      </c>
      <c r="AF57">
        <v>0</v>
      </c>
      <c r="AG57">
        <v>0</v>
      </c>
      <c r="AH57">
        <f t="shared" si="23"/>
        <v>1</v>
      </c>
      <c r="AI57">
        <f t="shared" si="24"/>
        <v>0</v>
      </c>
      <c r="AJ57">
        <f t="shared" si="25"/>
        <v>52399.794272370928</v>
      </c>
      <c r="AK57">
        <f t="shared" si="26"/>
        <v>1799.99</v>
      </c>
      <c r="AL57">
        <f t="shared" si="27"/>
        <v>1499.1033548017599</v>
      </c>
      <c r="AM57">
        <f t="shared" si="28"/>
        <v>0.8328398239999999</v>
      </c>
      <c r="AN57">
        <f t="shared" si="29"/>
        <v>0.15339795334</v>
      </c>
      <c r="AO57">
        <v>32.4</v>
      </c>
      <c r="AP57">
        <v>0.5</v>
      </c>
      <c r="AQ57" t="s">
        <v>331</v>
      </c>
      <c r="AR57">
        <v>2</v>
      </c>
      <c r="AS57">
        <v>1690232974.5999999</v>
      </c>
      <c r="AT57">
        <v>787.63900000000001</v>
      </c>
      <c r="AU57">
        <v>800.07799999999997</v>
      </c>
      <c r="AV57">
        <v>24.2074</v>
      </c>
      <c r="AW57">
        <v>22.407299999999999</v>
      </c>
      <c r="AX57">
        <v>787.96900000000005</v>
      </c>
      <c r="AY57">
        <v>24.035399999999999</v>
      </c>
      <c r="AZ57">
        <v>300.07299999999998</v>
      </c>
      <c r="BA57">
        <v>99.013900000000007</v>
      </c>
      <c r="BB57">
        <v>9.9946800000000002E-2</v>
      </c>
      <c r="BC57">
        <v>27.144500000000001</v>
      </c>
      <c r="BD57">
        <v>26.986499999999999</v>
      </c>
      <c r="BE57">
        <v>29.3187</v>
      </c>
      <c r="BF57">
        <v>0</v>
      </c>
      <c r="BG57">
        <v>0</v>
      </c>
      <c r="BH57">
        <v>10013.799999999999</v>
      </c>
      <c r="BI57">
        <v>1080.5899999999999</v>
      </c>
      <c r="BJ57">
        <v>1.4577199999999999</v>
      </c>
      <c r="BK57">
        <v>-12.438599999999999</v>
      </c>
      <c r="BL57">
        <v>807.17899999999997</v>
      </c>
      <c r="BM57">
        <v>818.41600000000005</v>
      </c>
      <c r="BN57">
        <v>1.80003</v>
      </c>
      <c r="BO57">
        <v>800.07799999999997</v>
      </c>
      <c r="BP57">
        <v>22.407299999999999</v>
      </c>
      <c r="BQ57">
        <v>2.3968699999999998</v>
      </c>
      <c r="BR57">
        <v>2.2186400000000002</v>
      </c>
      <c r="BS57">
        <v>20.342600000000001</v>
      </c>
      <c r="BT57">
        <v>19.0975</v>
      </c>
      <c r="BU57">
        <v>1799.99</v>
      </c>
      <c r="BV57">
        <v>0.90998599999999996</v>
      </c>
      <c r="BW57">
        <v>3.3997699999999999E-2</v>
      </c>
      <c r="BX57">
        <v>2.20062E-2</v>
      </c>
      <c r="BY57">
        <v>3.4010400000000003E-2</v>
      </c>
      <c r="BZ57">
        <v>25</v>
      </c>
      <c r="CA57">
        <v>33528.1</v>
      </c>
      <c r="CB57">
        <v>1690232006</v>
      </c>
      <c r="CC57" t="s">
        <v>332</v>
      </c>
      <c r="CD57">
        <v>1690232006</v>
      </c>
      <c r="CE57">
        <v>1690231998.5</v>
      </c>
      <c r="CF57">
        <v>14</v>
      </c>
      <c r="CG57">
        <v>-0.13200000000000001</v>
      </c>
      <c r="CH57">
        <v>-7.0000000000000001E-3</v>
      </c>
      <c r="CI57">
        <v>-0.33800000000000002</v>
      </c>
      <c r="CJ57">
        <v>0.14299999999999999</v>
      </c>
      <c r="CK57">
        <v>799</v>
      </c>
      <c r="CL57">
        <v>19</v>
      </c>
      <c r="CM57">
        <v>7.0000000000000007E-2</v>
      </c>
      <c r="CN57">
        <v>0.14000000000000001</v>
      </c>
      <c r="CO57">
        <v>-11.542668292682929</v>
      </c>
      <c r="CP57">
        <v>-4.8445400696863992</v>
      </c>
      <c r="CQ57">
        <v>0.47838883839609309</v>
      </c>
      <c r="CR57">
        <v>-1</v>
      </c>
      <c r="CS57">
        <v>1.6853495121951221</v>
      </c>
      <c r="CT57">
        <v>0.57458550522647855</v>
      </c>
      <c r="CU57">
        <v>5.6943770037674091E-2</v>
      </c>
      <c r="CV57">
        <v>-1</v>
      </c>
      <c r="CW57">
        <v>0</v>
      </c>
      <c r="CX57">
        <v>0</v>
      </c>
      <c r="CY57" t="s">
        <v>333</v>
      </c>
      <c r="CZ57">
        <v>2.3642699999999999</v>
      </c>
      <c r="DA57">
        <v>2.7137500000000001</v>
      </c>
      <c r="DB57">
        <v>0.145234</v>
      </c>
      <c r="DC57">
        <v>0.14638200000000001</v>
      </c>
      <c r="DD57">
        <v>0.11461399999999999</v>
      </c>
      <c r="DE57">
        <v>0.106892</v>
      </c>
      <c r="DF57">
        <v>31229.1</v>
      </c>
      <c r="DG57">
        <v>27535</v>
      </c>
      <c r="DH57">
        <v>31189.3</v>
      </c>
      <c r="DI57">
        <v>28106.3</v>
      </c>
      <c r="DJ57">
        <v>37493.300000000003</v>
      </c>
      <c r="DK57">
        <v>35695.599999999999</v>
      </c>
      <c r="DL57">
        <v>44389</v>
      </c>
      <c r="DM57">
        <v>42604.3</v>
      </c>
      <c r="DN57">
        <v>1.4743999999999999</v>
      </c>
      <c r="DO57">
        <v>2.0655000000000001</v>
      </c>
      <c r="DP57">
        <v>7.1152999999999994E-2</v>
      </c>
      <c r="DQ57">
        <v>0.226274</v>
      </c>
      <c r="DR57">
        <v>25.8218</v>
      </c>
      <c r="DS57">
        <v>25.620999999999999</v>
      </c>
      <c r="DT57">
        <v>56.3</v>
      </c>
      <c r="DU57">
        <v>29</v>
      </c>
      <c r="DV57">
        <v>22.869199999999999</v>
      </c>
      <c r="DW57">
        <v>61.677999999999997</v>
      </c>
      <c r="DX57">
        <v>36.081699999999998</v>
      </c>
      <c r="DY57">
        <v>1</v>
      </c>
      <c r="DZ57">
        <v>-0.103646</v>
      </c>
      <c r="EA57">
        <v>-0.111667</v>
      </c>
      <c r="EB57">
        <v>20.189800000000002</v>
      </c>
      <c r="EC57">
        <v>5.2411000000000003</v>
      </c>
      <c r="ED57">
        <v>12.039899999999999</v>
      </c>
      <c r="EE57">
        <v>5.0167999999999999</v>
      </c>
      <c r="EF57">
        <v>3.2879999999999998</v>
      </c>
      <c r="EG57">
        <v>9999</v>
      </c>
      <c r="EH57">
        <v>9999</v>
      </c>
      <c r="EI57">
        <v>9999</v>
      </c>
      <c r="EJ57">
        <v>999.9</v>
      </c>
      <c r="EK57">
        <v>1.8689</v>
      </c>
      <c r="EL57">
        <v>1.86463</v>
      </c>
      <c r="EM57">
        <v>1.8692</v>
      </c>
      <c r="EN57">
        <v>1.8672200000000001</v>
      </c>
      <c r="EO57">
        <v>1.8633999999999999</v>
      </c>
      <c r="EP57">
        <v>1.86449</v>
      </c>
      <c r="EQ57">
        <v>1.87015</v>
      </c>
      <c r="ER57">
        <v>1.8693900000000001</v>
      </c>
      <c r="ES57">
        <v>0</v>
      </c>
      <c r="ET57">
        <v>0</v>
      </c>
      <c r="EU57">
        <v>0</v>
      </c>
      <c r="EV57">
        <v>0</v>
      </c>
      <c r="EW57" t="s">
        <v>334</v>
      </c>
      <c r="EX57" t="s">
        <v>335</v>
      </c>
      <c r="EY57" t="s">
        <v>336</v>
      </c>
      <c r="EZ57" t="s">
        <v>336</v>
      </c>
      <c r="FA57" t="s">
        <v>336</v>
      </c>
      <c r="FB57" t="s">
        <v>336</v>
      </c>
      <c r="FC57">
        <v>0</v>
      </c>
      <c r="FD57">
        <v>100</v>
      </c>
      <c r="FE57">
        <v>100</v>
      </c>
      <c r="FF57">
        <v>-0.33</v>
      </c>
      <c r="FG57">
        <v>0.17199999999999999</v>
      </c>
      <c r="FH57">
        <v>0.2126736300064915</v>
      </c>
      <c r="FI57">
        <v>-6.1462078757559423E-4</v>
      </c>
      <c r="FJ57">
        <v>-1.8861989874597051E-7</v>
      </c>
      <c r="FK57">
        <v>1.1980462299894961E-10</v>
      </c>
      <c r="FL57">
        <v>0.1719881465068297</v>
      </c>
      <c r="FM57">
        <v>0</v>
      </c>
      <c r="FN57">
        <v>0</v>
      </c>
      <c r="FO57">
        <v>0</v>
      </c>
      <c r="FP57">
        <v>3</v>
      </c>
      <c r="FQ57">
        <v>2158</v>
      </c>
      <c r="FR57">
        <v>1</v>
      </c>
      <c r="FS57">
        <v>19</v>
      </c>
      <c r="FT57">
        <v>16.100000000000001</v>
      </c>
      <c r="FU57">
        <v>16.3</v>
      </c>
      <c r="FV57">
        <v>1.79565</v>
      </c>
      <c r="FW57">
        <v>2.5842299999999998</v>
      </c>
      <c r="FX57">
        <v>1.5490699999999999</v>
      </c>
      <c r="FY57">
        <v>2.3290999999999999</v>
      </c>
      <c r="FZ57">
        <v>1.50146</v>
      </c>
      <c r="GA57">
        <v>2.3938000000000001</v>
      </c>
      <c r="GB57">
        <v>33.625399999999999</v>
      </c>
      <c r="GC57">
        <v>23.991199999999999</v>
      </c>
      <c r="GD57">
        <v>19</v>
      </c>
      <c r="GE57">
        <v>281.52699999999999</v>
      </c>
      <c r="GF57">
        <v>605.85599999999999</v>
      </c>
      <c r="GG57">
        <v>25.1341</v>
      </c>
      <c r="GH57">
        <v>26.127300000000002</v>
      </c>
      <c r="GI57">
        <v>29.9999</v>
      </c>
      <c r="GJ57">
        <v>26.218</v>
      </c>
      <c r="GK57">
        <v>26.189800000000002</v>
      </c>
      <c r="GL57">
        <v>35.913499999999999</v>
      </c>
      <c r="GM57">
        <v>6.59917</v>
      </c>
      <c r="GN57">
        <v>100</v>
      </c>
      <c r="GO57">
        <v>25.138400000000001</v>
      </c>
      <c r="GP57">
        <v>800</v>
      </c>
      <c r="GQ57">
        <v>22.158999999999999</v>
      </c>
      <c r="GR57">
        <v>99.797399999999996</v>
      </c>
      <c r="GS57">
        <v>99.661699999999996</v>
      </c>
    </row>
    <row r="58" spans="1:201" x14ac:dyDescent="0.25">
      <c r="A58">
        <v>42</v>
      </c>
      <c r="B58">
        <v>1690232984.5999999</v>
      </c>
      <c r="C58">
        <v>478.5</v>
      </c>
      <c r="D58" t="s">
        <v>415</v>
      </c>
      <c r="E58" t="s">
        <v>416</v>
      </c>
      <c r="F58" t="s">
        <v>330</v>
      </c>
      <c r="H58">
        <v>1690232984.5999999</v>
      </c>
      <c r="I58">
        <f t="shared" si="0"/>
        <v>1.8186379755924948E-4</v>
      </c>
      <c r="J58">
        <f t="shared" si="1"/>
        <v>0.18186379755924947</v>
      </c>
      <c r="K58">
        <f t="shared" si="2"/>
        <v>1.0928398468679945</v>
      </c>
      <c r="L58">
        <f t="shared" si="3"/>
        <v>786.73199999999997</v>
      </c>
      <c r="M58">
        <f t="shared" si="4"/>
        <v>598.2703401817131</v>
      </c>
      <c r="N58">
        <f t="shared" si="5"/>
        <v>59.297396653144901</v>
      </c>
      <c r="O58">
        <f t="shared" si="6"/>
        <v>77.976721108307999</v>
      </c>
      <c r="P58">
        <f t="shared" si="7"/>
        <v>1.0371169680298336E-2</v>
      </c>
      <c r="Q58">
        <f t="shared" si="8"/>
        <v>2.1286804357033366</v>
      </c>
      <c r="R58">
        <f t="shared" si="9"/>
        <v>1.0343179546065371E-2</v>
      </c>
      <c r="S58">
        <f t="shared" si="10"/>
        <v>6.466995677795042E-3</v>
      </c>
      <c r="T58">
        <f t="shared" si="11"/>
        <v>276.11424136947034</v>
      </c>
      <c r="U58">
        <f t="shared" si="12"/>
        <v>29.26408009715384</v>
      </c>
      <c r="V58">
        <f t="shared" si="13"/>
        <v>29.26408009715384</v>
      </c>
      <c r="W58">
        <f t="shared" si="14"/>
        <v>4.0836409685844357</v>
      </c>
      <c r="X58">
        <f t="shared" si="15"/>
        <v>66.434760237099752</v>
      </c>
      <c r="Y58">
        <f t="shared" si="16"/>
        <v>2.3978923082389003</v>
      </c>
      <c r="Z58">
        <f t="shared" si="17"/>
        <v>3.6093940877953585</v>
      </c>
      <c r="AA58">
        <f t="shared" si="18"/>
        <v>1.6857486603455354</v>
      </c>
      <c r="AB58">
        <f t="shared" si="19"/>
        <v>-8.0201934723629016</v>
      </c>
      <c r="AC58">
        <f t="shared" si="20"/>
        <v>-243.38373471407255</v>
      </c>
      <c r="AD58">
        <f t="shared" si="21"/>
        <v>-24.973449670670931</v>
      </c>
      <c r="AE58">
        <f t="shared" si="22"/>
        <v>-0.26313648763604647</v>
      </c>
      <c r="AF58">
        <v>0</v>
      </c>
      <c r="AG58">
        <v>0</v>
      </c>
      <c r="AH58">
        <f t="shared" si="23"/>
        <v>1</v>
      </c>
      <c r="AI58">
        <f t="shared" si="24"/>
        <v>0</v>
      </c>
      <c r="AJ58">
        <f t="shared" si="25"/>
        <v>52268.371218192122</v>
      </c>
      <c r="AK58">
        <f t="shared" si="26"/>
        <v>1799.99</v>
      </c>
      <c r="AL58">
        <f t="shared" si="27"/>
        <v>1499.10367519998</v>
      </c>
      <c r="AM58">
        <f t="shared" si="28"/>
        <v>0.83284000199999997</v>
      </c>
      <c r="AN58">
        <f t="shared" si="29"/>
        <v>0.15339765297000002</v>
      </c>
      <c r="AO58">
        <v>32.4</v>
      </c>
      <c r="AP58">
        <v>0.5</v>
      </c>
      <c r="AQ58" t="s">
        <v>331</v>
      </c>
      <c r="AR58">
        <v>2</v>
      </c>
      <c r="AS58">
        <v>1690232984.5999999</v>
      </c>
      <c r="AT58">
        <v>786.73199999999997</v>
      </c>
      <c r="AU58">
        <v>800.06799999999998</v>
      </c>
      <c r="AV58">
        <v>24.193100000000001</v>
      </c>
      <c r="AW58">
        <v>22.278199999999998</v>
      </c>
      <c r="AX58">
        <v>787.06200000000001</v>
      </c>
      <c r="AY58">
        <v>24.021100000000001</v>
      </c>
      <c r="AZ58">
        <v>300.26799999999997</v>
      </c>
      <c r="BA58">
        <v>99.014600000000002</v>
      </c>
      <c r="BB58">
        <v>0.100119</v>
      </c>
      <c r="BC58">
        <v>27.1433</v>
      </c>
      <c r="BD58">
        <v>26.991399999999999</v>
      </c>
      <c r="BE58">
        <v>29.324400000000001</v>
      </c>
      <c r="BF58">
        <v>0</v>
      </c>
      <c r="BG58">
        <v>0</v>
      </c>
      <c r="BH58">
        <v>9987.5</v>
      </c>
      <c r="BI58">
        <v>1080.51</v>
      </c>
      <c r="BJ58">
        <v>1.4577199999999999</v>
      </c>
      <c r="BK58">
        <v>-13.3352</v>
      </c>
      <c r="BL58">
        <v>806.23800000000006</v>
      </c>
      <c r="BM58">
        <v>818.298</v>
      </c>
      <c r="BN58">
        <v>1.91489</v>
      </c>
      <c r="BO58">
        <v>800.06799999999998</v>
      </c>
      <c r="BP58">
        <v>22.278199999999998</v>
      </c>
      <c r="BQ58">
        <v>2.39547</v>
      </c>
      <c r="BR58">
        <v>2.20587</v>
      </c>
      <c r="BS58">
        <v>20.333200000000001</v>
      </c>
      <c r="BT58">
        <v>19.004999999999999</v>
      </c>
      <c r="BU58">
        <v>1799.99</v>
      </c>
      <c r="BV58">
        <v>0.90999399999999997</v>
      </c>
      <c r="BW58">
        <v>3.3994499999999997E-2</v>
      </c>
      <c r="BX58">
        <v>2.2004099999999999E-2</v>
      </c>
      <c r="BY58">
        <v>3.4007099999999998E-2</v>
      </c>
      <c r="BZ58">
        <v>25</v>
      </c>
      <c r="CA58">
        <v>33528.199999999997</v>
      </c>
      <c r="CB58">
        <v>1690232006</v>
      </c>
      <c r="CC58" t="s">
        <v>332</v>
      </c>
      <c r="CD58">
        <v>1690232006</v>
      </c>
      <c r="CE58">
        <v>1690231998.5</v>
      </c>
      <c r="CF58">
        <v>14</v>
      </c>
      <c r="CG58">
        <v>-0.13200000000000001</v>
      </c>
      <c r="CH58">
        <v>-7.0000000000000001E-3</v>
      </c>
      <c r="CI58">
        <v>-0.33800000000000002</v>
      </c>
      <c r="CJ58">
        <v>0.14299999999999999</v>
      </c>
      <c r="CK58">
        <v>799</v>
      </c>
      <c r="CL58">
        <v>19</v>
      </c>
      <c r="CM58">
        <v>7.0000000000000007E-2</v>
      </c>
      <c r="CN58">
        <v>0.14000000000000001</v>
      </c>
      <c r="CO58">
        <v>-12.3752</v>
      </c>
      <c r="CP58">
        <v>-5.1622118466899209</v>
      </c>
      <c r="CQ58">
        <v>0.51033726007846036</v>
      </c>
      <c r="CR58">
        <v>-1</v>
      </c>
      <c r="CS58">
        <v>1.790692926829268</v>
      </c>
      <c r="CT58">
        <v>0.69005728222996854</v>
      </c>
      <c r="CU58">
        <v>6.8051271640737709E-2</v>
      </c>
      <c r="CV58">
        <v>-1</v>
      </c>
      <c r="CW58">
        <v>0</v>
      </c>
      <c r="CX58">
        <v>0</v>
      </c>
      <c r="CY58" t="s">
        <v>333</v>
      </c>
      <c r="CZ58">
        <v>2.3648899999999999</v>
      </c>
      <c r="DA58">
        <v>2.7139000000000002</v>
      </c>
      <c r="DB58">
        <v>0.145123</v>
      </c>
      <c r="DC58">
        <v>0.14638000000000001</v>
      </c>
      <c r="DD58">
        <v>0.114567</v>
      </c>
      <c r="DE58">
        <v>0.106461</v>
      </c>
      <c r="DF58">
        <v>31233.3</v>
      </c>
      <c r="DG58">
        <v>27535.1</v>
      </c>
      <c r="DH58">
        <v>31189.5</v>
      </c>
      <c r="DI58">
        <v>28106.3</v>
      </c>
      <c r="DJ58">
        <v>37495.599999999999</v>
      </c>
      <c r="DK58">
        <v>35712.9</v>
      </c>
      <c r="DL58">
        <v>44389.4</v>
      </c>
      <c r="DM58">
        <v>42604.4</v>
      </c>
      <c r="DN58">
        <v>1.4746999999999999</v>
      </c>
      <c r="DO58">
        <v>2.0653700000000002</v>
      </c>
      <c r="DP58">
        <v>7.1749099999999996E-2</v>
      </c>
      <c r="DQ58">
        <v>0.226684</v>
      </c>
      <c r="DR58">
        <v>25.8169</v>
      </c>
      <c r="DS58">
        <v>25.62</v>
      </c>
      <c r="DT58">
        <v>56.3</v>
      </c>
      <c r="DU58">
        <v>29</v>
      </c>
      <c r="DV58">
        <v>22.866399999999999</v>
      </c>
      <c r="DW58">
        <v>61.667999999999999</v>
      </c>
      <c r="DX58">
        <v>35.9375</v>
      </c>
      <c r="DY58">
        <v>1</v>
      </c>
      <c r="DZ58">
        <v>-0.104202</v>
      </c>
      <c r="EA58">
        <v>-0.12357799999999999</v>
      </c>
      <c r="EB58">
        <v>20.190000000000001</v>
      </c>
      <c r="EC58">
        <v>5.2408000000000001</v>
      </c>
      <c r="ED58">
        <v>12.039899999999999</v>
      </c>
      <c r="EE58">
        <v>5.0169499999999996</v>
      </c>
      <c r="EF58">
        <v>3.2879999999999998</v>
      </c>
      <c r="EG58">
        <v>9999</v>
      </c>
      <c r="EH58">
        <v>9999</v>
      </c>
      <c r="EI58">
        <v>9999</v>
      </c>
      <c r="EJ58">
        <v>999.9</v>
      </c>
      <c r="EK58">
        <v>1.8689</v>
      </c>
      <c r="EL58">
        <v>1.8646199999999999</v>
      </c>
      <c r="EM58">
        <v>1.8692</v>
      </c>
      <c r="EN58">
        <v>1.8672200000000001</v>
      </c>
      <c r="EO58">
        <v>1.8633999999999999</v>
      </c>
      <c r="EP58">
        <v>1.8644799999999999</v>
      </c>
      <c r="EQ58">
        <v>1.87015</v>
      </c>
      <c r="ER58">
        <v>1.8693900000000001</v>
      </c>
      <c r="ES58">
        <v>0</v>
      </c>
      <c r="ET58">
        <v>0</v>
      </c>
      <c r="EU58">
        <v>0</v>
      </c>
      <c r="EV58">
        <v>0</v>
      </c>
      <c r="EW58" t="s">
        <v>334</v>
      </c>
      <c r="EX58" t="s">
        <v>335</v>
      </c>
      <c r="EY58" t="s">
        <v>336</v>
      </c>
      <c r="EZ58" t="s">
        <v>336</v>
      </c>
      <c r="FA58" t="s">
        <v>336</v>
      </c>
      <c r="FB58" t="s">
        <v>336</v>
      </c>
      <c r="FC58">
        <v>0</v>
      </c>
      <c r="FD58">
        <v>100</v>
      </c>
      <c r="FE58">
        <v>100</v>
      </c>
      <c r="FF58">
        <v>-0.33</v>
      </c>
      <c r="FG58">
        <v>0.17199999999999999</v>
      </c>
      <c r="FH58">
        <v>0.2126736300064915</v>
      </c>
      <c r="FI58">
        <v>-6.1462078757559423E-4</v>
      </c>
      <c r="FJ58">
        <v>-1.8861989874597051E-7</v>
      </c>
      <c r="FK58">
        <v>1.1980462299894961E-10</v>
      </c>
      <c r="FL58">
        <v>0.1719881465068297</v>
      </c>
      <c r="FM58">
        <v>0</v>
      </c>
      <c r="FN58">
        <v>0</v>
      </c>
      <c r="FO58">
        <v>0</v>
      </c>
      <c r="FP58">
        <v>3</v>
      </c>
      <c r="FQ58">
        <v>2158</v>
      </c>
      <c r="FR58">
        <v>1</v>
      </c>
      <c r="FS58">
        <v>19</v>
      </c>
      <c r="FT58">
        <v>16.3</v>
      </c>
      <c r="FU58">
        <v>16.399999999999999</v>
      </c>
      <c r="FV58">
        <v>1.79565</v>
      </c>
      <c r="FW58">
        <v>2.5939899999999998</v>
      </c>
      <c r="FX58">
        <v>1.5490699999999999</v>
      </c>
      <c r="FY58">
        <v>2.3290999999999999</v>
      </c>
      <c r="FZ58">
        <v>1.50146</v>
      </c>
      <c r="GA58">
        <v>2.3779300000000001</v>
      </c>
      <c r="GB58">
        <v>33.625399999999999</v>
      </c>
      <c r="GC58">
        <v>23.982399999999998</v>
      </c>
      <c r="GD58">
        <v>19</v>
      </c>
      <c r="GE58">
        <v>281.64400000000001</v>
      </c>
      <c r="GF58">
        <v>605.73299999999995</v>
      </c>
      <c r="GG58">
        <v>25.1523</v>
      </c>
      <c r="GH58">
        <v>26.1234</v>
      </c>
      <c r="GI58">
        <v>29.9999</v>
      </c>
      <c r="GJ58">
        <v>26.215900000000001</v>
      </c>
      <c r="GK58">
        <v>26.188300000000002</v>
      </c>
      <c r="GL58">
        <v>35.907600000000002</v>
      </c>
      <c r="GM58">
        <v>7.7608899999999998</v>
      </c>
      <c r="GN58">
        <v>100</v>
      </c>
      <c r="GO58">
        <v>25.154900000000001</v>
      </c>
      <c r="GP58">
        <v>800</v>
      </c>
      <c r="GQ58">
        <v>22.0867</v>
      </c>
      <c r="GR58">
        <v>99.798199999999994</v>
      </c>
      <c r="GS58">
        <v>99.661900000000003</v>
      </c>
    </row>
    <row r="59" spans="1:201" x14ac:dyDescent="0.25">
      <c r="A59">
        <v>43</v>
      </c>
      <c r="B59">
        <v>1690232994.5999999</v>
      </c>
      <c r="C59">
        <v>488.5</v>
      </c>
      <c r="D59" t="s">
        <v>417</v>
      </c>
      <c r="E59" t="s">
        <v>418</v>
      </c>
      <c r="F59" t="s">
        <v>330</v>
      </c>
      <c r="H59">
        <v>1690232994.5999999</v>
      </c>
      <c r="I59">
        <f t="shared" si="0"/>
        <v>1.8881026343394445E-4</v>
      </c>
      <c r="J59">
        <f t="shared" si="1"/>
        <v>0.18881026343394444</v>
      </c>
      <c r="K59">
        <f t="shared" si="2"/>
        <v>1.1683877676875725</v>
      </c>
      <c r="L59">
        <f t="shared" si="3"/>
        <v>785.80600000000004</v>
      </c>
      <c r="M59">
        <f t="shared" si="4"/>
        <v>592.11177869145354</v>
      </c>
      <c r="N59">
        <f t="shared" si="5"/>
        <v>58.686849388965513</v>
      </c>
      <c r="O59">
        <f t="shared" si="6"/>
        <v>77.884750870623208</v>
      </c>
      <c r="P59">
        <f t="shared" si="7"/>
        <v>1.07516514975963E-2</v>
      </c>
      <c r="Q59">
        <f t="shared" si="8"/>
        <v>2.1331173189010029</v>
      </c>
      <c r="R59">
        <f t="shared" si="9"/>
        <v>1.0721635561582068E-2</v>
      </c>
      <c r="S59">
        <f t="shared" si="10"/>
        <v>6.7037120070386081E-3</v>
      </c>
      <c r="T59">
        <f t="shared" si="11"/>
        <v>276.115418406</v>
      </c>
      <c r="U59">
        <f t="shared" si="12"/>
        <v>29.263453963786013</v>
      </c>
      <c r="V59">
        <f t="shared" si="13"/>
        <v>29.263453963786013</v>
      </c>
      <c r="W59">
        <f t="shared" si="14"/>
        <v>4.0834933034465344</v>
      </c>
      <c r="X59">
        <f t="shared" si="15"/>
        <v>66.335133604873135</v>
      </c>
      <c r="Y59">
        <f t="shared" si="16"/>
        <v>2.3951112529857195</v>
      </c>
      <c r="Z59">
        <f t="shared" si="17"/>
        <v>3.6106224904170068</v>
      </c>
      <c r="AA59">
        <f t="shared" si="18"/>
        <v>1.6883820504608149</v>
      </c>
      <c r="AB59">
        <f t="shared" si="19"/>
        <v>-8.3265326174369498</v>
      </c>
      <c r="AC59">
        <f t="shared" si="20"/>
        <v>-243.15201863055944</v>
      </c>
      <c r="AD59">
        <f t="shared" si="21"/>
        <v>-24.898417768119547</v>
      </c>
      <c r="AE59">
        <f t="shared" si="22"/>
        <v>-0.26155061011593261</v>
      </c>
      <c r="AF59">
        <v>0</v>
      </c>
      <c r="AG59">
        <v>0</v>
      </c>
      <c r="AH59">
        <f t="shared" si="23"/>
        <v>1</v>
      </c>
      <c r="AI59">
        <f t="shared" si="24"/>
        <v>0</v>
      </c>
      <c r="AJ59">
        <f t="shared" si="25"/>
        <v>52458.500290223441</v>
      </c>
      <c r="AK59">
        <f t="shared" si="26"/>
        <v>1800</v>
      </c>
      <c r="AL59">
        <f t="shared" si="27"/>
        <v>1499.1131376000001</v>
      </c>
      <c r="AM59">
        <f t="shared" si="28"/>
        <v>0.83284063200000003</v>
      </c>
      <c r="AN59">
        <f t="shared" si="29"/>
        <v>0.15339745466999999</v>
      </c>
      <c r="AO59">
        <v>32.4</v>
      </c>
      <c r="AP59">
        <v>0.5</v>
      </c>
      <c r="AQ59" t="s">
        <v>331</v>
      </c>
      <c r="AR59">
        <v>2</v>
      </c>
      <c r="AS59">
        <v>1690232994.5999999</v>
      </c>
      <c r="AT59">
        <v>785.80600000000004</v>
      </c>
      <c r="AU59">
        <v>800.02</v>
      </c>
      <c r="AV59">
        <v>24.165099999999999</v>
      </c>
      <c r="AW59">
        <v>22.176200000000001</v>
      </c>
      <c r="AX59">
        <v>786.13499999999999</v>
      </c>
      <c r="AY59">
        <v>23.993099999999998</v>
      </c>
      <c r="AZ59">
        <v>300.14699999999999</v>
      </c>
      <c r="BA59">
        <v>99.014499999999998</v>
      </c>
      <c r="BB59">
        <v>9.9977200000000002E-2</v>
      </c>
      <c r="BC59">
        <v>27.149100000000001</v>
      </c>
      <c r="BD59">
        <v>26.990600000000001</v>
      </c>
      <c r="BE59">
        <v>29.3062</v>
      </c>
      <c r="BF59">
        <v>0</v>
      </c>
      <c r="BG59">
        <v>0</v>
      </c>
      <c r="BH59">
        <v>10025.6</v>
      </c>
      <c r="BI59">
        <v>1080.6199999999999</v>
      </c>
      <c r="BJ59">
        <v>1.4577199999999999</v>
      </c>
      <c r="BK59">
        <v>-14.214600000000001</v>
      </c>
      <c r="BL59">
        <v>805.26499999999999</v>
      </c>
      <c r="BM59">
        <v>818.16399999999999</v>
      </c>
      <c r="BN59">
        <v>1.9888999999999999</v>
      </c>
      <c r="BO59">
        <v>800.02</v>
      </c>
      <c r="BP59">
        <v>22.176200000000001</v>
      </c>
      <c r="BQ59">
        <v>2.39269</v>
      </c>
      <c r="BR59">
        <v>2.1957599999999999</v>
      </c>
      <c r="BS59">
        <v>20.314399999999999</v>
      </c>
      <c r="BT59">
        <v>18.9314</v>
      </c>
      <c r="BU59">
        <v>1800</v>
      </c>
      <c r="BV59">
        <v>0.91000199999999998</v>
      </c>
      <c r="BW59">
        <v>3.3991500000000001E-2</v>
      </c>
      <c r="BX59">
        <v>2.20021E-2</v>
      </c>
      <c r="BY59">
        <v>3.4004100000000002E-2</v>
      </c>
      <c r="BZ59">
        <v>25</v>
      </c>
      <c r="CA59">
        <v>33528.300000000003</v>
      </c>
      <c r="CB59">
        <v>1690232006</v>
      </c>
      <c r="CC59" t="s">
        <v>332</v>
      </c>
      <c r="CD59">
        <v>1690232006</v>
      </c>
      <c r="CE59">
        <v>1690231998.5</v>
      </c>
      <c r="CF59">
        <v>14</v>
      </c>
      <c r="CG59">
        <v>-0.13200000000000001</v>
      </c>
      <c r="CH59">
        <v>-7.0000000000000001E-3</v>
      </c>
      <c r="CI59">
        <v>-0.33800000000000002</v>
      </c>
      <c r="CJ59">
        <v>0.14299999999999999</v>
      </c>
      <c r="CK59">
        <v>799</v>
      </c>
      <c r="CL59">
        <v>19</v>
      </c>
      <c r="CM59">
        <v>7.0000000000000007E-2</v>
      </c>
      <c r="CN59">
        <v>0.14000000000000001</v>
      </c>
      <c r="CO59">
        <v>-13.213905</v>
      </c>
      <c r="CP59">
        <v>-5.3770288930581591</v>
      </c>
      <c r="CQ59">
        <v>0.51828543436508034</v>
      </c>
      <c r="CR59">
        <v>-1</v>
      </c>
      <c r="CS59">
        <v>1.8955305</v>
      </c>
      <c r="CT59">
        <v>0.59916382739211249</v>
      </c>
      <c r="CU59">
        <v>5.800797975063432E-2</v>
      </c>
      <c r="CV59">
        <v>-1</v>
      </c>
      <c r="CW59">
        <v>0</v>
      </c>
      <c r="CX59">
        <v>0</v>
      </c>
      <c r="CY59" t="s">
        <v>333</v>
      </c>
      <c r="CZ59">
        <v>2.3645100000000001</v>
      </c>
      <c r="DA59">
        <v>2.7137899999999999</v>
      </c>
      <c r="DB59">
        <v>0.145008</v>
      </c>
      <c r="DC59">
        <v>0.146372</v>
      </c>
      <c r="DD59">
        <v>0.11447400000000001</v>
      </c>
      <c r="DE59">
        <v>0.106119</v>
      </c>
      <c r="DF59">
        <v>31237.7</v>
      </c>
      <c r="DG59">
        <v>27535.7</v>
      </c>
      <c r="DH59">
        <v>31189.7</v>
      </c>
      <c r="DI59">
        <v>28106.6</v>
      </c>
      <c r="DJ59">
        <v>37499.699999999997</v>
      </c>
      <c r="DK59">
        <v>35727</v>
      </c>
      <c r="DL59">
        <v>44389.599999999999</v>
      </c>
      <c r="DM59">
        <v>42604.9</v>
      </c>
      <c r="DN59">
        <v>1.4747300000000001</v>
      </c>
      <c r="DO59">
        <v>2.0652699999999999</v>
      </c>
      <c r="DP59">
        <v>7.1935399999999997E-2</v>
      </c>
      <c r="DQ59">
        <v>0.22586400000000001</v>
      </c>
      <c r="DR59">
        <v>25.813099999999999</v>
      </c>
      <c r="DS59">
        <v>25.615100000000002</v>
      </c>
      <c r="DT59">
        <v>56.3</v>
      </c>
      <c r="DU59">
        <v>28.9</v>
      </c>
      <c r="DV59">
        <v>22.7378</v>
      </c>
      <c r="DW59">
        <v>61.777999999999999</v>
      </c>
      <c r="DX59">
        <v>35.604999999999997</v>
      </c>
      <c r="DY59">
        <v>1</v>
      </c>
      <c r="DZ59">
        <v>-0.104228</v>
      </c>
      <c r="EA59">
        <v>-0.13628499999999999</v>
      </c>
      <c r="EB59">
        <v>20.190000000000001</v>
      </c>
      <c r="EC59">
        <v>5.2411000000000003</v>
      </c>
      <c r="ED59">
        <v>12.039899999999999</v>
      </c>
      <c r="EE59">
        <v>5.01715</v>
      </c>
      <c r="EF59">
        <v>3.2879999999999998</v>
      </c>
      <c r="EG59">
        <v>9999</v>
      </c>
      <c r="EH59">
        <v>9999</v>
      </c>
      <c r="EI59">
        <v>9999</v>
      </c>
      <c r="EJ59">
        <v>999.9</v>
      </c>
      <c r="EK59">
        <v>1.8689</v>
      </c>
      <c r="EL59">
        <v>1.8646199999999999</v>
      </c>
      <c r="EM59">
        <v>1.8691899999999999</v>
      </c>
      <c r="EN59">
        <v>1.8672200000000001</v>
      </c>
      <c r="EO59">
        <v>1.8633999999999999</v>
      </c>
      <c r="EP59">
        <v>1.8644700000000001</v>
      </c>
      <c r="EQ59">
        <v>1.8701399999999999</v>
      </c>
      <c r="ER59">
        <v>1.86938</v>
      </c>
      <c r="ES59">
        <v>0</v>
      </c>
      <c r="ET59">
        <v>0</v>
      </c>
      <c r="EU59">
        <v>0</v>
      </c>
      <c r="EV59">
        <v>0</v>
      </c>
      <c r="EW59" t="s">
        <v>334</v>
      </c>
      <c r="EX59" t="s">
        <v>335</v>
      </c>
      <c r="EY59" t="s">
        <v>336</v>
      </c>
      <c r="EZ59" t="s">
        <v>336</v>
      </c>
      <c r="FA59" t="s">
        <v>336</v>
      </c>
      <c r="FB59" t="s">
        <v>336</v>
      </c>
      <c r="FC59">
        <v>0</v>
      </c>
      <c r="FD59">
        <v>100</v>
      </c>
      <c r="FE59">
        <v>100</v>
      </c>
      <c r="FF59">
        <v>-0.32900000000000001</v>
      </c>
      <c r="FG59">
        <v>0.17199999999999999</v>
      </c>
      <c r="FH59">
        <v>0.2126736300064915</v>
      </c>
      <c r="FI59">
        <v>-6.1462078757559423E-4</v>
      </c>
      <c r="FJ59">
        <v>-1.8861989874597051E-7</v>
      </c>
      <c r="FK59">
        <v>1.1980462299894961E-10</v>
      </c>
      <c r="FL59">
        <v>0.1719881465068297</v>
      </c>
      <c r="FM59">
        <v>0</v>
      </c>
      <c r="FN59">
        <v>0</v>
      </c>
      <c r="FO59">
        <v>0</v>
      </c>
      <c r="FP59">
        <v>3</v>
      </c>
      <c r="FQ59">
        <v>2158</v>
      </c>
      <c r="FR59">
        <v>1</v>
      </c>
      <c r="FS59">
        <v>19</v>
      </c>
      <c r="FT59">
        <v>16.5</v>
      </c>
      <c r="FU59">
        <v>16.600000000000001</v>
      </c>
      <c r="FV59">
        <v>1.79565</v>
      </c>
      <c r="FW59">
        <v>2.5793499999999998</v>
      </c>
      <c r="FX59">
        <v>1.5490699999999999</v>
      </c>
      <c r="FY59">
        <v>2.3290999999999999</v>
      </c>
      <c r="FZ59">
        <v>1.50146</v>
      </c>
      <c r="GA59">
        <v>2.3779300000000001</v>
      </c>
      <c r="GB59">
        <v>33.625399999999999</v>
      </c>
      <c r="GC59">
        <v>23.991199999999999</v>
      </c>
      <c r="GD59">
        <v>19</v>
      </c>
      <c r="GE59">
        <v>281.64600000000002</v>
      </c>
      <c r="GF59">
        <v>605.63900000000001</v>
      </c>
      <c r="GG59">
        <v>25.165500000000002</v>
      </c>
      <c r="GH59">
        <v>26.119499999999999</v>
      </c>
      <c r="GI59">
        <v>30</v>
      </c>
      <c r="GJ59">
        <v>26.213699999999999</v>
      </c>
      <c r="GK59">
        <v>26.1876</v>
      </c>
      <c r="GL59">
        <v>35.903300000000002</v>
      </c>
      <c r="GM59">
        <v>8.6647999999999996</v>
      </c>
      <c r="GN59">
        <v>100</v>
      </c>
      <c r="GO59">
        <v>25.1694</v>
      </c>
      <c r="GP59">
        <v>800</v>
      </c>
      <c r="GQ59">
        <v>22.033300000000001</v>
      </c>
      <c r="GR59">
        <v>99.798599999999993</v>
      </c>
      <c r="GS59">
        <v>99.662999999999997</v>
      </c>
    </row>
    <row r="60" spans="1:201" x14ac:dyDescent="0.25">
      <c r="A60">
        <v>44</v>
      </c>
      <c r="B60">
        <v>1690233004.5999999</v>
      </c>
      <c r="C60">
        <v>498.5</v>
      </c>
      <c r="D60" t="s">
        <v>419</v>
      </c>
      <c r="E60" t="s">
        <v>420</v>
      </c>
      <c r="F60" t="s">
        <v>330</v>
      </c>
      <c r="H60">
        <v>1690233004.5999999</v>
      </c>
      <c r="I60">
        <f t="shared" si="0"/>
        <v>1.9344431994724906E-4</v>
      </c>
      <c r="J60">
        <f t="shared" si="1"/>
        <v>0.19344431994724906</v>
      </c>
      <c r="K60">
        <f t="shared" si="2"/>
        <v>1.2665619849943479</v>
      </c>
      <c r="L60">
        <f t="shared" si="3"/>
        <v>784.74099999999999</v>
      </c>
      <c r="M60">
        <f t="shared" si="4"/>
        <v>580.66048683144447</v>
      </c>
      <c r="N60">
        <f t="shared" si="5"/>
        <v>57.552053246145633</v>
      </c>
      <c r="O60">
        <f t="shared" si="6"/>
        <v>77.77945432946899</v>
      </c>
      <c r="P60">
        <f t="shared" si="7"/>
        <v>1.0992259591858686E-2</v>
      </c>
      <c r="Q60">
        <f t="shared" si="8"/>
        <v>2.1257622427881611</v>
      </c>
      <c r="R60">
        <f t="shared" si="9"/>
        <v>1.0960779092382137E-2</v>
      </c>
      <c r="S60">
        <f t="shared" si="10"/>
        <v>6.853307767198333E-3</v>
      </c>
      <c r="T60">
        <f t="shared" si="11"/>
        <v>276.11400731677054</v>
      </c>
      <c r="U60">
        <f t="shared" si="12"/>
        <v>29.266169102979369</v>
      </c>
      <c r="V60">
        <f t="shared" si="13"/>
        <v>29.266169102979369</v>
      </c>
      <c r="W60">
        <f t="shared" si="14"/>
        <v>4.0841336662041563</v>
      </c>
      <c r="X60">
        <f t="shared" si="15"/>
        <v>66.258648938259185</v>
      </c>
      <c r="Y60">
        <f t="shared" si="16"/>
        <v>2.3920268889250997</v>
      </c>
      <c r="Z60">
        <f t="shared" si="17"/>
        <v>3.6101353215850005</v>
      </c>
      <c r="AA60">
        <f t="shared" si="18"/>
        <v>1.6921067772790566</v>
      </c>
      <c r="AB60">
        <f t="shared" si="19"/>
        <v>-8.5308945096736828</v>
      </c>
      <c r="AC60">
        <f t="shared" si="20"/>
        <v>-242.88837596889655</v>
      </c>
      <c r="AD60">
        <f t="shared" si="21"/>
        <v>-24.957528594933912</v>
      </c>
      <c r="AE60">
        <f t="shared" si="22"/>
        <v>-0.26279175673360555</v>
      </c>
      <c r="AF60">
        <v>0</v>
      </c>
      <c r="AG60">
        <v>0</v>
      </c>
      <c r="AH60">
        <f t="shared" si="23"/>
        <v>1</v>
      </c>
      <c r="AI60">
        <f t="shared" si="24"/>
        <v>0</v>
      </c>
      <c r="AJ60">
        <f t="shared" si="25"/>
        <v>52142.296358564032</v>
      </c>
      <c r="AK60">
        <f t="shared" si="26"/>
        <v>1799.99</v>
      </c>
      <c r="AL60">
        <f t="shared" si="27"/>
        <v>1499.1014468123601</v>
      </c>
      <c r="AM60">
        <f t="shared" si="28"/>
        <v>0.83283876400000001</v>
      </c>
      <c r="AN60">
        <f t="shared" si="29"/>
        <v>0.15339752293999998</v>
      </c>
      <c r="AO60">
        <v>32.4</v>
      </c>
      <c r="AP60">
        <v>0.5</v>
      </c>
      <c r="AQ60" t="s">
        <v>331</v>
      </c>
      <c r="AR60">
        <v>2</v>
      </c>
      <c r="AS60">
        <v>1690233004.5999999</v>
      </c>
      <c r="AT60">
        <v>784.74099999999999</v>
      </c>
      <c r="AU60">
        <v>800.05200000000002</v>
      </c>
      <c r="AV60">
        <v>24.133900000000001</v>
      </c>
      <c r="AW60">
        <v>22.0961</v>
      </c>
      <c r="AX60">
        <v>785.06899999999996</v>
      </c>
      <c r="AY60">
        <v>23.9619</v>
      </c>
      <c r="AZ60">
        <v>300.14400000000001</v>
      </c>
      <c r="BA60">
        <v>99.014799999999994</v>
      </c>
      <c r="BB60">
        <v>0.100009</v>
      </c>
      <c r="BC60">
        <v>27.146799999999999</v>
      </c>
      <c r="BD60">
        <v>26.995799999999999</v>
      </c>
      <c r="BE60">
        <v>29.310099999999998</v>
      </c>
      <c r="BF60">
        <v>0</v>
      </c>
      <c r="BG60">
        <v>0</v>
      </c>
      <c r="BH60">
        <v>9962.5</v>
      </c>
      <c r="BI60">
        <v>1080.58</v>
      </c>
      <c r="BJ60">
        <v>1.4577199999999999</v>
      </c>
      <c r="BK60">
        <v>-15.311</v>
      </c>
      <c r="BL60">
        <v>804.14800000000002</v>
      </c>
      <c r="BM60">
        <v>818.12900000000002</v>
      </c>
      <c r="BN60">
        <v>2.0378599999999998</v>
      </c>
      <c r="BO60">
        <v>800.05200000000002</v>
      </c>
      <c r="BP60">
        <v>22.0961</v>
      </c>
      <c r="BQ60">
        <v>2.3896199999999999</v>
      </c>
      <c r="BR60">
        <v>2.18784</v>
      </c>
      <c r="BS60">
        <v>20.293600000000001</v>
      </c>
      <c r="BT60">
        <v>18.8735</v>
      </c>
      <c r="BU60">
        <v>1799.99</v>
      </c>
      <c r="BV60">
        <v>0.90998999999999997</v>
      </c>
      <c r="BW60">
        <v>3.4008700000000003E-2</v>
      </c>
      <c r="BX60">
        <v>2.2000200000000001E-2</v>
      </c>
      <c r="BY60">
        <v>3.4001200000000002E-2</v>
      </c>
      <c r="BZ60">
        <v>25</v>
      </c>
      <c r="CA60">
        <v>33528.1</v>
      </c>
      <c r="CB60">
        <v>1690232006</v>
      </c>
      <c r="CC60" t="s">
        <v>332</v>
      </c>
      <c r="CD60">
        <v>1690232006</v>
      </c>
      <c r="CE60">
        <v>1690231998.5</v>
      </c>
      <c r="CF60">
        <v>14</v>
      </c>
      <c r="CG60">
        <v>-0.13200000000000001</v>
      </c>
      <c r="CH60">
        <v>-7.0000000000000001E-3</v>
      </c>
      <c r="CI60">
        <v>-0.33800000000000002</v>
      </c>
      <c r="CJ60">
        <v>0.14299999999999999</v>
      </c>
      <c r="CK60">
        <v>799</v>
      </c>
      <c r="CL60">
        <v>19</v>
      </c>
      <c r="CM60">
        <v>7.0000000000000007E-2</v>
      </c>
      <c r="CN60">
        <v>0.14000000000000001</v>
      </c>
      <c r="CO60">
        <v>-14.1414975</v>
      </c>
      <c r="CP60">
        <v>-5.8525632270168924</v>
      </c>
      <c r="CQ60">
        <v>0.56420616643541743</v>
      </c>
      <c r="CR60">
        <v>-1</v>
      </c>
      <c r="CS60">
        <v>1.97804</v>
      </c>
      <c r="CT60">
        <v>0.38876262664165262</v>
      </c>
      <c r="CU60">
        <v>3.7559812432971462E-2</v>
      </c>
      <c r="CV60">
        <v>-1</v>
      </c>
      <c r="CW60">
        <v>0</v>
      </c>
      <c r="CX60">
        <v>0</v>
      </c>
      <c r="CY60" t="s">
        <v>333</v>
      </c>
      <c r="CZ60">
        <v>2.3645</v>
      </c>
      <c r="DA60">
        <v>2.7137699999999998</v>
      </c>
      <c r="DB60">
        <v>0.14487700000000001</v>
      </c>
      <c r="DC60">
        <v>0.14637500000000001</v>
      </c>
      <c r="DD60">
        <v>0.114371</v>
      </c>
      <c r="DE60">
        <v>0.105851</v>
      </c>
      <c r="DF60">
        <v>31242.5</v>
      </c>
      <c r="DG60">
        <v>27535.599999999999</v>
      </c>
      <c r="DH60">
        <v>31189.7</v>
      </c>
      <c r="DI60">
        <v>28106.7</v>
      </c>
      <c r="DJ60">
        <v>37504.400000000001</v>
      </c>
      <c r="DK60">
        <v>35737.699999999997</v>
      </c>
      <c r="DL60">
        <v>44389.9</v>
      </c>
      <c r="DM60">
        <v>42604.9</v>
      </c>
      <c r="DN60">
        <v>1.47475</v>
      </c>
      <c r="DO60">
        <v>2.0652499999999998</v>
      </c>
      <c r="DP60">
        <v>7.2419600000000001E-2</v>
      </c>
      <c r="DQ60">
        <v>0.226274</v>
      </c>
      <c r="DR60">
        <v>25.810400000000001</v>
      </c>
      <c r="DS60">
        <v>25.612300000000001</v>
      </c>
      <c r="DT60">
        <v>56.4</v>
      </c>
      <c r="DU60">
        <v>28.9</v>
      </c>
      <c r="DV60">
        <v>22.777699999999999</v>
      </c>
      <c r="DW60">
        <v>62.308</v>
      </c>
      <c r="DX60">
        <v>36.5304</v>
      </c>
      <c r="DY60">
        <v>1</v>
      </c>
      <c r="DZ60">
        <v>-0.104477</v>
      </c>
      <c r="EA60">
        <v>-0.11977699999999999</v>
      </c>
      <c r="EB60">
        <v>20.189900000000002</v>
      </c>
      <c r="EC60">
        <v>5.2408000000000001</v>
      </c>
      <c r="ED60">
        <v>12.039899999999999</v>
      </c>
      <c r="EE60">
        <v>5.0168499999999998</v>
      </c>
      <c r="EF60">
        <v>3.2879999999999998</v>
      </c>
      <c r="EG60">
        <v>9999</v>
      </c>
      <c r="EH60">
        <v>9999</v>
      </c>
      <c r="EI60">
        <v>9999</v>
      </c>
      <c r="EJ60">
        <v>999.9</v>
      </c>
      <c r="EK60">
        <v>1.8689</v>
      </c>
      <c r="EL60">
        <v>1.8646199999999999</v>
      </c>
      <c r="EM60">
        <v>1.8691800000000001</v>
      </c>
      <c r="EN60">
        <v>1.8672200000000001</v>
      </c>
      <c r="EO60">
        <v>1.8633999999999999</v>
      </c>
      <c r="EP60">
        <v>1.8644700000000001</v>
      </c>
      <c r="EQ60">
        <v>1.8701700000000001</v>
      </c>
      <c r="ER60">
        <v>1.8693900000000001</v>
      </c>
      <c r="ES60">
        <v>0</v>
      </c>
      <c r="ET60">
        <v>0</v>
      </c>
      <c r="EU60">
        <v>0</v>
      </c>
      <c r="EV60">
        <v>0</v>
      </c>
      <c r="EW60" t="s">
        <v>334</v>
      </c>
      <c r="EX60" t="s">
        <v>335</v>
      </c>
      <c r="EY60" t="s">
        <v>336</v>
      </c>
      <c r="EZ60" t="s">
        <v>336</v>
      </c>
      <c r="FA60" t="s">
        <v>336</v>
      </c>
      <c r="FB60" t="s">
        <v>336</v>
      </c>
      <c r="FC60">
        <v>0</v>
      </c>
      <c r="FD60">
        <v>100</v>
      </c>
      <c r="FE60">
        <v>100</v>
      </c>
      <c r="FF60">
        <v>-0.32800000000000001</v>
      </c>
      <c r="FG60">
        <v>0.17199999999999999</v>
      </c>
      <c r="FH60">
        <v>0.2126736300064915</v>
      </c>
      <c r="FI60">
        <v>-6.1462078757559423E-4</v>
      </c>
      <c r="FJ60">
        <v>-1.8861989874597051E-7</v>
      </c>
      <c r="FK60">
        <v>1.1980462299894961E-10</v>
      </c>
      <c r="FL60">
        <v>0.1719881465068297</v>
      </c>
      <c r="FM60">
        <v>0</v>
      </c>
      <c r="FN60">
        <v>0</v>
      </c>
      <c r="FO60">
        <v>0</v>
      </c>
      <c r="FP60">
        <v>3</v>
      </c>
      <c r="FQ60">
        <v>2158</v>
      </c>
      <c r="FR60">
        <v>1</v>
      </c>
      <c r="FS60">
        <v>19</v>
      </c>
      <c r="FT60">
        <v>16.600000000000001</v>
      </c>
      <c r="FU60">
        <v>16.8</v>
      </c>
      <c r="FV60">
        <v>1.79565</v>
      </c>
      <c r="FW60">
        <v>2.5866699999999998</v>
      </c>
      <c r="FX60">
        <v>1.5490699999999999</v>
      </c>
      <c r="FY60">
        <v>2.3290999999999999</v>
      </c>
      <c r="FZ60">
        <v>1.50146</v>
      </c>
      <c r="GA60">
        <v>2.4072300000000002</v>
      </c>
      <c r="GB60">
        <v>33.625399999999999</v>
      </c>
      <c r="GC60">
        <v>23.991199999999999</v>
      </c>
      <c r="GD60">
        <v>19</v>
      </c>
      <c r="GE60">
        <v>281.64600000000002</v>
      </c>
      <c r="GF60">
        <v>605.59199999999998</v>
      </c>
      <c r="GG60">
        <v>25.177299999999999</v>
      </c>
      <c r="GH60">
        <v>26.116199999999999</v>
      </c>
      <c r="GI60">
        <v>29.9999</v>
      </c>
      <c r="GJ60">
        <v>26.211400000000001</v>
      </c>
      <c r="GK60">
        <v>26.185500000000001</v>
      </c>
      <c r="GL60">
        <v>35.899700000000003</v>
      </c>
      <c r="GM60">
        <v>9.2220300000000002</v>
      </c>
      <c r="GN60">
        <v>100</v>
      </c>
      <c r="GO60">
        <v>25.1754</v>
      </c>
      <c r="GP60">
        <v>800</v>
      </c>
      <c r="GQ60">
        <v>21.981300000000001</v>
      </c>
      <c r="GR60">
        <v>99.799000000000007</v>
      </c>
      <c r="GS60">
        <v>99.662999999999997</v>
      </c>
    </row>
    <row r="61" spans="1:201" x14ac:dyDescent="0.25">
      <c r="A61">
        <v>45</v>
      </c>
      <c r="B61">
        <v>1690233014.5999999</v>
      </c>
      <c r="C61">
        <v>508.5</v>
      </c>
      <c r="D61" t="s">
        <v>421</v>
      </c>
      <c r="E61" t="s">
        <v>422</v>
      </c>
      <c r="F61" t="s">
        <v>330</v>
      </c>
      <c r="H61">
        <v>1690233014.5999999</v>
      </c>
      <c r="I61">
        <f t="shared" si="0"/>
        <v>1.9662947992285623E-4</v>
      </c>
      <c r="J61">
        <f t="shared" si="1"/>
        <v>0.19662947992285623</v>
      </c>
      <c r="K61">
        <f t="shared" si="2"/>
        <v>1.3591885700464013</v>
      </c>
      <c r="L61">
        <f t="shared" si="3"/>
        <v>783.65200000000004</v>
      </c>
      <c r="M61">
        <f t="shared" si="4"/>
        <v>569.25149940019458</v>
      </c>
      <c r="N61">
        <f t="shared" si="5"/>
        <v>56.421573953832606</v>
      </c>
      <c r="O61">
        <f t="shared" si="6"/>
        <v>77.6719592634484</v>
      </c>
      <c r="P61">
        <f t="shared" si="7"/>
        <v>1.1163536055559571E-2</v>
      </c>
      <c r="Q61">
        <f t="shared" si="8"/>
        <v>2.130660357062915</v>
      </c>
      <c r="R61">
        <f t="shared" si="9"/>
        <v>1.1131142852295424E-2</v>
      </c>
      <c r="S61">
        <f t="shared" si="10"/>
        <v>6.9598667988566825E-3</v>
      </c>
      <c r="T61">
        <f t="shared" si="11"/>
        <v>276.11367235663147</v>
      </c>
      <c r="U61">
        <f t="shared" si="12"/>
        <v>29.258936086512126</v>
      </c>
      <c r="V61">
        <f t="shared" si="13"/>
        <v>29.258936086512126</v>
      </c>
      <c r="W61">
        <f t="shared" si="14"/>
        <v>4.0824279607989542</v>
      </c>
      <c r="X61">
        <f t="shared" si="15"/>
        <v>66.17392586114228</v>
      </c>
      <c r="Y61">
        <f t="shared" si="16"/>
        <v>2.3887300156558497</v>
      </c>
      <c r="Z61">
        <f t="shared" si="17"/>
        <v>3.6097752771511571</v>
      </c>
      <c r="AA61">
        <f t="shared" si="18"/>
        <v>1.6936979451431045</v>
      </c>
      <c r="AB61">
        <f t="shared" si="19"/>
        <v>-8.6713600645979607</v>
      </c>
      <c r="AC61">
        <f t="shared" si="20"/>
        <v>-242.81246427238605</v>
      </c>
      <c r="AD61">
        <f t="shared" si="21"/>
        <v>-24.891263268392105</v>
      </c>
      <c r="AE61">
        <f t="shared" si="22"/>
        <v>-0.26141524874464039</v>
      </c>
      <c r="AF61">
        <v>0</v>
      </c>
      <c r="AG61">
        <v>0</v>
      </c>
      <c r="AH61">
        <f t="shared" si="23"/>
        <v>1</v>
      </c>
      <c r="AI61">
        <f t="shared" si="24"/>
        <v>0</v>
      </c>
      <c r="AJ61">
        <f t="shared" si="25"/>
        <v>52353.315103608409</v>
      </c>
      <c r="AK61">
        <f t="shared" si="26"/>
        <v>1799.99</v>
      </c>
      <c r="AL61">
        <f t="shared" si="27"/>
        <v>1499.1023216075</v>
      </c>
      <c r="AM61">
        <f t="shared" si="28"/>
        <v>0.83283925000000003</v>
      </c>
      <c r="AN61">
        <f t="shared" si="29"/>
        <v>0.15339733684999998</v>
      </c>
      <c r="AO61">
        <v>32.4</v>
      </c>
      <c r="AP61">
        <v>0.5</v>
      </c>
      <c r="AQ61" t="s">
        <v>331</v>
      </c>
      <c r="AR61">
        <v>2</v>
      </c>
      <c r="AS61">
        <v>1690233014.5999999</v>
      </c>
      <c r="AT61">
        <v>783.65200000000004</v>
      </c>
      <c r="AU61">
        <v>799.98500000000001</v>
      </c>
      <c r="AV61">
        <v>24.1005</v>
      </c>
      <c r="AW61">
        <v>22.029399999999999</v>
      </c>
      <c r="AX61">
        <v>783.98</v>
      </c>
      <c r="AY61">
        <v>23.9285</v>
      </c>
      <c r="AZ61">
        <v>300.19099999999997</v>
      </c>
      <c r="BA61">
        <v>99.0154</v>
      </c>
      <c r="BB61">
        <v>9.9971699999999997E-2</v>
      </c>
      <c r="BC61">
        <v>27.145099999999999</v>
      </c>
      <c r="BD61">
        <v>26.988499999999998</v>
      </c>
      <c r="BE61">
        <v>29.3249</v>
      </c>
      <c r="BF61">
        <v>0</v>
      </c>
      <c r="BG61">
        <v>0</v>
      </c>
      <c r="BH61">
        <v>10004.4</v>
      </c>
      <c r="BI61">
        <v>1080.72</v>
      </c>
      <c r="BJ61">
        <v>1.4577199999999999</v>
      </c>
      <c r="BK61">
        <v>-16.3324</v>
      </c>
      <c r="BL61">
        <v>803.005</v>
      </c>
      <c r="BM61">
        <v>818.005</v>
      </c>
      <c r="BN61">
        <v>2.0711499999999998</v>
      </c>
      <c r="BO61">
        <v>799.98500000000001</v>
      </c>
      <c r="BP61">
        <v>22.029399999999999</v>
      </c>
      <c r="BQ61">
        <v>2.38632</v>
      </c>
      <c r="BR61">
        <v>2.1812499999999999</v>
      </c>
      <c r="BS61">
        <v>20.2713</v>
      </c>
      <c r="BT61">
        <v>18.825199999999999</v>
      </c>
      <c r="BU61">
        <v>1799.99</v>
      </c>
      <c r="BV61">
        <v>0.90999699999999994</v>
      </c>
      <c r="BW61">
        <v>3.4006000000000002E-2</v>
      </c>
      <c r="BX61">
        <v>2.1998500000000001E-2</v>
      </c>
      <c r="BY61">
        <v>3.3998500000000001E-2</v>
      </c>
      <c r="BZ61">
        <v>25</v>
      </c>
      <c r="CA61">
        <v>33528.199999999997</v>
      </c>
      <c r="CB61">
        <v>1690232006</v>
      </c>
      <c r="CC61" t="s">
        <v>332</v>
      </c>
      <c r="CD61">
        <v>1690232006</v>
      </c>
      <c r="CE61">
        <v>1690231998.5</v>
      </c>
      <c r="CF61">
        <v>14</v>
      </c>
      <c r="CG61">
        <v>-0.13200000000000001</v>
      </c>
      <c r="CH61">
        <v>-7.0000000000000001E-3</v>
      </c>
      <c r="CI61">
        <v>-0.33800000000000002</v>
      </c>
      <c r="CJ61">
        <v>0.14299999999999999</v>
      </c>
      <c r="CK61">
        <v>799</v>
      </c>
      <c r="CL61">
        <v>19</v>
      </c>
      <c r="CM61">
        <v>7.0000000000000007E-2</v>
      </c>
      <c r="CN61">
        <v>0.14000000000000001</v>
      </c>
      <c r="CO61">
        <v>-15.170904878048781</v>
      </c>
      <c r="CP61">
        <v>-6.1607101045296284</v>
      </c>
      <c r="CQ61">
        <v>0.60823678434460293</v>
      </c>
      <c r="CR61">
        <v>-1</v>
      </c>
      <c r="CS61">
        <v>2.0309260975609749</v>
      </c>
      <c r="CT61">
        <v>0.2443898257839712</v>
      </c>
      <c r="CU61">
        <v>2.4404047233119688E-2</v>
      </c>
      <c r="CV61">
        <v>-1</v>
      </c>
      <c r="CW61">
        <v>0</v>
      </c>
      <c r="CX61">
        <v>0</v>
      </c>
      <c r="CY61" t="s">
        <v>333</v>
      </c>
      <c r="CZ61">
        <v>2.36463</v>
      </c>
      <c r="DA61">
        <v>2.7137699999999998</v>
      </c>
      <c r="DB61">
        <v>0.14474300000000001</v>
      </c>
      <c r="DC61">
        <v>0.146367</v>
      </c>
      <c r="DD61">
        <v>0.114261</v>
      </c>
      <c r="DE61">
        <v>0.105627</v>
      </c>
      <c r="DF61">
        <v>31247.8</v>
      </c>
      <c r="DG61">
        <v>27536.400000000001</v>
      </c>
      <c r="DH61">
        <v>31190.1</v>
      </c>
      <c r="DI61">
        <v>28107.1</v>
      </c>
      <c r="DJ61">
        <v>37509.599999999999</v>
      </c>
      <c r="DK61">
        <v>35747.4</v>
      </c>
      <c r="DL61">
        <v>44390.5</v>
      </c>
      <c r="DM61">
        <v>42605.7</v>
      </c>
      <c r="DN61">
        <v>1.4745999999999999</v>
      </c>
      <c r="DO61">
        <v>2.0653700000000002</v>
      </c>
      <c r="DP61">
        <v>7.2009900000000002E-2</v>
      </c>
      <c r="DQ61">
        <v>0.22731699999999999</v>
      </c>
      <c r="DR61">
        <v>25.809699999999999</v>
      </c>
      <c r="DS61">
        <v>25.610199999999999</v>
      </c>
      <c r="DT61">
        <v>56.4</v>
      </c>
      <c r="DU61">
        <v>28.9</v>
      </c>
      <c r="DV61">
        <v>22.776299999999999</v>
      </c>
      <c r="DW61">
        <v>61.667999999999999</v>
      </c>
      <c r="DX61">
        <v>35.3446</v>
      </c>
      <c r="DY61">
        <v>1</v>
      </c>
      <c r="DZ61">
        <v>-0.104591</v>
      </c>
      <c r="EA61">
        <v>-4.9673199999999999E-3</v>
      </c>
      <c r="EB61">
        <v>20.190100000000001</v>
      </c>
      <c r="EC61">
        <v>5.24125</v>
      </c>
      <c r="ED61">
        <v>12.039899999999999</v>
      </c>
      <c r="EE61">
        <v>5.0166500000000003</v>
      </c>
      <c r="EF61">
        <v>3.2879999999999998</v>
      </c>
      <c r="EG61">
        <v>9999</v>
      </c>
      <c r="EH61">
        <v>9999</v>
      </c>
      <c r="EI61">
        <v>9999</v>
      </c>
      <c r="EJ61">
        <v>999.9</v>
      </c>
      <c r="EK61">
        <v>1.8689</v>
      </c>
      <c r="EL61">
        <v>1.8646199999999999</v>
      </c>
      <c r="EM61">
        <v>1.8691899999999999</v>
      </c>
      <c r="EN61">
        <v>1.8672200000000001</v>
      </c>
      <c r="EO61">
        <v>1.8633999999999999</v>
      </c>
      <c r="EP61">
        <v>1.8644700000000001</v>
      </c>
      <c r="EQ61">
        <v>1.8701399999999999</v>
      </c>
      <c r="ER61">
        <v>1.8694200000000001</v>
      </c>
      <c r="ES61">
        <v>0</v>
      </c>
      <c r="ET61">
        <v>0</v>
      </c>
      <c r="EU61">
        <v>0</v>
      </c>
      <c r="EV61">
        <v>0</v>
      </c>
      <c r="EW61" t="s">
        <v>334</v>
      </c>
      <c r="EX61" t="s">
        <v>335</v>
      </c>
      <c r="EY61" t="s">
        <v>336</v>
      </c>
      <c r="EZ61" t="s">
        <v>336</v>
      </c>
      <c r="FA61" t="s">
        <v>336</v>
      </c>
      <c r="FB61" t="s">
        <v>336</v>
      </c>
      <c r="FC61">
        <v>0</v>
      </c>
      <c r="FD61">
        <v>100</v>
      </c>
      <c r="FE61">
        <v>100</v>
      </c>
      <c r="FF61">
        <v>-0.32800000000000001</v>
      </c>
      <c r="FG61">
        <v>0.17199999999999999</v>
      </c>
      <c r="FH61">
        <v>0.2126736300064915</v>
      </c>
      <c r="FI61">
        <v>-6.1462078757559423E-4</v>
      </c>
      <c r="FJ61">
        <v>-1.8861989874597051E-7</v>
      </c>
      <c r="FK61">
        <v>1.1980462299894961E-10</v>
      </c>
      <c r="FL61">
        <v>0.1719881465068297</v>
      </c>
      <c r="FM61">
        <v>0</v>
      </c>
      <c r="FN61">
        <v>0</v>
      </c>
      <c r="FO61">
        <v>0</v>
      </c>
      <c r="FP61">
        <v>3</v>
      </c>
      <c r="FQ61">
        <v>2158</v>
      </c>
      <c r="FR61">
        <v>1</v>
      </c>
      <c r="FS61">
        <v>19</v>
      </c>
      <c r="FT61">
        <v>16.8</v>
      </c>
      <c r="FU61">
        <v>16.899999999999999</v>
      </c>
      <c r="FV61">
        <v>1.79565</v>
      </c>
      <c r="FW61">
        <v>2.5891099999999998</v>
      </c>
      <c r="FX61">
        <v>1.5490699999999999</v>
      </c>
      <c r="FY61">
        <v>2.3290999999999999</v>
      </c>
      <c r="FZ61">
        <v>1.50146</v>
      </c>
      <c r="GA61">
        <v>2.2546400000000002</v>
      </c>
      <c r="GB61">
        <v>33.602899999999998</v>
      </c>
      <c r="GC61">
        <v>23.982399999999998</v>
      </c>
      <c r="GD61">
        <v>19</v>
      </c>
      <c r="GE61">
        <v>281.57299999999998</v>
      </c>
      <c r="GF61">
        <v>605.69799999999998</v>
      </c>
      <c r="GG61">
        <v>25.099499999999999</v>
      </c>
      <c r="GH61">
        <v>26.111799999999999</v>
      </c>
      <c r="GI61">
        <v>29.9999</v>
      </c>
      <c r="GJ61">
        <v>26.209199999999999</v>
      </c>
      <c r="GK61">
        <v>26.185500000000001</v>
      </c>
      <c r="GL61">
        <v>35.899000000000001</v>
      </c>
      <c r="GM61">
        <v>9.5030900000000003</v>
      </c>
      <c r="GN61">
        <v>100</v>
      </c>
      <c r="GO61">
        <v>25.1129</v>
      </c>
      <c r="GP61">
        <v>800</v>
      </c>
      <c r="GQ61">
        <v>21.938099999999999</v>
      </c>
      <c r="GR61">
        <v>99.800399999999996</v>
      </c>
      <c r="GS61">
        <v>99.6648</v>
      </c>
    </row>
    <row r="62" spans="1:201" x14ac:dyDescent="0.25">
      <c r="A62">
        <v>46</v>
      </c>
      <c r="B62">
        <v>1690233024.5999999</v>
      </c>
      <c r="C62">
        <v>518.5</v>
      </c>
      <c r="D62" t="s">
        <v>423</v>
      </c>
      <c r="E62" t="s">
        <v>424</v>
      </c>
      <c r="F62" t="s">
        <v>330</v>
      </c>
      <c r="H62">
        <v>1690233024.5999999</v>
      </c>
      <c r="I62">
        <f t="shared" si="0"/>
        <v>1.9708446999332427E-4</v>
      </c>
      <c r="J62">
        <f t="shared" si="1"/>
        <v>0.19708446999332427</v>
      </c>
      <c r="K62">
        <f t="shared" si="2"/>
        <v>1.4675500125531544</v>
      </c>
      <c r="L62">
        <f t="shared" si="3"/>
        <v>782.50099999999998</v>
      </c>
      <c r="M62">
        <f t="shared" si="4"/>
        <v>552.88807691947181</v>
      </c>
      <c r="N62">
        <f t="shared" si="5"/>
        <v>54.799059986299994</v>
      </c>
      <c r="O62">
        <f t="shared" si="6"/>
        <v>77.556961396701013</v>
      </c>
      <c r="P62">
        <f t="shared" si="7"/>
        <v>1.1170984800263357E-2</v>
      </c>
      <c r="Q62">
        <f t="shared" si="8"/>
        <v>2.1323926401927475</v>
      </c>
      <c r="R62">
        <f t="shared" si="9"/>
        <v>1.1138574690044241E-2</v>
      </c>
      <c r="S62">
        <f t="shared" si="10"/>
        <v>6.9645132134922953E-3</v>
      </c>
      <c r="T62">
        <f t="shared" si="11"/>
        <v>276.11469401400001</v>
      </c>
      <c r="U62">
        <f t="shared" si="12"/>
        <v>29.257725528694664</v>
      </c>
      <c r="V62">
        <f t="shared" si="13"/>
        <v>29.257725528694664</v>
      </c>
      <c r="W62">
        <f t="shared" si="14"/>
        <v>4.0821425451478479</v>
      </c>
      <c r="X62">
        <f t="shared" si="15"/>
        <v>66.086637534930603</v>
      </c>
      <c r="Y62">
        <f t="shared" si="16"/>
        <v>2.3856490838097</v>
      </c>
      <c r="Z62">
        <f t="shared" si="17"/>
        <v>3.609881169319209</v>
      </c>
      <c r="AA62">
        <f t="shared" si="18"/>
        <v>1.6964934613381479</v>
      </c>
      <c r="AB62">
        <f t="shared" si="19"/>
        <v>-8.6914251267056013</v>
      </c>
      <c r="AC62">
        <f t="shared" si="20"/>
        <v>-242.81322883572798</v>
      </c>
      <c r="AD62">
        <f t="shared" si="21"/>
        <v>-24.87103226382122</v>
      </c>
      <c r="AE62">
        <f t="shared" si="22"/>
        <v>-0.26099221225481983</v>
      </c>
      <c r="AF62">
        <v>0</v>
      </c>
      <c r="AG62">
        <v>0</v>
      </c>
      <c r="AH62">
        <f t="shared" si="23"/>
        <v>1</v>
      </c>
      <c r="AI62">
        <f t="shared" si="24"/>
        <v>0</v>
      </c>
      <c r="AJ62">
        <f t="shared" si="25"/>
        <v>52427.854689652071</v>
      </c>
      <c r="AK62">
        <f t="shared" si="26"/>
        <v>1800</v>
      </c>
      <c r="AL62">
        <f t="shared" si="27"/>
        <v>1499.1111054</v>
      </c>
      <c r="AM62">
        <f t="shared" si="28"/>
        <v>0.83283950299999998</v>
      </c>
      <c r="AN62">
        <f t="shared" si="29"/>
        <v>0.15339705223</v>
      </c>
      <c r="AO62">
        <v>32.4</v>
      </c>
      <c r="AP62">
        <v>0.5</v>
      </c>
      <c r="AQ62" t="s">
        <v>331</v>
      </c>
      <c r="AR62">
        <v>2</v>
      </c>
      <c r="AS62">
        <v>1690233024.5999999</v>
      </c>
      <c r="AT62">
        <v>782.50099999999998</v>
      </c>
      <c r="AU62">
        <v>800.00699999999995</v>
      </c>
      <c r="AV62">
        <v>24.069700000000001</v>
      </c>
      <c r="AW62">
        <v>21.993500000000001</v>
      </c>
      <c r="AX62">
        <v>782.82799999999997</v>
      </c>
      <c r="AY62">
        <v>23.8978</v>
      </c>
      <c r="AZ62">
        <v>300.15600000000001</v>
      </c>
      <c r="BA62">
        <v>99.014200000000002</v>
      </c>
      <c r="BB62">
        <v>0.10000100000000001</v>
      </c>
      <c r="BC62">
        <v>27.145600000000002</v>
      </c>
      <c r="BD62">
        <v>26.9771</v>
      </c>
      <c r="BE62">
        <v>29.3169</v>
      </c>
      <c r="BF62">
        <v>0</v>
      </c>
      <c r="BG62">
        <v>0</v>
      </c>
      <c r="BH62">
        <v>10019.4</v>
      </c>
      <c r="BI62">
        <v>1080.6300000000001</v>
      </c>
      <c r="BJ62">
        <v>1.4577199999999999</v>
      </c>
      <c r="BK62">
        <v>-17.506</v>
      </c>
      <c r="BL62">
        <v>801.8</v>
      </c>
      <c r="BM62">
        <v>817.99800000000005</v>
      </c>
      <c r="BN62">
        <v>2.07626</v>
      </c>
      <c r="BO62">
        <v>800.00699999999995</v>
      </c>
      <c r="BP62">
        <v>21.993500000000001</v>
      </c>
      <c r="BQ62">
        <v>2.3832499999999999</v>
      </c>
      <c r="BR62">
        <v>2.17767</v>
      </c>
      <c r="BS62">
        <v>20.250399999999999</v>
      </c>
      <c r="BT62">
        <v>18.798999999999999</v>
      </c>
      <c r="BU62">
        <v>1800</v>
      </c>
      <c r="BV62">
        <v>0.91000499999999995</v>
      </c>
      <c r="BW62">
        <v>3.40028E-2</v>
      </c>
      <c r="BX62">
        <v>2.1996399999999999E-2</v>
      </c>
      <c r="BY62">
        <v>3.3995299999999999E-2</v>
      </c>
      <c r="BZ62">
        <v>25</v>
      </c>
      <c r="CA62">
        <v>33528.400000000001</v>
      </c>
      <c r="CB62">
        <v>1690232006</v>
      </c>
      <c r="CC62" t="s">
        <v>332</v>
      </c>
      <c r="CD62">
        <v>1690232006</v>
      </c>
      <c r="CE62">
        <v>1690231998.5</v>
      </c>
      <c r="CF62">
        <v>14</v>
      </c>
      <c r="CG62">
        <v>-0.13200000000000001</v>
      </c>
      <c r="CH62">
        <v>-7.0000000000000001E-3</v>
      </c>
      <c r="CI62">
        <v>-0.33800000000000002</v>
      </c>
      <c r="CJ62">
        <v>0.14299999999999999</v>
      </c>
      <c r="CK62">
        <v>799</v>
      </c>
      <c r="CL62">
        <v>19</v>
      </c>
      <c r="CM62">
        <v>7.0000000000000007E-2</v>
      </c>
      <c r="CN62">
        <v>0.14000000000000001</v>
      </c>
      <c r="CO62">
        <v>-16.225774999999999</v>
      </c>
      <c r="CP62">
        <v>-6.6913936210130958</v>
      </c>
      <c r="CQ62">
        <v>0.64522580068918489</v>
      </c>
      <c r="CR62">
        <v>-1</v>
      </c>
      <c r="CS62">
        <v>2.0612325</v>
      </c>
      <c r="CT62">
        <v>0.13675632270168159</v>
      </c>
      <c r="CU62">
        <v>1.377799672485085E-2</v>
      </c>
      <c r="CV62">
        <v>-1</v>
      </c>
      <c r="CW62">
        <v>0</v>
      </c>
      <c r="CX62">
        <v>0</v>
      </c>
      <c r="CY62" t="s">
        <v>333</v>
      </c>
      <c r="CZ62">
        <v>2.3645399999999999</v>
      </c>
      <c r="DA62">
        <v>2.7138100000000001</v>
      </c>
      <c r="DB62">
        <v>0.14459900000000001</v>
      </c>
      <c r="DC62">
        <v>0.146368</v>
      </c>
      <c r="DD62">
        <v>0.11415699999999999</v>
      </c>
      <c r="DE62">
        <v>0.105506</v>
      </c>
      <c r="DF62">
        <v>31253</v>
      </c>
      <c r="DG62">
        <v>27536.5</v>
      </c>
      <c r="DH62">
        <v>31190</v>
      </c>
      <c r="DI62">
        <v>28107.3</v>
      </c>
      <c r="DJ62">
        <v>37514</v>
      </c>
      <c r="DK62">
        <v>35752.300000000003</v>
      </c>
      <c r="DL62">
        <v>44390.5</v>
      </c>
      <c r="DM62">
        <v>42605.8</v>
      </c>
      <c r="DN62">
        <v>1.47462</v>
      </c>
      <c r="DO62">
        <v>2.0651000000000002</v>
      </c>
      <c r="DP62">
        <v>7.1376599999999998E-2</v>
      </c>
      <c r="DQ62">
        <v>0.22675799999999999</v>
      </c>
      <c r="DR62">
        <v>25.808700000000002</v>
      </c>
      <c r="DS62">
        <v>25.6113</v>
      </c>
      <c r="DT62">
        <v>56.4</v>
      </c>
      <c r="DU62">
        <v>28.9</v>
      </c>
      <c r="DV62">
        <v>22.775099999999998</v>
      </c>
      <c r="DW62">
        <v>61.448</v>
      </c>
      <c r="DX62">
        <v>36.598599999999998</v>
      </c>
      <c r="DY62">
        <v>1</v>
      </c>
      <c r="DZ62">
        <v>-0.104947</v>
      </c>
      <c r="EA62">
        <v>-0.13954800000000001</v>
      </c>
      <c r="EB62">
        <v>20.190100000000001</v>
      </c>
      <c r="EC62">
        <v>5.2409499999999998</v>
      </c>
      <c r="ED62">
        <v>12.039899999999999</v>
      </c>
      <c r="EE62">
        <v>5.0168499999999998</v>
      </c>
      <c r="EF62">
        <v>3.2879999999999998</v>
      </c>
      <c r="EG62">
        <v>9999</v>
      </c>
      <c r="EH62">
        <v>9999</v>
      </c>
      <c r="EI62">
        <v>9999</v>
      </c>
      <c r="EJ62">
        <v>999.9</v>
      </c>
      <c r="EK62">
        <v>1.8689</v>
      </c>
      <c r="EL62">
        <v>1.8646199999999999</v>
      </c>
      <c r="EM62">
        <v>1.8691899999999999</v>
      </c>
      <c r="EN62">
        <v>1.8672200000000001</v>
      </c>
      <c r="EO62">
        <v>1.8633999999999999</v>
      </c>
      <c r="EP62">
        <v>1.8644700000000001</v>
      </c>
      <c r="EQ62">
        <v>1.87016</v>
      </c>
      <c r="ER62">
        <v>1.8693900000000001</v>
      </c>
      <c r="ES62">
        <v>0</v>
      </c>
      <c r="ET62">
        <v>0</v>
      </c>
      <c r="EU62">
        <v>0</v>
      </c>
      <c r="EV62">
        <v>0</v>
      </c>
      <c r="EW62" t="s">
        <v>334</v>
      </c>
      <c r="EX62" t="s">
        <v>335</v>
      </c>
      <c r="EY62" t="s">
        <v>336</v>
      </c>
      <c r="EZ62" t="s">
        <v>336</v>
      </c>
      <c r="FA62" t="s">
        <v>336</v>
      </c>
      <c r="FB62" t="s">
        <v>336</v>
      </c>
      <c r="FC62">
        <v>0</v>
      </c>
      <c r="FD62">
        <v>100</v>
      </c>
      <c r="FE62">
        <v>100</v>
      </c>
      <c r="FF62">
        <v>-0.32700000000000001</v>
      </c>
      <c r="FG62">
        <v>0.1719</v>
      </c>
      <c r="FH62">
        <v>0.2126736300064915</v>
      </c>
      <c r="FI62">
        <v>-6.1462078757559423E-4</v>
      </c>
      <c r="FJ62">
        <v>-1.8861989874597051E-7</v>
      </c>
      <c r="FK62">
        <v>1.1980462299894961E-10</v>
      </c>
      <c r="FL62">
        <v>0.1719881465068297</v>
      </c>
      <c r="FM62">
        <v>0</v>
      </c>
      <c r="FN62">
        <v>0</v>
      </c>
      <c r="FO62">
        <v>0</v>
      </c>
      <c r="FP62">
        <v>3</v>
      </c>
      <c r="FQ62">
        <v>2158</v>
      </c>
      <c r="FR62">
        <v>1</v>
      </c>
      <c r="FS62">
        <v>19</v>
      </c>
      <c r="FT62">
        <v>17</v>
      </c>
      <c r="FU62">
        <v>17.100000000000001</v>
      </c>
      <c r="FV62">
        <v>1.79565</v>
      </c>
      <c r="FW62">
        <v>2.5854499999999998</v>
      </c>
      <c r="FX62">
        <v>1.5490699999999999</v>
      </c>
      <c r="FY62">
        <v>2.3290999999999999</v>
      </c>
      <c r="FZ62">
        <v>1.50146</v>
      </c>
      <c r="GA62">
        <v>2.4035600000000001</v>
      </c>
      <c r="GB62">
        <v>33.602899999999998</v>
      </c>
      <c r="GC62">
        <v>23.991199999999999</v>
      </c>
      <c r="GD62">
        <v>19</v>
      </c>
      <c r="GE62">
        <v>281.57499999999999</v>
      </c>
      <c r="GF62">
        <v>605.43899999999996</v>
      </c>
      <c r="GG62">
        <v>25.121600000000001</v>
      </c>
      <c r="GH62">
        <v>26.108499999999999</v>
      </c>
      <c r="GI62">
        <v>29.9999</v>
      </c>
      <c r="GJ62">
        <v>26.207000000000001</v>
      </c>
      <c r="GK62">
        <v>26.183299999999999</v>
      </c>
      <c r="GL62">
        <v>35.895600000000002</v>
      </c>
      <c r="GM62">
        <v>10.058299999999999</v>
      </c>
      <c r="GN62">
        <v>100</v>
      </c>
      <c r="GO62">
        <v>25.134899999999998</v>
      </c>
      <c r="GP62">
        <v>800</v>
      </c>
      <c r="GQ62">
        <v>21.8965</v>
      </c>
      <c r="GR62">
        <v>99.800299999999993</v>
      </c>
      <c r="GS62">
        <v>99.665300000000002</v>
      </c>
    </row>
    <row r="63" spans="1:201" x14ac:dyDescent="0.25">
      <c r="A63">
        <v>47</v>
      </c>
      <c r="B63">
        <v>1690233034.5999999</v>
      </c>
      <c r="C63">
        <v>528.5</v>
      </c>
      <c r="D63" t="s">
        <v>425</v>
      </c>
      <c r="E63" t="s">
        <v>426</v>
      </c>
      <c r="F63" t="s">
        <v>330</v>
      </c>
      <c r="H63">
        <v>1690233034.5999999</v>
      </c>
      <c r="I63">
        <f t="shared" si="0"/>
        <v>2.0029517671839636E-4</v>
      </c>
      <c r="J63">
        <f t="shared" si="1"/>
        <v>0.20029517671839636</v>
      </c>
      <c r="K63">
        <f t="shared" si="2"/>
        <v>1.5881113479385216</v>
      </c>
      <c r="L63">
        <f t="shared" si="3"/>
        <v>781.23599999999999</v>
      </c>
      <c r="M63">
        <f t="shared" si="4"/>
        <v>538.2125564297063</v>
      </c>
      <c r="N63">
        <f t="shared" si="5"/>
        <v>53.344616217634147</v>
      </c>
      <c r="O63">
        <f t="shared" si="6"/>
        <v>77.431739742107993</v>
      </c>
      <c r="P63">
        <f t="shared" si="7"/>
        <v>1.1354372363861128E-2</v>
      </c>
      <c r="Q63">
        <f t="shared" si="8"/>
        <v>2.1302757064818243</v>
      </c>
      <c r="R63">
        <f t="shared" si="9"/>
        <v>1.1320857959462437E-2</v>
      </c>
      <c r="S63">
        <f t="shared" si="10"/>
        <v>7.0785390642010438E-3</v>
      </c>
      <c r="T63">
        <f t="shared" si="11"/>
        <v>276.11450418600003</v>
      </c>
      <c r="U63">
        <f t="shared" si="12"/>
        <v>29.252821371880874</v>
      </c>
      <c r="V63">
        <f t="shared" si="13"/>
        <v>29.252821371880874</v>
      </c>
      <c r="W63">
        <f t="shared" si="14"/>
        <v>4.0809864602255601</v>
      </c>
      <c r="X63">
        <f t="shared" si="15"/>
        <v>66.079488379942987</v>
      </c>
      <c r="Y63">
        <f t="shared" si="16"/>
        <v>2.3845934217770002</v>
      </c>
      <c r="Z63">
        <f t="shared" si="17"/>
        <v>3.6086741593186917</v>
      </c>
      <c r="AA63">
        <f t="shared" si="18"/>
        <v>1.6963930384485599</v>
      </c>
      <c r="AB63">
        <f t="shared" si="19"/>
        <v>-8.83301729328128</v>
      </c>
      <c r="AC63">
        <f t="shared" si="20"/>
        <v>-242.66357643809619</v>
      </c>
      <c r="AD63">
        <f t="shared" si="21"/>
        <v>-24.879089950370766</v>
      </c>
      <c r="AE63">
        <f t="shared" si="22"/>
        <v>-0.26117949574819477</v>
      </c>
      <c r="AF63">
        <v>0</v>
      </c>
      <c r="AG63">
        <v>0</v>
      </c>
      <c r="AH63">
        <f t="shared" si="23"/>
        <v>1</v>
      </c>
      <c r="AI63">
        <f t="shared" si="24"/>
        <v>0</v>
      </c>
      <c r="AJ63">
        <f t="shared" si="25"/>
        <v>52337.633046574127</v>
      </c>
      <c r="AK63">
        <f t="shared" si="26"/>
        <v>1800</v>
      </c>
      <c r="AL63">
        <f t="shared" si="27"/>
        <v>1499.1129486</v>
      </c>
      <c r="AM63">
        <f t="shared" si="28"/>
        <v>0.832840527</v>
      </c>
      <c r="AN63">
        <f t="shared" si="29"/>
        <v>0.15339694677000001</v>
      </c>
      <c r="AO63">
        <v>32.4</v>
      </c>
      <c r="AP63">
        <v>0.5</v>
      </c>
      <c r="AQ63" t="s">
        <v>331</v>
      </c>
      <c r="AR63">
        <v>2</v>
      </c>
      <c r="AS63">
        <v>1690233034.5999999</v>
      </c>
      <c r="AT63">
        <v>781.23599999999999</v>
      </c>
      <c r="AU63">
        <v>800.06200000000001</v>
      </c>
      <c r="AV63">
        <v>24.059000000000001</v>
      </c>
      <c r="AW63">
        <v>21.9496</v>
      </c>
      <c r="AX63">
        <v>781.56200000000001</v>
      </c>
      <c r="AY63">
        <v>23.887</v>
      </c>
      <c r="AZ63">
        <v>300.24799999999999</v>
      </c>
      <c r="BA63">
        <v>99.014399999999995</v>
      </c>
      <c r="BB63">
        <v>0.10000299999999999</v>
      </c>
      <c r="BC63">
        <v>27.139900000000001</v>
      </c>
      <c r="BD63">
        <v>26.978400000000001</v>
      </c>
      <c r="BE63">
        <v>29.335899999999999</v>
      </c>
      <c r="BF63">
        <v>0</v>
      </c>
      <c r="BG63">
        <v>0</v>
      </c>
      <c r="BH63">
        <v>10001.200000000001</v>
      </c>
      <c r="BI63">
        <v>1080.6300000000001</v>
      </c>
      <c r="BJ63">
        <v>1.4577199999999999</v>
      </c>
      <c r="BK63">
        <v>-18.8262</v>
      </c>
      <c r="BL63">
        <v>800.495</v>
      </c>
      <c r="BM63">
        <v>818.01700000000005</v>
      </c>
      <c r="BN63">
        <v>2.1093799999999998</v>
      </c>
      <c r="BO63">
        <v>800.06200000000001</v>
      </c>
      <c r="BP63">
        <v>21.9496</v>
      </c>
      <c r="BQ63">
        <v>2.38219</v>
      </c>
      <c r="BR63">
        <v>2.17333</v>
      </c>
      <c r="BS63">
        <v>20.243200000000002</v>
      </c>
      <c r="BT63">
        <v>18.767099999999999</v>
      </c>
      <c r="BU63">
        <v>1800</v>
      </c>
      <c r="BV63">
        <v>0.91001299999999996</v>
      </c>
      <c r="BW63">
        <v>3.39999E-2</v>
      </c>
      <c r="BX63">
        <v>2.19946E-2</v>
      </c>
      <c r="BY63">
        <v>3.3992500000000002E-2</v>
      </c>
      <c r="BZ63">
        <v>25</v>
      </c>
      <c r="CA63">
        <v>33528.400000000001</v>
      </c>
      <c r="CB63">
        <v>1690232006</v>
      </c>
      <c r="CC63" t="s">
        <v>332</v>
      </c>
      <c r="CD63">
        <v>1690232006</v>
      </c>
      <c r="CE63">
        <v>1690231998.5</v>
      </c>
      <c r="CF63">
        <v>14</v>
      </c>
      <c r="CG63">
        <v>-0.13200000000000001</v>
      </c>
      <c r="CH63">
        <v>-7.0000000000000001E-3</v>
      </c>
      <c r="CI63">
        <v>-0.33800000000000002</v>
      </c>
      <c r="CJ63">
        <v>0.14299999999999999</v>
      </c>
      <c r="CK63">
        <v>799</v>
      </c>
      <c r="CL63">
        <v>19</v>
      </c>
      <c r="CM63">
        <v>7.0000000000000007E-2</v>
      </c>
      <c r="CN63">
        <v>0.14000000000000001</v>
      </c>
      <c r="CO63">
        <v>-17.434702439024392</v>
      </c>
      <c r="CP63">
        <v>-7.4073386759582274</v>
      </c>
      <c r="CQ63">
        <v>0.73141669598443193</v>
      </c>
      <c r="CR63">
        <v>-1</v>
      </c>
      <c r="CS63">
        <v>2.0788136585365851</v>
      </c>
      <c r="CT63">
        <v>7.6642996515676978E-2</v>
      </c>
      <c r="CU63">
        <v>8.1831494789963433E-3</v>
      </c>
      <c r="CV63">
        <v>-1</v>
      </c>
      <c r="CW63">
        <v>0</v>
      </c>
      <c r="CX63">
        <v>0</v>
      </c>
      <c r="CY63" t="s">
        <v>333</v>
      </c>
      <c r="CZ63">
        <v>2.36483</v>
      </c>
      <c r="DA63">
        <v>2.7138</v>
      </c>
      <c r="DB63">
        <v>0.14444299999999999</v>
      </c>
      <c r="DC63">
        <v>0.146374</v>
      </c>
      <c r="DD63">
        <v>0.114122</v>
      </c>
      <c r="DE63">
        <v>0.10535799999999999</v>
      </c>
      <c r="DF63">
        <v>31259</v>
      </c>
      <c r="DG63">
        <v>27536.799999999999</v>
      </c>
      <c r="DH63">
        <v>31190.3</v>
      </c>
      <c r="DI63">
        <v>28107.8</v>
      </c>
      <c r="DJ63">
        <v>37515.800000000003</v>
      </c>
      <c r="DK63">
        <v>35758.800000000003</v>
      </c>
      <c r="DL63">
        <v>44390.9</v>
      </c>
      <c r="DM63">
        <v>42606.5</v>
      </c>
      <c r="DN63">
        <v>1.4748000000000001</v>
      </c>
      <c r="DO63">
        <v>2.06515</v>
      </c>
      <c r="DP63">
        <v>7.1525599999999995E-2</v>
      </c>
      <c r="DQ63">
        <v>0.227988</v>
      </c>
      <c r="DR63">
        <v>25.807500000000001</v>
      </c>
      <c r="DS63">
        <v>25.610199999999999</v>
      </c>
      <c r="DT63">
        <v>56.4</v>
      </c>
      <c r="DU63">
        <v>28.9</v>
      </c>
      <c r="DV63">
        <v>22.7743</v>
      </c>
      <c r="DW63">
        <v>61.798000000000002</v>
      </c>
      <c r="DX63">
        <v>35.208300000000001</v>
      </c>
      <c r="DY63">
        <v>1</v>
      </c>
      <c r="DZ63">
        <v>-0.105269</v>
      </c>
      <c r="EA63">
        <v>-0.169681</v>
      </c>
      <c r="EB63">
        <v>20.189800000000002</v>
      </c>
      <c r="EC63">
        <v>5.24125</v>
      </c>
      <c r="ED63">
        <v>12.039899999999999</v>
      </c>
      <c r="EE63">
        <v>5.0170500000000002</v>
      </c>
      <c r="EF63">
        <v>3.2879999999999998</v>
      </c>
      <c r="EG63">
        <v>9999</v>
      </c>
      <c r="EH63">
        <v>9999</v>
      </c>
      <c r="EI63">
        <v>9999</v>
      </c>
      <c r="EJ63">
        <v>999.9</v>
      </c>
      <c r="EK63">
        <v>1.8689</v>
      </c>
      <c r="EL63">
        <v>1.8646199999999999</v>
      </c>
      <c r="EM63">
        <v>1.8691899999999999</v>
      </c>
      <c r="EN63">
        <v>1.8672200000000001</v>
      </c>
      <c r="EO63">
        <v>1.8633999999999999</v>
      </c>
      <c r="EP63">
        <v>1.8644700000000001</v>
      </c>
      <c r="EQ63">
        <v>1.8701399999999999</v>
      </c>
      <c r="ER63">
        <v>1.86941</v>
      </c>
      <c r="ES63">
        <v>0</v>
      </c>
      <c r="ET63">
        <v>0</v>
      </c>
      <c r="EU63">
        <v>0</v>
      </c>
      <c r="EV63">
        <v>0</v>
      </c>
      <c r="EW63" t="s">
        <v>334</v>
      </c>
      <c r="EX63" t="s">
        <v>335</v>
      </c>
      <c r="EY63" t="s">
        <v>336</v>
      </c>
      <c r="EZ63" t="s">
        <v>336</v>
      </c>
      <c r="FA63" t="s">
        <v>336</v>
      </c>
      <c r="FB63" t="s">
        <v>336</v>
      </c>
      <c r="FC63">
        <v>0</v>
      </c>
      <c r="FD63">
        <v>100</v>
      </c>
      <c r="FE63">
        <v>100</v>
      </c>
      <c r="FF63">
        <v>-0.32600000000000001</v>
      </c>
      <c r="FG63">
        <v>0.17199999999999999</v>
      </c>
      <c r="FH63">
        <v>0.2126736300064915</v>
      </c>
      <c r="FI63">
        <v>-6.1462078757559423E-4</v>
      </c>
      <c r="FJ63">
        <v>-1.8861989874597051E-7</v>
      </c>
      <c r="FK63">
        <v>1.1980462299894961E-10</v>
      </c>
      <c r="FL63">
        <v>0.1719881465068297</v>
      </c>
      <c r="FM63">
        <v>0</v>
      </c>
      <c r="FN63">
        <v>0</v>
      </c>
      <c r="FO63">
        <v>0</v>
      </c>
      <c r="FP63">
        <v>3</v>
      </c>
      <c r="FQ63">
        <v>2158</v>
      </c>
      <c r="FR63">
        <v>1</v>
      </c>
      <c r="FS63">
        <v>19</v>
      </c>
      <c r="FT63">
        <v>17.100000000000001</v>
      </c>
      <c r="FU63">
        <v>17.3</v>
      </c>
      <c r="FV63">
        <v>1.79565</v>
      </c>
      <c r="FW63">
        <v>2.5952099999999998</v>
      </c>
      <c r="FX63">
        <v>1.5490699999999999</v>
      </c>
      <c r="FY63">
        <v>2.3290999999999999</v>
      </c>
      <c r="FZ63">
        <v>1.50146</v>
      </c>
      <c r="GA63">
        <v>2.3168899999999999</v>
      </c>
      <c r="GB63">
        <v>33.625399999999999</v>
      </c>
      <c r="GC63">
        <v>23.982399999999998</v>
      </c>
      <c r="GD63">
        <v>19</v>
      </c>
      <c r="GE63">
        <v>281.64100000000002</v>
      </c>
      <c r="GF63">
        <v>605.46400000000006</v>
      </c>
      <c r="GG63">
        <v>25.1557</v>
      </c>
      <c r="GH63">
        <v>26.1052</v>
      </c>
      <c r="GI63">
        <v>30.0001</v>
      </c>
      <c r="GJ63">
        <v>26.205400000000001</v>
      </c>
      <c r="GK63">
        <v>26.181699999999999</v>
      </c>
      <c r="GL63">
        <v>35.892400000000002</v>
      </c>
      <c r="GM63">
        <v>10.340199999999999</v>
      </c>
      <c r="GN63">
        <v>100</v>
      </c>
      <c r="GO63">
        <v>25.159700000000001</v>
      </c>
      <c r="GP63">
        <v>800</v>
      </c>
      <c r="GQ63">
        <v>21.8444</v>
      </c>
      <c r="GR63">
        <v>99.801100000000005</v>
      </c>
      <c r="GS63">
        <v>99.666899999999998</v>
      </c>
    </row>
    <row r="64" spans="1:201" x14ac:dyDescent="0.25">
      <c r="A64">
        <v>48</v>
      </c>
      <c r="B64">
        <v>1690233044.5999999</v>
      </c>
      <c r="C64">
        <v>538.5</v>
      </c>
      <c r="D64" t="s">
        <v>427</v>
      </c>
      <c r="E64" t="s">
        <v>428</v>
      </c>
      <c r="F64" t="s">
        <v>330</v>
      </c>
      <c r="H64">
        <v>1690233044.5999999</v>
      </c>
      <c r="I64">
        <f t="shared" si="0"/>
        <v>2.0497948401480956E-4</v>
      </c>
      <c r="J64">
        <f t="shared" si="1"/>
        <v>0.20497948401480956</v>
      </c>
      <c r="K64">
        <f t="shared" si="2"/>
        <v>1.69859461119646</v>
      </c>
      <c r="L64">
        <f t="shared" si="3"/>
        <v>779.93799999999999</v>
      </c>
      <c r="M64">
        <f t="shared" si="4"/>
        <v>526.53555358133747</v>
      </c>
      <c r="N64">
        <f t="shared" si="5"/>
        <v>52.186283592557317</v>
      </c>
      <c r="O64">
        <f t="shared" si="6"/>
        <v>77.301647297639605</v>
      </c>
      <c r="P64">
        <f t="shared" si="7"/>
        <v>1.160052464105113E-2</v>
      </c>
      <c r="Q64">
        <f t="shared" si="8"/>
        <v>2.1257363537422989</v>
      </c>
      <c r="R64">
        <f t="shared" si="9"/>
        <v>1.1565469324362735E-2</v>
      </c>
      <c r="S64">
        <f t="shared" si="10"/>
        <v>7.2315590261308148E-3</v>
      </c>
      <c r="T64">
        <f t="shared" si="11"/>
        <v>276.11272156591372</v>
      </c>
      <c r="U64">
        <f t="shared" si="12"/>
        <v>29.263849866265879</v>
      </c>
      <c r="V64">
        <f t="shared" si="13"/>
        <v>29.263849866265879</v>
      </c>
      <c r="W64">
        <f t="shared" si="14"/>
        <v>4.0835866711832409</v>
      </c>
      <c r="X64">
        <f t="shared" si="15"/>
        <v>66.037786687049916</v>
      </c>
      <c r="Y64">
        <f t="shared" si="16"/>
        <v>2.3842912488568802</v>
      </c>
      <c r="Z64">
        <f t="shared" si="17"/>
        <v>3.6104953973638283</v>
      </c>
      <c r="AA64">
        <f t="shared" si="18"/>
        <v>1.6992954223263608</v>
      </c>
      <c r="AB64">
        <f t="shared" si="19"/>
        <v>-9.0395952450531016</v>
      </c>
      <c r="AC64">
        <f t="shared" si="20"/>
        <v>-242.42480252886452</v>
      </c>
      <c r="AD64">
        <f t="shared" si="21"/>
        <v>-24.910120385351647</v>
      </c>
      <c r="AE64">
        <f t="shared" si="22"/>
        <v>-0.26179659335556948</v>
      </c>
      <c r="AF64">
        <v>0</v>
      </c>
      <c r="AG64">
        <v>0</v>
      </c>
      <c r="AH64">
        <f t="shared" si="23"/>
        <v>1</v>
      </c>
      <c r="AI64">
        <f t="shared" si="24"/>
        <v>0</v>
      </c>
      <c r="AJ64">
        <f t="shared" si="25"/>
        <v>52140.842493799639</v>
      </c>
      <c r="AK64">
        <f t="shared" si="26"/>
        <v>1799.99</v>
      </c>
      <c r="AL64">
        <f t="shared" si="27"/>
        <v>1499.1058819877201</v>
      </c>
      <c r="AM64">
        <f t="shared" si="28"/>
        <v>0.83284122800000004</v>
      </c>
      <c r="AN64">
        <f t="shared" si="29"/>
        <v>0.15339680863000002</v>
      </c>
      <c r="AO64">
        <v>32.4</v>
      </c>
      <c r="AP64">
        <v>0.5</v>
      </c>
      <c r="AQ64" t="s">
        <v>331</v>
      </c>
      <c r="AR64">
        <v>2</v>
      </c>
      <c r="AS64">
        <v>1690233044.5999999</v>
      </c>
      <c r="AT64">
        <v>779.93799999999999</v>
      </c>
      <c r="AU64">
        <v>799.99900000000002</v>
      </c>
      <c r="AV64">
        <v>24.0564</v>
      </c>
      <c r="AW64">
        <v>21.896999999999998</v>
      </c>
      <c r="AX64">
        <v>780.26300000000003</v>
      </c>
      <c r="AY64">
        <v>23.884399999999999</v>
      </c>
      <c r="AZ64">
        <v>300.15600000000001</v>
      </c>
      <c r="BA64">
        <v>99.012600000000006</v>
      </c>
      <c r="BB64">
        <v>9.9954200000000007E-2</v>
      </c>
      <c r="BC64">
        <v>27.148499999999999</v>
      </c>
      <c r="BD64">
        <v>26.9941</v>
      </c>
      <c r="BE64">
        <v>29.323699999999999</v>
      </c>
      <c r="BF64">
        <v>0</v>
      </c>
      <c r="BG64">
        <v>0</v>
      </c>
      <c r="BH64">
        <v>9962.5</v>
      </c>
      <c r="BI64">
        <v>1080.5999999999999</v>
      </c>
      <c r="BJ64">
        <v>1.5137799999999999</v>
      </c>
      <c r="BK64">
        <v>-20.061</v>
      </c>
      <c r="BL64">
        <v>799.16300000000001</v>
      </c>
      <c r="BM64">
        <v>817.90899999999999</v>
      </c>
      <c r="BN64">
        <v>2.1593399999999998</v>
      </c>
      <c r="BO64">
        <v>799.99900000000002</v>
      </c>
      <c r="BP64">
        <v>21.896999999999998</v>
      </c>
      <c r="BQ64">
        <v>2.3818800000000002</v>
      </c>
      <c r="BR64">
        <v>2.1680799999999998</v>
      </c>
      <c r="BS64">
        <v>20.241099999999999</v>
      </c>
      <c r="BT64">
        <v>18.728400000000001</v>
      </c>
      <c r="BU64">
        <v>1799.99</v>
      </c>
      <c r="BV64">
        <v>0.91002000000000005</v>
      </c>
      <c r="BW64">
        <v>3.3997399999999997E-2</v>
      </c>
      <c r="BX64">
        <v>2.1992899999999999E-2</v>
      </c>
      <c r="BY64">
        <v>3.3989900000000003E-2</v>
      </c>
      <c r="BZ64">
        <v>25</v>
      </c>
      <c r="CA64">
        <v>33528.400000000001</v>
      </c>
      <c r="CB64">
        <v>1690232006</v>
      </c>
      <c r="CC64" t="s">
        <v>332</v>
      </c>
      <c r="CD64">
        <v>1690232006</v>
      </c>
      <c r="CE64">
        <v>1690231998.5</v>
      </c>
      <c r="CF64">
        <v>14</v>
      </c>
      <c r="CG64">
        <v>-0.13200000000000001</v>
      </c>
      <c r="CH64">
        <v>-7.0000000000000001E-3</v>
      </c>
      <c r="CI64">
        <v>-0.33800000000000002</v>
      </c>
      <c r="CJ64">
        <v>0.14299999999999999</v>
      </c>
      <c r="CK64">
        <v>799</v>
      </c>
      <c r="CL64">
        <v>19</v>
      </c>
      <c r="CM64">
        <v>7.0000000000000007E-2</v>
      </c>
      <c r="CN64">
        <v>0.14000000000000001</v>
      </c>
      <c r="CO64">
        <v>-18.670787804878049</v>
      </c>
      <c r="CP64">
        <v>-7.5276606271776938</v>
      </c>
      <c r="CQ64">
        <v>0.74319559523594347</v>
      </c>
      <c r="CR64">
        <v>-1</v>
      </c>
      <c r="CS64">
        <v>2.1085912195121952</v>
      </c>
      <c r="CT64">
        <v>0.26914787456446498</v>
      </c>
      <c r="CU64">
        <v>2.7089137792068379E-2</v>
      </c>
      <c r="CV64">
        <v>-1</v>
      </c>
      <c r="CW64">
        <v>0</v>
      </c>
      <c r="CX64">
        <v>0</v>
      </c>
      <c r="CY64" t="s">
        <v>333</v>
      </c>
      <c r="CZ64">
        <v>2.3645399999999999</v>
      </c>
      <c r="DA64">
        <v>2.7137099999999998</v>
      </c>
      <c r="DB64">
        <v>0.14427999999999999</v>
      </c>
      <c r="DC64">
        <v>0.14636299999999999</v>
      </c>
      <c r="DD64">
        <v>0.114111</v>
      </c>
      <c r="DE64">
        <v>0.10517899999999999</v>
      </c>
      <c r="DF64">
        <v>31264.7</v>
      </c>
      <c r="DG64">
        <v>27537.200000000001</v>
      </c>
      <c r="DH64">
        <v>31190.1</v>
      </c>
      <c r="DI64">
        <v>28107.8</v>
      </c>
      <c r="DJ64">
        <v>37515.9</v>
      </c>
      <c r="DK64">
        <v>35766</v>
      </c>
      <c r="DL64">
        <v>44390.5</v>
      </c>
      <c r="DM64">
        <v>42606.5</v>
      </c>
      <c r="DN64">
        <v>1.4748000000000001</v>
      </c>
      <c r="DO64">
        <v>2.06507</v>
      </c>
      <c r="DP64">
        <v>7.23824E-2</v>
      </c>
      <c r="DQ64">
        <v>0.227243</v>
      </c>
      <c r="DR64">
        <v>25.8093</v>
      </c>
      <c r="DS64">
        <v>25.610199999999999</v>
      </c>
      <c r="DT64">
        <v>56.4</v>
      </c>
      <c r="DU64">
        <v>28.9</v>
      </c>
      <c r="DV64">
        <v>22.7774</v>
      </c>
      <c r="DW64">
        <v>61.938000000000002</v>
      </c>
      <c r="DX64">
        <v>36.149799999999999</v>
      </c>
      <c r="DY64">
        <v>1</v>
      </c>
      <c r="DZ64">
        <v>-0.10534</v>
      </c>
      <c r="EA64">
        <v>-0.17863000000000001</v>
      </c>
      <c r="EB64">
        <v>20.189800000000002</v>
      </c>
      <c r="EC64">
        <v>5.2411000000000003</v>
      </c>
      <c r="ED64">
        <v>12.039899999999999</v>
      </c>
      <c r="EE64">
        <v>5.0167999999999999</v>
      </c>
      <c r="EF64">
        <v>3.2879999999999998</v>
      </c>
      <c r="EG64">
        <v>9999</v>
      </c>
      <c r="EH64">
        <v>9999</v>
      </c>
      <c r="EI64">
        <v>9999</v>
      </c>
      <c r="EJ64">
        <v>999.9</v>
      </c>
      <c r="EK64">
        <v>1.8689</v>
      </c>
      <c r="EL64">
        <v>1.8646199999999999</v>
      </c>
      <c r="EM64">
        <v>1.8691899999999999</v>
      </c>
      <c r="EN64">
        <v>1.8672200000000001</v>
      </c>
      <c r="EO64">
        <v>1.8633999999999999</v>
      </c>
      <c r="EP64">
        <v>1.8644700000000001</v>
      </c>
      <c r="EQ64">
        <v>1.87015</v>
      </c>
      <c r="ER64">
        <v>1.8693900000000001</v>
      </c>
      <c r="ES64">
        <v>0</v>
      </c>
      <c r="ET64">
        <v>0</v>
      </c>
      <c r="EU64">
        <v>0</v>
      </c>
      <c r="EV64">
        <v>0</v>
      </c>
      <c r="EW64" t="s">
        <v>334</v>
      </c>
      <c r="EX64" t="s">
        <v>335</v>
      </c>
      <c r="EY64" t="s">
        <v>336</v>
      </c>
      <c r="EZ64" t="s">
        <v>336</v>
      </c>
      <c r="FA64" t="s">
        <v>336</v>
      </c>
      <c r="FB64" t="s">
        <v>336</v>
      </c>
      <c r="FC64">
        <v>0</v>
      </c>
      <c r="FD64">
        <v>100</v>
      </c>
      <c r="FE64">
        <v>100</v>
      </c>
      <c r="FF64">
        <v>-0.32500000000000001</v>
      </c>
      <c r="FG64">
        <v>0.17199999999999999</v>
      </c>
      <c r="FH64">
        <v>0.2126736300064915</v>
      </c>
      <c r="FI64">
        <v>-6.1462078757559423E-4</v>
      </c>
      <c r="FJ64">
        <v>-1.8861989874597051E-7</v>
      </c>
      <c r="FK64">
        <v>1.1980462299894961E-10</v>
      </c>
      <c r="FL64">
        <v>0.1719881465068297</v>
      </c>
      <c r="FM64">
        <v>0</v>
      </c>
      <c r="FN64">
        <v>0</v>
      </c>
      <c r="FO64">
        <v>0</v>
      </c>
      <c r="FP64">
        <v>3</v>
      </c>
      <c r="FQ64">
        <v>2158</v>
      </c>
      <c r="FR64">
        <v>1</v>
      </c>
      <c r="FS64">
        <v>19</v>
      </c>
      <c r="FT64">
        <v>17.3</v>
      </c>
      <c r="FU64">
        <v>17.399999999999999</v>
      </c>
      <c r="FV64">
        <v>1.79443</v>
      </c>
      <c r="FW64">
        <v>2.5830099999999998</v>
      </c>
      <c r="FX64">
        <v>1.5490699999999999</v>
      </c>
      <c r="FY64">
        <v>2.3290999999999999</v>
      </c>
      <c r="FZ64">
        <v>1.50146</v>
      </c>
      <c r="GA64">
        <v>2.4157700000000002</v>
      </c>
      <c r="GB64">
        <v>33.602899999999998</v>
      </c>
      <c r="GC64">
        <v>23.991199999999999</v>
      </c>
      <c r="GD64">
        <v>19</v>
      </c>
      <c r="GE64">
        <v>281.63400000000001</v>
      </c>
      <c r="GF64">
        <v>605.39200000000005</v>
      </c>
      <c r="GG64">
        <v>25.179300000000001</v>
      </c>
      <c r="GH64">
        <v>26.101400000000002</v>
      </c>
      <c r="GI64">
        <v>30</v>
      </c>
      <c r="GJ64">
        <v>26.203700000000001</v>
      </c>
      <c r="GK64">
        <v>26.181100000000001</v>
      </c>
      <c r="GL64">
        <v>35.8904</v>
      </c>
      <c r="GM64">
        <v>10.9153</v>
      </c>
      <c r="GN64">
        <v>100</v>
      </c>
      <c r="GO64">
        <v>25.1814</v>
      </c>
      <c r="GP64">
        <v>800</v>
      </c>
      <c r="GQ64">
        <v>21.788499999999999</v>
      </c>
      <c r="GR64">
        <v>99.800299999999993</v>
      </c>
      <c r="GS64">
        <v>99.666899999999998</v>
      </c>
    </row>
    <row r="65" spans="1:201" x14ac:dyDescent="0.25">
      <c r="A65">
        <v>49</v>
      </c>
      <c r="B65">
        <v>1690233054.5999999</v>
      </c>
      <c r="C65">
        <v>548.5</v>
      </c>
      <c r="D65" t="s">
        <v>429</v>
      </c>
      <c r="E65" t="s">
        <v>430</v>
      </c>
      <c r="F65" t="s">
        <v>330</v>
      </c>
      <c r="H65">
        <v>1690233054.5999999</v>
      </c>
      <c r="I65">
        <f t="shared" si="0"/>
        <v>2.0977868370644217E-4</v>
      </c>
      <c r="J65">
        <f t="shared" si="1"/>
        <v>0.20977868370644218</v>
      </c>
      <c r="K65">
        <f t="shared" si="2"/>
        <v>1.8370217630874628</v>
      </c>
      <c r="L65">
        <f t="shared" si="3"/>
        <v>778.49199999999996</v>
      </c>
      <c r="M65">
        <f t="shared" si="4"/>
        <v>512.11214961735834</v>
      </c>
      <c r="N65">
        <f t="shared" si="5"/>
        <v>50.757723777773023</v>
      </c>
      <c r="O65">
        <f t="shared" si="6"/>
        <v>77.159821200747984</v>
      </c>
      <c r="P65">
        <f t="shared" si="7"/>
        <v>1.1878536853915258E-2</v>
      </c>
      <c r="Q65">
        <f t="shared" si="8"/>
        <v>2.1287492492492142</v>
      </c>
      <c r="R65">
        <f t="shared" si="9"/>
        <v>1.1841835885702492E-2</v>
      </c>
      <c r="S65">
        <f t="shared" si="10"/>
        <v>7.4044353583824687E-3</v>
      </c>
      <c r="T65">
        <f t="shared" si="11"/>
        <v>276.11223123063786</v>
      </c>
      <c r="U65">
        <f t="shared" si="12"/>
        <v>29.259453837392886</v>
      </c>
      <c r="V65">
        <f t="shared" si="13"/>
        <v>29.259453837392886</v>
      </c>
      <c r="W65">
        <f t="shared" si="14"/>
        <v>4.0825500372771479</v>
      </c>
      <c r="X65">
        <f t="shared" si="15"/>
        <v>66.030003418493891</v>
      </c>
      <c r="Y65">
        <f t="shared" si="16"/>
        <v>2.3840102343039002</v>
      </c>
      <c r="Z65">
        <f t="shared" si="17"/>
        <v>3.6104953973638283</v>
      </c>
      <c r="AA65">
        <f t="shared" si="18"/>
        <v>1.6985398029732477</v>
      </c>
      <c r="AB65">
        <f t="shared" si="19"/>
        <v>-9.2512399514540995</v>
      </c>
      <c r="AC65">
        <f t="shared" si="20"/>
        <v>-242.26389057079595</v>
      </c>
      <c r="AD65">
        <f t="shared" si="21"/>
        <v>-24.857807780997852</v>
      </c>
      <c r="AE65">
        <f t="shared" si="22"/>
        <v>-0.260707072610046</v>
      </c>
      <c r="AF65">
        <v>0</v>
      </c>
      <c r="AG65">
        <v>0</v>
      </c>
      <c r="AH65">
        <f t="shared" si="23"/>
        <v>1</v>
      </c>
      <c r="AI65">
        <f t="shared" si="24"/>
        <v>0</v>
      </c>
      <c r="AJ65">
        <f t="shared" si="25"/>
        <v>52270.420279580918</v>
      </c>
      <c r="AK65">
        <f t="shared" si="26"/>
        <v>1799.99</v>
      </c>
      <c r="AL65">
        <f t="shared" si="27"/>
        <v>1499.1060781866302</v>
      </c>
      <c r="AM65">
        <f t="shared" si="28"/>
        <v>0.83284133700000007</v>
      </c>
      <c r="AN65">
        <f t="shared" si="29"/>
        <v>0.15339653622000002</v>
      </c>
      <c r="AO65">
        <v>32.4</v>
      </c>
      <c r="AP65">
        <v>0.5</v>
      </c>
      <c r="AQ65" t="s">
        <v>331</v>
      </c>
      <c r="AR65">
        <v>2</v>
      </c>
      <c r="AS65">
        <v>1690233054.5999999</v>
      </c>
      <c r="AT65">
        <v>778.49199999999996</v>
      </c>
      <c r="AU65">
        <v>800.072</v>
      </c>
      <c r="AV65">
        <v>24.053100000000001</v>
      </c>
      <c r="AW65">
        <v>21.8444</v>
      </c>
      <c r="AX65">
        <v>778.81600000000003</v>
      </c>
      <c r="AY65">
        <v>23.8811</v>
      </c>
      <c r="AZ65">
        <v>300.32799999999997</v>
      </c>
      <c r="BA65">
        <v>99.014300000000006</v>
      </c>
      <c r="BB65">
        <v>0.10016899999999999</v>
      </c>
      <c r="BC65">
        <v>27.148499999999999</v>
      </c>
      <c r="BD65">
        <v>27.000900000000001</v>
      </c>
      <c r="BE65">
        <v>29.3216</v>
      </c>
      <c r="BF65">
        <v>0</v>
      </c>
      <c r="BG65">
        <v>0</v>
      </c>
      <c r="BH65">
        <v>9988.1200000000008</v>
      </c>
      <c r="BI65">
        <v>1080.6400000000001</v>
      </c>
      <c r="BJ65">
        <v>1.5137799999999999</v>
      </c>
      <c r="BK65">
        <v>-21.580500000000001</v>
      </c>
      <c r="BL65">
        <v>797.678</v>
      </c>
      <c r="BM65">
        <v>817.94</v>
      </c>
      <c r="BN65">
        <v>2.2087699999999999</v>
      </c>
      <c r="BO65">
        <v>800.072</v>
      </c>
      <c r="BP65">
        <v>21.8444</v>
      </c>
      <c r="BQ65">
        <v>2.3816000000000002</v>
      </c>
      <c r="BR65">
        <v>2.1629</v>
      </c>
      <c r="BS65">
        <v>20.2392</v>
      </c>
      <c r="BT65">
        <v>18.690200000000001</v>
      </c>
      <c r="BU65">
        <v>1799.99</v>
      </c>
      <c r="BV65">
        <v>0.91002700000000003</v>
      </c>
      <c r="BW65">
        <v>3.3994499999999997E-2</v>
      </c>
      <c r="BX65">
        <v>2.19911E-2</v>
      </c>
      <c r="BY65">
        <v>3.3987000000000003E-2</v>
      </c>
      <c r="BZ65">
        <v>25</v>
      </c>
      <c r="CA65">
        <v>33528.300000000003</v>
      </c>
      <c r="CB65">
        <v>1690232006</v>
      </c>
      <c r="CC65" t="s">
        <v>332</v>
      </c>
      <c r="CD65">
        <v>1690232006</v>
      </c>
      <c r="CE65">
        <v>1690231998.5</v>
      </c>
      <c r="CF65">
        <v>14</v>
      </c>
      <c r="CG65">
        <v>-0.13200000000000001</v>
      </c>
      <c r="CH65">
        <v>-7.0000000000000001E-3</v>
      </c>
      <c r="CI65">
        <v>-0.33800000000000002</v>
      </c>
      <c r="CJ65">
        <v>0.14299999999999999</v>
      </c>
      <c r="CK65">
        <v>799</v>
      </c>
      <c r="CL65">
        <v>19</v>
      </c>
      <c r="CM65">
        <v>7.0000000000000007E-2</v>
      </c>
      <c r="CN65">
        <v>0.14000000000000001</v>
      </c>
      <c r="CO65">
        <v>-19.97586585365854</v>
      </c>
      <c r="CP65">
        <v>-8.0746390243902155</v>
      </c>
      <c r="CQ65">
        <v>0.7977048092724941</v>
      </c>
      <c r="CR65">
        <v>-1</v>
      </c>
      <c r="CS65">
        <v>2.1574124390243909</v>
      </c>
      <c r="CT65">
        <v>0.30623644599303751</v>
      </c>
      <c r="CU65">
        <v>3.037713708475168E-2</v>
      </c>
      <c r="CV65">
        <v>-1</v>
      </c>
      <c r="CW65">
        <v>0</v>
      </c>
      <c r="CX65">
        <v>0</v>
      </c>
      <c r="CY65" t="s">
        <v>333</v>
      </c>
      <c r="CZ65">
        <v>2.3650899999999999</v>
      </c>
      <c r="DA65">
        <v>2.7139500000000001</v>
      </c>
      <c r="DB65">
        <v>0.14410300000000001</v>
      </c>
      <c r="DC65">
        <v>0.146374</v>
      </c>
      <c r="DD65">
        <v>0.114103</v>
      </c>
      <c r="DE65">
        <v>0.105004</v>
      </c>
      <c r="DF65">
        <v>31271.7</v>
      </c>
      <c r="DG65">
        <v>27536.799999999999</v>
      </c>
      <c r="DH65">
        <v>31190.5</v>
      </c>
      <c r="DI65">
        <v>28107.8</v>
      </c>
      <c r="DJ65">
        <v>37516.800000000003</v>
      </c>
      <c r="DK65">
        <v>35772.9</v>
      </c>
      <c r="DL65">
        <v>44391.199999999997</v>
      </c>
      <c r="DM65">
        <v>42606.400000000001</v>
      </c>
      <c r="DN65">
        <v>1.4753700000000001</v>
      </c>
      <c r="DO65">
        <v>2.0649500000000001</v>
      </c>
      <c r="DP65">
        <v>7.2903899999999994E-2</v>
      </c>
      <c r="DQ65">
        <v>0.227019</v>
      </c>
      <c r="DR65">
        <v>25.807500000000001</v>
      </c>
      <c r="DS65">
        <v>25.611699999999999</v>
      </c>
      <c r="DT65">
        <v>56.4</v>
      </c>
      <c r="DU65">
        <v>28.9</v>
      </c>
      <c r="DV65">
        <v>22.776900000000001</v>
      </c>
      <c r="DW65">
        <v>62.167999999999999</v>
      </c>
      <c r="DX65">
        <v>35.564900000000002</v>
      </c>
      <c r="DY65">
        <v>1</v>
      </c>
      <c r="DZ65">
        <v>-0.105457</v>
      </c>
      <c r="EA65">
        <v>-0.161386</v>
      </c>
      <c r="EB65">
        <v>20.189699999999998</v>
      </c>
      <c r="EC65">
        <v>5.2411000000000003</v>
      </c>
      <c r="ED65">
        <v>12.039899999999999</v>
      </c>
      <c r="EE65">
        <v>5.0168499999999998</v>
      </c>
      <c r="EF65">
        <v>3.2879999999999998</v>
      </c>
      <c r="EG65">
        <v>9999</v>
      </c>
      <c r="EH65">
        <v>9999</v>
      </c>
      <c r="EI65">
        <v>9999</v>
      </c>
      <c r="EJ65">
        <v>999.9</v>
      </c>
      <c r="EK65">
        <v>1.8689</v>
      </c>
      <c r="EL65">
        <v>1.8646199999999999</v>
      </c>
      <c r="EM65">
        <v>1.8692</v>
      </c>
      <c r="EN65">
        <v>1.8672200000000001</v>
      </c>
      <c r="EO65">
        <v>1.8633999999999999</v>
      </c>
      <c r="EP65">
        <v>1.8644700000000001</v>
      </c>
      <c r="EQ65">
        <v>1.8701300000000001</v>
      </c>
      <c r="ER65">
        <v>1.8694299999999999</v>
      </c>
      <c r="ES65">
        <v>0</v>
      </c>
      <c r="ET65">
        <v>0</v>
      </c>
      <c r="EU65">
        <v>0</v>
      </c>
      <c r="EV65">
        <v>0</v>
      </c>
      <c r="EW65" t="s">
        <v>334</v>
      </c>
      <c r="EX65" t="s">
        <v>335</v>
      </c>
      <c r="EY65" t="s">
        <v>336</v>
      </c>
      <c r="EZ65" t="s">
        <v>336</v>
      </c>
      <c r="FA65" t="s">
        <v>336</v>
      </c>
      <c r="FB65" t="s">
        <v>336</v>
      </c>
      <c r="FC65">
        <v>0</v>
      </c>
      <c r="FD65">
        <v>100</v>
      </c>
      <c r="FE65">
        <v>100</v>
      </c>
      <c r="FF65">
        <v>-0.32400000000000001</v>
      </c>
      <c r="FG65">
        <v>0.17199999999999999</v>
      </c>
      <c r="FH65">
        <v>0.2126736300064915</v>
      </c>
      <c r="FI65">
        <v>-6.1462078757559423E-4</v>
      </c>
      <c r="FJ65">
        <v>-1.8861989874597051E-7</v>
      </c>
      <c r="FK65">
        <v>1.1980462299894961E-10</v>
      </c>
      <c r="FL65">
        <v>0.1719881465068297</v>
      </c>
      <c r="FM65">
        <v>0</v>
      </c>
      <c r="FN65">
        <v>0</v>
      </c>
      <c r="FO65">
        <v>0</v>
      </c>
      <c r="FP65">
        <v>3</v>
      </c>
      <c r="FQ65">
        <v>2158</v>
      </c>
      <c r="FR65">
        <v>1</v>
      </c>
      <c r="FS65">
        <v>19</v>
      </c>
      <c r="FT65">
        <v>17.5</v>
      </c>
      <c r="FU65">
        <v>17.600000000000001</v>
      </c>
      <c r="FV65">
        <v>1.79565</v>
      </c>
      <c r="FW65">
        <v>2.5903299999999998</v>
      </c>
      <c r="FX65">
        <v>1.5490699999999999</v>
      </c>
      <c r="FY65">
        <v>2.3290999999999999</v>
      </c>
      <c r="FZ65">
        <v>1.50146</v>
      </c>
      <c r="GA65">
        <v>2.3303199999999999</v>
      </c>
      <c r="GB65">
        <v>33.602899999999998</v>
      </c>
      <c r="GC65">
        <v>23.982399999999998</v>
      </c>
      <c r="GD65">
        <v>19</v>
      </c>
      <c r="GE65">
        <v>281.87099999999998</v>
      </c>
      <c r="GF65">
        <v>605.26</v>
      </c>
      <c r="GG65">
        <v>25.191800000000001</v>
      </c>
      <c r="GH65">
        <v>26.098099999999999</v>
      </c>
      <c r="GI65">
        <v>29.9999</v>
      </c>
      <c r="GJ65">
        <v>26.202100000000002</v>
      </c>
      <c r="GK65">
        <v>26.178899999999999</v>
      </c>
      <c r="GL65">
        <v>35.887900000000002</v>
      </c>
      <c r="GM65">
        <v>11.2081</v>
      </c>
      <c r="GN65">
        <v>100</v>
      </c>
      <c r="GO65">
        <v>25.1922</v>
      </c>
      <c r="GP65">
        <v>800</v>
      </c>
      <c r="GQ65">
        <v>21.735099999999999</v>
      </c>
      <c r="GR65">
        <v>99.8018</v>
      </c>
      <c r="GS65">
        <v>99.666799999999995</v>
      </c>
    </row>
    <row r="66" spans="1:201" x14ac:dyDescent="0.25">
      <c r="A66">
        <v>50</v>
      </c>
      <c r="B66">
        <v>1690233064.5999999</v>
      </c>
      <c r="C66">
        <v>558.5</v>
      </c>
      <c r="D66" t="s">
        <v>431</v>
      </c>
      <c r="E66" t="s">
        <v>432</v>
      </c>
      <c r="F66" t="s">
        <v>330</v>
      </c>
      <c r="H66">
        <v>1690233064.5999999</v>
      </c>
      <c r="I66">
        <f t="shared" si="0"/>
        <v>2.1556806224310899E-4</v>
      </c>
      <c r="J66">
        <f t="shared" si="1"/>
        <v>0.21556806224310898</v>
      </c>
      <c r="K66">
        <f t="shared" si="2"/>
        <v>1.9632021646853746</v>
      </c>
      <c r="L66">
        <f t="shared" si="3"/>
        <v>777.00699999999995</v>
      </c>
      <c r="M66">
        <f t="shared" si="4"/>
        <v>500.9561398561047</v>
      </c>
      <c r="N66">
        <f t="shared" si="5"/>
        <v>49.652851215358289</v>
      </c>
      <c r="O66">
        <f t="shared" si="6"/>
        <v>77.013953707352186</v>
      </c>
      <c r="P66">
        <f t="shared" si="7"/>
        <v>1.2210401198243995E-2</v>
      </c>
      <c r="Q66">
        <f t="shared" si="8"/>
        <v>2.1269477394980396</v>
      </c>
      <c r="R66">
        <f t="shared" si="9"/>
        <v>1.2171591752018835E-2</v>
      </c>
      <c r="S66">
        <f t="shared" si="10"/>
        <v>7.6107213809392879E-3</v>
      </c>
      <c r="T66">
        <f t="shared" si="11"/>
        <v>276.11476669655178</v>
      </c>
      <c r="U66">
        <f t="shared" si="12"/>
        <v>29.25797793859406</v>
      </c>
      <c r="V66">
        <f t="shared" si="13"/>
        <v>29.25797793859406</v>
      </c>
      <c r="W66">
        <f t="shared" si="14"/>
        <v>4.0822020549018445</v>
      </c>
      <c r="X66">
        <f t="shared" si="15"/>
        <v>66.035119906055726</v>
      </c>
      <c r="Y66">
        <f t="shared" si="16"/>
        <v>2.3840411071237999</v>
      </c>
      <c r="Z66">
        <f t="shared" si="17"/>
        <v>3.610262403574696</v>
      </c>
      <c r="AA66">
        <f t="shared" si="18"/>
        <v>1.6981609477780446</v>
      </c>
      <c r="AB66">
        <f t="shared" si="19"/>
        <v>-9.5065515449211055</v>
      </c>
      <c r="AC66">
        <f t="shared" si="20"/>
        <v>-242.01576484861513</v>
      </c>
      <c r="AD66">
        <f t="shared" si="21"/>
        <v>-24.853062412283936</v>
      </c>
      <c r="AE66">
        <f t="shared" si="22"/>
        <v>-0.26061210926840772</v>
      </c>
      <c r="AF66">
        <v>0</v>
      </c>
      <c r="AG66">
        <v>0</v>
      </c>
      <c r="AH66">
        <f t="shared" si="23"/>
        <v>1</v>
      </c>
      <c r="AI66">
        <f t="shared" si="24"/>
        <v>0</v>
      </c>
      <c r="AJ66">
        <f t="shared" si="25"/>
        <v>52193.169364775131</v>
      </c>
      <c r="AK66">
        <f t="shared" si="26"/>
        <v>1799.99</v>
      </c>
      <c r="AL66">
        <f t="shared" si="27"/>
        <v>1499.1048181936301</v>
      </c>
      <c r="AM66">
        <f t="shared" si="28"/>
        <v>0.83284063699999999</v>
      </c>
      <c r="AN66">
        <f t="shared" si="29"/>
        <v>0.15339794481999999</v>
      </c>
      <c r="AO66">
        <v>32.4</v>
      </c>
      <c r="AP66">
        <v>0.5</v>
      </c>
      <c r="AQ66" t="s">
        <v>331</v>
      </c>
      <c r="AR66">
        <v>2</v>
      </c>
      <c r="AS66">
        <v>1690233064.5999999</v>
      </c>
      <c r="AT66">
        <v>777.00699999999995</v>
      </c>
      <c r="AU66">
        <v>800.00300000000004</v>
      </c>
      <c r="AV66">
        <v>24.053000000000001</v>
      </c>
      <c r="AW66">
        <v>21.782399999999999</v>
      </c>
      <c r="AX66">
        <v>777.33</v>
      </c>
      <c r="AY66">
        <v>23.881</v>
      </c>
      <c r="AZ66">
        <v>300.20299999999997</v>
      </c>
      <c r="BA66">
        <v>99.016199999999998</v>
      </c>
      <c r="BB66">
        <v>9.9964600000000001E-2</v>
      </c>
      <c r="BC66">
        <v>27.147400000000001</v>
      </c>
      <c r="BD66">
        <v>26.990400000000001</v>
      </c>
      <c r="BE66">
        <v>29.346499999999999</v>
      </c>
      <c r="BF66">
        <v>0</v>
      </c>
      <c r="BG66">
        <v>0</v>
      </c>
      <c r="BH66">
        <v>9972.5</v>
      </c>
      <c r="BI66">
        <v>1080.71</v>
      </c>
      <c r="BJ66">
        <v>1.5137799999999999</v>
      </c>
      <c r="BK66">
        <v>-22.995699999999999</v>
      </c>
      <c r="BL66">
        <v>796.15700000000004</v>
      </c>
      <c r="BM66">
        <v>817.81700000000001</v>
      </c>
      <c r="BN66">
        <v>2.27061</v>
      </c>
      <c r="BO66">
        <v>800.00300000000004</v>
      </c>
      <c r="BP66">
        <v>21.782399999999999</v>
      </c>
      <c r="BQ66">
        <v>2.38164</v>
      </c>
      <c r="BR66">
        <v>2.1568100000000001</v>
      </c>
      <c r="BS66">
        <v>20.2395</v>
      </c>
      <c r="BT66">
        <v>18.645099999999999</v>
      </c>
      <c r="BU66">
        <v>1799.99</v>
      </c>
      <c r="BV66">
        <v>0.90999099999999999</v>
      </c>
      <c r="BW66">
        <v>3.3991100000000003E-2</v>
      </c>
      <c r="BX66">
        <v>2.2007100000000002E-2</v>
      </c>
      <c r="BY66">
        <v>3.4011E-2</v>
      </c>
      <c r="BZ66">
        <v>25</v>
      </c>
      <c r="CA66">
        <v>33528.199999999997</v>
      </c>
      <c r="CB66">
        <v>1690232006</v>
      </c>
      <c r="CC66" t="s">
        <v>332</v>
      </c>
      <c r="CD66">
        <v>1690232006</v>
      </c>
      <c r="CE66">
        <v>1690231998.5</v>
      </c>
      <c r="CF66">
        <v>14</v>
      </c>
      <c r="CG66">
        <v>-0.13200000000000001</v>
      </c>
      <c r="CH66">
        <v>-7.0000000000000001E-3</v>
      </c>
      <c r="CI66">
        <v>-0.33800000000000002</v>
      </c>
      <c r="CJ66">
        <v>0.14299999999999999</v>
      </c>
      <c r="CK66">
        <v>799</v>
      </c>
      <c r="CL66">
        <v>19</v>
      </c>
      <c r="CM66">
        <v>7.0000000000000007E-2</v>
      </c>
      <c r="CN66">
        <v>0.14000000000000001</v>
      </c>
      <c r="CO66">
        <v>-21.511702499999998</v>
      </c>
      <c r="CP66">
        <v>-8.804459662288874</v>
      </c>
      <c r="CQ66">
        <v>0.84770017266941156</v>
      </c>
      <c r="CR66">
        <v>-1</v>
      </c>
      <c r="CS66">
        <v>2.2103217499999999</v>
      </c>
      <c r="CT66">
        <v>0.30559823639773981</v>
      </c>
      <c r="CU66">
        <v>2.9781282619079742E-2</v>
      </c>
      <c r="CV66">
        <v>-1</v>
      </c>
      <c r="CW66">
        <v>0</v>
      </c>
      <c r="CX66">
        <v>0</v>
      </c>
      <c r="CY66" t="s">
        <v>333</v>
      </c>
      <c r="CZ66">
        <v>2.36469</v>
      </c>
      <c r="DA66">
        <v>2.71373</v>
      </c>
      <c r="DB66">
        <v>0.14392199999999999</v>
      </c>
      <c r="DC66">
        <v>0.146368</v>
      </c>
      <c r="DD66">
        <v>0.114105</v>
      </c>
      <c r="DE66">
        <v>0.104797</v>
      </c>
      <c r="DF66">
        <v>31278</v>
      </c>
      <c r="DG66">
        <v>27537.1</v>
      </c>
      <c r="DH66">
        <v>31190.2</v>
      </c>
      <c r="DI66">
        <v>28107.9</v>
      </c>
      <c r="DJ66">
        <v>37516.5</v>
      </c>
      <c r="DK66">
        <v>35781.300000000003</v>
      </c>
      <c r="DL66">
        <v>44390.9</v>
      </c>
      <c r="DM66">
        <v>42606.5</v>
      </c>
      <c r="DN66">
        <v>1.4749000000000001</v>
      </c>
      <c r="DO66">
        <v>2.0649500000000001</v>
      </c>
      <c r="DP66">
        <v>7.2419600000000001E-2</v>
      </c>
      <c r="DQ66">
        <v>0.22850899999999999</v>
      </c>
      <c r="DR66">
        <v>25.8049</v>
      </c>
      <c r="DS66">
        <v>25.612300000000001</v>
      </c>
      <c r="DT66">
        <v>56.4</v>
      </c>
      <c r="DU66">
        <v>28.9</v>
      </c>
      <c r="DV66">
        <v>22.775300000000001</v>
      </c>
      <c r="DW66">
        <v>62.128</v>
      </c>
      <c r="DX66">
        <v>35.741199999999999</v>
      </c>
      <c r="DY66">
        <v>1</v>
      </c>
      <c r="DZ66">
        <v>-0.10582800000000001</v>
      </c>
      <c r="EA66">
        <v>-0.172933</v>
      </c>
      <c r="EB66">
        <v>20.189599999999999</v>
      </c>
      <c r="EC66">
        <v>5.2408000000000001</v>
      </c>
      <c r="ED66">
        <v>12.039899999999999</v>
      </c>
      <c r="EE66">
        <v>5.0167999999999999</v>
      </c>
      <c r="EF66">
        <v>3.2879999999999998</v>
      </c>
      <c r="EG66">
        <v>9999</v>
      </c>
      <c r="EH66">
        <v>9999</v>
      </c>
      <c r="EI66">
        <v>9999</v>
      </c>
      <c r="EJ66">
        <v>999.9</v>
      </c>
      <c r="EK66">
        <v>1.8689</v>
      </c>
      <c r="EL66">
        <v>1.8646199999999999</v>
      </c>
      <c r="EM66">
        <v>1.8692</v>
      </c>
      <c r="EN66">
        <v>1.8672200000000001</v>
      </c>
      <c r="EO66">
        <v>1.8633999999999999</v>
      </c>
      <c r="EP66">
        <v>1.8644700000000001</v>
      </c>
      <c r="EQ66">
        <v>1.8701399999999999</v>
      </c>
      <c r="ER66">
        <v>1.86941</v>
      </c>
      <c r="ES66">
        <v>0</v>
      </c>
      <c r="ET66">
        <v>0</v>
      </c>
      <c r="EU66">
        <v>0</v>
      </c>
      <c r="EV66">
        <v>0</v>
      </c>
      <c r="EW66" t="s">
        <v>334</v>
      </c>
      <c r="EX66" t="s">
        <v>335</v>
      </c>
      <c r="EY66" t="s">
        <v>336</v>
      </c>
      <c r="EZ66" t="s">
        <v>336</v>
      </c>
      <c r="FA66" t="s">
        <v>336</v>
      </c>
      <c r="FB66" t="s">
        <v>336</v>
      </c>
      <c r="FC66">
        <v>0</v>
      </c>
      <c r="FD66">
        <v>100</v>
      </c>
      <c r="FE66">
        <v>100</v>
      </c>
      <c r="FF66">
        <v>-0.32300000000000001</v>
      </c>
      <c r="FG66">
        <v>0.17199999999999999</v>
      </c>
      <c r="FH66">
        <v>0.2126736300064915</v>
      </c>
      <c r="FI66">
        <v>-6.1462078757559423E-4</v>
      </c>
      <c r="FJ66">
        <v>-1.8861989874597051E-7</v>
      </c>
      <c r="FK66">
        <v>1.1980462299894961E-10</v>
      </c>
      <c r="FL66">
        <v>0.1719881465068297</v>
      </c>
      <c r="FM66">
        <v>0</v>
      </c>
      <c r="FN66">
        <v>0</v>
      </c>
      <c r="FO66">
        <v>0</v>
      </c>
      <c r="FP66">
        <v>3</v>
      </c>
      <c r="FQ66">
        <v>2158</v>
      </c>
      <c r="FR66">
        <v>1</v>
      </c>
      <c r="FS66">
        <v>19</v>
      </c>
      <c r="FT66">
        <v>17.600000000000001</v>
      </c>
      <c r="FU66">
        <v>17.8</v>
      </c>
      <c r="FV66">
        <v>1.79443</v>
      </c>
      <c r="FW66">
        <v>2.5830099999999998</v>
      </c>
      <c r="FX66">
        <v>1.5490699999999999</v>
      </c>
      <c r="FY66">
        <v>2.3290999999999999</v>
      </c>
      <c r="FZ66">
        <v>1.50146</v>
      </c>
      <c r="GA66">
        <v>2.3754900000000001</v>
      </c>
      <c r="GB66">
        <v>33.602899999999998</v>
      </c>
      <c r="GC66">
        <v>23.991199999999999</v>
      </c>
      <c r="GD66">
        <v>19</v>
      </c>
      <c r="GE66">
        <v>281.65899999999999</v>
      </c>
      <c r="GF66">
        <v>605.23500000000001</v>
      </c>
      <c r="GG66">
        <v>25.200299999999999</v>
      </c>
      <c r="GH66">
        <v>26.094200000000001</v>
      </c>
      <c r="GI66">
        <v>29.9999</v>
      </c>
      <c r="GJ66">
        <v>26.1999</v>
      </c>
      <c r="GK66">
        <v>26.1767</v>
      </c>
      <c r="GL66">
        <v>35.8857</v>
      </c>
      <c r="GM66">
        <v>11.755599999999999</v>
      </c>
      <c r="GN66">
        <v>100</v>
      </c>
      <c r="GO66">
        <v>25.203600000000002</v>
      </c>
      <c r="GP66">
        <v>800</v>
      </c>
      <c r="GQ66">
        <v>21.6813</v>
      </c>
      <c r="GR66">
        <v>99.801100000000005</v>
      </c>
      <c r="GS66">
        <v>99.667100000000005</v>
      </c>
    </row>
    <row r="67" spans="1:201" x14ac:dyDescent="0.25">
      <c r="A67">
        <v>51</v>
      </c>
      <c r="B67">
        <v>1690233074.5999999</v>
      </c>
      <c r="C67">
        <v>568.5</v>
      </c>
      <c r="D67" t="s">
        <v>433</v>
      </c>
      <c r="E67" t="s">
        <v>434</v>
      </c>
      <c r="F67" t="s">
        <v>330</v>
      </c>
      <c r="H67">
        <v>1690233074.5999999</v>
      </c>
      <c r="I67">
        <f t="shared" si="0"/>
        <v>2.213673805052808E-4</v>
      </c>
      <c r="J67">
        <f t="shared" si="1"/>
        <v>0.22136738050528079</v>
      </c>
      <c r="K67">
        <f t="shared" si="2"/>
        <v>2.107209048591967</v>
      </c>
      <c r="L67">
        <f t="shared" si="3"/>
        <v>775.42600000000004</v>
      </c>
      <c r="M67">
        <f t="shared" si="4"/>
        <v>487.97835622436861</v>
      </c>
      <c r="N67">
        <f t="shared" si="5"/>
        <v>48.366459339686031</v>
      </c>
      <c r="O67">
        <f t="shared" si="6"/>
        <v>76.857117988018018</v>
      </c>
      <c r="P67">
        <f t="shared" si="7"/>
        <v>1.2542619356170718E-2</v>
      </c>
      <c r="Q67">
        <f t="shared" si="8"/>
        <v>2.1295705987263407</v>
      </c>
      <c r="R67">
        <f t="shared" si="9"/>
        <v>1.2501723417574481E-2</v>
      </c>
      <c r="S67">
        <f t="shared" si="10"/>
        <v>7.8172402998512094E-3</v>
      </c>
      <c r="T67">
        <f t="shared" si="11"/>
        <v>276.11520890009513</v>
      </c>
      <c r="U67">
        <f t="shared" si="12"/>
        <v>29.256992529357657</v>
      </c>
      <c r="V67">
        <f t="shared" si="13"/>
        <v>29.256992529357657</v>
      </c>
      <c r="W67">
        <f t="shared" si="14"/>
        <v>4.0819697328764954</v>
      </c>
      <c r="X67">
        <f t="shared" si="15"/>
        <v>66.025677784658782</v>
      </c>
      <c r="Y67">
        <f t="shared" si="16"/>
        <v>2.3841757420192002</v>
      </c>
      <c r="Z67">
        <f t="shared" si="17"/>
        <v>3.6109826086074177</v>
      </c>
      <c r="AA67">
        <f t="shared" si="18"/>
        <v>1.6977939908572952</v>
      </c>
      <c r="AB67">
        <f t="shared" si="19"/>
        <v>-9.7623014802828827</v>
      </c>
      <c r="AC67">
        <f t="shared" si="20"/>
        <v>-241.81072189161665</v>
      </c>
      <c r="AD67">
        <f t="shared" si="21"/>
        <v>-24.801719091532952</v>
      </c>
      <c r="AE67">
        <f t="shared" si="22"/>
        <v>-0.25953356333735655</v>
      </c>
      <c r="AF67">
        <v>0</v>
      </c>
      <c r="AG67">
        <v>0</v>
      </c>
      <c r="AH67">
        <f t="shared" si="23"/>
        <v>1</v>
      </c>
      <c r="AI67">
        <f t="shared" si="24"/>
        <v>0</v>
      </c>
      <c r="AJ67">
        <f t="shared" si="25"/>
        <v>52305.404725799352</v>
      </c>
      <c r="AK67">
        <f t="shared" si="26"/>
        <v>1799.99</v>
      </c>
      <c r="AL67">
        <f t="shared" si="27"/>
        <v>1499.10176181061</v>
      </c>
      <c r="AM67">
        <f t="shared" si="28"/>
        <v>0.83283893899999994</v>
      </c>
      <c r="AN67">
        <f t="shared" si="29"/>
        <v>0.15339819049</v>
      </c>
      <c r="AO67">
        <v>32.4</v>
      </c>
      <c r="AP67">
        <v>0.5</v>
      </c>
      <c r="AQ67" t="s">
        <v>331</v>
      </c>
      <c r="AR67">
        <v>2</v>
      </c>
      <c r="AS67">
        <v>1690233074.5999999</v>
      </c>
      <c r="AT67">
        <v>775.42600000000004</v>
      </c>
      <c r="AU67">
        <v>800.01599999999996</v>
      </c>
      <c r="AV67">
        <v>24.054400000000001</v>
      </c>
      <c r="AW67">
        <v>21.723199999999999</v>
      </c>
      <c r="AX67">
        <v>775.74800000000005</v>
      </c>
      <c r="AY67">
        <v>23.882400000000001</v>
      </c>
      <c r="AZ67">
        <v>300.26499999999999</v>
      </c>
      <c r="BA67">
        <v>99.015900000000002</v>
      </c>
      <c r="BB67">
        <v>0.100093</v>
      </c>
      <c r="BC67">
        <v>27.1508</v>
      </c>
      <c r="BD67">
        <v>26.998100000000001</v>
      </c>
      <c r="BE67">
        <v>29.348299999999998</v>
      </c>
      <c r="BF67">
        <v>0</v>
      </c>
      <c r="BG67">
        <v>0</v>
      </c>
      <c r="BH67">
        <v>9995</v>
      </c>
      <c r="BI67">
        <v>1080.72</v>
      </c>
      <c r="BJ67">
        <v>1.5137799999999999</v>
      </c>
      <c r="BK67">
        <v>-24.590499999999999</v>
      </c>
      <c r="BL67">
        <v>794.53800000000001</v>
      </c>
      <c r="BM67">
        <v>817.78099999999995</v>
      </c>
      <c r="BN67">
        <v>2.3312200000000001</v>
      </c>
      <c r="BO67">
        <v>800.01599999999996</v>
      </c>
      <c r="BP67">
        <v>21.723199999999999</v>
      </c>
      <c r="BQ67">
        <v>2.3817699999999999</v>
      </c>
      <c r="BR67">
        <v>2.1509399999999999</v>
      </c>
      <c r="BS67">
        <v>20.240300000000001</v>
      </c>
      <c r="BT67">
        <v>18.601500000000001</v>
      </c>
      <c r="BU67">
        <v>1799.99</v>
      </c>
      <c r="BV67">
        <v>0.90997600000000001</v>
      </c>
      <c r="BW67">
        <v>3.4003699999999998E-2</v>
      </c>
      <c r="BX67">
        <v>2.2008199999999999E-2</v>
      </c>
      <c r="BY67">
        <v>3.4012500000000001E-2</v>
      </c>
      <c r="BZ67">
        <v>25</v>
      </c>
      <c r="CA67">
        <v>33528.1</v>
      </c>
      <c r="CB67">
        <v>1690232006</v>
      </c>
      <c r="CC67" t="s">
        <v>332</v>
      </c>
      <c r="CD67">
        <v>1690232006</v>
      </c>
      <c r="CE67">
        <v>1690231998.5</v>
      </c>
      <c r="CF67">
        <v>14</v>
      </c>
      <c r="CG67">
        <v>-0.13200000000000001</v>
      </c>
      <c r="CH67">
        <v>-7.0000000000000001E-3</v>
      </c>
      <c r="CI67">
        <v>-0.33800000000000002</v>
      </c>
      <c r="CJ67">
        <v>0.14299999999999999</v>
      </c>
      <c r="CK67">
        <v>799</v>
      </c>
      <c r="CL67">
        <v>19</v>
      </c>
      <c r="CM67">
        <v>7.0000000000000007E-2</v>
      </c>
      <c r="CN67">
        <v>0.14000000000000001</v>
      </c>
      <c r="CO67">
        <v>-22.894431707317079</v>
      </c>
      <c r="CP67">
        <v>-8.831055052264837</v>
      </c>
      <c r="CQ67">
        <v>0.87153012302278421</v>
      </c>
      <c r="CR67">
        <v>-1</v>
      </c>
      <c r="CS67">
        <v>2.262716097560975</v>
      </c>
      <c r="CT67">
        <v>0.3845885017421638</v>
      </c>
      <c r="CU67">
        <v>3.8090477516748142E-2</v>
      </c>
      <c r="CV67">
        <v>-1</v>
      </c>
      <c r="CW67">
        <v>0</v>
      </c>
      <c r="CX67">
        <v>0</v>
      </c>
      <c r="CY67" t="s">
        <v>333</v>
      </c>
      <c r="CZ67">
        <v>2.3649100000000001</v>
      </c>
      <c r="DA67">
        <v>2.7138800000000001</v>
      </c>
      <c r="DB67">
        <v>0.14372599999999999</v>
      </c>
      <c r="DC67">
        <v>0.146369</v>
      </c>
      <c r="DD67">
        <v>0.11411</v>
      </c>
      <c r="DE67">
        <v>0.104597</v>
      </c>
      <c r="DF67">
        <v>31285.200000000001</v>
      </c>
      <c r="DG67">
        <v>27537.3</v>
      </c>
      <c r="DH67">
        <v>31190.2</v>
      </c>
      <c r="DI67">
        <v>28108</v>
      </c>
      <c r="DJ67">
        <v>37516.199999999997</v>
      </c>
      <c r="DK67">
        <v>35789.5</v>
      </c>
      <c r="DL67">
        <v>44390.9</v>
      </c>
      <c r="DM67">
        <v>42606.7</v>
      </c>
      <c r="DN67">
        <v>1.4754</v>
      </c>
      <c r="DO67">
        <v>2.06507</v>
      </c>
      <c r="DP67">
        <v>7.3052900000000004E-2</v>
      </c>
      <c r="DQ67">
        <v>0.22862099999999999</v>
      </c>
      <c r="DR67">
        <v>25.802199999999999</v>
      </c>
      <c r="DS67">
        <v>25.612300000000001</v>
      </c>
      <c r="DT67">
        <v>56.4</v>
      </c>
      <c r="DU67">
        <v>28.9</v>
      </c>
      <c r="DV67">
        <v>22.776599999999998</v>
      </c>
      <c r="DW67">
        <v>61.637999999999998</v>
      </c>
      <c r="DX67">
        <v>36.049700000000001</v>
      </c>
      <c r="DY67">
        <v>1</v>
      </c>
      <c r="DZ67">
        <v>-0.105777</v>
      </c>
      <c r="EA67">
        <v>-0.17283799999999999</v>
      </c>
      <c r="EB67">
        <v>20.189599999999999</v>
      </c>
      <c r="EC67">
        <v>5.2408000000000001</v>
      </c>
      <c r="ED67">
        <v>12.039899999999999</v>
      </c>
      <c r="EE67">
        <v>5.0166500000000003</v>
      </c>
      <c r="EF67">
        <v>3.2879999999999998</v>
      </c>
      <c r="EG67">
        <v>9999</v>
      </c>
      <c r="EH67">
        <v>9999</v>
      </c>
      <c r="EI67">
        <v>9999</v>
      </c>
      <c r="EJ67">
        <v>999.9</v>
      </c>
      <c r="EK67">
        <v>1.8689</v>
      </c>
      <c r="EL67">
        <v>1.8646199999999999</v>
      </c>
      <c r="EM67">
        <v>1.8691899999999999</v>
      </c>
      <c r="EN67">
        <v>1.8672200000000001</v>
      </c>
      <c r="EO67">
        <v>1.8633999999999999</v>
      </c>
      <c r="EP67">
        <v>1.8644700000000001</v>
      </c>
      <c r="EQ67">
        <v>1.8701300000000001</v>
      </c>
      <c r="ER67">
        <v>1.86937</v>
      </c>
      <c r="ES67">
        <v>0</v>
      </c>
      <c r="ET67">
        <v>0</v>
      </c>
      <c r="EU67">
        <v>0</v>
      </c>
      <c r="EV67">
        <v>0</v>
      </c>
      <c r="EW67" t="s">
        <v>334</v>
      </c>
      <c r="EX67" t="s">
        <v>335</v>
      </c>
      <c r="EY67" t="s">
        <v>336</v>
      </c>
      <c r="EZ67" t="s">
        <v>336</v>
      </c>
      <c r="FA67" t="s">
        <v>336</v>
      </c>
      <c r="FB67" t="s">
        <v>336</v>
      </c>
      <c r="FC67">
        <v>0</v>
      </c>
      <c r="FD67">
        <v>100</v>
      </c>
      <c r="FE67">
        <v>100</v>
      </c>
      <c r="FF67">
        <v>-0.32200000000000001</v>
      </c>
      <c r="FG67">
        <v>0.17199999999999999</v>
      </c>
      <c r="FH67">
        <v>0.2126736300064915</v>
      </c>
      <c r="FI67">
        <v>-6.1462078757559423E-4</v>
      </c>
      <c r="FJ67">
        <v>-1.8861989874597051E-7</v>
      </c>
      <c r="FK67">
        <v>1.1980462299894961E-10</v>
      </c>
      <c r="FL67">
        <v>0.1719881465068297</v>
      </c>
      <c r="FM67">
        <v>0</v>
      </c>
      <c r="FN67">
        <v>0</v>
      </c>
      <c r="FO67">
        <v>0</v>
      </c>
      <c r="FP67">
        <v>3</v>
      </c>
      <c r="FQ67">
        <v>2158</v>
      </c>
      <c r="FR67">
        <v>1</v>
      </c>
      <c r="FS67">
        <v>19</v>
      </c>
      <c r="FT67">
        <v>17.8</v>
      </c>
      <c r="FU67">
        <v>17.899999999999999</v>
      </c>
      <c r="FV67">
        <v>1.79443</v>
      </c>
      <c r="FW67">
        <v>2.5891099999999998</v>
      </c>
      <c r="FX67">
        <v>1.5490699999999999</v>
      </c>
      <c r="FY67">
        <v>2.3290999999999999</v>
      </c>
      <c r="FZ67">
        <v>1.50146</v>
      </c>
      <c r="GA67">
        <v>2.3730500000000001</v>
      </c>
      <c r="GB67">
        <v>33.602899999999998</v>
      </c>
      <c r="GC67">
        <v>23.982399999999998</v>
      </c>
      <c r="GD67">
        <v>19</v>
      </c>
      <c r="GE67">
        <v>281.86200000000002</v>
      </c>
      <c r="GF67">
        <v>605.32299999999998</v>
      </c>
      <c r="GG67">
        <v>25.212900000000001</v>
      </c>
      <c r="GH67">
        <v>26.090900000000001</v>
      </c>
      <c r="GI67">
        <v>30.0001</v>
      </c>
      <c r="GJ67">
        <v>26.197700000000001</v>
      </c>
      <c r="GK67">
        <v>26.1752</v>
      </c>
      <c r="GL67">
        <v>35.882399999999997</v>
      </c>
      <c r="GM67">
        <v>12.033200000000001</v>
      </c>
      <c r="GN67">
        <v>100</v>
      </c>
      <c r="GO67">
        <v>25.2133</v>
      </c>
      <c r="GP67">
        <v>800</v>
      </c>
      <c r="GQ67">
        <v>21.623200000000001</v>
      </c>
      <c r="GR67">
        <v>99.801100000000005</v>
      </c>
      <c r="GS67">
        <v>99.667500000000004</v>
      </c>
    </row>
    <row r="68" spans="1:201" x14ac:dyDescent="0.25">
      <c r="A68">
        <v>52</v>
      </c>
      <c r="B68">
        <v>1690233084.5999999</v>
      </c>
      <c r="C68">
        <v>578.5</v>
      </c>
      <c r="D68" t="s">
        <v>435</v>
      </c>
      <c r="E68" t="s">
        <v>436</v>
      </c>
      <c r="F68" t="s">
        <v>330</v>
      </c>
      <c r="H68">
        <v>1690233084.5999999</v>
      </c>
      <c r="I68">
        <f t="shared" si="0"/>
        <v>2.2700106874063274E-4</v>
      </c>
      <c r="J68">
        <f t="shared" si="1"/>
        <v>0.22700106874063275</v>
      </c>
      <c r="K68">
        <f t="shared" si="2"/>
        <v>2.2477311169479521</v>
      </c>
      <c r="L68">
        <f t="shared" si="3"/>
        <v>773.822</v>
      </c>
      <c r="M68">
        <f t="shared" si="4"/>
        <v>475.61423259842479</v>
      </c>
      <c r="N68">
        <f t="shared" si="5"/>
        <v>47.138739183961469</v>
      </c>
      <c r="O68">
        <f t="shared" si="6"/>
        <v>76.694495102736013</v>
      </c>
      <c r="P68">
        <f t="shared" si="7"/>
        <v>1.2857722494815139E-2</v>
      </c>
      <c r="Q68">
        <f t="shared" si="8"/>
        <v>2.1245497925930286</v>
      </c>
      <c r="R68">
        <f t="shared" si="9"/>
        <v>1.2814648533753708E-2</v>
      </c>
      <c r="S68">
        <f t="shared" si="10"/>
        <v>8.0130132686707656E-3</v>
      </c>
      <c r="T68">
        <f t="shared" si="11"/>
        <v>276.11482337823691</v>
      </c>
      <c r="U68">
        <f t="shared" si="12"/>
        <v>29.261235173261632</v>
      </c>
      <c r="V68">
        <f t="shared" si="13"/>
        <v>29.261235173261632</v>
      </c>
      <c r="W68">
        <f t="shared" si="14"/>
        <v>4.0829700690048902</v>
      </c>
      <c r="X68">
        <f t="shared" si="15"/>
        <v>66.030230428405261</v>
      </c>
      <c r="Y68">
        <f t="shared" si="16"/>
        <v>2.3845779447648003</v>
      </c>
      <c r="Z68">
        <f t="shared" si="17"/>
        <v>3.6113427581482269</v>
      </c>
      <c r="AA68">
        <f t="shared" si="18"/>
        <v>1.6983921242400899</v>
      </c>
      <c r="AB68">
        <f t="shared" si="19"/>
        <v>-10.010747131461903</v>
      </c>
      <c r="AC68">
        <f t="shared" si="20"/>
        <v>-241.53184531627889</v>
      </c>
      <c r="AD68">
        <f t="shared" si="21"/>
        <v>-24.832395909478603</v>
      </c>
      <c r="AE68">
        <f t="shared" si="22"/>
        <v>-0.26016497898248758</v>
      </c>
      <c r="AF68">
        <v>0</v>
      </c>
      <c r="AG68">
        <v>0</v>
      </c>
      <c r="AH68">
        <f t="shared" si="23"/>
        <v>1</v>
      </c>
      <c r="AI68">
        <f t="shared" si="24"/>
        <v>0</v>
      </c>
      <c r="AJ68">
        <f t="shared" si="25"/>
        <v>52089.15912443382</v>
      </c>
      <c r="AK68">
        <f t="shared" si="26"/>
        <v>1799.99</v>
      </c>
      <c r="AL68">
        <f t="shared" si="27"/>
        <v>1499.1008024159401</v>
      </c>
      <c r="AM68">
        <f t="shared" si="28"/>
        <v>0.83283840600000003</v>
      </c>
      <c r="AN68">
        <f t="shared" si="29"/>
        <v>0.15339797630999999</v>
      </c>
      <c r="AO68">
        <v>32.4</v>
      </c>
      <c r="AP68">
        <v>0.5</v>
      </c>
      <c r="AQ68" t="s">
        <v>331</v>
      </c>
      <c r="AR68">
        <v>2</v>
      </c>
      <c r="AS68">
        <v>1690233084.5999999</v>
      </c>
      <c r="AT68">
        <v>773.822</v>
      </c>
      <c r="AU68">
        <v>799.97900000000004</v>
      </c>
      <c r="AV68">
        <v>24.0596</v>
      </c>
      <c r="AW68">
        <v>21.668399999999998</v>
      </c>
      <c r="AX68">
        <v>774.14200000000005</v>
      </c>
      <c r="AY68">
        <v>23.887699999999999</v>
      </c>
      <c r="AZ68">
        <v>300.17899999999997</v>
      </c>
      <c r="BA68">
        <v>99.011200000000002</v>
      </c>
      <c r="BB68">
        <v>0.100088</v>
      </c>
      <c r="BC68">
        <v>27.1525</v>
      </c>
      <c r="BD68">
        <v>27.0076</v>
      </c>
      <c r="BE68">
        <v>29.3568</v>
      </c>
      <c r="BF68">
        <v>0</v>
      </c>
      <c r="BG68">
        <v>0</v>
      </c>
      <c r="BH68">
        <v>9952.5</v>
      </c>
      <c r="BI68">
        <v>1080.69</v>
      </c>
      <c r="BJ68">
        <v>1.5137799999999999</v>
      </c>
      <c r="BK68">
        <v>-26.157</v>
      </c>
      <c r="BL68">
        <v>792.89800000000002</v>
      </c>
      <c r="BM68">
        <v>817.697</v>
      </c>
      <c r="BN68">
        <v>2.39127</v>
      </c>
      <c r="BO68">
        <v>799.97900000000004</v>
      </c>
      <c r="BP68">
        <v>21.668399999999998</v>
      </c>
      <c r="BQ68">
        <v>2.3821699999999999</v>
      </c>
      <c r="BR68">
        <v>2.14541</v>
      </c>
      <c r="BS68">
        <v>20.243099999999998</v>
      </c>
      <c r="BT68">
        <v>18.560400000000001</v>
      </c>
      <c r="BU68">
        <v>1799.99</v>
      </c>
      <c r="BV68">
        <v>0.90997799999999995</v>
      </c>
      <c r="BW68">
        <v>3.4005899999999999E-2</v>
      </c>
      <c r="BX68">
        <v>2.2006299999999999E-2</v>
      </c>
      <c r="BY68">
        <v>3.4009699999999997E-2</v>
      </c>
      <c r="BZ68">
        <v>25</v>
      </c>
      <c r="CA68">
        <v>33528</v>
      </c>
      <c r="CB68">
        <v>1690232006</v>
      </c>
      <c r="CC68" t="s">
        <v>332</v>
      </c>
      <c r="CD68">
        <v>1690232006</v>
      </c>
      <c r="CE68">
        <v>1690231998.5</v>
      </c>
      <c r="CF68">
        <v>14</v>
      </c>
      <c r="CG68">
        <v>-0.13200000000000001</v>
      </c>
      <c r="CH68">
        <v>-7.0000000000000001E-3</v>
      </c>
      <c r="CI68">
        <v>-0.33800000000000002</v>
      </c>
      <c r="CJ68">
        <v>0.14299999999999999</v>
      </c>
      <c r="CK68">
        <v>799</v>
      </c>
      <c r="CL68">
        <v>19</v>
      </c>
      <c r="CM68">
        <v>7.0000000000000007E-2</v>
      </c>
      <c r="CN68">
        <v>0.14000000000000001</v>
      </c>
      <c r="CO68">
        <v>-24.405415000000001</v>
      </c>
      <c r="CP68">
        <v>-9.6513726078798818</v>
      </c>
      <c r="CQ68">
        <v>0.92957492800473085</v>
      </c>
      <c r="CR68">
        <v>-1</v>
      </c>
      <c r="CS68">
        <v>2.326829</v>
      </c>
      <c r="CT68">
        <v>0.38627324577861022</v>
      </c>
      <c r="CU68">
        <v>3.7382975791127197E-2</v>
      </c>
      <c r="CV68">
        <v>-1</v>
      </c>
      <c r="CW68">
        <v>0</v>
      </c>
      <c r="CX68">
        <v>0</v>
      </c>
      <c r="CY68" t="s">
        <v>333</v>
      </c>
      <c r="CZ68">
        <v>2.36463</v>
      </c>
      <c r="DA68">
        <v>2.7138399999999998</v>
      </c>
      <c r="DB68">
        <v>0.14352000000000001</v>
      </c>
      <c r="DC68">
        <v>0.14635600000000001</v>
      </c>
      <c r="DD68">
        <v>0.114123</v>
      </c>
      <c r="DE68">
        <v>0.104407</v>
      </c>
      <c r="DF68">
        <v>31293</v>
      </c>
      <c r="DG68">
        <v>27537.5</v>
      </c>
      <c r="DH68">
        <v>31190.5</v>
      </c>
      <c r="DI68">
        <v>28107.9</v>
      </c>
      <c r="DJ68">
        <v>37516</v>
      </c>
      <c r="DK68">
        <v>35797.1</v>
      </c>
      <c r="DL68">
        <v>44391.4</v>
      </c>
      <c r="DM68">
        <v>42606.7</v>
      </c>
      <c r="DN68">
        <v>1.4757499999999999</v>
      </c>
      <c r="DO68">
        <v>2.0649199999999999</v>
      </c>
      <c r="DP68">
        <v>7.3574500000000001E-2</v>
      </c>
      <c r="DQ68">
        <v>0.22914300000000001</v>
      </c>
      <c r="DR68">
        <v>25.8032</v>
      </c>
      <c r="DS68">
        <v>25.612300000000001</v>
      </c>
      <c r="DT68">
        <v>56.4</v>
      </c>
      <c r="DU68">
        <v>28.9</v>
      </c>
      <c r="DV68">
        <v>22.779</v>
      </c>
      <c r="DW68">
        <v>61.718000000000004</v>
      </c>
      <c r="DX68">
        <v>35.508800000000001</v>
      </c>
      <c r="DY68">
        <v>1</v>
      </c>
      <c r="DZ68">
        <v>-0.10606699999999999</v>
      </c>
      <c r="EA68">
        <v>-0.17393</v>
      </c>
      <c r="EB68">
        <v>20.189699999999998</v>
      </c>
      <c r="EC68">
        <v>5.2411000000000003</v>
      </c>
      <c r="ED68">
        <v>12.039899999999999</v>
      </c>
      <c r="EE68">
        <v>5.0167000000000002</v>
      </c>
      <c r="EF68">
        <v>3.2879999999999998</v>
      </c>
      <c r="EG68">
        <v>9999</v>
      </c>
      <c r="EH68">
        <v>9999</v>
      </c>
      <c r="EI68">
        <v>9999</v>
      </c>
      <c r="EJ68">
        <v>999.9</v>
      </c>
      <c r="EK68">
        <v>1.8689</v>
      </c>
      <c r="EL68">
        <v>1.8646199999999999</v>
      </c>
      <c r="EM68">
        <v>1.8691800000000001</v>
      </c>
      <c r="EN68">
        <v>1.8672200000000001</v>
      </c>
      <c r="EO68">
        <v>1.8633999999999999</v>
      </c>
      <c r="EP68">
        <v>1.8644700000000001</v>
      </c>
      <c r="EQ68">
        <v>1.8701399999999999</v>
      </c>
      <c r="ER68">
        <v>1.86938</v>
      </c>
      <c r="ES68">
        <v>0</v>
      </c>
      <c r="ET68">
        <v>0</v>
      </c>
      <c r="EU68">
        <v>0</v>
      </c>
      <c r="EV68">
        <v>0</v>
      </c>
      <c r="EW68" t="s">
        <v>334</v>
      </c>
      <c r="EX68" t="s">
        <v>335</v>
      </c>
      <c r="EY68" t="s">
        <v>336</v>
      </c>
      <c r="EZ68" t="s">
        <v>336</v>
      </c>
      <c r="FA68" t="s">
        <v>336</v>
      </c>
      <c r="FB68" t="s">
        <v>336</v>
      </c>
      <c r="FC68">
        <v>0</v>
      </c>
      <c r="FD68">
        <v>100</v>
      </c>
      <c r="FE68">
        <v>100</v>
      </c>
      <c r="FF68">
        <v>-0.32</v>
      </c>
      <c r="FG68">
        <v>0.1719</v>
      </c>
      <c r="FH68">
        <v>0.2126736300064915</v>
      </c>
      <c r="FI68">
        <v>-6.1462078757559423E-4</v>
      </c>
      <c r="FJ68">
        <v>-1.8861989874597051E-7</v>
      </c>
      <c r="FK68">
        <v>1.1980462299894961E-10</v>
      </c>
      <c r="FL68">
        <v>0.1719881465068297</v>
      </c>
      <c r="FM68">
        <v>0</v>
      </c>
      <c r="FN68">
        <v>0</v>
      </c>
      <c r="FO68">
        <v>0</v>
      </c>
      <c r="FP68">
        <v>3</v>
      </c>
      <c r="FQ68">
        <v>2158</v>
      </c>
      <c r="FR68">
        <v>1</v>
      </c>
      <c r="FS68">
        <v>19</v>
      </c>
      <c r="FT68">
        <v>18</v>
      </c>
      <c r="FU68">
        <v>18.100000000000001</v>
      </c>
      <c r="FV68">
        <v>1.79443</v>
      </c>
      <c r="FW68">
        <v>2.5842299999999998</v>
      </c>
      <c r="FX68">
        <v>1.5490699999999999</v>
      </c>
      <c r="FY68">
        <v>2.3290999999999999</v>
      </c>
      <c r="FZ68">
        <v>1.50146</v>
      </c>
      <c r="GA68">
        <v>2.3144499999999999</v>
      </c>
      <c r="GB68">
        <v>33.602899999999998</v>
      </c>
      <c r="GC68">
        <v>23.982399999999998</v>
      </c>
      <c r="GD68">
        <v>19</v>
      </c>
      <c r="GE68">
        <v>282.00299999999999</v>
      </c>
      <c r="GF68">
        <v>605.18299999999999</v>
      </c>
      <c r="GG68">
        <v>25.216699999999999</v>
      </c>
      <c r="GH68">
        <v>26.087599999999998</v>
      </c>
      <c r="GI68">
        <v>29.9999</v>
      </c>
      <c r="GJ68">
        <v>26.196000000000002</v>
      </c>
      <c r="GK68">
        <v>26.174099999999999</v>
      </c>
      <c r="GL68">
        <v>35.883000000000003</v>
      </c>
      <c r="GM68">
        <v>12.332100000000001</v>
      </c>
      <c r="GN68">
        <v>100</v>
      </c>
      <c r="GO68">
        <v>25.218299999999999</v>
      </c>
      <c r="GP68">
        <v>800</v>
      </c>
      <c r="GQ68">
        <v>21.563400000000001</v>
      </c>
      <c r="GR68">
        <v>99.802000000000007</v>
      </c>
      <c r="GS68">
        <v>99.667400000000001</v>
      </c>
    </row>
    <row r="69" spans="1:201" x14ac:dyDescent="0.25">
      <c r="A69">
        <v>53</v>
      </c>
      <c r="B69">
        <v>1690233094.5999999</v>
      </c>
      <c r="C69">
        <v>588.5</v>
      </c>
      <c r="D69" t="s">
        <v>437</v>
      </c>
      <c r="E69" t="s">
        <v>438</v>
      </c>
      <c r="F69" t="s">
        <v>330</v>
      </c>
      <c r="H69">
        <v>1690233094.5999999</v>
      </c>
      <c r="I69">
        <f t="shared" si="0"/>
        <v>2.344135714867312E-4</v>
      </c>
      <c r="J69">
        <f t="shared" si="1"/>
        <v>0.2344135714867312</v>
      </c>
      <c r="K69">
        <f t="shared" si="2"/>
        <v>2.4048079468871215</v>
      </c>
      <c r="L69">
        <f t="shared" si="3"/>
        <v>772.09199999999998</v>
      </c>
      <c r="M69">
        <f t="shared" si="4"/>
        <v>464.07231927030659</v>
      </c>
      <c r="N69">
        <f t="shared" si="5"/>
        <v>45.996972969830615</v>
      </c>
      <c r="O69">
        <f t="shared" si="6"/>
        <v>76.526639016228003</v>
      </c>
      <c r="P69">
        <f t="shared" si="7"/>
        <v>1.3283565560060218E-2</v>
      </c>
      <c r="Q69">
        <f t="shared" si="8"/>
        <v>2.1320402887404524</v>
      </c>
      <c r="R69">
        <f t="shared" si="9"/>
        <v>1.323775757066141E-2</v>
      </c>
      <c r="S69">
        <f t="shared" si="10"/>
        <v>8.2777009162506993E-3</v>
      </c>
      <c r="T69">
        <f t="shared" si="11"/>
        <v>276.11471348884749</v>
      </c>
      <c r="U69">
        <f t="shared" si="12"/>
        <v>29.261107672387499</v>
      </c>
      <c r="V69">
        <f t="shared" si="13"/>
        <v>29.261107672387499</v>
      </c>
      <c r="W69">
        <f t="shared" si="14"/>
        <v>4.082940003567316</v>
      </c>
      <c r="X69">
        <f t="shared" si="15"/>
        <v>66.008137148284945</v>
      </c>
      <c r="Y69">
        <f t="shared" si="16"/>
        <v>2.3850669678006002</v>
      </c>
      <c r="Z69">
        <f t="shared" si="17"/>
        <v>3.6132923467339064</v>
      </c>
      <c r="AA69">
        <f t="shared" si="18"/>
        <v>1.6978730357667158</v>
      </c>
      <c r="AB69">
        <f t="shared" si="19"/>
        <v>-10.337638502564845</v>
      </c>
      <c r="AC69">
        <f t="shared" si="20"/>
        <v>-241.31128404801032</v>
      </c>
      <c r="AD69">
        <f t="shared" si="21"/>
        <v>-24.723669883578872</v>
      </c>
      <c r="AE69">
        <f t="shared" si="22"/>
        <v>-0.2578789453065724</v>
      </c>
      <c r="AF69">
        <v>0</v>
      </c>
      <c r="AG69">
        <v>0</v>
      </c>
      <c r="AH69">
        <f t="shared" si="23"/>
        <v>1</v>
      </c>
      <c r="AI69">
        <f t="shared" si="24"/>
        <v>0</v>
      </c>
      <c r="AJ69">
        <f t="shared" si="25"/>
        <v>52409.890285291745</v>
      </c>
      <c r="AK69">
        <f t="shared" si="26"/>
        <v>1799.99</v>
      </c>
      <c r="AL69">
        <f t="shared" si="27"/>
        <v>1499.1026384057402</v>
      </c>
      <c r="AM69">
        <f t="shared" si="28"/>
        <v>0.83283942600000005</v>
      </c>
      <c r="AN69">
        <f t="shared" si="29"/>
        <v>0.15339791526000005</v>
      </c>
      <c r="AO69">
        <v>32.4</v>
      </c>
      <c r="AP69">
        <v>0.5</v>
      </c>
      <c r="AQ69" t="s">
        <v>331</v>
      </c>
      <c r="AR69">
        <v>2</v>
      </c>
      <c r="AS69">
        <v>1690233094.5999999</v>
      </c>
      <c r="AT69">
        <v>772.09199999999998</v>
      </c>
      <c r="AU69">
        <v>800</v>
      </c>
      <c r="AV69">
        <v>24.063400000000001</v>
      </c>
      <c r="AW69">
        <v>21.5943</v>
      </c>
      <c r="AX69">
        <v>772.41099999999994</v>
      </c>
      <c r="AY69">
        <v>23.891400000000001</v>
      </c>
      <c r="AZ69">
        <v>300.2</v>
      </c>
      <c r="BA69">
        <v>99.015900000000002</v>
      </c>
      <c r="BB69">
        <v>0.100059</v>
      </c>
      <c r="BC69">
        <v>27.1617</v>
      </c>
      <c r="BD69">
        <v>27.002700000000001</v>
      </c>
      <c r="BE69">
        <v>29.326499999999999</v>
      </c>
      <c r="BF69">
        <v>0</v>
      </c>
      <c r="BG69">
        <v>0</v>
      </c>
      <c r="BH69">
        <v>10016.200000000001</v>
      </c>
      <c r="BI69">
        <v>1080.6400000000001</v>
      </c>
      <c r="BJ69">
        <v>1.5137799999999999</v>
      </c>
      <c r="BK69">
        <v>-27.9084</v>
      </c>
      <c r="BL69">
        <v>791.12900000000002</v>
      </c>
      <c r="BM69">
        <v>817.65700000000004</v>
      </c>
      <c r="BN69">
        <v>2.46916</v>
      </c>
      <c r="BO69">
        <v>800</v>
      </c>
      <c r="BP69">
        <v>21.5943</v>
      </c>
      <c r="BQ69">
        <v>2.38266</v>
      </c>
      <c r="BR69">
        <v>2.1381800000000002</v>
      </c>
      <c r="BS69">
        <v>20.246400000000001</v>
      </c>
      <c r="BT69">
        <v>18.506499999999999</v>
      </c>
      <c r="BU69">
        <v>1799.99</v>
      </c>
      <c r="BV69">
        <v>0.90998500000000004</v>
      </c>
      <c r="BW69">
        <v>3.4003499999999999E-2</v>
      </c>
      <c r="BX69">
        <v>2.2004800000000001E-2</v>
      </c>
      <c r="BY69">
        <v>3.4007200000000001E-2</v>
      </c>
      <c r="BZ69">
        <v>25</v>
      </c>
      <c r="CA69">
        <v>33528</v>
      </c>
      <c r="CB69">
        <v>1690232006</v>
      </c>
      <c r="CC69" t="s">
        <v>332</v>
      </c>
      <c r="CD69">
        <v>1690232006</v>
      </c>
      <c r="CE69">
        <v>1690231998.5</v>
      </c>
      <c r="CF69">
        <v>14</v>
      </c>
      <c r="CG69">
        <v>-0.13200000000000001</v>
      </c>
      <c r="CH69">
        <v>-7.0000000000000001E-3</v>
      </c>
      <c r="CI69">
        <v>-0.33800000000000002</v>
      </c>
      <c r="CJ69">
        <v>0.14299999999999999</v>
      </c>
      <c r="CK69">
        <v>799</v>
      </c>
      <c r="CL69">
        <v>19</v>
      </c>
      <c r="CM69">
        <v>7.0000000000000007E-2</v>
      </c>
      <c r="CN69">
        <v>0.14000000000000001</v>
      </c>
      <c r="CO69">
        <v>-26.202862499999998</v>
      </c>
      <c r="CP69">
        <v>-9.9957737335834285</v>
      </c>
      <c r="CQ69">
        <v>0.96282692855141383</v>
      </c>
      <c r="CR69">
        <v>-1</v>
      </c>
      <c r="CS69">
        <v>2.3947995</v>
      </c>
      <c r="CT69">
        <v>0.36378731707317108</v>
      </c>
      <c r="CU69">
        <v>3.5661213520434193E-2</v>
      </c>
      <c r="CV69">
        <v>-1</v>
      </c>
      <c r="CW69">
        <v>0</v>
      </c>
      <c r="CX69">
        <v>0</v>
      </c>
      <c r="CY69" t="s">
        <v>333</v>
      </c>
      <c r="CZ69">
        <v>2.3647</v>
      </c>
      <c r="DA69">
        <v>2.71387</v>
      </c>
      <c r="DB69">
        <v>0.14331199999999999</v>
      </c>
      <c r="DC69">
        <v>0.146365</v>
      </c>
      <c r="DD69">
        <v>0.11414100000000001</v>
      </c>
      <c r="DE69">
        <v>0.104161</v>
      </c>
      <c r="DF69">
        <v>31301.1</v>
      </c>
      <c r="DG69">
        <v>27537.7</v>
      </c>
      <c r="DH69">
        <v>31191</v>
      </c>
      <c r="DI69">
        <v>28108.3</v>
      </c>
      <c r="DJ69">
        <v>37515.800000000003</v>
      </c>
      <c r="DK69">
        <v>35807.5</v>
      </c>
      <c r="DL69">
        <v>44392.1</v>
      </c>
      <c r="DM69">
        <v>42607.3</v>
      </c>
      <c r="DN69">
        <v>1.47567</v>
      </c>
      <c r="DO69">
        <v>2.0649000000000002</v>
      </c>
      <c r="DP69">
        <v>7.3276499999999994E-2</v>
      </c>
      <c r="DQ69">
        <v>0.22728000000000001</v>
      </c>
      <c r="DR69">
        <v>25.8032</v>
      </c>
      <c r="DS69">
        <v>25.612300000000001</v>
      </c>
      <c r="DT69">
        <v>56.4</v>
      </c>
      <c r="DU69">
        <v>28.9</v>
      </c>
      <c r="DV69">
        <v>22.776700000000002</v>
      </c>
      <c r="DW69">
        <v>61.527999999999999</v>
      </c>
      <c r="DX69">
        <v>36.542499999999997</v>
      </c>
      <c r="DY69">
        <v>1</v>
      </c>
      <c r="DZ69">
        <v>-0.10671</v>
      </c>
      <c r="EA69">
        <v>-9.2565400000000006E-2</v>
      </c>
      <c r="EB69">
        <v>20.189699999999998</v>
      </c>
      <c r="EC69">
        <v>5.2404999999999999</v>
      </c>
      <c r="ED69">
        <v>12.039899999999999</v>
      </c>
      <c r="EE69">
        <v>5.0162500000000003</v>
      </c>
      <c r="EF69">
        <v>3.2879999999999998</v>
      </c>
      <c r="EG69">
        <v>9999</v>
      </c>
      <c r="EH69">
        <v>9999</v>
      </c>
      <c r="EI69">
        <v>9999</v>
      </c>
      <c r="EJ69">
        <v>999.9</v>
      </c>
      <c r="EK69">
        <v>1.8689</v>
      </c>
      <c r="EL69">
        <v>1.8646199999999999</v>
      </c>
      <c r="EM69">
        <v>1.8691899999999999</v>
      </c>
      <c r="EN69">
        <v>1.8672200000000001</v>
      </c>
      <c r="EO69">
        <v>1.8633999999999999</v>
      </c>
      <c r="EP69">
        <v>1.8644700000000001</v>
      </c>
      <c r="EQ69">
        <v>1.8701399999999999</v>
      </c>
      <c r="ER69">
        <v>1.8694299999999999</v>
      </c>
      <c r="ES69">
        <v>0</v>
      </c>
      <c r="ET69">
        <v>0</v>
      </c>
      <c r="EU69">
        <v>0</v>
      </c>
      <c r="EV69">
        <v>0</v>
      </c>
      <c r="EW69" t="s">
        <v>334</v>
      </c>
      <c r="EX69" t="s">
        <v>335</v>
      </c>
      <c r="EY69" t="s">
        <v>336</v>
      </c>
      <c r="EZ69" t="s">
        <v>336</v>
      </c>
      <c r="FA69" t="s">
        <v>336</v>
      </c>
      <c r="FB69" t="s">
        <v>336</v>
      </c>
      <c r="FC69">
        <v>0</v>
      </c>
      <c r="FD69">
        <v>100</v>
      </c>
      <c r="FE69">
        <v>100</v>
      </c>
      <c r="FF69">
        <v>-0.31900000000000001</v>
      </c>
      <c r="FG69">
        <v>0.17199999999999999</v>
      </c>
      <c r="FH69">
        <v>0.2126736300064915</v>
      </c>
      <c r="FI69">
        <v>-6.1462078757559423E-4</v>
      </c>
      <c r="FJ69">
        <v>-1.8861989874597051E-7</v>
      </c>
      <c r="FK69">
        <v>1.1980462299894961E-10</v>
      </c>
      <c r="FL69">
        <v>0.1719881465068297</v>
      </c>
      <c r="FM69">
        <v>0</v>
      </c>
      <c r="FN69">
        <v>0</v>
      </c>
      <c r="FO69">
        <v>0</v>
      </c>
      <c r="FP69">
        <v>3</v>
      </c>
      <c r="FQ69">
        <v>2158</v>
      </c>
      <c r="FR69">
        <v>1</v>
      </c>
      <c r="FS69">
        <v>19</v>
      </c>
      <c r="FT69">
        <v>18.100000000000001</v>
      </c>
      <c r="FU69">
        <v>18.3</v>
      </c>
      <c r="FV69">
        <v>1.79443</v>
      </c>
      <c r="FW69">
        <v>2.5854499999999998</v>
      </c>
      <c r="FX69">
        <v>1.5490699999999999</v>
      </c>
      <c r="FY69">
        <v>2.3290999999999999</v>
      </c>
      <c r="FZ69">
        <v>1.50146</v>
      </c>
      <c r="GA69">
        <v>2.3999000000000001</v>
      </c>
      <c r="GB69">
        <v>33.602899999999998</v>
      </c>
      <c r="GC69">
        <v>23.991199999999999</v>
      </c>
      <c r="GD69">
        <v>19</v>
      </c>
      <c r="GE69">
        <v>281.96199999999999</v>
      </c>
      <c r="GF69">
        <v>605.14</v>
      </c>
      <c r="GG69">
        <v>25.166799999999999</v>
      </c>
      <c r="GH69">
        <v>26.0838</v>
      </c>
      <c r="GI69">
        <v>29.9999</v>
      </c>
      <c r="GJ69">
        <v>26.1938</v>
      </c>
      <c r="GK69">
        <v>26.1723</v>
      </c>
      <c r="GL69">
        <v>35.874899999999997</v>
      </c>
      <c r="GM69">
        <v>12.6228</v>
      </c>
      <c r="GN69">
        <v>100</v>
      </c>
      <c r="GO69">
        <v>25.1753</v>
      </c>
      <c r="GP69">
        <v>800</v>
      </c>
      <c r="GQ69">
        <v>21.502500000000001</v>
      </c>
      <c r="GR69">
        <v>99.803600000000003</v>
      </c>
      <c r="GS69">
        <v>99.668899999999994</v>
      </c>
    </row>
    <row r="70" spans="1:201" x14ac:dyDescent="0.25">
      <c r="A70">
        <v>54</v>
      </c>
      <c r="B70">
        <v>1690233104.5999999</v>
      </c>
      <c r="C70">
        <v>598.5</v>
      </c>
      <c r="D70" t="s">
        <v>439</v>
      </c>
      <c r="E70" t="s">
        <v>440</v>
      </c>
      <c r="F70" t="s">
        <v>330</v>
      </c>
      <c r="H70">
        <v>1690233104.5999999</v>
      </c>
      <c r="I70">
        <f t="shared" si="0"/>
        <v>2.3874666188412644E-4</v>
      </c>
      <c r="J70">
        <f t="shared" si="1"/>
        <v>0.23874666188412644</v>
      </c>
      <c r="K70">
        <f t="shared" si="2"/>
        <v>2.5748270435873821</v>
      </c>
      <c r="L70">
        <f t="shared" si="3"/>
        <v>770.23500000000001</v>
      </c>
      <c r="M70">
        <f t="shared" si="4"/>
        <v>448.23205791463107</v>
      </c>
      <c r="N70">
        <f t="shared" si="5"/>
        <v>44.426706884744753</v>
      </c>
      <c r="O70">
        <f t="shared" si="6"/>
        <v>76.342162442759999</v>
      </c>
      <c r="P70">
        <f t="shared" si="7"/>
        <v>1.3557806148886882E-2</v>
      </c>
      <c r="Q70">
        <f t="shared" si="8"/>
        <v>2.1250369453880964</v>
      </c>
      <c r="R70">
        <f t="shared" si="9"/>
        <v>1.3509934228649991E-2</v>
      </c>
      <c r="S70">
        <f t="shared" si="10"/>
        <v>8.447995839157986E-3</v>
      </c>
      <c r="T70">
        <f t="shared" si="11"/>
        <v>276.11421078764022</v>
      </c>
      <c r="U70">
        <f t="shared" si="12"/>
        <v>29.246407661241335</v>
      </c>
      <c r="V70">
        <f t="shared" si="13"/>
        <v>29.246407661241335</v>
      </c>
      <c r="W70">
        <f t="shared" si="14"/>
        <v>4.0794749503317949</v>
      </c>
      <c r="X70">
        <f t="shared" si="15"/>
        <v>66.082781432432824</v>
      </c>
      <c r="Y70">
        <f t="shared" si="16"/>
        <v>2.3850340782911998</v>
      </c>
      <c r="Z70">
        <f t="shared" si="17"/>
        <v>3.6091611560415449</v>
      </c>
      <c r="AA70">
        <f t="shared" si="18"/>
        <v>1.694440872040595</v>
      </c>
      <c r="AB70">
        <f t="shared" si="19"/>
        <v>-10.528727789089976</v>
      </c>
      <c r="AC70">
        <f t="shared" si="20"/>
        <v>-241.06853345511229</v>
      </c>
      <c r="AD70">
        <f t="shared" si="21"/>
        <v>-24.77597822012439</v>
      </c>
      <c r="AE70">
        <f t="shared" si="22"/>
        <v>-0.25902867668642671</v>
      </c>
      <c r="AF70">
        <v>0</v>
      </c>
      <c r="AG70">
        <v>0</v>
      </c>
      <c r="AH70">
        <f t="shared" si="23"/>
        <v>1</v>
      </c>
      <c r="AI70">
        <f t="shared" si="24"/>
        <v>0</v>
      </c>
      <c r="AJ70">
        <f t="shared" si="25"/>
        <v>52111.951102843239</v>
      </c>
      <c r="AK70">
        <f t="shared" si="26"/>
        <v>1799.99</v>
      </c>
      <c r="AL70">
        <f t="shared" si="27"/>
        <v>1499.10281300477</v>
      </c>
      <c r="AM70">
        <f t="shared" si="28"/>
        <v>0.83283952299999997</v>
      </c>
      <c r="AN70">
        <f t="shared" si="29"/>
        <v>0.15339763598</v>
      </c>
      <c r="AO70">
        <v>32.4</v>
      </c>
      <c r="AP70">
        <v>0.5</v>
      </c>
      <c r="AQ70" t="s">
        <v>331</v>
      </c>
      <c r="AR70">
        <v>2</v>
      </c>
      <c r="AS70">
        <v>1690233104.5999999</v>
      </c>
      <c r="AT70">
        <v>770.23500000000001</v>
      </c>
      <c r="AU70">
        <v>800.01</v>
      </c>
      <c r="AV70">
        <v>24.063199999999998</v>
      </c>
      <c r="AW70">
        <v>21.548400000000001</v>
      </c>
      <c r="AX70">
        <v>770.553</v>
      </c>
      <c r="AY70">
        <v>23.891200000000001</v>
      </c>
      <c r="AZ70">
        <v>300.19299999999998</v>
      </c>
      <c r="BA70">
        <v>99.015299999999996</v>
      </c>
      <c r="BB70">
        <v>0.100116</v>
      </c>
      <c r="BC70">
        <v>27.142199999999999</v>
      </c>
      <c r="BD70">
        <v>26.985600000000002</v>
      </c>
      <c r="BE70">
        <v>29.337399999999999</v>
      </c>
      <c r="BF70">
        <v>0</v>
      </c>
      <c r="BG70">
        <v>0</v>
      </c>
      <c r="BH70">
        <v>9956.25</v>
      </c>
      <c r="BI70">
        <v>1080.58</v>
      </c>
      <c r="BJ70">
        <v>1.5137799999999999</v>
      </c>
      <c r="BK70">
        <v>-29.775099999999998</v>
      </c>
      <c r="BL70">
        <v>789.226</v>
      </c>
      <c r="BM70">
        <v>817.62900000000002</v>
      </c>
      <c r="BN70">
        <v>2.5148000000000001</v>
      </c>
      <c r="BO70">
        <v>800.01</v>
      </c>
      <c r="BP70">
        <v>21.548400000000001</v>
      </c>
      <c r="BQ70">
        <v>2.3826200000000002</v>
      </c>
      <c r="BR70">
        <v>2.1336200000000001</v>
      </c>
      <c r="BS70">
        <v>20.246200000000002</v>
      </c>
      <c r="BT70">
        <v>18.4724</v>
      </c>
      <c r="BU70">
        <v>1799.99</v>
      </c>
      <c r="BV70">
        <v>0.90999200000000002</v>
      </c>
      <c r="BW70">
        <v>3.4000599999999999E-2</v>
      </c>
      <c r="BX70">
        <v>2.2002899999999999E-2</v>
      </c>
      <c r="BY70">
        <v>3.4004399999999997E-2</v>
      </c>
      <c r="BZ70">
        <v>25</v>
      </c>
      <c r="CA70">
        <v>33528.199999999997</v>
      </c>
      <c r="CB70">
        <v>1690232006</v>
      </c>
      <c r="CC70" t="s">
        <v>332</v>
      </c>
      <c r="CD70">
        <v>1690232006</v>
      </c>
      <c r="CE70">
        <v>1690231998.5</v>
      </c>
      <c r="CF70">
        <v>14</v>
      </c>
      <c r="CG70">
        <v>-0.13200000000000001</v>
      </c>
      <c r="CH70">
        <v>-7.0000000000000001E-3</v>
      </c>
      <c r="CI70">
        <v>-0.33800000000000002</v>
      </c>
      <c r="CJ70">
        <v>0.14299999999999999</v>
      </c>
      <c r="CK70">
        <v>799</v>
      </c>
      <c r="CL70">
        <v>19</v>
      </c>
      <c r="CM70">
        <v>7.0000000000000007E-2</v>
      </c>
      <c r="CN70">
        <v>0.14000000000000001</v>
      </c>
      <c r="CO70">
        <v>-27.913229999999999</v>
      </c>
      <c r="CP70">
        <v>-10.68282101313315</v>
      </c>
      <c r="CQ70">
        <v>1.0284726977902721</v>
      </c>
      <c r="CR70">
        <v>-1</v>
      </c>
      <c r="CS70">
        <v>2.4577767499999998</v>
      </c>
      <c r="CT70">
        <v>0.40550330206378282</v>
      </c>
      <c r="CU70">
        <v>3.9459408725138007E-2</v>
      </c>
      <c r="CV70">
        <v>-1</v>
      </c>
      <c r="CW70">
        <v>0</v>
      </c>
      <c r="CX70">
        <v>0</v>
      </c>
      <c r="CY70" t="s">
        <v>333</v>
      </c>
      <c r="CZ70">
        <v>2.3646600000000002</v>
      </c>
      <c r="DA70">
        <v>2.71387</v>
      </c>
      <c r="DB70">
        <v>0.14308000000000001</v>
      </c>
      <c r="DC70">
        <v>0.146365</v>
      </c>
      <c r="DD70">
        <v>0.11414000000000001</v>
      </c>
      <c r="DE70">
        <v>0.104005</v>
      </c>
      <c r="DF70">
        <v>31309.599999999999</v>
      </c>
      <c r="DG70">
        <v>27537.8</v>
      </c>
      <c r="DH70">
        <v>31191.1</v>
      </c>
      <c r="DI70">
        <v>28108.5</v>
      </c>
      <c r="DJ70">
        <v>37516.1</v>
      </c>
      <c r="DK70">
        <v>35813.800000000003</v>
      </c>
      <c r="DL70">
        <v>44392.4</v>
      </c>
      <c r="DM70">
        <v>42607.4</v>
      </c>
      <c r="DN70">
        <v>1.47525</v>
      </c>
      <c r="DO70">
        <v>2.0647500000000001</v>
      </c>
      <c r="DP70">
        <v>7.2233400000000003E-2</v>
      </c>
      <c r="DQ70">
        <v>0.22795099999999999</v>
      </c>
      <c r="DR70">
        <v>25.8032</v>
      </c>
      <c r="DS70">
        <v>25.612300000000001</v>
      </c>
      <c r="DT70">
        <v>56.4</v>
      </c>
      <c r="DU70">
        <v>28.9</v>
      </c>
      <c r="DV70">
        <v>22.777000000000001</v>
      </c>
      <c r="DW70">
        <v>61.698</v>
      </c>
      <c r="DX70">
        <v>35.432699999999997</v>
      </c>
      <c r="DY70">
        <v>1</v>
      </c>
      <c r="DZ70">
        <v>-0.106687</v>
      </c>
      <c r="EA70">
        <v>-0.14275599999999999</v>
      </c>
      <c r="EB70">
        <v>20.189499999999999</v>
      </c>
      <c r="EC70">
        <v>5.2409499999999998</v>
      </c>
      <c r="ED70">
        <v>12.039899999999999</v>
      </c>
      <c r="EE70">
        <v>5.0162500000000003</v>
      </c>
      <c r="EF70">
        <v>3.2879999999999998</v>
      </c>
      <c r="EG70">
        <v>9999</v>
      </c>
      <c r="EH70">
        <v>9999</v>
      </c>
      <c r="EI70">
        <v>9999</v>
      </c>
      <c r="EJ70">
        <v>999.9</v>
      </c>
      <c r="EK70">
        <v>1.8689</v>
      </c>
      <c r="EL70">
        <v>1.8646199999999999</v>
      </c>
      <c r="EM70">
        <v>1.8691899999999999</v>
      </c>
      <c r="EN70">
        <v>1.8672200000000001</v>
      </c>
      <c r="EO70">
        <v>1.8633999999999999</v>
      </c>
      <c r="EP70">
        <v>1.8644700000000001</v>
      </c>
      <c r="EQ70">
        <v>1.87016</v>
      </c>
      <c r="ER70">
        <v>1.86941</v>
      </c>
      <c r="ES70">
        <v>0</v>
      </c>
      <c r="ET70">
        <v>0</v>
      </c>
      <c r="EU70">
        <v>0</v>
      </c>
      <c r="EV70">
        <v>0</v>
      </c>
      <c r="EW70" t="s">
        <v>334</v>
      </c>
      <c r="EX70" t="s">
        <v>335</v>
      </c>
      <c r="EY70" t="s">
        <v>336</v>
      </c>
      <c r="EZ70" t="s">
        <v>336</v>
      </c>
      <c r="FA70" t="s">
        <v>336</v>
      </c>
      <c r="FB70" t="s">
        <v>336</v>
      </c>
      <c r="FC70">
        <v>0</v>
      </c>
      <c r="FD70">
        <v>100</v>
      </c>
      <c r="FE70">
        <v>100</v>
      </c>
      <c r="FF70">
        <v>-0.318</v>
      </c>
      <c r="FG70">
        <v>0.17199999999999999</v>
      </c>
      <c r="FH70">
        <v>0.2126736300064915</v>
      </c>
      <c r="FI70">
        <v>-6.1462078757559423E-4</v>
      </c>
      <c r="FJ70">
        <v>-1.8861989874597051E-7</v>
      </c>
      <c r="FK70">
        <v>1.1980462299894961E-10</v>
      </c>
      <c r="FL70">
        <v>0.1719881465068297</v>
      </c>
      <c r="FM70">
        <v>0</v>
      </c>
      <c r="FN70">
        <v>0</v>
      </c>
      <c r="FO70">
        <v>0</v>
      </c>
      <c r="FP70">
        <v>3</v>
      </c>
      <c r="FQ70">
        <v>2158</v>
      </c>
      <c r="FR70">
        <v>1</v>
      </c>
      <c r="FS70">
        <v>19</v>
      </c>
      <c r="FT70">
        <v>18.3</v>
      </c>
      <c r="FU70">
        <v>18.399999999999999</v>
      </c>
      <c r="FV70">
        <v>1.79443</v>
      </c>
      <c r="FW70">
        <v>2.5939899999999998</v>
      </c>
      <c r="FX70">
        <v>1.5490699999999999</v>
      </c>
      <c r="FY70">
        <v>2.3290999999999999</v>
      </c>
      <c r="FZ70">
        <v>1.50146</v>
      </c>
      <c r="GA70">
        <v>2.3120099999999999</v>
      </c>
      <c r="GB70">
        <v>33.625399999999999</v>
      </c>
      <c r="GC70">
        <v>23.982399999999998</v>
      </c>
      <c r="GD70">
        <v>19</v>
      </c>
      <c r="GE70">
        <v>281.77199999999999</v>
      </c>
      <c r="GF70">
        <v>604.98800000000006</v>
      </c>
      <c r="GG70">
        <v>25.171500000000002</v>
      </c>
      <c r="GH70">
        <v>26.081</v>
      </c>
      <c r="GI70">
        <v>29.9999</v>
      </c>
      <c r="GJ70">
        <v>26.191700000000001</v>
      </c>
      <c r="GK70">
        <v>26.170200000000001</v>
      </c>
      <c r="GL70">
        <v>35.875500000000002</v>
      </c>
      <c r="GM70">
        <v>13.1782</v>
      </c>
      <c r="GN70">
        <v>100</v>
      </c>
      <c r="GO70">
        <v>25.1767</v>
      </c>
      <c r="GP70">
        <v>800</v>
      </c>
      <c r="GQ70">
        <v>21.443999999999999</v>
      </c>
      <c r="GR70">
        <v>99.804100000000005</v>
      </c>
      <c r="GS70">
        <v>99.669200000000004</v>
      </c>
    </row>
    <row r="71" spans="1:201" x14ac:dyDescent="0.25">
      <c r="A71">
        <v>55</v>
      </c>
      <c r="B71">
        <v>1690233114.5999999</v>
      </c>
      <c r="C71">
        <v>608.5</v>
      </c>
      <c r="D71" t="s">
        <v>441</v>
      </c>
      <c r="E71" t="s">
        <v>442</v>
      </c>
      <c r="F71" t="s">
        <v>330</v>
      </c>
      <c r="H71">
        <v>1690233114.5999999</v>
      </c>
      <c r="I71">
        <f t="shared" si="0"/>
        <v>2.4621608757445388E-4</v>
      </c>
      <c r="J71">
        <f t="shared" si="1"/>
        <v>0.2462160875744539</v>
      </c>
      <c r="K71">
        <f t="shared" si="2"/>
        <v>2.7359709901030529</v>
      </c>
      <c r="L71">
        <f t="shared" si="3"/>
        <v>768.42700000000002</v>
      </c>
      <c r="M71">
        <f t="shared" si="4"/>
        <v>438.19432687187111</v>
      </c>
      <c r="N71">
        <f t="shared" si="5"/>
        <v>43.431386546026566</v>
      </c>
      <c r="O71">
        <f t="shared" si="6"/>
        <v>76.162213937475599</v>
      </c>
      <c r="P71">
        <f t="shared" si="7"/>
        <v>1.4019366985608156E-2</v>
      </c>
      <c r="Q71">
        <f t="shared" si="8"/>
        <v>2.1327567969201326</v>
      </c>
      <c r="R71">
        <f t="shared" si="9"/>
        <v>1.3968371256387691E-2</v>
      </c>
      <c r="S71">
        <f t="shared" si="10"/>
        <v>8.7347982679079651E-3</v>
      </c>
      <c r="T71">
        <f t="shared" si="11"/>
        <v>276.11403120263793</v>
      </c>
      <c r="U71">
        <f t="shared" si="12"/>
        <v>29.233396023562229</v>
      </c>
      <c r="V71">
        <f t="shared" si="13"/>
        <v>29.233396023562229</v>
      </c>
      <c r="W71">
        <f t="shared" si="14"/>
        <v>4.0764100159919421</v>
      </c>
      <c r="X71">
        <f t="shared" si="15"/>
        <v>66.131686309860498</v>
      </c>
      <c r="Y71">
        <f t="shared" si="16"/>
        <v>2.3863090591856397</v>
      </c>
      <c r="Z71">
        <f t="shared" si="17"/>
        <v>3.6084200968421873</v>
      </c>
      <c r="AA71">
        <f t="shared" si="18"/>
        <v>1.6901009568063023</v>
      </c>
      <c r="AB71">
        <f t="shared" si="19"/>
        <v>-10.858129462033416</v>
      </c>
      <c r="AC71">
        <f t="shared" si="20"/>
        <v>-240.85062982163896</v>
      </c>
      <c r="AD71">
        <f t="shared" si="21"/>
        <v>-24.661952727446319</v>
      </c>
      <c r="AE71">
        <f t="shared" si="22"/>
        <v>-0.25668080848075192</v>
      </c>
      <c r="AF71">
        <v>0</v>
      </c>
      <c r="AG71">
        <v>0</v>
      </c>
      <c r="AH71">
        <f t="shared" si="23"/>
        <v>1</v>
      </c>
      <c r="AI71">
        <f t="shared" si="24"/>
        <v>0</v>
      </c>
      <c r="AJ71">
        <f t="shared" si="25"/>
        <v>52444.769122029691</v>
      </c>
      <c r="AK71">
        <f t="shared" si="26"/>
        <v>1799.99</v>
      </c>
      <c r="AL71">
        <f t="shared" si="27"/>
        <v>1499.10436639614</v>
      </c>
      <c r="AM71">
        <f t="shared" si="28"/>
        <v>0.83284038599999999</v>
      </c>
      <c r="AN71">
        <f t="shared" si="29"/>
        <v>0.15339753621000002</v>
      </c>
      <c r="AO71">
        <v>32.4</v>
      </c>
      <c r="AP71">
        <v>0.5</v>
      </c>
      <c r="AQ71" t="s">
        <v>331</v>
      </c>
      <c r="AR71">
        <v>2</v>
      </c>
      <c r="AS71">
        <v>1690233114.5999999</v>
      </c>
      <c r="AT71">
        <v>768.42700000000002</v>
      </c>
      <c r="AU71">
        <v>799.99800000000005</v>
      </c>
      <c r="AV71">
        <v>24.0763</v>
      </c>
      <c r="AW71">
        <v>21.482900000000001</v>
      </c>
      <c r="AX71">
        <v>768.74400000000003</v>
      </c>
      <c r="AY71">
        <v>23.904299999999999</v>
      </c>
      <c r="AZ71">
        <v>300.19799999999998</v>
      </c>
      <c r="BA71">
        <v>99.014499999999998</v>
      </c>
      <c r="BB71">
        <v>9.9942799999999998E-2</v>
      </c>
      <c r="BC71">
        <v>27.1387</v>
      </c>
      <c r="BD71">
        <v>26.9938</v>
      </c>
      <c r="BE71">
        <v>29.292200000000001</v>
      </c>
      <c r="BF71">
        <v>0</v>
      </c>
      <c r="BG71">
        <v>0</v>
      </c>
      <c r="BH71">
        <v>10022.5</v>
      </c>
      <c r="BI71">
        <v>1080.58</v>
      </c>
      <c r="BJ71">
        <v>1.5137799999999999</v>
      </c>
      <c r="BK71">
        <v>-31.570900000000002</v>
      </c>
      <c r="BL71">
        <v>787.38400000000001</v>
      </c>
      <c r="BM71">
        <v>817.56200000000001</v>
      </c>
      <c r="BN71">
        <v>2.5933999999999999</v>
      </c>
      <c r="BO71">
        <v>799.99800000000005</v>
      </c>
      <c r="BP71">
        <v>21.482900000000001</v>
      </c>
      <c r="BQ71">
        <v>2.3839000000000001</v>
      </c>
      <c r="BR71">
        <v>2.1271200000000001</v>
      </c>
      <c r="BS71">
        <v>20.254799999999999</v>
      </c>
      <c r="BT71">
        <v>18.4237</v>
      </c>
      <c r="BU71">
        <v>1799.99</v>
      </c>
      <c r="BV71">
        <v>0.909999</v>
      </c>
      <c r="BW71">
        <v>3.3998100000000003E-2</v>
      </c>
      <c r="BX71">
        <v>2.2001300000000001E-2</v>
      </c>
      <c r="BY71">
        <v>3.4001900000000002E-2</v>
      </c>
      <c r="BZ71">
        <v>25</v>
      </c>
      <c r="CA71">
        <v>33528.1</v>
      </c>
      <c r="CB71">
        <v>1690232006</v>
      </c>
      <c r="CC71" t="s">
        <v>332</v>
      </c>
      <c r="CD71">
        <v>1690232006</v>
      </c>
      <c r="CE71">
        <v>1690231998.5</v>
      </c>
      <c r="CF71">
        <v>14</v>
      </c>
      <c r="CG71">
        <v>-0.13200000000000001</v>
      </c>
      <c r="CH71">
        <v>-7.0000000000000001E-3</v>
      </c>
      <c r="CI71">
        <v>-0.33800000000000002</v>
      </c>
      <c r="CJ71">
        <v>0.14299999999999999</v>
      </c>
      <c r="CK71">
        <v>799</v>
      </c>
      <c r="CL71">
        <v>19</v>
      </c>
      <c r="CM71">
        <v>7.0000000000000007E-2</v>
      </c>
      <c r="CN71">
        <v>0.14000000000000001</v>
      </c>
      <c r="CO71">
        <v>-29.543685</v>
      </c>
      <c r="CP71">
        <v>-11.016247654784189</v>
      </c>
      <c r="CQ71">
        <v>1.06036215878114</v>
      </c>
      <c r="CR71">
        <v>-1</v>
      </c>
      <c r="CS71">
        <v>2.5184937500000002</v>
      </c>
      <c r="CT71">
        <v>0.39038667917448228</v>
      </c>
      <c r="CU71">
        <v>3.8110404857958441E-2</v>
      </c>
      <c r="CV71">
        <v>-1</v>
      </c>
      <c r="CW71">
        <v>0</v>
      </c>
      <c r="CX71">
        <v>0</v>
      </c>
      <c r="CY71" t="s">
        <v>333</v>
      </c>
      <c r="CZ71">
        <v>2.36469</v>
      </c>
      <c r="DA71">
        <v>2.7137600000000002</v>
      </c>
      <c r="DB71">
        <v>0.14285400000000001</v>
      </c>
      <c r="DC71">
        <v>0.14636199999999999</v>
      </c>
      <c r="DD71">
        <v>0.11418399999999999</v>
      </c>
      <c r="DE71">
        <v>0.103782</v>
      </c>
      <c r="DF71">
        <v>31318.2</v>
      </c>
      <c r="DG71">
        <v>27537.8</v>
      </c>
      <c r="DH71">
        <v>31191.3</v>
      </c>
      <c r="DI71">
        <v>28108.3</v>
      </c>
      <c r="DJ71">
        <v>37514.400000000001</v>
      </c>
      <c r="DK71">
        <v>35822.6</v>
      </c>
      <c r="DL71">
        <v>44392.7</v>
      </c>
      <c r="DM71">
        <v>42607.3</v>
      </c>
      <c r="DN71">
        <v>1.47563</v>
      </c>
      <c r="DO71">
        <v>2.06467</v>
      </c>
      <c r="DP71">
        <v>7.2866700000000006E-2</v>
      </c>
      <c r="DQ71">
        <v>0.225268</v>
      </c>
      <c r="DR71">
        <v>25.800999999999998</v>
      </c>
      <c r="DS71">
        <v>25.610800000000001</v>
      </c>
      <c r="DT71">
        <v>56.4</v>
      </c>
      <c r="DU71">
        <v>28.9</v>
      </c>
      <c r="DV71">
        <v>22.773199999999999</v>
      </c>
      <c r="DW71">
        <v>61.268000000000001</v>
      </c>
      <c r="DX71">
        <v>36.117800000000003</v>
      </c>
      <c r="DY71">
        <v>1</v>
      </c>
      <c r="DZ71">
        <v>-0.106933</v>
      </c>
      <c r="EA71">
        <v>-0.18936500000000001</v>
      </c>
      <c r="EB71">
        <v>20.189699999999998</v>
      </c>
      <c r="EC71">
        <v>5.24125</v>
      </c>
      <c r="ED71">
        <v>12.039899999999999</v>
      </c>
      <c r="EE71">
        <v>5.0163500000000001</v>
      </c>
      <c r="EF71">
        <v>3.2879999999999998</v>
      </c>
      <c r="EG71">
        <v>9999</v>
      </c>
      <c r="EH71">
        <v>9999</v>
      </c>
      <c r="EI71">
        <v>9999</v>
      </c>
      <c r="EJ71">
        <v>999.9</v>
      </c>
      <c r="EK71">
        <v>1.8689</v>
      </c>
      <c r="EL71">
        <v>1.8646199999999999</v>
      </c>
      <c r="EM71">
        <v>1.8692</v>
      </c>
      <c r="EN71">
        <v>1.8672200000000001</v>
      </c>
      <c r="EO71">
        <v>1.8633999999999999</v>
      </c>
      <c r="EP71">
        <v>1.8644700000000001</v>
      </c>
      <c r="EQ71">
        <v>1.87018</v>
      </c>
      <c r="ER71">
        <v>1.86941</v>
      </c>
      <c r="ES71">
        <v>0</v>
      </c>
      <c r="ET71">
        <v>0</v>
      </c>
      <c r="EU71">
        <v>0</v>
      </c>
      <c r="EV71">
        <v>0</v>
      </c>
      <c r="EW71" t="s">
        <v>334</v>
      </c>
      <c r="EX71" t="s">
        <v>335</v>
      </c>
      <c r="EY71" t="s">
        <v>336</v>
      </c>
      <c r="EZ71" t="s">
        <v>336</v>
      </c>
      <c r="FA71" t="s">
        <v>336</v>
      </c>
      <c r="FB71" t="s">
        <v>336</v>
      </c>
      <c r="FC71">
        <v>0</v>
      </c>
      <c r="FD71">
        <v>100</v>
      </c>
      <c r="FE71">
        <v>100</v>
      </c>
      <c r="FF71">
        <v>-0.317</v>
      </c>
      <c r="FG71">
        <v>0.17199999999999999</v>
      </c>
      <c r="FH71">
        <v>0.2126736300064915</v>
      </c>
      <c r="FI71">
        <v>-6.1462078757559423E-4</v>
      </c>
      <c r="FJ71">
        <v>-1.8861989874597051E-7</v>
      </c>
      <c r="FK71">
        <v>1.1980462299894961E-10</v>
      </c>
      <c r="FL71">
        <v>0.1719881465068297</v>
      </c>
      <c r="FM71">
        <v>0</v>
      </c>
      <c r="FN71">
        <v>0</v>
      </c>
      <c r="FO71">
        <v>0</v>
      </c>
      <c r="FP71">
        <v>3</v>
      </c>
      <c r="FQ71">
        <v>2158</v>
      </c>
      <c r="FR71">
        <v>1</v>
      </c>
      <c r="FS71">
        <v>19</v>
      </c>
      <c r="FT71">
        <v>18.5</v>
      </c>
      <c r="FU71">
        <v>18.600000000000001</v>
      </c>
      <c r="FV71">
        <v>1.79443</v>
      </c>
      <c r="FW71">
        <v>2.5830099999999998</v>
      </c>
      <c r="FX71">
        <v>1.5490699999999999</v>
      </c>
      <c r="FY71">
        <v>2.3290999999999999</v>
      </c>
      <c r="FZ71">
        <v>1.50146</v>
      </c>
      <c r="GA71">
        <v>2.4084500000000002</v>
      </c>
      <c r="GB71">
        <v>33.602899999999998</v>
      </c>
      <c r="GC71">
        <v>23.991199999999999</v>
      </c>
      <c r="GD71">
        <v>19</v>
      </c>
      <c r="GE71">
        <v>281.92099999999999</v>
      </c>
      <c r="GF71">
        <v>604.89800000000002</v>
      </c>
      <c r="GG71">
        <v>25.186900000000001</v>
      </c>
      <c r="GH71">
        <v>26.077200000000001</v>
      </c>
      <c r="GI71">
        <v>30</v>
      </c>
      <c r="GJ71">
        <v>26.189399999999999</v>
      </c>
      <c r="GK71">
        <v>26.167999999999999</v>
      </c>
      <c r="GL71">
        <v>35.8733</v>
      </c>
      <c r="GM71">
        <v>13.454499999999999</v>
      </c>
      <c r="GN71">
        <v>100</v>
      </c>
      <c r="GO71">
        <v>25.192399999999999</v>
      </c>
      <c r="GP71">
        <v>800</v>
      </c>
      <c r="GQ71">
        <v>21.376300000000001</v>
      </c>
      <c r="GR71">
        <v>99.8048</v>
      </c>
      <c r="GS71">
        <v>99.668800000000005</v>
      </c>
    </row>
    <row r="72" spans="1:201" x14ac:dyDescent="0.25">
      <c r="A72">
        <v>56</v>
      </c>
      <c r="B72">
        <v>1690233124.5999999</v>
      </c>
      <c r="C72">
        <v>618.5</v>
      </c>
      <c r="D72" t="s">
        <v>443</v>
      </c>
      <c r="E72" t="s">
        <v>444</v>
      </c>
      <c r="F72" t="s">
        <v>330</v>
      </c>
      <c r="H72">
        <v>1690233124.5999999</v>
      </c>
      <c r="I72">
        <f t="shared" si="0"/>
        <v>2.53537773117151E-4</v>
      </c>
      <c r="J72">
        <f t="shared" si="1"/>
        <v>0.25353777311715098</v>
      </c>
      <c r="K72">
        <f t="shared" si="2"/>
        <v>2.9116212689087684</v>
      </c>
      <c r="L72">
        <f t="shared" si="3"/>
        <v>766.52099999999996</v>
      </c>
      <c r="M72">
        <f t="shared" si="4"/>
        <v>425.88638064884373</v>
      </c>
      <c r="N72">
        <f t="shared" si="5"/>
        <v>42.213705156702737</v>
      </c>
      <c r="O72">
        <f t="shared" si="6"/>
        <v>75.977286338960994</v>
      </c>
      <c r="P72">
        <f t="shared" si="7"/>
        <v>1.4432694599665672E-2</v>
      </c>
      <c r="Q72">
        <f t="shared" si="8"/>
        <v>2.1254537712940516</v>
      </c>
      <c r="R72">
        <f t="shared" si="9"/>
        <v>1.4378468895297163E-2</v>
      </c>
      <c r="S72">
        <f t="shared" si="10"/>
        <v>8.9913979698007865E-3</v>
      </c>
      <c r="T72">
        <f t="shared" si="11"/>
        <v>276.11376381412339</v>
      </c>
      <c r="U72">
        <f t="shared" si="12"/>
        <v>29.243158001473986</v>
      </c>
      <c r="V72">
        <f t="shared" si="13"/>
        <v>29.243158001473986</v>
      </c>
      <c r="W72">
        <f t="shared" si="14"/>
        <v>4.0787092940432075</v>
      </c>
      <c r="X72">
        <f t="shared" si="15"/>
        <v>66.154117525553787</v>
      </c>
      <c r="Y72">
        <f t="shared" si="16"/>
        <v>2.3879309191873999</v>
      </c>
      <c r="Z72">
        <f t="shared" si="17"/>
        <v>3.6096482101284137</v>
      </c>
      <c r="AA72">
        <f t="shared" si="18"/>
        <v>1.6907783748558076</v>
      </c>
      <c r="AB72">
        <f t="shared" si="19"/>
        <v>-11.18101579446636</v>
      </c>
      <c r="AC72">
        <f t="shared" si="20"/>
        <v>-240.47989760040105</v>
      </c>
      <c r="AD72">
        <f t="shared" si="21"/>
        <v>-24.710515335059103</v>
      </c>
      <c r="AE72">
        <f t="shared" si="22"/>
        <v>-0.257664915803133</v>
      </c>
      <c r="AF72">
        <v>0</v>
      </c>
      <c r="AG72">
        <v>0</v>
      </c>
      <c r="AH72">
        <f t="shared" si="23"/>
        <v>1</v>
      </c>
      <c r="AI72">
        <f t="shared" si="24"/>
        <v>0</v>
      </c>
      <c r="AJ72">
        <f t="shared" si="25"/>
        <v>52129.545107808961</v>
      </c>
      <c r="AK72">
        <f t="shared" si="26"/>
        <v>1799.99</v>
      </c>
      <c r="AL72">
        <f t="shared" si="27"/>
        <v>1499.1052123914399</v>
      </c>
      <c r="AM72">
        <f t="shared" si="28"/>
        <v>0.83284085599999991</v>
      </c>
      <c r="AN72">
        <f t="shared" si="29"/>
        <v>0.15339738766</v>
      </c>
      <c r="AO72">
        <v>32.4</v>
      </c>
      <c r="AP72">
        <v>0.5</v>
      </c>
      <c r="AQ72" t="s">
        <v>331</v>
      </c>
      <c r="AR72">
        <v>2</v>
      </c>
      <c r="AS72">
        <v>1690233124.5999999</v>
      </c>
      <c r="AT72">
        <v>766.52099999999996</v>
      </c>
      <c r="AU72">
        <v>800.03099999999995</v>
      </c>
      <c r="AV72">
        <v>24.0914</v>
      </c>
      <c r="AW72">
        <v>21.421900000000001</v>
      </c>
      <c r="AX72">
        <v>766.83699999999999</v>
      </c>
      <c r="AY72">
        <v>23.9194</v>
      </c>
      <c r="AZ72">
        <v>300.30799999999999</v>
      </c>
      <c r="BA72">
        <v>99.019599999999997</v>
      </c>
      <c r="BB72">
        <v>0.100041</v>
      </c>
      <c r="BC72">
        <v>27.144500000000001</v>
      </c>
      <c r="BD72">
        <v>26.991</v>
      </c>
      <c r="BE72">
        <v>29.321899999999999</v>
      </c>
      <c r="BF72">
        <v>0</v>
      </c>
      <c r="BG72">
        <v>0</v>
      </c>
      <c r="BH72">
        <v>9959.3799999999992</v>
      </c>
      <c r="BI72">
        <v>1080.55</v>
      </c>
      <c r="BJ72">
        <v>1.5137799999999999</v>
      </c>
      <c r="BK72">
        <v>-33.509500000000003</v>
      </c>
      <c r="BL72">
        <v>785.44299999999998</v>
      </c>
      <c r="BM72">
        <v>817.54399999999998</v>
      </c>
      <c r="BN72">
        <v>2.6694499999999999</v>
      </c>
      <c r="BO72">
        <v>800.03099999999995</v>
      </c>
      <c r="BP72">
        <v>21.421900000000001</v>
      </c>
      <c r="BQ72">
        <v>2.3855200000000001</v>
      </c>
      <c r="BR72">
        <v>2.1211899999999999</v>
      </c>
      <c r="BS72">
        <v>20.265799999999999</v>
      </c>
      <c r="BT72">
        <v>18.379200000000001</v>
      </c>
      <c r="BU72">
        <v>1799.99</v>
      </c>
      <c r="BV72">
        <v>0.91000499999999995</v>
      </c>
      <c r="BW72">
        <v>3.3995900000000003E-2</v>
      </c>
      <c r="BX72">
        <v>2.19998E-2</v>
      </c>
      <c r="BY72">
        <v>3.3999599999999998E-2</v>
      </c>
      <c r="BZ72">
        <v>25</v>
      </c>
      <c r="CA72">
        <v>33528.199999999997</v>
      </c>
      <c r="CB72">
        <v>1690232006</v>
      </c>
      <c r="CC72" t="s">
        <v>332</v>
      </c>
      <c r="CD72">
        <v>1690232006</v>
      </c>
      <c r="CE72">
        <v>1690231998.5</v>
      </c>
      <c r="CF72">
        <v>14</v>
      </c>
      <c r="CG72">
        <v>-0.13200000000000001</v>
      </c>
      <c r="CH72">
        <v>-7.0000000000000001E-3</v>
      </c>
      <c r="CI72">
        <v>-0.33800000000000002</v>
      </c>
      <c r="CJ72">
        <v>0.14299999999999999</v>
      </c>
      <c r="CK72">
        <v>799</v>
      </c>
      <c r="CL72">
        <v>19</v>
      </c>
      <c r="CM72">
        <v>7.0000000000000007E-2</v>
      </c>
      <c r="CN72">
        <v>0.14000000000000001</v>
      </c>
      <c r="CO72">
        <v>-31.451407317073169</v>
      </c>
      <c r="CP72">
        <v>-11.23713867595823</v>
      </c>
      <c r="CQ72">
        <v>1.1091000470366521</v>
      </c>
      <c r="CR72">
        <v>-1</v>
      </c>
      <c r="CS72">
        <v>2.5863941463414628</v>
      </c>
      <c r="CT72">
        <v>0.42852564459930259</v>
      </c>
      <c r="CU72">
        <v>4.2550952296563679E-2</v>
      </c>
      <c r="CV72">
        <v>-1</v>
      </c>
      <c r="CW72">
        <v>0</v>
      </c>
      <c r="CX72">
        <v>0</v>
      </c>
      <c r="CY72" t="s">
        <v>333</v>
      </c>
      <c r="CZ72">
        <v>2.36504</v>
      </c>
      <c r="DA72">
        <v>2.7138</v>
      </c>
      <c r="DB72">
        <v>0.142623</v>
      </c>
      <c r="DC72">
        <v>0.146373</v>
      </c>
      <c r="DD72">
        <v>0.114241</v>
      </c>
      <c r="DE72">
        <v>0.10358100000000001</v>
      </c>
      <c r="DF72">
        <v>31326.1</v>
      </c>
      <c r="DG72">
        <v>27537.4</v>
      </c>
      <c r="DH72">
        <v>31190.799999999999</v>
      </c>
      <c r="DI72">
        <v>28108.3</v>
      </c>
      <c r="DJ72">
        <v>37511.199999999997</v>
      </c>
      <c r="DK72">
        <v>35830.6</v>
      </c>
      <c r="DL72">
        <v>44391.8</v>
      </c>
      <c r="DM72">
        <v>42607.199999999997</v>
      </c>
      <c r="DN72">
        <v>1.47563</v>
      </c>
      <c r="DO72">
        <v>2.0647500000000001</v>
      </c>
      <c r="DP72">
        <v>7.2829400000000002E-2</v>
      </c>
      <c r="DQ72">
        <v>0.227131</v>
      </c>
      <c r="DR72">
        <v>25.7988</v>
      </c>
      <c r="DS72">
        <v>25.610199999999999</v>
      </c>
      <c r="DT72">
        <v>56.4</v>
      </c>
      <c r="DU72">
        <v>28.9</v>
      </c>
      <c r="DV72">
        <v>22.775099999999998</v>
      </c>
      <c r="DW72">
        <v>62.188000000000002</v>
      </c>
      <c r="DX72">
        <v>35.945500000000003</v>
      </c>
      <c r="DY72">
        <v>1</v>
      </c>
      <c r="DZ72">
        <v>-0.107071</v>
      </c>
      <c r="EA72">
        <v>-0.19198000000000001</v>
      </c>
      <c r="EB72">
        <v>20.189699999999998</v>
      </c>
      <c r="EC72">
        <v>5.2411000000000003</v>
      </c>
      <c r="ED72">
        <v>12.039899999999999</v>
      </c>
      <c r="EE72">
        <v>5.0164499999999999</v>
      </c>
      <c r="EF72">
        <v>3.2879999999999998</v>
      </c>
      <c r="EG72">
        <v>9999</v>
      </c>
      <c r="EH72">
        <v>9999</v>
      </c>
      <c r="EI72">
        <v>9999</v>
      </c>
      <c r="EJ72">
        <v>999.9</v>
      </c>
      <c r="EK72">
        <v>1.8689</v>
      </c>
      <c r="EL72">
        <v>1.8646199999999999</v>
      </c>
      <c r="EM72">
        <v>1.8691899999999999</v>
      </c>
      <c r="EN72">
        <v>1.8672200000000001</v>
      </c>
      <c r="EO72">
        <v>1.8633999999999999</v>
      </c>
      <c r="EP72">
        <v>1.8644700000000001</v>
      </c>
      <c r="EQ72">
        <v>1.87018</v>
      </c>
      <c r="ER72">
        <v>1.8694299999999999</v>
      </c>
      <c r="ES72">
        <v>0</v>
      </c>
      <c r="ET72">
        <v>0</v>
      </c>
      <c r="EU72">
        <v>0</v>
      </c>
      <c r="EV72">
        <v>0</v>
      </c>
      <c r="EW72" t="s">
        <v>334</v>
      </c>
      <c r="EX72" t="s">
        <v>335</v>
      </c>
      <c r="EY72" t="s">
        <v>336</v>
      </c>
      <c r="EZ72" t="s">
        <v>336</v>
      </c>
      <c r="FA72" t="s">
        <v>336</v>
      </c>
      <c r="FB72" t="s">
        <v>336</v>
      </c>
      <c r="FC72">
        <v>0</v>
      </c>
      <c r="FD72">
        <v>100</v>
      </c>
      <c r="FE72">
        <v>100</v>
      </c>
      <c r="FF72">
        <v>-0.316</v>
      </c>
      <c r="FG72">
        <v>0.17199999999999999</v>
      </c>
      <c r="FH72">
        <v>0.2126736300064915</v>
      </c>
      <c r="FI72">
        <v>-6.1462078757559423E-4</v>
      </c>
      <c r="FJ72">
        <v>-1.8861989874597051E-7</v>
      </c>
      <c r="FK72">
        <v>1.1980462299894961E-10</v>
      </c>
      <c r="FL72">
        <v>0.1719881465068297</v>
      </c>
      <c r="FM72">
        <v>0</v>
      </c>
      <c r="FN72">
        <v>0</v>
      </c>
      <c r="FO72">
        <v>0</v>
      </c>
      <c r="FP72">
        <v>3</v>
      </c>
      <c r="FQ72">
        <v>2158</v>
      </c>
      <c r="FR72">
        <v>1</v>
      </c>
      <c r="FS72">
        <v>19</v>
      </c>
      <c r="FT72">
        <v>18.600000000000001</v>
      </c>
      <c r="FU72">
        <v>18.8</v>
      </c>
      <c r="FV72">
        <v>1.79443</v>
      </c>
      <c r="FW72">
        <v>2.5903299999999998</v>
      </c>
      <c r="FX72">
        <v>1.5490699999999999</v>
      </c>
      <c r="FY72">
        <v>2.3290999999999999</v>
      </c>
      <c r="FZ72">
        <v>1.50146</v>
      </c>
      <c r="GA72">
        <v>2.34619</v>
      </c>
      <c r="GB72">
        <v>33.602899999999998</v>
      </c>
      <c r="GC72">
        <v>23.982399999999998</v>
      </c>
      <c r="GD72">
        <v>19</v>
      </c>
      <c r="GE72">
        <v>281.911</v>
      </c>
      <c r="GF72">
        <v>604.93700000000001</v>
      </c>
      <c r="GG72">
        <v>25.201699999999999</v>
      </c>
      <c r="GH72">
        <v>26.074400000000001</v>
      </c>
      <c r="GI72">
        <v>30</v>
      </c>
      <c r="GJ72">
        <v>26.187200000000001</v>
      </c>
      <c r="GK72">
        <v>26.165900000000001</v>
      </c>
      <c r="GL72">
        <v>35.868699999999997</v>
      </c>
      <c r="GM72">
        <v>14.043799999999999</v>
      </c>
      <c r="GN72">
        <v>100</v>
      </c>
      <c r="GO72">
        <v>25.204499999999999</v>
      </c>
      <c r="GP72">
        <v>800</v>
      </c>
      <c r="GQ72">
        <v>21.305399999999999</v>
      </c>
      <c r="GR72">
        <v>99.802999999999997</v>
      </c>
      <c r="GS72">
        <v>99.668599999999998</v>
      </c>
    </row>
    <row r="73" spans="1:201" x14ac:dyDescent="0.25">
      <c r="A73">
        <v>57</v>
      </c>
      <c r="B73">
        <v>1690233134.5999999</v>
      </c>
      <c r="C73">
        <v>628.5</v>
      </c>
      <c r="D73" t="s">
        <v>445</v>
      </c>
      <c r="E73" t="s">
        <v>446</v>
      </c>
      <c r="F73" t="s">
        <v>330</v>
      </c>
      <c r="H73">
        <v>1690233134.5999999</v>
      </c>
      <c r="I73">
        <f t="shared" si="0"/>
        <v>2.6243658629858282E-4</v>
      </c>
      <c r="J73">
        <f t="shared" si="1"/>
        <v>0.2624365862985828</v>
      </c>
      <c r="K73">
        <f t="shared" si="2"/>
        <v>3.0895826947735645</v>
      </c>
      <c r="L73">
        <f t="shared" si="3"/>
        <v>764.48099999999999</v>
      </c>
      <c r="M73">
        <f t="shared" si="4"/>
        <v>416.68957447364983</v>
      </c>
      <c r="N73">
        <f t="shared" si="5"/>
        <v>41.299591682884923</v>
      </c>
      <c r="O73">
        <f t="shared" si="6"/>
        <v>75.770441795202899</v>
      </c>
      <c r="P73">
        <f t="shared" si="7"/>
        <v>1.4976403194481422E-2</v>
      </c>
      <c r="Q73">
        <f t="shared" si="8"/>
        <v>2.131512672617125</v>
      </c>
      <c r="R73">
        <f t="shared" si="9"/>
        <v>1.4918189120985744E-2</v>
      </c>
      <c r="S73">
        <f t="shared" si="10"/>
        <v>9.3290795670531654E-3</v>
      </c>
      <c r="T73">
        <f t="shared" si="11"/>
        <v>276.11339137819249</v>
      </c>
      <c r="U73">
        <f t="shared" si="12"/>
        <v>29.231743649299833</v>
      </c>
      <c r="V73">
        <f t="shared" si="13"/>
        <v>29.231743649299833</v>
      </c>
      <c r="W73">
        <f t="shared" si="14"/>
        <v>4.0760209374660459</v>
      </c>
      <c r="X73">
        <f t="shared" si="15"/>
        <v>66.20361458346828</v>
      </c>
      <c r="Y73">
        <f t="shared" si="16"/>
        <v>2.3893110309721202</v>
      </c>
      <c r="Z73">
        <f t="shared" si="17"/>
        <v>3.6090341078880539</v>
      </c>
      <c r="AA73">
        <f t="shared" si="18"/>
        <v>1.6867099064939257</v>
      </c>
      <c r="AB73">
        <f t="shared" si="19"/>
        <v>-11.573453455767503</v>
      </c>
      <c r="AC73">
        <f t="shared" si="20"/>
        <v>-240.18699975243669</v>
      </c>
      <c r="AD73">
        <f t="shared" si="21"/>
        <v>-24.60850685502411</v>
      </c>
      <c r="AE73">
        <f t="shared" si="22"/>
        <v>-0.25556868503579722</v>
      </c>
      <c r="AF73">
        <v>0</v>
      </c>
      <c r="AG73">
        <v>0</v>
      </c>
      <c r="AH73">
        <f t="shared" si="23"/>
        <v>1</v>
      </c>
      <c r="AI73">
        <f t="shared" si="24"/>
        <v>0</v>
      </c>
      <c r="AJ73">
        <f t="shared" si="25"/>
        <v>52390.608897284008</v>
      </c>
      <c r="AK73">
        <f t="shared" si="26"/>
        <v>1799.99</v>
      </c>
      <c r="AL73">
        <f t="shared" si="27"/>
        <v>1499.1052555911999</v>
      </c>
      <c r="AM73">
        <f t="shared" si="28"/>
        <v>0.83284088000000001</v>
      </c>
      <c r="AN73">
        <f t="shared" si="29"/>
        <v>0.15339718075</v>
      </c>
      <c r="AO73">
        <v>32.4</v>
      </c>
      <c r="AP73">
        <v>0.5</v>
      </c>
      <c r="AQ73" t="s">
        <v>331</v>
      </c>
      <c r="AR73">
        <v>2</v>
      </c>
      <c r="AS73">
        <v>1690233134.5999999</v>
      </c>
      <c r="AT73">
        <v>764.48099999999999</v>
      </c>
      <c r="AU73">
        <v>800</v>
      </c>
      <c r="AV73">
        <v>24.1068</v>
      </c>
      <c r="AW73">
        <v>21.341999999999999</v>
      </c>
      <c r="AX73">
        <v>764.79499999999996</v>
      </c>
      <c r="AY73">
        <v>23.934799999999999</v>
      </c>
      <c r="AZ73">
        <v>300.12900000000002</v>
      </c>
      <c r="BA73">
        <v>99.013599999999997</v>
      </c>
      <c r="BB73">
        <v>9.9970900000000001E-2</v>
      </c>
      <c r="BC73">
        <v>27.1416</v>
      </c>
      <c r="BD73">
        <v>26.9785</v>
      </c>
      <c r="BE73">
        <v>29.2973</v>
      </c>
      <c r="BF73">
        <v>0</v>
      </c>
      <c r="BG73">
        <v>0</v>
      </c>
      <c r="BH73">
        <v>10011.9</v>
      </c>
      <c r="BI73">
        <v>1080.5</v>
      </c>
      <c r="BJ73">
        <v>1.5137799999999999</v>
      </c>
      <c r="BK73">
        <v>-35.518599999999999</v>
      </c>
      <c r="BL73">
        <v>783.36500000000001</v>
      </c>
      <c r="BM73">
        <v>817.44500000000005</v>
      </c>
      <c r="BN73">
        <v>2.7648199999999998</v>
      </c>
      <c r="BO73">
        <v>800</v>
      </c>
      <c r="BP73">
        <v>21.341999999999999</v>
      </c>
      <c r="BQ73">
        <v>2.3868999999999998</v>
      </c>
      <c r="BR73">
        <v>2.1131500000000001</v>
      </c>
      <c r="BS73">
        <v>20.275200000000002</v>
      </c>
      <c r="BT73">
        <v>18.3186</v>
      </c>
      <c r="BU73">
        <v>1799.99</v>
      </c>
      <c r="BV73">
        <v>0.91000999999999999</v>
      </c>
      <c r="BW73">
        <v>3.3993799999999998E-2</v>
      </c>
      <c r="BX73">
        <v>2.1998500000000001E-2</v>
      </c>
      <c r="BY73">
        <v>3.39975E-2</v>
      </c>
      <c r="BZ73">
        <v>25</v>
      </c>
      <c r="CA73">
        <v>33528.300000000003</v>
      </c>
      <c r="CB73">
        <v>1690232006</v>
      </c>
      <c r="CC73" t="s">
        <v>332</v>
      </c>
      <c r="CD73">
        <v>1690232006</v>
      </c>
      <c r="CE73">
        <v>1690231998.5</v>
      </c>
      <c r="CF73">
        <v>14</v>
      </c>
      <c r="CG73">
        <v>-0.13200000000000001</v>
      </c>
      <c r="CH73">
        <v>-7.0000000000000001E-3</v>
      </c>
      <c r="CI73">
        <v>-0.33800000000000002</v>
      </c>
      <c r="CJ73">
        <v>0.14299999999999999</v>
      </c>
      <c r="CK73">
        <v>799</v>
      </c>
      <c r="CL73">
        <v>19</v>
      </c>
      <c r="CM73">
        <v>7.0000000000000007E-2</v>
      </c>
      <c r="CN73">
        <v>0.14000000000000001</v>
      </c>
      <c r="CO73">
        <v>-33.369899999999987</v>
      </c>
      <c r="CP73">
        <v>-11.881202090592319</v>
      </c>
      <c r="CQ73">
        <v>1.1718724941046379</v>
      </c>
      <c r="CR73">
        <v>-1</v>
      </c>
      <c r="CS73">
        <v>2.6671468292682921</v>
      </c>
      <c r="CT73">
        <v>0.54660522648084253</v>
      </c>
      <c r="CU73">
        <v>5.4328676901328067E-2</v>
      </c>
      <c r="CV73">
        <v>-1</v>
      </c>
      <c r="CW73">
        <v>0</v>
      </c>
      <c r="CX73">
        <v>0</v>
      </c>
      <c r="CY73" t="s">
        <v>333</v>
      </c>
      <c r="CZ73">
        <v>2.3644699999999998</v>
      </c>
      <c r="DA73">
        <v>2.7137699999999998</v>
      </c>
      <c r="DB73">
        <v>0.14235999999999999</v>
      </c>
      <c r="DC73">
        <v>0.14635899999999999</v>
      </c>
      <c r="DD73">
        <v>0.114286</v>
      </c>
      <c r="DE73">
        <v>0.10330300000000001</v>
      </c>
      <c r="DF73">
        <v>31335.599999999999</v>
      </c>
      <c r="DG73">
        <v>27538.400000000001</v>
      </c>
      <c r="DH73">
        <v>31190.7</v>
      </c>
      <c r="DI73">
        <v>28108.799999999999</v>
      </c>
      <c r="DJ73">
        <v>37509.199999999997</v>
      </c>
      <c r="DK73">
        <v>35842.5</v>
      </c>
      <c r="DL73">
        <v>44391.7</v>
      </c>
      <c r="DM73">
        <v>42608.1</v>
      </c>
      <c r="DN73">
        <v>1.4751300000000001</v>
      </c>
      <c r="DO73">
        <v>2.0647700000000002</v>
      </c>
      <c r="DP73">
        <v>7.2158899999999998E-2</v>
      </c>
      <c r="DQ73">
        <v>0.22567799999999999</v>
      </c>
      <c r="DR73">
        <v>25.7973</v>
      </c>
      <c r="DS73">
        <v>25.609200000000001</v>
      </c>
      <c r="DT73">
        <v>56.4</v>
      </c>
      <c r="DU73">
        <v>28.9</v>
      </c>
      <c r="DV73">
        <v>22.774999999999999</v>
      </c>
      <c r="DW73">
        <v>61.817999999999998</v>
      </c>
      <c r="DX73">
        <v>35.4968</v>
      </c>
      <c r="DY73">
        <v>1</v>
      </c>
      <c r="DZ73">
        <v>-0.107045</v>
      </c>
      <c r="EA73">
        <v>-0.203622</v>
      </c>
      <c r="EB73">
        <v>20.189699999999998</v>
      </c>
      <c r="EC73">
        <v>5.2411000000000003</v>
      </c>
      <c r="ED73">
        <v>12.039899999999999</v>
      </c>
      <c r="EE73">
        <v>5.0164</v>
      </c>
      <c r="EF73">
        <v>3.2879999999999998</v>
      </c>
      <c r="EG73">
        <v>9999</v>
      </c>
      <c r="EH73">
        <v>9999</v>
      </c>
      <c r="EI73">
        <v>9999</v>
      </c>
      <c r="EJ73">
        <v>999.9</v>
      </c>
      <c r="EK73">
        <v>1.8689</v>
      </c>
      <c r="EL73">
        <v>1.8646199999999999</v>
      </c>
      <c r="EM73">
        <v>1.86917</v>
      </c>
      <c r="EN73">
        <v>1.8672299999999999</v>
      </c>
      <c r="EO73">
        <v>1.8633900000000001</v>
      </c>
      <c r="EP73">
        <v>1.8644700000000001</v>
      </c>
      <c r="EQ73">
        <v>1.87016</v>
      </c>
      <c r="ER73">
        <v>1.86941</v>
      </c>
      <c r="ES73">
        <v>0</v>
      </c>
      <c r="ET73">
        <v>0</v>
      </c>
      <c r="EU73">
        <v>0</v>
      </c>
      <c r="EV73">
        <v>0</v>
      </c>
      <c r="EW73" t="s">
        <v>334</v>
      </c>
      <c r="EX73" t="s">
        <v>335</v>
      </c>
      <c r="EY73" t="s">
        <v>336</v>
      </c>
      <c r="EZ73" t="s">
        <v>336</v>
      </c>
      <c r="FA73" t="s">
        <v>336</v>
      </c>
      <c r="FB73" t="s">
        <v>336</v>
      </c>
      <c r="FC73">
        <v>0</v>
      </c>
      <c r="FD73">
        <v>100</v>
      </c>
      <c r="FE73">
        <v>100</v>
      </c>
      <c r="FF73">
        <v>-0.314</v>
      </c>
      <c r="FG73">
        <v>0.17199999999999999</v>
      </c>
      <c r="FH73">
        <v>0.2126736300064915</v>
      </c>
      <c r="FI73">
        <v>-6.1462078757559423E-4</v>
      </c>
      <c r="FJ73">
        <v>-1.8861989874597051E-7</v>
      </c>
      <c r="FK73">
        <v>1.1980462299894961E-10</v>
      </c>
      <c r="FL73">
        <v>0.1719881465068297</v>
      </c>
      <c r="FM73">
        <v>0</v>
      </c>
      <c r="FN73">
        <v>0</v>
      </c>
      <c r="FO73">
        <v>0</v>
      </c>
      <c r="FP73">
        <v>3</v>
      </c>
      <c r="FQ73">
        <v>2158</v>
      </c>
      <c r="FR73">
        <v>1</v>
      </c>
      <c r="FS73">
        <v>19</v>
      </c>
      <c r="FT73">
        <v>18.8</v>
      </c>
      <c r="FU73">
        <v>18.899999999999999</v>
      </c>
      <c r="FV73">
        <v>1.79443</v>
      </c>
      <c r="FW73">
        <v>2.5817899999999998</v>
      </c>
      <c r="FX73">
        <v>1.5490699999999999</v>
      </c>
      <c r="FY73">
        <v>2.3290999999999999</v>
      </c>
      <c r="FZ73">
        <v>1.50146</v>
      </c>
      <c r="GA73">
        <v>2.3559600000000001</v>
      </c>
      <c r="GB73">
        <v>33.602899999999998</v>
      </c>
      <c r="GC73">
        <v>23.982399999999998</v>
      </c>
      <c r="GD73">
        <v>19</v>
      </c>
      <c r="GE73">
        <v>281.69</v>
      </c>
      <c r="GF73">
        <v>604.93100000000004</v>
      </c>
      <c r="GG73">
        <v>25.215900000000001</v>
      </c>
      <c r="GH73">
        <v>26.0717</v>
      </c>
      <c r="GI73">
        <v>30.0001</v>
      </c>
      <c r="GJ73">
        <v>26.185099999999998</v>
      </c>
      <c r="GK73">
        <v>26.163599999999999</v>
      </c>
      <c r="GL73">
        <v>35.867699999999999</v>
      </c>
      <c r="GM73">
        <v>14.3208</v>
      </c>
      <c r="GN73">
        <v>100</v>
      </c>
      <c r="GO73">
        <v>25.218800000000002</v>
      </c>
      <c r="GP73">
        <v>800</v>
      </c>
      <c r="GQ73">
        <v>21.227599999999999</v>
      </c>
      <c r="GR73">
        <v>99.802700000000002</v>
      </c>
      <c r="GS73">
        <v>99.670599999999993</v>
      </c>
    </row>
    <row r="74" spans="1:201" x14ac:dyDescent="0.25">
      <c r="A74">
        <v>58</v>
      </c>
      <c r="B74">
        <v>1690233144.5999999</v>
      </c>
      <c r="C74">
        <v>638.5</v>
      </c>
      <c r="D74" t="s">
        <v>447</v>
      </c>
      <c r="E74" t="s">
        <v>448</v>
      </c>
      <c r="F74" t="s">
        <v>330</v>
      </c>
      <c r="H74">
        <v>1690233144.5999999</v>
      </c>
      <c r="I74">
        <f t="shared" si="0"/>
        <v>2.7150819860014951E-4</v>
      </c>
      <c r="J74">
        <f t="shared" si="1"/>
        <v>0.27150819860014952</v>
      </c>
      <c r="K74">
        <f t="shared" si="2"/>
        <v>3.2834639276901241</v>
      </c>
      <c r="L74">
        <f t="shared" si="3"/>
        <v>762.34799999999996</v>
      </c>
      <c r="M74">
        <f t="shared" si="4"/>
        <v>405.72026051529559</v>
      </c>
      <c r="N74">
        <f t="shared" si="5"/>
        <v>40.212354472574383</v>
      </c>
      <c r="O74">
        <f t="shared" si="6"/>
        <v>75.558977430712801</v>
      </c>
      <c r="P74">
        <f t="shared" si="7"/>
        <v>1.5496041517419288E-2</v>
      </c>
      <c r="Q74">
        <f t="shared" si="8"/>
        <v>2.1288868431299122</v>
      </c>
      <c r="R74">
        <f t="shared" si="9"/>
        <v>1.5433650183181621E-2</v>
      </c>
      <c r="S74">
        <f t="shared" si="10"/>
        <v>9.6516159603591677E-3</v>
      </c>
      <c r="T74">
        <f t="shared" si="11"/>
        <v>276.11331873059612</v>
      </c>
      <c r="U74">
        <f t="shared" si="12"/>
        <v>29.238404668793123</v>
      </c>
      <c r="V74">
        <f t="shared" si="13"/>
        <v>29.238404668793123</v>
      </c>
      <c r="W74">
        <f t="shared" si="14"/>
        <v>4.077589581212135</v>
      </c>
      <c r="X74">
        <f t="shared" si="15"/>
        <v>66.218088405085126</v>
      </c>
      <c r="Y74">
        <f t="shared" si="16"/>
        <v>2.39088519267822</v>
      </c>
      <c r="Z74">
        <f t="shared" si="17"/>
        <v>3.6106224904170068</v>
      </c>
      <c r="AA74">
        <f t="shared" si="18"/>
        <v>1.686704388533915</v>
      </c>
      <c r="AB74">
        <f t="shared" si="19"/>
        <v>-11.973511558266594</v>
      </c>
      <c r="AC74">
        <f t="shared" si="20"/>
        <v>-239.79481931349304</v>
      </c>
      <c r="AD74">
        <f t="shared" si="21"/>
        <v>-24.600363672669374</v>
      </c>
      <c r="AE74">
        <f t="shared" si="22"/>
        <v>-0.25537581383289876</v>
      </c>
      <c r="AF74">
        <v>0</v>
      </c>
      <c r="AG74">
        <v>0</v>
      </c>
      <c r="AH74">
        <f t="shared" si="23"/>
        <v>1</v>
      </c>
      <c r="AI74">
        <f t="shared" si="24"/>
        <v>0</v>
      </c>
      <c r="AJ74">
        <f t="shared" si="25"/>
        <v>52276.219568314744</v>
      </c>
      <c r="AK74">
        <f t="shared" si="26"/>
        <v>1799.99</v>
      </c>
      <c r="AL74">
        <f t="shared" si="27"/>
        <v>1499.1059647872598</v>
      </c>
      <c r="AM74">
        <f t="shared" si="28"/>
        <v>0.83284127399999996</v>
      </c>
      <c r="AN74">
        <f t="shared" si="29"/>
        <v>0.15339714039000002</v>
      </c>
      <c r="AO74">
        <v>32.4</v>
      </c>
      <c r="AP74">
        <v>0.5</v>
      </c>
      <c r="AQ74" t="s">
        <v>331</v>
      </c>
      <c r="AR74">
        <v>2</v>
      </c>
      <c r="AS74">
        <v>1690233144.5999999</v>
      </c>
      <c r="AT74">
        <v>762.34799999999996</v>
      </c>
      <c r="AU74">
        <v>800.02700000000004</v>
      </c>
      <c r="AV74">
        <v>24.122699999999998</v>
      </c>
      <c r="AW74">
        <v>21.262499999999999</v>
      </c>
      <c r="AX74">
        <v>762.66</v>
      </c>
      <c r="AY74">
        <v>23.950700000000001</v>
      </c>
      <c r="AZ74">
        <v>300.142</v>
      </c>
      <c r="BA74">
        <v>99.013499999999993</v>
      </c>
      <c r="BB74">
        <v>9.9998600000000007E-2</v>
      </c>
      <c r="BC74">
        <v>27.149100000000001</v>
      </c>
      <c r="BD74">
        <v>26.985199999999999</v>
      </c>
      <c r="BE74">
        <v>29.303799999999999</v>
      </c>
      <c r="BF74">
        <v>0</v>
      </c>
      <c r="BG74">
        <v>0</v>
      </c>
      <c r="BH74">
        <v>9989.3799999999992</v>
      </c>
      <c r="BI74">
        <v>1080.52</v>
      </c>
      <c r="BJ74">
        <v>1.5137799999999999</v>
      </c>
      <c r="BK74">
        <v>-37.679699999999997</v>
      </c>
      <c r="BL74">
        <v>781.19200000000001</v>
      </c>
      <c r="BM74">
        <v>817.40700000000004</v>
      </c>
      <c r="BN74">
        <v>2.8601999999999999</v>
      </c>
      <c r="BO74">
        <v>800.02700000000004</v>
      </c>
      <c r="BP74">
        <v>21.262499999999999</v>
      </c>
      <c r="BQ74">
        <v>2.3884699999999999</v>
      </c>
      <c r="BR74">
        <v>2.10527</v>
      </c>
      <c r="BS74">
        <v>20.285799999999998</v>
      </c>
      <c r="BT74">
        <v>18.2591</v>
      </c>
      <c r="BU74">
        <v>1799.99</v>
      </c>
      <c r="BV74">
        <v>0.91001299999999996</v>
      </c>
      <c r="BW74">
        <v>3.3995999999999998E-2</v>
      </c>
      <c r="BX74">
        <v>2.1996700000000001E-2</v>
      </c>
      <c r="BY74">
        <v>3.3994700000000003E-2</v>
      </c>
      <c r="BZ74">
        <v>25</v>
      </c>
      <c r="CA74">
        <v>33528.300000000003</v>
      </c>
      <c r="CB74">
        <v>1690232006</v>
      </c>
      <c r="CC74" t="s">
        <v>332</v>
      </c>
      <c r="CD74">
        <v>1690232006</v>
      </c>
      <c r="CE74">
        <v>1690231998.5</v>
      </c>
      <c r="CF74">
        <v>14</v>
      </c>
      <c r="CG74">
        <v>-0.13200000000000001</v>
      </c>
      <c r="CH74">
        <v>-7.0000000000000001E-3</v>
      </c>
      <c r="CI74">
        <v>-0.33800000000000002</v>
      </c>
      <c r="CJ74">
        <v>0.14299999999999999</v>
      </c>
      <c r="CK74">
        <v>799</v>
      </c>
      <c r="CL74">
        <v>19</v>
      </c>
      <c r="CM74">
        <v>7.0000000000000007E-2</v>
      </c>
      <c r="CN74">
        <v>0.14000000000000001</v>
      </c>
      <c r="CO74">
        <v>-35.528724999999987</v>
      </c>
      <c r="CP74">
        <v>-12.392226641651019</v>
      </c>
      <c r="CQ74">
        <v>1.192712836928906</v>
      </c>
      <c r="CR74">
        <v>-1</v>
      </c>
      <c r="CS74">
        <v>2.7636835</v>
      </c>
      <c r="CT74">
        <v>0.5457016885553414</v>
      </c>
      <c r="CU74">
        <v>5.2924742443870243E-2</v>
      </c>
      <c r="CV74">
        <v>-1</v>
      </c>
      <c r="CW74">
        <v>0</v>
      </c>
      <c r="CX74">
        <v>0</v>
      </c>
      <c r="CY74" t="s">
        <v>333</v>
      </c>
      <c r="CZ74">
        <v>2.3645200000000002</v>
      </c>
      <c r="DA74">
        <v>2.7137799999999999</v>
      </c>
      <c r="DB74">
        <v>0.142094</v>
      </c>
      <c r="DC74">
        <v>0.14636199999999999</v>
      </c>
      <c r="DD74">
        <v>0.11434</v>
      </c>
      <c r="DE74">
        <v>0.103032</v>
      </c>
      <c r="DF74">
        <v>31345.9</v>
      </c>
      <c r="DG74">
        <v>27538.2</v>
      </c>
      <c r="DH74">
        <v>31191.3</v>
      </c>
      <c r="DI74">
        <v>28108.7</v>
      </c>
      <c r="DJ74">
        <v>37507.599999999999</v>
      </c>
      <c r="DK74">
        <v>35853.1</v>
      </c>
      <c r="DL74">
        <v>44392.6</v>
      </c>
      <c r="DM74">
        <v>42607.8</v>
      </c>
      <c r="DN74">
        <v>1.4757499999999999</v>
      </c>
      <c r="DO74">
        <v>2.0648</v>
      </c>
      <c r="DP74">
        <v>7.2605900000000001E-2</v>
      </c>
      <c r="DQ74">
        <v>0.226274</v>
      </c>
      <c r="DR74">
        <v>25.796700000000001</v>
      </c>
      <c r="DS74">
        <v>25.606000000000002</v>
      </c>
      <c r="DT74">
        <v>56.4</v>
      </c>
      <c r="DU74">
        <v>28.9</v>
      </c>
      <c r="DV74">
        <v>22.777899999999999</v>
      </c>
      <c r="DW74">
        <v>61.868000000000002</v>
      </c>
      <c r="DX74">
        <v>36.582500000000003</v>
      </c>
      <c r="DY74">
        <v>1</v>
      </c>
      <c r="DZ74">
        <v>-0.107279</v>
      </c>
      <c r="EA74">
        <v>-0.24097199999999999</v>
      </c>
      <c r="EB74">
        <v>20.189699999999998</v>
      </c>
      <c r="EC74">
        <v>5.2409499999999998</v>
      </c>
      <c r="ED74">
        <v>12.039899999999999</v>
      </c>
      <c r="EE74">
        <v>5.0163500000000001</v>
      </c>
      <c r="EF74">
        <v>3.2879999999999998</v>
      </c>
      <c r="EG74">
        <v>9999</v>
      </c>
      <c r="EH74">
        <v>9999</v>
      </c>
      <c r="EI74">
        <v>9999</v>
      </c>
      <c r="EJ74">
        <v>999.9</v>
      </c>
      <c r="EK74">
        <v>1.8689</v>
      </c>
      <c r="EL74">
        <v>1.8646199999999999</v>
      </c>
      <c r="EM74">
        <v>1.8691899999999999</v>
      </c>
      <c r="EN74">
        <v>1.8672200000000001</v>
      </c>
      <c r="EO74">
        <v>1.8633999999999999</v>
      </c>
      <c r="EP74">
        <v>1.8644700000000001</v>
      </c>
      <c r="EQ74">
        <v>1.87015</v>
      </c>
      <c r="ER74">
        <v>1.8694</v>
      </c>
      <c r="ES74">
        <v>0</v>
      </c>
      <c r="ET74">
        <v>0</v>
      </c>
      <c r="EU74">
        <v>0</v>
      </c>
      <c r="EV74">
        <v>0</v>
      </c>
      <c r="EW74" t="s">
        <v>334</v>
      </c>
      <c r="EX74" t="s">
        <v>335</v>
      </c>
      <c r="EY74" t="s">
        <v>336</v>
      </c>
      <c r="EZ74" t="s">
        <v>336</v>
      </c>
      <c r="FA74" t="s">
        <v>336</v>
      </c>
      <c r="FB74" t="s">
        <v>336</v>
      </c>
      <c r="FC74">
        <v>0</v>
      </c>
      <c r="FD74">
        <v>100</v>
      </c>
      <c r="FE74">
        <v>100</v>
      </c>
      <c r="FF74">
        <v>-0.312</v>
      </c>
      <c r="FG74">
        <v>0.17199999999999999</v>
      </c>
      <c r="FH74">
        <v>0.2126736300064915</v>
      </c>
      <c r="FI74">
        <v>-6.1462078757559423E-4</v>
      </c>
      <c r="FJ74">
        <v>-1.8861989874597051E-7</v>
      </c>
      <c r="FK74">
        <v>1.1980462299894961E-10</v>
      </c>
      <c r="FL74">
        <v>0.1719881465068297</v>
      </c>
      <c r="FM74">
        <v>0</v>
      </c>
      <c r="FN74">
        <v>0</v>
      </c>
      <c r="FO74">
        <v>0</v>
      </c>
      <c r="FP74">
        <v>3</v>
      </c>
      <c r="FQ74">
        <v>2158</v>
      </c>
      <c r="FR74">
        <v>1</v>
      </c>
      <c r="FS74">
        <v>19</v>
      </c>
      <c r="FT74">
        <v>19</v>
      </c>
      <c r="FU74">
        <v>19.100000000000001</v>
      </c>
      <c r="FV74">
        <v>1.79321</v>
      </c>
      <c r="FW74">
        <v>2.5878899999999998</v>
      </c>
      <c r="FX74">
        <v>1.5490699999999999</v>
      </c>
      <c r="FY74">
        <v>2.3290999999999999</v>
      </c>
      <c r="FZ74">
        <v>1.50146</v>
      </c>
      <c r="GA74">
        <v>2.3938000000000001</v>
      </c>
      <c r="GB74">
        <v>33.602899999999998</v>
      </c>
      <c r="GC74">
        <v>23.991199999999999</v>
      </c>
      <c r="GD74">
        <v>19</v>
      </c>
      <c r="GE74">
        <v>281.94499999999999</v>
      </c>
      <c r="GF74">
        <v>604.92899999999997</v>
      </c>
      <c r="GG74">
        <v>25.237200000000001</v>
      </c>
      <c r="GH74">
        <v>26.067799999999998</v>
      </c>
      <c r="GI74">
        <v>30</v>
      </c>
      <c r="GJ74">
        <v>26.1829</v>
      </c>
      <c r="GK74">
        <v>26.1615</v>
      </c>
      <c r="GL74">
        <v>35.864600000000003</v>
      </c>
      <c r="GM74">
        <v>14.877000000000001</v>
      </c>
      <c r="GN74">
        <v>100</v>
      </c>
      <c r="GO74">
        <v>25.2424</v>
      </c>
      <c r="GP74">
        <v>800</v>
      </c>
      <c r="GQ74">
        <v>21.1494</v>
      </c>
      <c r="GR74">
        <v>99.804699999999997</v>
      </c>
      <c r="GS74">
        <v>99.67</v>
      </c>
    </row>
    <row r="75" spans="1:201" x14ac:dyDescent="0.25">
      <c r="A75">
        <v>59</v>
      </c>
      <c r="B75">
        <v>1690233154.5999999</v>
      </c>
      <c r="C75">
        <v>648.5</v>
      </c>
      <c r="D75" t="s">
        <v>449</v>
      </c>
      <c r="E75" t="s">
        <v>450</v>
      </c>
      <c r="F75" t="s">
        <v>330</v>
      </c>
      <c r="H75">
        <v>1690233154.5999999</v>
      </c>
      <c r="I75">
        <f t="shared" si="0"/>
        <v>2.8123634092078013E-4</v>
      </c>
      <c r="J75">
        <f t="shared" si="1"/>
        <v>0.28123634092078015</v>
      </c>
      <c r="K75">
        <f t="shared" si="2"/>
        <v>3.4777518585773763</v>
      </c>
      <c r="L75">
        <f t="shared" si="3"/>
        <v>760.19600000000003</v>
      </c>
      <c r="M75">
        <f t="shared" si="4"/>
        <v>396.70905049252235</v>
      </c>
      <c r="N75">
        <f t="shared" si="5"/>
        <v>39.318854250649949</v>
      </c>
      <c r="O75">
        <f t="shared" si="6"/>
        <v>75.344980632072804</v>
      </c>
      <c r="P75">
        <f t="shared" si="7"/>
        <v>1.6081989310905445E-2</v>
      </c>
      <c r="Q75">
        <f t="shared" si="8"/>
        <v>2.1315008998583087</v>
      </c>
      <c r="R75">
        <f t="shared" si="9"/>
        <v>1.6014883464700577E-2</v>
      </c>
      <c r="S75">
        <f t="shared" si="10"/>
        <v>1.0015307936383364E-2</v>
      </c>
      <c r="T75">
        <f t="shared" si="11"/>
        <v>276.11324624499878</v>
      </c>
      <c r="U75">
        <f t="shared" si="12"/>
        <v>29.232089204073347</v>
      </c>
      <c r="V75">
        <f t="shared" si="13"/>
        <v>29.232089204073347</v>
      </c>
      <c r="W75">
        <f t="shared" si="14"/>
        <v>4.0761023013074729</v>
      </c>
      <c r="X75">
        <f t="shared" si="15"/>
        <v>66.262075035807072</v>
      </c>
      <c r="Y75">
        <f t="shared" si="16"/>
        <v>2.3923891693655803</v>
      </c>
      <c r="Z75">
        <f t="shared" si="17"/>
        <v>3.6104953973638283</v>
      </c>
      <c r="AA75">
        <f t="shared" si="18"/>
        <v>1.6837131319418925</v>
      </c>
      <c r="AB75">
        <f t="shared" si="19"/>
        <v>-12.402522634606404</v>
      </c>
      <c r="AC75">
        <f t="shared" si="20"/>
        <v>-239.43247906535888</v>
      </c>
      <c r="AD75">
        <f t="shared" si="21"/>
        <v>-24.532220833368026</v>
      </c>
      <c r="AE75">
        <f t="shared" si="22"/>
        <v>-0.25397628833454178</v>
      </c>
      <c r="AF75">
        <v>0</v>
      </c>
      <c r="AG75">
        <v>0</v>
      </c>
      <c r="AH75">
        <f t="shared" si="23"/>
        <v>1</v>
      </c>
      <c r="AI75">
        <f t="shared" si="24"/>
        <v>0</v>
      </c>
      <c r="AJ75">
        <f t="shared" si="25"/>
        <v>52388.875396233459</v>
      </c>
      <c r="AK75">
        <f t="shared" si="26"/>
        <v>1799.99</v>
      </c>
      <c r="AL75">
        <f t="shared" si="27"/>
        <v>1499.10274820513</v>
      </c>
      <c r="AM75">
        <f t="shared" si="28"/>
        <v>0.83283948699999999</v>
      </c>
      <c r="AN75">
        <f t="shared" si="29"/>
        <v>0.15339710011999999</v>
      </c>
      <c r="AO75">
        <v>32.4</v>
      </c>
      <c r="AP75">
        <v>0.5</v>
      </c>
      <c r="AQ75" t="s">
        <v>331</v>
      </c>
      <c r="AR75">
        <v>2</v>
      </c>
      <c r="AS75">
        <v>1690233154.5999999</v>
      </c>
      <c r="AT75">
        <v>760.19600000000003</v>
      </c>
      <c r="AU75">
        <v>800.04</v>
      </c>
      <c r="AV75">
        <v>24.138100000000001</v>
      </c>
      <c r="AW75">
        <v>21.175899999999999</v>
      </c>
      <c r="AX75">
        <v>760.50699999999995</v>
      </c>
      <c r="AY75">
        <v>23.966100000000001</v>
      </c>
      <c r="AZ75">
        <v>300.18599999999998</v>
      </c>
      <c r="BA75">
        <v>99.012600000000006</v>
      </c>
      <c r="BB75">
        <v>9.99718E-2</v>
      </c>
      <c r="BC75">
        <v>27.148499999999999</v>
      </c>
      <c r="BD75">
        <v>26.994399999999999</v>
      </c>
      <c r="BE75">
        <v>29.320399999999999</v>
      </c>
      <c r="BF75">
        <v>0</v>
      </c>
      <c r="BG75">
        <v>0</v>
      </c>
      <c r="BH75">
        <v>10011.9</v>
      </c>
      <c r="BI75">
        <v>1080.5899999999999</v>
      </c>
      <c r="BJ75">
        <v>1.5137799999999999</v>
      </c>
      <c r="BK75">
        <v>-39.844299999999997</v>
      </c>
      <c r="BL75">
        <v>779</v>
      </c>
      <c r="BM75">
        <v>817.34900000000005</v>
      </c>
      <c r="BN75">
        <v>2.9622099999999998</v>
      </c>
      <c r="BO75">
        <v>800.04</v>
      </c>
      <c r="BP75">
        <v>21.175899999999999</v>
      </c>
      <c r="BQ75">
        <v>2.38998</v>
      </c>
      <c r="BR75">
        <v>2.0966800000000001</v>
      </c>
      <c r="BS75">
        <v>20.295999999999999</v>
      </c>
      <c r="BT75">
        <v>18.193999999999999</v>
      </c>
      <c r="BU75">
        <v>1799.99</v>
      </c>
      <c r="BV75">
        <v>0.91000400000000004</v>
      </c>
      <c r="BW75">
        <v>3.4008700000000003E-2</v>
      </c>
      <c r="BX75">
        <v>2.19951E-2</v>
      </c>
      <c r="BY75">
        <v>3.3992399999999999E-2</v>
      </c>
      <c r="BZ75">
        <v>25</v>
      </c>
      <c r="CA75">
        <v>33528.199999999997</v>
      </c>
      <c r="CB75">
        <v>1690232006</v>
      </c>
      <c r="CC75" t="s">
        <v>332</v>
      </c>
      <c r="CD75">
        <v>1690232006</v>
      </c>
      <c r="CE75">
        <v>1690231998.5</v>
      </c>
      <c r="CF75">
        <v>14</v>
      </c>
      <c r="CG75">
        <v>-0.13200000000000001</v>
      </c>
      <c r="CH75">
        <v>-7.0000000000000001E-3</v>
      </c>
      <c r="CI75">
        <v>-0.33800000000000002</v>
      </c>
      <c r="CJ75">
        <v>0.14299999999999999</v>
      </c>
      <c r="CK75">
        <v>799</v>
      </c>
      <c r="CL75">
        <v>19</v>
      </c>
      <c r="CM75">
        <v>7.0000000000000007E-2</v>
      </c>
      <c r="CN75">
        <v>0.14000000000000001</v>
      </c>
      <c r="CO75">
        <v>-37.413602500000003</v>
      </c>
      <c r="CP75">
        <v>-12.978055159474589</v>
      </c>
      <c r="CQ75">
        <v>1.2488280553157629</v>
      </c>
      <c r="CR75">
        <v>-1</v>
      </c>
      <c r="CS75">
        <v>2.8440219999999998</v>
      </c>
      <c r="CT75">
        <v>0.55893320825515491</v>
      </c>
      <c r="CU75">
        <v>5.4000614172433258E-2</v>
      </c>
      <c r="CV75">
        <v>-1</v>
      </c>
      <c r="CW75">
        <v>0</v>
      </c>
      <c r="CX75">
        <v>0</v>
      </c>
      <c r="CY75" t="s">
        <v>333</v>
      </c>
      <c r="CZ75">
        <v>2.3646799999999999</v>
      </c>
      <c r="DA75">
        <v>2.7137699999999998</v>
      </c>
      <c r="DB75">
        <v>0.141823</v>
      </c>
      <c r="DC75">
        <v>0.14636099999999999</v>
      </c>
      <c r="DD75">
        <v>0.11439100000000001</v>
      </c>
      <c r="DE75">
        <v>0.10273599999999999</v>
      </c>
      <c r="DF75">
        <v>31356.1</v>
      </c>
      <c r="DG75">
        <v>27538.5</v>
      </c>
      <c r="DH75">
        <v>31191.599999999999</v>
      </c>
      <c r="DI75">
        <v>28108.9</v>
      </c>
      <c r="DJ75">
        <v>37505.800000000003</v>
      </c>
      <c r="DK75">
        <v>35865.199999999997</v>
      </c>
      <c r="DL75">
        <v>44393.2</v>
      </c>
      <c r="DM75">
        <v>42608.1</v>
      </c>
      <c r="DN75">
        <v>1.4757</v>
      </c>
      <c r="DO75">
        <v>2.0647199999999999</v>
      </c>
      <c r="DP75">
        <v>7.3164699999999999E-2</v>
      </c>
      <c r="DQ75">
        <v>0.22742899999999999</v>
      </c>
      <c r="DR75">
        <v>25.796700000000001</v>
      </c>
      <c r="DS75">
        <v>25.6037</v>
      </c>
      <c r="DT75">
        <v>56.4</v>
      </c>
      <c r="DU75">
        <v>28.9</v>
      </c>
      <c r="DV75">
        <v>22.7775</v>
      </c>
      <c r="DW75">
        <v>61.558</v>
      </c>
      <c r="DX75">
        <v>35.304499999999997</v>
      </c>
      <c r="DY75">
        <v>1</v>
      </c>
      <c r="DZ75">
        <v>-0.107932</v>
      </c>
      <c r="EA75">
        <v>-0.24069699999999999</v>
      </c>
      <c r="EB75">
        <v>20.189599999999999</v>
      </c>
      <c r="EC75">
        <v>5.2409499999999998</v>
      </c>
      <c r="ED75">
        <v>12.039899999999999</v>
      </c>
      <c r="EE75">
        <v>5.0165499999999996</v>
      </c>
      <c r="EF75">
        <v>3.2879999999999998</v>
      </c>
      <c r="EG75">
        <v>9999</v>
      </c>
      <c r="EH75">
        <v>9999</v>
      </c>
      <c r="EI75">
        <v>9999</v>
      </c>
      <c r="EJ75">
        <v>999.9</v>
      </c>
      <c r="EK75">
        <v>1.8689</v>
      </c>
      <c r="EL75">
        <v>1.8646199999999999</v>
      </c>
      <c r="EM75">
        <v>1.8691899999999999</v>
      </c>
      <c r="EN75">
        <v>1.8672200000000001</v>
      </c>
      <c r="EO75">
        <v>1.8633999999999999</v>
      </c>
      <c r="EP75">
        <v>1.8644700000000001</v>
      </c>
      <c r="EQ75">
        <v>1.87016</v>
      </c>
      <c r="ER75">
        <v>1.8693900000000001</v>
      </c>
      <c r="ES75">
        <v>0</v>
      </c>
      <c r="ET75">
        <v>0</v>
      </c>
      <c r="EU75">
        <v>0</v>
      </c>
      <c r="EV75">
        <v>0</v>
      </c>
      <c r="EW75" t="s">
        <v>334</v>
      </c>
      <c r="EX75" t="s">
        <v>335</v>
      </c>
      <c r="EY75" t="s">
        <v>336</v>
      </c>
      <c r="EZ75" t="s">
        <v>336</v>
      </c>
      <c r="FA75" t="s">
        <v>336</v>
      </c>
      <c r="FB75" t="s">
        <v>336</v>
      </c>
      <c r="FC75">
        <v>0</v>
      </c>
      <c r="FD75">
        <v>100</v>
      </c>
      <c r="FE75">
        <v>100</v>
      </c>
      <c r="FF75">
        <v>-0.311</v>
      </c>
      <c r="FG75">
        <v>0.17199999999999999</v>
      </c>
      <c r="FH75">
        <v>0.2126736300064915</v>
      </c>
      <c r="FI75">
        <v>-6.1462078757559423E-4</v>
      </c>
      <c r="FJ75">
        <v>-1.8861989874597051E-7</v>
      </c>
      <c r="FK75">
        <v>1.1980462299894961E-10</v>
      </c>
      <c r="FL75">
        <v>0.1719881465068297</v>
      </c>
      <c r="FM75">
        <v>0</v>
      </c>
      <c r="FN75">
        <v>0</v>
      </c>
      <c r="FO75">
        <v>0</v>
      </c>
      <c r="FP75">
        <v>3</v>
      </c>
      <c r="FQ75">
        <v>2158</v>
      </c>
      <c r="FR75">
        <v>1</v>
      </c>
      <c r="FS75">
        <v>19</v>
      </c>
      <c r="FT75">
        <v>19.100000000000001</v>
      </c>
      <c r="FU75">
        <v>19.3</v>
      </c>
      <c r="FV75">
        <v>1.79321</v>
      </c>
      <c r="FW75">
        <v>2.5927699999999998</v>
      </c>
      <c r="FX75">
        <v>1.5490699999999999</v>
      </c>
      <c r="FY75">
        <v>2.3290999999999999</v>
      </c>
      <c r="FZ75">
        <v>1.50146</v>
      </c>
      <c r="GA75">
        <v>2.2741699999999998</v>
      </c>
      <c r="GB75">
        <v>33.602899999999998</v>
      </c>
      <c r="GC75">
        <v>23.982399999999998</v>
      </c>
      <c r="GD75">
        <v>19</v>
      </c>
      <c r="GE75">
        <v>281.91399999999999</v>
      </c>
      <c r="GF75">
        <v>604.83900000000006</v>
      </c>
      <c r="GG75">
        <v>25.2575</v>
      </c>
      <c r="GH75">
        <v>26.0656</v>
      </c>
      <c r="GI75">
        <v>29.9999</v>
      </c>
      <c r="GJ75">
        <v>26.180700000000002</v>
      </c>
      <c r="GK75">
        <v>26.159300000000002</v>
      </c>
      <c r="GL75">
        <v>35.861899999999999</v>
      </c>
      <c r="GM75">
        <v>15.446199999999999</v>
      </c>
      <c r="GN75">
        <v>100</v>
      </c>
      <c r="GO75">
        <v>25.259899999999998</v>
      </c>
      <c r="GP75">
        <v>800</v>
      </c>
      <c r="GQ75">
        <v>21.0688</v>
      </c>
      <c r="GR75">
        <v>99.805800000000005</v>
      </c>
      <c r="GS75">
        <v>99.670900000000003</v>
      </c>
    </row>
    <row r="76" spans="1:201" x14ac:dyDescent="0.25">
      <c r="A76">
        <v>60</v>
      </c>
      <c r="B76">
        <v>1690233164.5999999</v>
      </c>
      <c r="C76">
        <v>658.5</v>
      </c>
      <c r="D76" t="s">
        <v>451</v>
      </c>
      <c r="E76" t="s">
        <v>452</v>
      </c>
      <c r="F76" t="s">
        <v>330</v>
      </c>
      <c r="H76">
        <v>1690233164.5999999</v>
      </c>
      <c r="I76">
        <f t="shared" si="0"/>
        <v>2.897089575242113E-4</v>
      </c>
      <c r="J76">
        <f t="shared" si="1"/>
        <v>0.28970895752421127</v>
      </c>
      <c r="K76">
        <f t="shared" si="2"/>
        <v>3.6734701555593992</v>
      </c>
      <c r="L76">
        <f t="shared" si="3"/>
        <v>758.03200000000004</v>
      </c>
      <c r="M76">
        <f t="shared" si="4"/>
        <v>386.25729078053041</v>
      </c>
      <c r="N76">
        <f t="shared" si="5"/>
        <v>38.282506257067531</v>
      </c>
      <c r="O76">
        <f t="shared" si="6"/>
        <v>75.129623377248009</v>
      </c>
      <c r="P76">
        <f t="shared" si="7"/>
        <v>1.6583983706351575E-2</v>
      </c>
      <c r="Q76">
        <f t="shared" si="8"/>
        <v>2.1299548326524373</v>
      </c>
      <c r="R76">
        <f t="shared" si="9"/>
        <v>1.6512581579973904E-2</v>
      </c>
      <c r="S76">
        <f t="shared" si="10"/>
        <v>1.032675297464106E-2</v>
      </c>
      <c r="T76">
        <f t="shared" si="11"/>
        <v>276.11459213399996</v>
      </c>
      <c r="U76">
        <f t="shared" si="12"/>
        <v>29.232215558160433</v>
      </c>
      <c r="V76">
        <f t="shared" si="13"/>
        <v>29.232215558160433</v>
      </c>
      <c r="W76">
        <f t="shared" si="14"/>
        <v>4.0761320528168294</v>
      </c>
      <c r="X76">
        <f t="shared" si="15"/>
        <v>66.300256788701674</v>
      </c>
      <c r="Y76">
        <f t="shared" si="16"/>
        <v>2.3940064717457998</v>
      </c>
      <c r="Z76">
        <f t="shared" si="17"/>
        <v>3.6108555044899404</v>
      </c>
      <c r="AA76">
        <f t="shared" si="18"/>
        <v>1.6821255810710296</v>
      </c>
      <c r="AB76">
        <f t="shared" si="19"/>
        <v>-12.776165026817718</v>
      </c>
      <c r="AC76">
        <f t="shared" si="20"/>
        <v>-239.07810666633517</v>
      </c>
      <c r="AD76">
        <f t="shared" si="21"/>
        <v>-24.513915219821541</v>
      </c>
      <c r="AE76">
        <f t="shared" si="22"/>
        <v>-0.25359477897447391</v>
      </c>
      <c r="AF76">
        <v>0</v>
      </c>
      <c r="AG76">
        <v>0</v>
      </c>
      <c r="AH76">
        <f t="shared" si="23"/>
        <v>1</v>
      </c>
      <c r="AI76">
        <f t="shared" si="24"/>
        <v>0</v>
      </c>
      <c r="AJ76">
        <f t="shared" si="25"/>
        <v>52321.954896825664</v>
      </c>
      <c r="AK76">
        <f t="shared" si="26"/>
        <v>1800</v>
      </c>
      <c r="AL76">
        <f t="shared" si="27"/>
        <v>1499.1119243999999</v>
      </c>
      <c r="AM76">
        <f t="shared" si="28"/>
        <v>0.83283995799999999</v>
      </c>
      <c r="AN76">
        <f t="shared" si="29"/>
        <v>0.15339699562999998</v>
      </c>
      <c r="AO76">
        <v>32.4</v>
      </c>
      <c r="AP76">
        <v>0.5</v>
      </c>
      <c r="AQ76" t="s">
        <v>331</v>
      </c>
      <c r="AR76">
        <v>2</v>
      </c>
      <c r="AS76">
        <v>1690233164.5999999</v>
      </c>
      <c r="AT76">
        <v>758.03200000000004</v>
      </c>
      <c r="AU76">
        <v>800.06100000000004</v>
      </c>
      <c r="AV76">
        <v>24.154699999999998</v>
      </c>
      <c r="AW76">
        <v>21.102599999999999</v>
      </c>
      <c r="AX76">
        <v>758.34199999999998</v>
      </c>
      <c r="AY76">
        <v>23.982700000000001</v>
      </c>
      <c r="AZ76">
        <v>300.11599999999999</v>
      </c>
      <c r="BA76">
        <v>99.011399999999995</v>
      </c>
      <c r="BB76">
        <v>0.10001400000000001</v>
      </c>
      <c r="BC76">
        <v>27.150200000000002</v>
      </c>
      <c r="BD76">
        <v>26.9862</v>
      </c>
      <c r="BE76">
        <v>29.3003</v>
      </c>
      <c r="BF76">
        <v>0</v>
      </c>
      <c r="BG76">
        <v>0</v>
      </c>
      <c r="BH76">
        <v>9998.75</v>
      </c>
      <c r="BI76">
        <v>1080.6199999999999</v>
      </c>
      <c r="BJ76">
        <v>1.5137799999999999</v>
      </c>
      <c r="BK76">
        <v>-42.028599999999997</v>
      </c>
      <c r="BL76">
        <v>776.79499999999996</v>
      </c>
      <c r="BM76">
        <v>817.30799999999999</v>
      </c>
      <c r="BN76">
        <v>3.0520399999999999</v>
      </c>
      <c r="BO76">
        <v>800.06100000000004</v>
      </c>
      <c r="BP76">
        <v>21.102599999999999</v>
      </c>
      <c r="BQ76">
        <v>2.3915899999999999</v>
      </c>
      <c r="BR76">
        <v>2.0893999999999999</v>
      </c>
      <c r="BS76">
        <v>20.306899999999999</v>
      </c>
      <c r="BT76">
        <v>18.1386</v>
      </c>
      <c r="BU76">
        <v>1800</v>
      </c>
      <c r="BV76">
        <v>0.91000899999999996</v>
      </c>
      <c r="BW76">
        <v>3.40069E-2</v>
      </c>
      <c r="BX76">
        <v>2.19939E-2</v>
      </c>
      <c r="BY76">
        <v>3.39905E-2</v>
      </c>
      <c r="BZ76">
        <v>25</v>
      </c>
      <c r="CA76">
        <v>33528.400000000001</v>
      </c>
      <c r="CB76">
        <v>1690232006</v>
      </c>
      <c r="CC76" t="s">
        <v>332</v>
      </c>
      <c r="CD76">
        <v>1690232006</v>
      </c>
      <c r="CE76">
        <v>1690231998.5</v>
      </c>
      <c r="CF76">
        <v>14</v>
      </c>
      <c r="CG76">
        <v>-0.13200000000000001</v>
      </c>
      <c r="CH76">
        <v>-7.0000000000000001E-3</v>
      </c>
      <c r="CI76">
        <v>-0.33800000000000002</v>
      </c>
      <c r="CJ76">
        <v>0.14299999999999999</v>
      </c>
      <c r="CK76">
        <v>799</v>
      </c>
      <c r="CL76">
        <v>19</v>
      </c>
      <c r="CM76">
        <v>7.0000000000000007E-2</v>
      </c>
      <c r="CN76">
        <v>0.14000000000000001</v>
      </c>
      <c r="CO76">
        <v>-39.781880000000001</v>
      </c>
      <c r="CP76">
        <v>-13.0292127579736</v>
      </c>
      <c r="CQ76">
        <v>1.2538162551187471</v>
      </c>
      <c r="CR76">
        <v>-1</v>
      </c>
      <c r="CS76">
        <v>2.9500904999999999</v>
      </c>
      <c r="CT76">
        <v>0.58173500938086009</v>
      </c>
      <c r="CU76">
        <v>5.6184713043229147E-2</v>
      </c>
      <c r="CV76">
        <v>-1</v>
      </c>
      <c r="CW76">
        <v>0</v>
      </c>
      <c r="CX76">
        <v>0</v>
      </c>
      <c r="CY76" t="s">
        <v>333</v>
      </c>
      <c r="CZ76">
        <v>2.3644599999999998</v>
      </c>
      <c r="DA76">
        <v>2.7138</v>
      </c>
      <c r="DB76">
        <v>0.14155000000000001</v>
      </c>
      <c r="DC76">
        <v>0.14636099999999999</v>
      </c>
      <c r="DD76">
        <v>0.11444500000000001</v>
      </c>
      <c r="DE76">
        <v>0.10248500000000001</v>
      </c>
      <c r="DF76">
        <v>31366.400000000001</v>
      </c>
      <c r="DG76">
        <v>27538.2</v>
      </c>
      <c r="DH76">
        <v>31191.8</v>
      </c>
      <c r="DI76">
        <v>28108.7</v>
      </c>
      <c r="DJ76">
        <v>37503.699999999997</v>
      </c>
      <c r="DK76">
        <v>35875.1</v>
      </c>
      <c r="DL76">
        <v>44393.5</v>
      </c>
      <c r="DM76">
        <v>42607.9</v>
      </c>
      <c r="DN76">
        <v>1.47557</v>
      </c>
      <c r="DO76">
        <v>2.0643199999999999</v>
      </c>
      <c r="DP76">
        <v>7.2792200000000001E-2</v>
      </c>
      <c r="DQ76">
        <v>0.22620000000000001</v>
      </c>
      <c r="DR76">
        <v>25.794599999999999</v>
      </c>
      <c r="DS76">
        <v>25.6037</v>
      </c>
      <c r="DT76">
        <v>56.4</v>
      </c>
      <c r="DU76">
        <v>28.9</v>
      </c>
      <c r="DV76">
        <v>22.776700000000002</v>
      </c>
      <c r="DW76">
        <v>61.847999999999999</v>
      </c>
      <c r="DX76">
        <v>36.470399999999998</v>
      </c>
      <c r="DY76">
        <v>1</v>
      </c>
      <c r="DZ76">
        <v>-0.107886</v>
      </c>
      <c r="EA76">
        <v>-0.23163400000000001</v>
      </c>
      <c r="EB76">
        <v>20.189499999999999</v>
      </c>
      <c r="EC76">
        <v>5.2415500000000002</v>
      </c>
      <c r="ED76">
        <v>12.039899999999999</v>
      </c>
      <c r="EE76">
        <v>5.0164999999999997</v>
      </c>
      <c r="EF76">
        <v>3.2879999999999998</v>
      </c>
      <c r="EG76">
        <v>9999</v>
      </c>
      <c r="EH76">
        <v>9999</v>
      </c>
      <c r="EI76">
        <v>9999</v>
      </c>
      <c r="EJ76">
        <v>999.9</v>
      </c>
      <c r="EK76">
        <v>1.8689</v>
      </c>
      <c r="EL76">
        <v>1.8646199999999999</v>
      </c>
      <c r="EM76">
        <v>1.8691899999999999</v>
      </c>
      <c r="EN76">
        <v>1.8672200000000001</v>
      </c>
      <c r="EO76">
        <v>1.8633999999999999</v>
      </c>
      <c r="EP76">
        <v>1.8644799999999999</v>
      </c>
      <c r="EQ76">
        <v>1.87015</v>
      </c>
      <c r="ER76">
        <v>1.8694200000000001</v>
      </c>
      <c r="ES76">
        <v>0</v>
      </c>
      <c r="ET76">
        <v>0</v>
      </c>
      <c r="EU76">
        <v>0</v>
      </c>
      <c r="EV76">
        <v>0</v>
      </c>
      <c r="EW76" t="s">
        <v>334</v>
      </c>
      <c r="EX76" t="s">
        <v>335</v>
      </c>
      <c r="EY76" t="s">
        <v>336</v>
      </c>
      <c r="EZ76" t="s">
        <v>336</v>
      </c>
      <c r="FA76" t="s">
        <v>336</v>
      </c>
      <c r="FB76" t="s">
        <v>336</v>
      </c>
      <c r="FC76">
        <v>0</v>
      </c>
      <c r="FD76">
        <v>100</v>
      </c>
      <c r="FE76">
        <v>100</v>
      </c>
      <c r="FF76">
        <v>-0.31</v>
      </c>
      <c r="FG76">
        <v>0.17199999999999999</v>
      </c>
      <c r="FH76">
        <v>0.2126736300064915</v>
      </c>
      <c r="FI76">
        <v>-6.1462078757559423E-4</v>
      </c>
      <c r="FJ76">
        <v>-1.8861989874597051E-7</v>
      </c>
      <c r="FK76">
        <v>1.1980462299894961E-10</v>
      </c>
      <c r="FL76">
        <v>0.1719881465068297</v>
      </c>
      <c r="FM76">
        <v>0</v>
      </c>
      <c r="FN76">
        <v>0</v>
      </c>
      <c r="FO76">
        <v>0</v>
      </c>
      <c r="FP76">
        <v>3</v>
      </c>
      <c r="FQ76">
        <v>2158</v>
      </c>
      <c r="FR76">
        <v>1</v>
      </c>
      <c r="FS76">
        <v>19</v>
      </c>
      <c r="FT76">
        <v>19.3</v>
      </c>
      <c r="FU76">
        <v>19.399999999999999</v>
      </c>
      <c r="FV76">
        <v>1.79321</v>
      </c>
      <c r="FW76">
        <v>2.5842299999999998</v>
      </c>
      <c r="FX76">
        <v>1.5490699999999999</v>
      </c>
      <c r="FY76">
        <v>2.3290999999999999</v>
      </c>
      <c r="FZ76">
        <v>1.50146</v>
      </c>
      <c r="GA76">
        <v>2.3999000000000001</v>
      </c>
      <c r="GB76">
        <v>33.602899999999998</v>
      </c>
      <c r="GC76">
        <v>23.991199999999999</v>
      </c>
      <c r="GD76">
        <v>19</v>
      </c>
      <c r="GE76">
        <v>281.85199999999998</v>
      </c>
      <c r="GF76">
        <v>604.47400000000005</v>
      </c>
      <c r="GG76">
        <v>25.269600000000001</v>
      </c>
      <c r="GH76">
        <v>26.061800000000002</v>
      </c>
      <c r="GI76">
        <v>30</v>
      </c>
      <c r="GJ76">
        <v>26.1785</v>
      </c>
      <c r="GK76">
        <v>26.1572</v>
      </c>
      <c r="GL76">
        <v>35.8583</v>
      </c>
      <c r="GM76">
        <v>15.740600000000001</v>
      </c>
      <c r="GN76">
        <v>100</v>
      </c>
      <c r="GO76">
        <v>25.270399999999999</v>
      </c>
      <c r="GP76">
        <v>800</v>
      </c>
      <c r="GQ76">
        <v>20.985900000000001</v>
      </c>
      <c r="GR76">
        <v>99.806600000000003</v>
      </c>
      <c r="GS76">
        <v>99.670199999999994</v>
      </c>
    </row>
    <row r="77" spans="1:201" x14ac:dyDescent="0.25">
      <c r="A77">
        <v>61</v>
      </c>
      <c r="B77">
        <v>1690233174.5999999</v>
      </c>
      <c r="C77">
        <v>668.5</v>
      </c>
      <c r="D77" t="s">
        <v>453</v>
      </c>
      <c r="E77" t="s">
        <v>454</v>
      </c>
      <c r="F77" t="s">
        <v>330</v>
      </c>
      <c r="H77">
        <v>1690233174.5999999</v>
      </c>
      <c r="I77">
        <f t="shared" si="0"/>
        <v>2.9873745564110675E-4</v>
      </c>
      <c r="J77">
        <f t="shared" si="1"/>
        <v>0.29873745564110676</v>
      </c>
      <c r="K77">
        <f t="shared" si="2"/>
        <v>3.8814666426483493</v>
      </c>
      <c r="L77">
        <f t="shared" si="3"/>
        <v>755.73</v>
      </c>
      <c r="M77">
        <f t="shared" si="4"/>
        <v>375.23047815191654</v>
      </c>
      <c r="N77">
        <f t="shared" si="5"/>
        <v>37.190685543016201</v>
      </c>
      <c r="O77">
        <f t="shared" si="6"/>
        <v>74.903608373850005</v>
      </c>
      <c r="P77">
        <f t="shared" si="7"/>
        <v>1.7097042624596277E-2</v>
      </c>
      <c r="Q77">
        <f t="shared" si="8"/>
        <v>2.1261936900036602</v>
      </c>
      <c r="R77">
        <f t="shared" si="9"/>
        <v>1.7021031552816868E-2</v>
      </c>
      <c r="S77">
        <f t="shared" si="10"/>
        <v>1.0644945756600372E-2</v>
      </c>
      <c r="T77">
        <f t="shared" si="11"/>
        <v>276.11269534005942</v>
      </c>
      <c r="U77">
        <f t="shared" si="12"/>
        <v>29.240974195529056</v>
      </c>
      <c r="V77">
        <f t="shared" si="13"/>
        <v>29.240974195529056</v>
      </c>
      <c r="W77">
        <f t="shared" si="14"/>
        <v>4.0781948352597412</v>
      </c>
      <c r="X77">
        <f t="shared" si="15"/>
        <v>66.306568893226085</v>
      </c>
      <c r="Y77">
        <f t="shared" si="16"/>
        <v>2.3954426302825</v>
      </c>
      <c r="Z77">
        <f t="shared" si="17"/>
        <v>3.612677703380939</v>
      </c>
      <c r="AA77">
        <f t="shared" si="18"/>
        <v>1.6827522049772412</v>
      </c>
      <c r="AB77">
        <f t="shared" si="19"/>
        <v>-13.174321793772808</v>
      </c>
      <c r="AC77">
        <f t="shared" si="20"/>
        <v>-238.67411904923571</v>
      </c>
      <c r="AD77">
        <f t="shared" si="21"/>
        <v>-24.517902512646341</v>
      </c>
      <c r="AE77">
        <f t="shared" si="22"/>
        <v>-0.25364801559544503</v>
      </c>
      <c r="AF77">
        <v>0</v>
      </c>
      <c r="AG77">
        <v>0</v>
      </c>
      <c r="AH77">
        <f t="shared" si="23"/>
        <v>1</v>
      </c>
      <c r="AI77">
        <f t="shared" si="24"/>
        <v>0</v>
      </c>
      <c r="AJ77">
        <f t="shared" si="25"/>
        <v>52158.736433963677</v>
      </c>
      <c r="AK77">
        <f t="shared" si="26"/>
        <v>1799.99</v>
      </c>
      <c r="AL77">
        <f t="shared" si="27"/>
        <v>1499.10335840174</v>
      </c>
      <c r="AM77">
        <f t="shared" si="28"/>
        <v>0.83283982599999995</v>
      </c>
      <c r="AN77">
        <f t="shared" si="29"/>
        <v>0.15339679406000001</v>
      </c>
      <c r="AO77">
        <v>32.4</v>
      </c>
      <c r="AP77">
        <v>0.5</v>
      </c>
      <c r="AQ77" t="s">
        <v>331</v>
      </c>
      <c r="AR77">
        <v>2</v>
      </c>
      <c r="AS77">
        <v>1690233174.5999999</v>
      </c>
      <c r="AT77">
        <v>755.73</v>
      </c>
      <c r="AU77">
        <v>800.04600000000005</v>
      </c>
      <c r="AV77">
        <v>24.168500000000002</v>
      </c>
      <c r="AW77">
        <v>21.023099999999999</v>
      </c>
      <c r="AX77">
        <v>756.03899999999999</v>
      </c>
      <c r="AY77">
        <v>23.996500000000001</v>
      </c>
      <c r="AZ77">
        <v>300.28500000000003</v>
      </c>
      <c r="BA77">
        <v>99.014200000000002</v>
      </c>
      <c r="BB77">
        <v>0.100045</v>
      </c>
      <c r="BC77">
        <v>27.158799999999999</v>
      </c>
      <c r="BD77">
        <v>27.005600000000001</v>
      </c>
      <c r="BE77">
        <v>29.293600000000001</v>
      </c>
      <c r="BF77">
        <v>0</v>
      </c>
      <c r="BG77">
        <v>0</v>
      </c>
      <c r="BH77">
        <v>9966.25</v>
      </c>
      <c r="BI77">
        <v>1080.67</v>
      </c>
      <c r="BJ77">
        <v>1.5137799999999999</v>
      </c>
      <c r="BK77">
        <v>-44.3157</v>
      </c>
      <c r="BL77">
        <v>774.44799999999998</v>
      </c>
      <c r="BM77">
        <v>817.22699999999998</v>
      </c>
      <c r="BN77">
        <v>3.1454499999999999</v>
      </c>
      <c r="BO77">
        <v>800.04600000000005</v>
      </c>
      <c r="BP77">
        <v>21.023099999999999</v>
      </c>
      <c r="BQ77">
        <v>2.39303</v>
      </c>
      <c r="BR77">
        <v>2.0815800000000002</v>
      </c>
      <c r="BS77">
        <v>20.316700000000001</v>
      </c>
      <c r="BT77">
        <v>18.078900000000001</v>
      </c>
      <c r="BU77">
        <v>1799.99</v>
      </c>
      <c r="BV77">
        <v>0.91001299999999996</v>
      </c>
      <c r="BW77">
        <v>3.4005100000000003E-2</v>
      </c>
      <c r="BX77">
        <v>2.19928E-2</v>
      </c>
      <c r="BY77">
        <v>3.39888E-2</v>
      </c>
      <c r="BZ77">
        <v>25</v>
      </c>
      <c r="CA77">
        <v>33528.199999999997</v>
      </c>
      <c r="CB77">
        <v>1690232006</v>
      </c>
      <c r="CC77" t="s">
        <v>332</v>
      </c>
      <c r="CD77">
        <v>1690232006</v>
      </c>
      <c r="CE77">
        <v>1690231998.5</v>
      </c>
      <c r="CF77">
        <v>14</v>
      </c>
      <c r="CG77">
        <v>-0.13200000000000001</v>
      </c>
      <c r="CH77">
        <v>-7.0000000000000001E-3</v>
      </c>
      <c r="CI77">
        <v>-0.33800000000000002</v>
      </c>
      <c r="CJ77">
        <v>0.14299999999999999</v>
      </c>
      <c r="CK77">
        <v>799</v>
      </c>
      <c r="CL77">
        <v>19</v>
      </c>
      <c r="CM77">
        <v>7.0000000000000007E-2</v>
      </c>
      <c r="CN77">
        <v>0.14000000000000001</v>
      </c>
      <c r="CO77">
        <v>-41.970125000000003</v>
      </c>
      <c r="CP77">
        <v>-13.41417185741078</v>
      </c>
      <c r="CQ77">
        <v>1.2906009741105109</v>
      </c>
      <c r="CR77">
        <v>-1</v>
      </c>
      <c r="CS77">
        <v>3.04870375</v>
      </c>
      <c r="CT77">
        <v>0.56683598499061694</v>
      </c>
      <c r="CU77">
        <v>5.4687939149665347E-2</v>
      </c>
      <c r="CV77">
        <v>-1</v>
      </c>
      <c r="CW77">
        <v>0</v>
      </c>
      <c r="CX77">
        <v>0</v>
      </c>
      <c r="CY77" t="s">
        <v>333</v>
      </c>
      <c r="CZ77">
        <v>2.3649900000000001</v>
      </c>
      <c r="DA77">
        <v>2.7138100000000001</v>
      </c>
      <c r="DB77">
        <v>0.141265</v>
      </c>
      <c r="DC77">
        <v>0.14636199999999999</v>
      </c>
      <c r="DD77">
        <v>0.114496</v>
      </c>
      <c r="DE77">
        <v>0.102215</v>
      </c>
      <c r="DF77">
        <v>31376.9</v>
      </c>
      <c r="DG77">
        <v>27538.6</v>
      </c>
      <c r="DH77">
        <v>31191.9</v>
      </c>
      <c r="DI77">
        <v>28109.1</v>
      </c>
      <c r="DJ77">
        <v>37501.699999999997</v>
      </c>
      <c r="DK77">
        <v>35886.400000000001</v>
      </c>
      <c r="DL77">
        <v>44393.599999999999</v>
      </c>
      <c r="DM77">
        <v>42608.6</v>
      </c>
      <c r="DN77">
        <v>1.4759800000000001</v>
      </c>
      <c r="DO77">
        <v>2.0643500000000001</v>
      </c>
      <c r="DP77">
        <v>7.3984300000000003E-2</v>
      </c>
      <c r="DQ77">
        <v>0.22578999999999999</v>
      </c>
      <c r="DR77">
        <v>25.794499999999999</v>
      </c>
      <c r="DS77">
        <v>25.6037</v>
      </c>
      <c r="DT77">
        <v>56.4</v>
      </c>
      <c r="DU77">
        <v>28.9</v>
      </c>
      <c r="DV77">
        <v>22.7758</v>
      </c>
      <c r="DW77">
        <v>61.747999999999998</v>
      </c>
      <c r="DX77">
        <v>35.6691</v>
      </c>
      <c r="DY77">
        <v>1</v>
      </c>
      <c r="DZ77">
        <v>-0.108417</v>
      </c>
      <c r="EA77">
        <v>-0.24274000000000001</v>
      </c>
      <c r="EB77">
        <v>20.189599999999999</v>
      </c>
      <c r="EC77">
        <v>5.2411000000000003</v>
      </c>
      <c r="ED77">
        <v>12.039899999999999</v>
      </c>
      <c r="EE77">
        <v>5.0166000000000004</v>
      </c>
      <c r="EF77">
        <v>3.2879999999999998</v>
      </c>
      <c r="EG77">
        <v>9999</v>
      </c>
      <c r="EH77">
        <v>9999</v>
      </c>
      <c r="EI77">
        <v>9999</v>
      </c>
      <c r="EJ77">
        <v>999.9</v>
      </c>
      <c r="EK77">
        <v>1.8689</v>
      </c>
      <c r="EL77">
        <v>1.8646199999999999</v>
      </c>
      <c r="EM77">
        <v>1.86917</v>
      </c>
      <c r="EN77">
        <v>1.8672200000000001</v>
      </c>
      <c r="EO77">
        <v>1.8633900000000001</v>
      </c>
      <c r="EP77">
        <v>1.8644700000000001</v>
      </c>
      <c r="EQ77">
        <v>1.8701399999999999</v>
      </c>
      <c r="ER77">
        <v>1.8694</v>
      </c>
      <c r="ES77">
        <v>0</v>
      </c>
      <c r="ET77">
        <v>0</v>
      </c>
      <c r="EU77">
        <v>0</v>
      </c>
      <c r="EV77">
        <v>0</v>
      </c>
      <c r="EW77" t="s">
        <v>334</v>
      </c>
      <c r="EX77" t="s">
        <v>335</v>
      </c>
      <c r="EY77" t="s">
        <v>336</v>
      </c>
      <c r="EZ77" t="s">
        <v>336</v>
      </c>
      <c r="FA77" t="s">
        <v>336</v>
      </c>
      <c r="FB77" t="s">
        <v>336</v>
      </c>
      <c r="FC77">
        <v>0</v>
      </c>
      <c r="FD77">
        <v>100</v>
      </c>
      <c r="FE77">
        <v>100</v>
      </c>
      <c r="FF77">
        <v>-0.309</v>
      </c>
      <c r="FG77">
        <v>0.17199999999999999</v>
      </c>
      <c r="FH77">
        <v>0.2126736300064915</v>
      </c>
      <c r="FI77">
        <v>-6.1462078757559423E-4</v>
      </c>
      <c r="FJ77">
        <v>-1.8861989874597051E-7</v>
      </c>
      <c r="FK77">
        <v>1.1980462299894961E-10</v>
      </c>
      <c r="FL77">
        <v>0.1719881465068297</v>
      </c>
      <c r="FM77">
        <v>0</v>
      </c>
      <c r="FN77">
        <v>0</v>
      </c>
      <c r="FO77">
        <v>0</v>
      </c>
      <c r="FP77">
        <v>3</v>
      </c>
      <c r="FQ77">
        <v>2158</v>
      </c>
      <c r="FR77">
        <v>1</v>
      </c>
      <c r="FS77">
        <v>19</v>
      </c>
      <c r="FT77">
        <v>19.5</v>
      </c>
      <c r="FU77">
        <v>19.600000000000001</v>
      </c>
      <c r="FV77">
        <v>1.79321</v>
      </c>
      <c r="FW77">
        <v>2.5903299999999998</v>
      </c>
      <c r="FX77">
        <v>1.5490699999999999</v>
      </c>
      <c r="FY77">
        <v>2.3290999999999999</v>
      </c>
      <c r="FZ77">
        <v>1.50146</v>
      </c>
      <c r="GA77">
        <v>2.3327599999999999</v>
      </c>
      <c r="GB77">
        <v>33.602899999999998</v>
      </c>
      <c r="GC77">
        <v>23.982399999999998</v>
      </c>
      <c r="GD77">
        <v>19</v>
      </c>
      <c r="GE77">
        <v>282.00700000000001</v>
      </c>
      <c r="GF77">
        <v>604.46699999999998</v>
      </c>
      <c r="GG77">
        <v>25.284199999999998</v>
      </c>
      <c r="GH77">
        <v>26.059100000000001</v>
      </c>
      <c r="GI77">
        <v>30</v>
      </c>
      <c r="GJ77">
        <v>26.1752</v>
      </c>
      <c r="GK77">
        <v>26.154800000000002</v>
      </c>
      <c r="GL77">
        <v>35.856299999999997</v>
      </c>
      <c r="GM77">
        <v>16.298100000000002</v>
      </c>
      <c r="GN77">
        <v>100</v>
      </c>
      <c r="GO77">
        <v>25.2852</v>
      </c>
      <c r="GP77">
        <v>800</v>
      </c>
      <c r="GQ77">
        <v>20.8993</v>
      </c>
      <c r="GR77">
        <v>99.806899999999999</v>
      </c>
      <c r="GS77">
        <v>99.671700000000001</v>
      </c>
    </row>
    <row r="78" spans="1:201" x14ac:dyDescent="0.25">
      <c r="A78">
        <v>62</v>
      </c>
      <c r="B78">
        <v>1690233184.5999999</v>
      </c>
      <c r="C78">
        <v>678.5</v>
      </c>
      <c r="D78" t="s">
        <v>455</v>
      </c>
      <c r="E78" t="s">
        <v>456</v>
      </c>
      <c r="F78" t="s">
        <v>330</v>
      </c>
      <c r="H78">
        <v>1690233184.5999999</v>
      </c>
      <c r="I78">
        <f t="shared" si="0"/>
        <v>3.079537636909388E-4</v>
      </c>
      <c r="J78">
        <f t="shared" si="1"/>
        <v>0.3079537636909388</v>
      </c>
      <c r="K78">
        <f t="shared" si="2"/>
        <v>4.0888436173563498</v>
      </c>
      <c r="L78">
        <f t="shared" si="3"/>
        <v>753.42899999999997</v>
      </c>
      <c r="M78">
        <f t="shared" si="4"/>
        <v>366.00168492959313</v>
      </c>
      <c r="N78">
        <f t="shared" si="5"/>
        <v>36.273438422820981</v>
      </c>
      <c r="O78">
        <f t="shared" si="6"/>
        <v>74.670313178271002</v>
      </c>
      <c r="P78">
        <f t="shared" si="7"/>
        <v>1.7667434737370927E-2</v>
      </c>
      <c r="Q78">
        <f t="shared" si="8"/>
        <v>2.1285933331066786</v>
      </c>
      <c r="R78">
        <f t="shared" si="9"/>
        <v>1.7586371324547545E-2</v>
      </c>
      <c r="S78">
        <f t="shared" si="10"/>
        <v>1.0998734208736833E-2</v>
      </c>
      <c r="T78">
        <f t="shared" si="11"/>
        <v>276.11402482799997</v>
      </c>
      <c r="U78">
        <f t="shared" si="12"/>
        <v>29.230548305551135</v>
      </c>
      <c r="V78">
        <f t="shared" si="13"/>
        <v>29.230548305551135</v>
      </c>
      <c r="W78">
        <f t="shared" si="14"/>
        <v>4.0757394944276673</v>
      </c>
      <c r="X78">
        <f t="shared" si="15"/>
        <v>66.368137671005329</v>
      </c>
      <c r="Y78">
        <f t="shared" si="16"/>
        <v>2.3969496692346</v>
      </c>
      <c r="Z78">
        <f t="shared" si="17"/>
        <v>3.6115970002300823</v>
      </c>
      <c r="AA78">
        <f t="shared" si="18"/>
        <v>1.6787898251930673</v>
      </c>
      <c r="AB78">
        <f t="shared" si="19"/>
        <v>-13.580760978770401</v>
      </c>
      <c r="AC78">
        <f t="shared" si="20"/>
        <v>-238.33230732156042</v>
      </c>
      <c r="AD78">
        <f t="shared" si="21"/>
        <v>-24.453297078337968</v>
      </c>
      <c r="AE78">
        <f t="shared" si="22"/>
        <v>-0.25234055066883343</v>
      </c>
      <c r="AF78">
        <v>0</v>
      </c>
      <c r="AG78">
        <v>0</v>
      </c>
      <c r="AH78">
        <f t="shared" si="23"/>
        <v>1</v>
      </c>
      <c r="AI78">
        <f t="shared" si="24"/>
        <v>0</v>
      </c>
      <c r="AJ78">
        <f t="shared" si="25"/>
        <v>52262.653958528783</v>
      </c>
      <c r="AK78">
        <f t="shared" si="26"/>
        <v>1800</v>
      </c>
      <c r="AL78">
        <f t="shared" si="27"/>
        <v>1499.1122628000001</v>
      </c>
      <c r="AM78">
        <f t="shared" si="28"/>
        <v>0.832840146</v>
      </c>
      <c r="AN78">
        <f t="shared" si="29"/>
        <v>0.15339668045999999</v>
      </c>
      <c r="AO78">
        <v>32.4</v>
      </c>
      <c r="AP78">
        <v>0.5</v>
      </c>
      <c r="AQ78" t="s">
        <v>331</v>
      </c>
      <c r="AR78">
        <v>2</v>
      </c>
      <c r="AS78">
        <v>1690233184.5999999</v>
      </c>
      <c r="AT78">
        <v>753.42899999999997</v>
      </c>
      <c r="AU78">
        <v>800.06899999999996</v>
      </c>
      <c r="AV78">
        <v>24.185400000000001</v>
      </c>
      <c r="AW78">
        <v>20.941700000000001</v>
      </c>
      <c r="AX78">
        <v>753.73500000000001</v>
      </c>
      <c r="AY78">
        <v>24.013400000000001</v>
      </c>
      <c r="AZ78">
        <v>300.16300000000001</v>
      </c>
      <c r="BA78">
        <v>99.007199999999997</v>
      </c>
      <c r="BB78">
        <v>0.10009899999999999</v>
      </c>
      <c r="BC78">
        <v>27.153700000000001</v>
      </c>
      <c r="BD78">
        <v>27.011700000000001</v>
      </c>
      <c r="BE78">
        <v>29.334900000000001</v>
      </c>
      <c r="BF78">
        <v>0</v>
      </c>
      <c r="BG78">
        <v>0</v>
      </c>
      <c r="BH78">
        <v>9987.5</v>
      </c>
      <c r="BI78">
        <v>1080.69</v>
      </c>
      <c r="BJ78">
        <v>1.5137799999999999</v>
      </c>
      <c r="BK78">
        <v>-46.639600000000002</v>
      </c>
      <c r="BL78">
        <v>772.10299999999995</v>
      </c>
      <c r="BM78">
        <v>817.18200000000002</v>
      </c>
      <c r="BN78">
        <v>3.2437</v>
      </c>
      <c r="BO78">
        <v>800.06899999999996</v>
      </c>
      <c r="BP78">
        <v>20.941700000000001</v>
      </c>
      <c r="BQ78">
        <v>2.39453</v>
      </c>
      <c r="BR78">
        <v>2.0733799999999998</v>
      </c>
      <c r="BS78">
        <v>20.326799999999999</v>
      </c>
      <c r="BT78">
        <v>18.016200000000001</v>
      </c>
      <c r="BU78">
        <v>1800</v>
      </c>
      <c r="BV78">
        <v>0.91001500000000002</v>
      </c>
      <c r="BW78">
        <v>3.4001999999999998E-2</v>
      </c>
      <c r="BX78">
        <v>2.1990800000000001E-2</v>
      </c>
      <c r="BY78">
        <v>3.39922E-2</v>
      </c>
      <c r="BZ78">
        <v>25</v>
      </c>
      <c r="CA78">
        <v>33528.5</v>
      </c>
      <c r="CB78">
        <v>1690232006</v>
      </c>
      <c r="CC78" t="s">
        <v>332</v>
      </c>
      <c r="CD78">
        <v>1690232006</v>
      </c>
      <c r="CE78">
        <v>1690231998.5</v>
      </c>
      <c r="CF78">
        <v>14</v>
      </c>
      <c r="CG78">
        <v>-0.13200000000000001</v>
      </c>
      <c r="CH78">
        <v>-7.0000000000000001E-3</v>
      </c>
      <c r="CI78">
        <v>-0.33800000000000002</v>
      </c>
      <c r="CJ78">
        <v>0.14299999999999999</v>
      </c>
      <c r="CK78">
        <v>799</v>
      </c>
      <c r="CL78">
        <v>19</v>
      </c>
      <c r="CM78">
        <v>7.0000000000000007E-2</v>
      </c>
      <c r="CN78">
        <v>0.14000000000000001</v>
      </c>
      <c r="CO78">
        <v>-44.0282275</v>
      </c>
      <c r="CP78">
        <v>-13.979661163226989</v>
      </c>
      <c r="CQ78">
        <v>1.3450433468828249</v>
      </c>
      <c r="CR78">
        <v>-1</v>
      </c>
      <c r="CS78">
        <v>3.1376607500000002</v>
      </c>
      <c r="CT78">
        <v>0.58648941838648605</v>
      </c>
      <c r="CU78">
        <v>5.6562536691148337E-2</v>
      </c>
      <c r="CV78">
        <v>-1</v>
      </c>
      <c r="CW78">
        <v>0</v>
      </c>
      <c r="CX78">
        <v>0</v>
      </c>
      <c r="CY78" t="s">
        <v>333</v>
      </c>
      <c r="CZ78">
        <v>2.36463</v>
      </c>
      <c r="DA78">
        <v>2.7138800000000001</v>
      </c>
      <c r="DB78">
        <v>0.14096600000000001</v>
      </c>
      <c r="DC78">
        <v>0.14635400000000001</v>
      </c>
      <c r="DD78">
        <v>0.11454499999999999</v>
      </c>
      <c r="DE78">
        <v>0.10193000000000001</v>
      </c>
      <c r="DF78">
        <v>31387.8</v>
      </c>
      <c r="DG78">
        <v>27539.1</v>
      </c>
      <c r="DH78">
        <v>31191.9</v>
      </c>
      <c r="DI78">
        <v>28109.3</v>
      </c>
      <c r="DJ78">
        <v>37499.599999999999</v>
      </c>
      <c r="DK78">
        <v>35898</v>
      </c>
      <c r="DL78">
        <v>44393.8</v>
      </c>
      <c r="DM78">
        <v>42608.7</v>
      </c>
      <c r="DN78">
        <v>1.47618</v>
      </c>
      <c r="DO78">
        <v>2.0644499999999999</v>
      </c>
      <c r="DP78">
        <v>7.4356800000000001E-2</v>
      </c>
      <c r="DQ78">
        <v>0.228323</v>
      </c>
      <c r="DR78">
        <v>25.794499999999999</v>
      </c>
      <c r="DS78">
        <v>25.6037</v>
      </c>
      <c r="DT78">
        <v>56.4</v>
      </c>
      <c r="DU78">
        <v>28.9</v>
      </c>
      <c r="DV78">
        <v>22.779699999999998</v>
      </c>
      <c r="DW78">
        <v>62.008000000000003</v>
      </c>
      <c r="DX78">
        <v>35.865400000000001</v>
      </c>
      <c r="DY78">
        <v>1</v>
      </c>
      <c r="DZ78">
        <v>-0.108819</v>
      </c>
      <c r="EA78">
        <v>-9.9542500000000006E-2</v>
      </c>
      <c r="EB78">
        <v>20.189900000000002</v>
      </c>
      <c r="EC78">
        <v>5.2411000000000003</v>
      </c>
      <c r="ED78">
        <v>12.039899999999999</v>
      </c>
      <c r="EE78">
        <v>5.0170000000000003</v>
      </c>
      <c r="EF78">
        <v>3.2879999999999998</v>
      </c>
      <c r="EG78">
        <v>9999</v>
      </c>
      <c r="EH78">
        <v>9999</v>
      </c>
      <c r="EI78">
        <v>9999</v>
      </c>
      <c r="EJ78">
        <v>999.9</v>
      </c>
      <c r="EK78">
        <v>1.8689</v>
      </c>
      <c r="EL78">
        <v>1.8646199999999999</v>
      </c>
      <c r="EM78">
        <v>1.8692</v>
      </c>
      <c r="EN78">
        <v>1.8672200000000001</v>
      </c>
      <c r="EO78">
        <v>1.8633900000000001</v>
      </c>
      <c r="EP78">
        <v>1.8644700000000001</v>
      </c>
      <c r="EQ78">
        <v>1.87015</v>
      </c>
      <c r="ER78">
        <v>1.86937</v>
      </c>
      <c r="ES78">
        <v>0</v>
      </c>
      <c r="ET78">
        <v>0</v>
      </c>
      <c r="EU78">
        <v>0</v>
      </c>
      <c r="EV78">
        <v>0</v>
      </c>
      <c r="EW78" t="s">
        <v>334</v>
      </c>
      <c r="EX78" t="s">
        <v>335</v>
      </c>
      <c r="EY78" t="s">
        <v>336</v>
      </c>
      <c r="EZ78" t="s">
        <v>336</v>
      </c>
      <c r="FA78" t="s">
        <v>336</v>
      </c>
      <c r="FB78" t="s">
        <v>336</v>
      </c>
      <c r="FC78">
        <v>0</v>
      </c>
      <c r="FD78">
        <v>100</v>
      </c>
      <c r="FE78">
        <v>100</v>
      </c>
      <c r="FF78">
        <v>-0.30599999999999999</v>
      </c>
      <c r="FG78">
        <v>0.17199999999999999</v>
      </c>
      <c r="FH78">
        <v>0.2126736300064915</v>
      </c>
      <c r="FI78">
        <v>-6.1462078757559423E-4</v>
      </c>
      <c r="FJ78">
        <v>-1.8861989874597051E-7</v>
      </c>
      <c r="FK78">
        <v>1.1980462299894961E-10</v>
      </c>
      <c r="FL78">
        <v>0.1719881465068297</v>
      </c>
      <c r="FM78">
        <v>0</v>
      </c>
      <c r="FN78">
        <v>0</v>
      </c>
      <c r="FO78">
        <v>0</v>
      </c>
      <c r="FP78">
        <v>3</v>
      </c>
      <c r="FQ78">
        <v>2158</v>
      </c>
      <c r="FR78">
        <v>1</v>
      </c>
      <c r="FS78">
        <v>19</v>
      </c>
      <c r="FT78">
        <v>19.600000000000001</v>
      </c>
      <c r="FU78">
        <v>19.8</v>
      </c>
      <c r="FV78">
        <v>1.79321</v>
      </c>
      <c r="FW78">
        <v>2.5817899999999998</v>
      </c>
      <c r="FX78">
        <v>1.5490699999999999</v>
      </c>
      <c r="FY78">
        <v>2.3290999999999999</v>
      </c>
      <c r="FZ78">
        <v>1.50146</v>
      </c>
      <c r="GA78">
        <v>2.3840300000000001</v>
      </c>
      <c r="GB78">
        <v>33.602899999999998</v>
      </c>
      <c r="GC78">
        <v>23.991199999999999</v>
      </c>
      <c r="GD78">
        <v>19</v>
      </c>
      <c r="GE78">
        <v>282.08199999999999</v>
      </c>
      <c r="GF78">
        <v>604.52700000000004</v>
      </c>
      <c r="GG78">
        <v>25.228999999999999</v>
      </c>
      <c r="GH78">
        <v>26.055700000000002</v>
      </c>
      <c r="GI78">
        <v>29.9998</v>
      </c>
      <c r="GJ78">
        <v>26.172999999999998</v>
      </c>
      <c r="GK78">
        <v>26.152699999999999</v>
      </c>
      <c r="GL78">
        <v>35.851999999999997</v>
      </c>
      <c r="GM78">
        <v>16.848400000000002</v>
      </c>
      <c r="GN78">
        <v>100</v>
      </c>
      <c r="GO78">
        <v>25.228300000000001</v>
      </c>
      <c r="GP78">
        <v>800</v>
      </c>
      <c r="GQ78">
        <v>20.809699999999999</v>
      </c>
      <c r="GR78">
        <v>99.807100000000005</v>
      </c>
      <c r="GS78">
        <v>99.672200000000004</v>
      </c>
    </row>
    <row r="79" spans="1:201" x14ac:dyDescent="0.25">
      <c r="A79">
        <v>63</v>
      </c>
      <c r="B79">
        <v>1690233194.5999999</v>
      </c>
      <c r="C79">
        <v>688.5</v>
      </c>
      <c r="D79" t="s">
        <v>457</v>
      </c>
      <c r="E79" t="s">
        <v>458</v>
      </c>
      <c r="F79" t="s">
        <v>330</v>
      </c>
      <c r="H79">
        <v>1690233194.5999999</v>
      </c>
      <c r="I79">
        <f t="shared" si="0"/>
        <v>3.1787654033791756E-4</v>
      </c>
      <c r="J79">
        <f t="shared" si="1"/>
        <v>0.31787654033791757</v>
      </c>
      <c r="K79">
        <f t="shared" si="2"/>
        <v>4.3033676806999939</v>
      </c>
      <c r="L79">
        <f t="shared" si="3"/>
        <v>750.98099999999999</v>
      </c>
      <c r="M79">
        <f t="shared" si="4"/>
        <v>357.08874521962429</v>
      </c>
      <c r="N79">
        <f t="shared" si="5"/>
        <v>35.390980765848852</v>
      </c>
      <c r="O79">
        <f t="shared" si="6"/>
        <v>74.429548627110591</v>
      </c>
      <c r="P79">
        <f t="shared" si="7"/>
        <v>1.8269920017704395E-2</v>
      </c>
      <c r="Q79">
        <f t="shared" si="8"/>
        <v>2.1318986418048089</v>
      </c>
      <c r="R79">
        <f t="shared" si="9"/>
        <v>1.8183381902742449E-2</v>
      </c>
      <c r="S79">
        <f t="shared" si="10"/>
        <v>1.1372354533168991E-2</v>
      </c>
      <c r="T79">
        <f t="shared" si="11"/>
        <v>276.11340104413887</v>
      </c>
      <c r="U79">
        <f t="shared" si="12"/>
        <v>29.223564118862559</v>
      </c>
      <c r="V79">
        <f t="shared" si="13"/>
        <v>29.223564118862559</v>
      </c>
      <c r="W79">
        <f t="shared" si="14"/>
        <v>4.0740954101348104</v>
      </c>
      <c r="X79">
        <f t="shared" si="15"/>
        <v>66.401213283958072</v>
      </c>
      <c r="Y79">
        <f t="shared" si="16"/>
        <v>2.3980598158696003</v>
      </c>
      <c r="Z79">
        <f t="shared" si="17"/>
        <v>3.6114698772363392</v>
      </c>
      <c r="AA79">
        <f t="shared" si="18"/>
        <v>1.6760355942652101</v>
      </c>
      <c r="AB79">
        <f t="shared" si="19"/>
        <v>-14.018355428902165</v>
      </c>
      <c r="AC79">
        <f t="shared" si="20"/>
        <v>-237.96862698849293</v>
      </c>
      <c r="AD79">
        <f t="shared" si="21"/>
        <v>-24.377205630712137</v>
      </c>
      <c r="AE79">
        <f t="shared" si="22"/>
        <v>-0.25078700396835529</v>
      </c>
      <c r="AF79">
        <v>0</v>
      </c>
      <c r="AG79">
        <v>0</v>
      </c>
      <c r="AH79">
        <f t="shared" si="23"/>
        <v>1</v>
      </c>
      <c r="AI79">
        <f t="shared" si="24"/>
        <v>0</v>
      </c>
      <c r="AJ79">
        <f t="shared" si="25"/>
        <v>52405.153174612395</v>
      </c>
      <c r="AK79">
        <f t="shared" si="26"/>
        <v>1799.99</v>
      </c>
      <c r="AL79">
        <f t="shared" si="27"/>
        <v>1499.10225320788</v>
      </c>
      <c r="AM79">
        <f t="shared" si="28"/>
        <v>0.832839212</v>
      </c>
      <c r="AN79">
        <f t="shared" si="29"/>
        <v>0.15339718612000003</v>
      </c>
      <c r="AO79">
        <v>32.4</v>
      </c>
      <c r="AP79">
        <v>0.5</v>
      </c>
      <c r="AQ79" t="s">
        <v>331</v>
      </c>
      <c r="AR79">
        <v>2</v>
      </c>
      <c r="AS79">
        <v>1690233194.5999999</v>
      </c>
      <c r="AT79">
        <v>750.98099999999999</v>
      </c>
      <c r="AU79">
        <v>799.99599999999998</v>
      </c>
      <c r="AV79">
        <v>24.196000000000002</v>
      </c>
      <c r="AW79">
        <v>20.848700000000001</v>
      </c>
      <c r="AX79">
        <v>751.28599999999994</v>
      </c>
      <c r="AY79">
        <v>24.024000000000001</v>
      </c>
      <c r="AZ79">
        <v>300.24200000000002</v>
      </c>
      <c r="BA79">
        <v>99.009799999999998</v>
      </c>
      <c r="BB79">
        <v>9.9962599999999999E-2</v>
      </c>
      <c r="BC79">
        <v>27.153099999999998</v>
      </c>
      <c r="BD79">
        <v>26.987300000000001</v>
      </c>
      <c r="BE79">
        <v>29.3352</v>
      </c>
      <c r="BF79">
        <v>0</v>
      </c>
      <c r="BG79">
        <v>0</v>
      </c>
      <c r="BH79">
        <v>10015.6</v>
      </c>
      <c r="BI79">
        <v>1080.6600000000001</v>
      </c>
      <c r="BJ79">
        <v>1.5137799999999999</v>
      </c>
      <c r="BK79">
        <v>-49.015099999999997</v>
      </c>
      <c r="BL79">
        <v>769.60199999999998</v>
      </c>
      <c r="BM79">
        <v>817.03</v>
      </c>
      <c r="BN79">
        <v>3.3473799999999998</v>
      </c>
      <c r="BO79">
        <v>799.99599999999998</v>
      </c>
      <c r="BP79">
        <v>20.848700000000001</v>
      </c>
      <c r="BQ79">
        <v>2.3956499999999998</v>
      </c>
      <c r="BR79">
        <v>2.0642200000000002</v>
      </c>
      <c r="BS79">
        <v>20.334399999999999</v>
      </c>
      <c r="BT79">
        <v>17.945799999999998</v>
      </c>
      <c r="BU79">
        <v>1799.99</v>
      </c>
      <c r="BV79">
        <v>0.90999799999999997</v>
      </c>
      <c r="BW79">
        <v>3.40004E-2</v>
      </c>
      <c r="BX79">
        <v>2.1997599999999999E-2</v>
      </c>
      <c r="BY79">
        <v>3.4003600000000002E-2</v>
      </c>
      <c r="BZ79">
        <v>25</v>
      </c>
      <c r="CA79">
        <v>33528.199999999997</v>
      </c>
      <c r="CB79">
        <v>1690232006</v>
      </c>
      <c r="CC79" t="s">
        <v>332</v>
      </c>
      <c r="CD79">
        <v>1690232006</v>
      </c>
      <c r="CE79">
        <v>1690231998.5</v>
      </c>
      <c r="CF79">
        <v>14</v>
      </c>
      <c r="CG79">
        <v>-0.13200000000000001</v>
      </c>
      <c r="CH79">
        <v>-7.0000000000000001E-3</v>
      </c>
      <c r="CI79">
        <v>-0.33800000000000002</v>
      </c>
      <c r="CJ79">
        <v>0.14299999999999999</v>
      </c>
      <c r="CK79">
        <v>799</v>
      </c>
      <c r="CL79">
        <v>19</v>
      </c>
      <c r="CM79">
        <v>7.0000000000000007E-2</v>
      </c>
      <c r="CN79">
        <v>0.14000000000000001</v>
      </c>
      <c r="CO79">
        <v>-46.600507500000013</v>
      </c>
      <c r="CP79">
        <v>-14.022302814258831</v>
      </c>
      <c r="CQ79">
        <v>1.349131980272408</v>
      </c>
      <c r="CR79">
        <v>-1</v>
      </c>
      <c r="CS79">
        <v>3.24507725</v>
      </c>
      <c r="CT79">
        <v>0.58591170731707032</v>
      </c>
      <c r="CU79">
        <v>5.6536033199522398E-2</v>
      </c>
      <c r="CV79">
        <v>-1</v>
      </c>
      <c r="CW79">
        <v>0</v>
      </c>
      <c r="CX79">
        <v>0</v>
      </c>
      <c r="CY79" t="s">
        <v>333</v>
      </c>
      <c r="CZ79">
        <v>2.3648799999999999</v>
      </c>
      <c r="DA79">
        <v>2.7137699999999998</v>
      </c>
      <c r="DB79">
        <v>0.14066100000000001</v>
      </c>
      <c r="DC79">
        <v>0.14634800000000001</v>
      </c>
      <c r="DD79">
        <v>0.11458400000000001</v>
      </c>
      <c r="DE79">
        <v>0.10161299999999999</v>
      </c>
      <c r="DF79">
        <v>31399.7</v>
      </c>
      <c r="DG79">
        <v>27539.8</v>
      </c>
      <c r="DH79">
        <v>31192.6</v>
      </c>
      <c r="DI79">
        <v>28109.9</v>
      </c>
      <c r="DJ79">
        <v>37498.699999999997</v>
      </c>
      <c r="DK79">
        <v>35911.5</v>
      </c>
      <c r="DL79">
        <v>44394.7</v>
      </c>
      <c r="DM79">
        <v>42609.7</v>
      </c>
      <c r="DN79">
        <v>1.4758800000000001</v>
      </c>
      <c r="DO79">
        <v>2.0642800000000001</v>
      </c>
      <c r="DP79">
        <v>7.2866700000000006E-2</v>
      </c>
      <c r="DQ79">
        <v>0.22824900000000001</v>
      </c>
      <c r="DR79">
        <v>25.794499999999999</v>
      </c>
      <c r="DS79">
        <v>25.6052</v>
      </c>
      <c r="DT79">
        <v>56.4</v>
      </c>
      <c r="DU79">
        <v>28.9</v>
      </c>
      <c r="DV79">
        <v>22.777000000000001</v>
      </c>
      <c r="DW79">
        <v>61.548000000000002</v>
      </c>
      <c r="DX79">
        <v>36.021599999999999</v>
      </c>
      <c r="DY79">
        <v>1</v>
      </c>
      <c r="DZ79">
        <v>-0.108862</v>
      </c>
      <c r="EA79">
        <v>-0.169651</v>
      </c>
      <c r="EB79">
        <v>20.189800000000002</v>
      </c>
      <c r="EC79">
        <v>5.24125</v>
      </c>
      <c r="ED79">
        <v>12.039899999999999</v>
      </c>
      <c r="EE79">
        <v>5.0168999999999997</v>
      </c>
      <c r="EF79">
        <v>3.2879999999999998</v>
      </c>
      <c r="EG79">
        <v>9999</v>
      </c>
      <c r="EH79">
        <v>9999</v>
      </c>
      <c r="EI79">
        <v>9999</v>
      </c>
      <c r="EJ79">
        <v>999.9</v>
      </c>
      <c r="EK79">
        <v>1.8689</v>
      </c>
      <c r="EL79">
        <v>1.86463</v>
      </c>
      <c r="EM79">
        <v>1.8692</v>
      </c>
      <c r="EN79">
        <v>1.8672200000000001</v>
      </c>
      <c r="EO79">
        <v>1.8633999999999999</v>
      </c>
      <c r="EP79">
        <v>1.8644799999999999</v>
      </c>
      <c r="EQ79">
        <v>1.87015</v>
      </c>
      <c r="ER79">
        <v>1.8694200000000001</v>
      </c>
      <c r="ES79">
        <v>0</v>
      </c>
      <c r="ET79">
        <v>0</v>
      </c>
      <c r="EU79">
        <v>0</v>
      </c>
      <c r="EV79">
        <v>0</v>
      </c>
      <c r="EW79" t="s">
        <v>334</v>
      </c>
      <c r="EX79" t="s">
        <v>335</v>
      </c>
      <c r="EY79" t="s">
        <v>336</v>
      </c>
      <c r="EZ79" t="s">
        <v>336</v>
      </c>
      <c r="FA79" t="s">
        <v>336</v>
      </c>
      <c r="FB79" t="s">
        <v>336</v>
      </c>
      <c r="FC79">
        <v>0</v>
      </c>
      <c r="FD79">
        <v>100</v>
      </c>
      <c r="FE79">
        <v>100</v>
      </c>
      <c r="FF79">
        <v>-0.30499999999999999</v>
      </c>
      <c r="FG79">
        <v>0.17199999999999999</v>
      </c>
      <c r="FH79">
        <v>0.2126736300064915</v>
      </c>
      <c r="FI79">
        <v>-6.1462078757559423E-4</v>
      </c>
      <c r="FJ79">
        <v>-1.8861989874597051E-7</v>
      </c>
      <c r="FK79">
        <v>1.1980462299894961E-10</v>
      </c>
      <c r="FL79">
        <v>0.1719881465068297</v>
      </c>
      <c r="FM79">
        <v>0</v>
      </c>
      <c r="FN79">
        <v>0</v>
      </c>
      <c r="FO79">
        <v>0</v>
      </c>
      <c r="FP79">
        <v>3</v>
      </c>
      <c r="FQ79">
        <v>2158</v>
      </c>
      <c r="FR79">
        <v>1</v>
      </c>
      <c r="FS79">
        <v>19</v>
      </c>
      <c r="FT79">
        <v>19.8</v>
      </c>
      <c r="FU79">
        <v>19.899999999999999</v>
      </c>
      <c r="FV79">
        <v>1.79321</v>
      </c>
      <c r="FW79">
        <v>2.5878899999999998</v>
      </c>
      <c r="FX79">
        <v>1.5490699999999999</v>
      </c>
      <c r="FY79">
        <v>2.3290999999999999</v>
      </c>
      <c r="FZ79">
        <v>1.50146</v>
      </c>
      <c r="GA79">
        <v>2.3535200000000001</v>
      </c>
      <c r="GB79">
        <v>33.602899999999998</v>
      </c>
      <c r="GC79">
        <v>23.982399999999998</v>
      </c>
      <c r="GD79">
        <v>19</v>
      </c>
      <c r="GE79">
        <v>281.94</v>
      </c>
      <c r="GF79">
        <v>604.35299999999995</v>
      </c>
      <c r="GG79">
        <v>25.214600000000001</v>
      </c>
      <c r="GH79">
        <v>26.052499999999998</v>
      </c>
      <c r="GI79">
        <v>30.0001</v>
      </c>
      <c r="GJ79">
        <v>26.169599999999999</v>
      </c>
      <c r="GK79">
        <v>26.150500000000001</v>
      </c>
      <c r="GL79">
        <v>35.8489</v>
      </c>
      <c r="GM79">
        <v>17.4086</v>
      </c>
      <c r="GN79">
        <v>100</v>
      </c>
      <c r="GO79">
        <v>25.223600000000001</v>
      </c>
      <c r="GP79">
        <v>800</v>
      </c>
      <c r="GQ79">
        <v>20.718699999999998</v>
      </c>
      <c r="GR79">
        <v>99.809200000000004</v>
      </c>
      <c r="GS79">
        <v>99.674300000000002</v>
      </c>
    </row>
    <row r="80" spans="1:201" x14ac:dyDescent="0.25">
      <c r="A80">
        <v>64</v>
      </c>
      <c r="B80">
        <v>1690233204.5999999</v>
      </c>
      <c r="C80">
        <v>698.5</v>
      </c>
      <c r="D80" t="s">
        <v>459</v>
      </c>
      <c r="E80" t="s">
        <v>460</v>
      </c>
      <c r="F80" t="s">
        <v>330</v>
      </c>
      <c r="H80">
        <v>1690233204.5999999</v>
      </c>
      <c r="I80">
        <f t="shared" si="0"/>
        <v>3.2811826612611205E-4</v>
      </c>
      <c r="J80">
        <f t="shared" si="1"/>
        <v>0.32811826612611206</v>
      </c>
      <c r="K80">
        <f t="shared" si="2"/>
        <v>4.529495879901404</v>
      </c>
      <c r="L80">
        <f t="shared" si="3"/>
        <v>748.50199999999995</v>
      </c>
      <c r="M80">
        <f t="shared" si="4"/>
        <v>348.22047764900748</v>
      </c>
      <c r="N80">
        <f t="shared" si="5"/>
        <v>34.510319957580215</v>
      </c>
      <c r="O80">
        <f t="shared" si="6"/>
        <v>74.180139213195204</v>
      </c>
      <c r="P80">
        <f t="shared" si="7"/>
        <v>1.8903889877929882E-2</v>
      </c>
      <c r="Q80">
        <f t="shared" si="8"/>
        <v>2.1300240148068497</v>
      </c>
      <c r="R80">
        <f t="shared" si="9"/>
        <v>1.8811177123987891E-2</v>
      </c>
      <c r="S80">
        <f t="shared" si="10"/>
        <v>1.176527757548035E-2</v>
      </c>
      <c r="T80">
        <f t="shared" si="11"/>
        <v>276.11502747910305</v>
      </c>
      <c r="U80">
        <f t="shared" si="12"/>
        <v>29.213575925247603</v>
      </c>
      <c r="V80">
        <f t="shared" si="13"/>
        <v>29.213575925247603</v>
      </c>
      <c r="W80">
        <f t="shared" si="14"/>
        <v>4.0717451844759172</v>
      </c>
      <c r="X80">
        <f t="shared" si="15"/>
        <v>66.473374464133542</v>
      </c>
      <c r="Y80">
        <f t="shared" si="16"/>
        <v>2.3995253594912</v>
      </c>
      <c r="Z80">
        <f t="shared" si="17"/>
        <v>3.6097540990429051</v>
      </c>
      <c r="AA80">
        <f t="shared" si="18"/>
        <v>1.6722198249847171</v>
      </c>
      <c r="AB80">
        <f t="shared" si="19"/>
        <v>-14.470015536161542</v>
      </c>
      <c r="AC80">
        <f t="shared" si="20"/>
        <v>-237.54254720739343</v>
      </c>
      <c r="AD80">
        <f t="shared" si="21"/>
        <v>-24.352780001164803</v>
      </c>
      <c r="AE80">
        <f t="shared" si="22"/>
        <v>-0.25031526561673445</v>
      </c>
      <c r="AF80">
        <v>0</v>
      </c>
      <c r="AG80">
        <v>0</v>
      </c>
      <c r="AH80">
        <f t="shared" si="23"/>
        <v>1</v>
      </c>
      <c r="AI80">
        <f t="shared" si="24"/>
        <v>0</v>
      </c>
      <c r="AJ80">
        <f t="shared" si="25"/>
        <v>52325.699918982275</v>
      </c>
      <c r="AK80">
        <f t="shared" si="26"/>
        <v>1799.99</v>
      </c>
      <c r="AL80">
        <f t="shared" si="27"/>
        <v>1499.1021596083999</v>
      </c>
      <c r="AM80">
        <f t="shared" si="28"/>
        <v>0.83283915999999991</v>
      </c>
      <c r="AN80">
        <f t="shared" si="29"/>
        <v>0.15339808970000002</v>
      </c>
      <c r="AO80">
        <v>32.4</v>
      </c>
      <c r="AP80">
        <v>0.5</v>
      </c>
      <c r="AQ80" t="s">
        <v>331</v>
      </c>
      <c r="AR80">
        <v>2</v>
      </c>
      <c r="AS80">
        <v>1690233204.5999999</v>
      </c>
      <c r="AT80">
        <v>748.50199999999995</v>
      </c>
      <c r="AU80">
        <v>800.04499999999996</v>
      </c>
      <c r="AV80">
        <v>24.212</v>
      </c>
      <c r="AW80">
        <v>20.756</v>
      </c>
      <c r="AX80">
        <v>748.80499999999995</v>
      </c>
      <c r="AY80">
        <v>24.040099999999999</v>
      </c>
      <c r="AZ80">
        <v>300.16300000000001</v>
      </c>
      <c r="BA80">
        <v>99.004900000000006</v>
      </c>
      <c r="BB80">
        <v>9.9897600000000003E-2</v>
      </c>
      <c r="BC80">
        <v>27.145</v>
      </c>
      <c r="BD80">
        <v>26.988099999999999</v>
      </c>
      <c r="BE80">
        <v>29.331</v>
      </c>
      <c r="BF80">
        <v>0</v>
      </c>
      <c r="BG80">
        <v>0</v>
      </c>
      <c r="BH80">
        <v>10000</v>
      </c>
      <c r="BI80">
        <v>1080.6199999999999</v>
      </c>
      <c r="BJ80">
        <v>1.5137799999999999</v>
      </c>
      <c r="BK80">
        <v>-51.542499999999997</v>
      </c>
      <c r="BL80">
        <v>767.07500000000005</v>
      </c>
      <c r="BM80">
        <v>817.00300000000004</v>
      </c>
      <c r="BN80">
        <v>3.4560200000000001</v>
      </c>
      <c r="BO80">
        <v>800.04499999999996</v>
      </c>
      <c r="BP80">
        <v>20.756</v>
      </c>
      <c r="BQ80">
        <v>2.3971100000000001</v>
      </c>
      <c r="BR80">
        <v>2.0549499999999998</v>
      </c>
      <c r="BS80">
        <v>20.3443</v>
      </c>
      <c r="BT80">
        <v>17.874199999999998</v>
      </c>
      <c r="BU80">
        <v>1799.99</v>
      </c>
      <c r="BV80">
        <v>0.90998000000000001</v>
      </c>
      <c r="BW80">
        <v>3.3997899999999998E-2</v>
      </c>
      <c r="BX80">
        <v>2.2009000000000001E-2</v>
      </c>
      <c r="BY80">
        <v>3.4012800000000003E-2</v>
      </c>
      <c r="BZ80">
        <v>25</v>
      </c>
      <c r="CA80">
        <v>33528.1</v>
      </c>
      <c r="CB80">
        <v>1690232006</v>
      </c>
      <c r="CC80" t="s">
        <v>332</v>
      </c>
      <c r="CD80">
        <v>1690232006</v>
      </c>
      <c r="CE80">
        <v>1690231998.5</v>
      </c>
      <c r="CF80">
        <v>14</v>
      </c>
      <c r="CG80">
        <v>-0.13200000000000001</v>
      </c>
      <c r="CH80">
        <v>-7.0000000000000001E-3</v>
      </c>
      <c r="CI80">
        <v>-0.33800000000000002</v>
      </c>
      <c r="CJ80">
        <v>0.14299999999999999</v>
      </c>
      <c r="CK80">
        <v>799</v>
      </c>
      <c r="CL80">
        <v>19</v>
      </c>
      <c r="CM80">
        <v>7.0000000000000007E-2</v>
      </c>
      <c r="CN80">
        <v>0.14000000000000001</v>
      </c>
      <c r="CO80">
        <v>-48.759625</v>
      </c>
      <c r="CP80">
        <v>-14.79929155722324</v>
      </c>
      <c r="CQ80">
        <v>1.424088742450764</v>
      </c>
      <c r="CR80">
        <v>-1</v>
      </c>
      <c r="CS80">
        <v>3.3344252499999998</v>
      </c>
      <c r="CT80">
        <v>0.6356556472795345</v>
      </c>
      <c r="CU80">
        <v>6.1308390697664687E-2</v>
      </c>
      <c r="CV80">
        <v>-1</v>
      </c>
      <c r="CW80">
        <v>0</v>
      </c>
      <c r="CX80">
        <v>0</v>
      </c>
      <c r="CY80" t="s">
        <v>333</v>
      </c>
      <c r="CZ80">
        <v>2.36463</v>
      </c>
      <c r="DA80">
        <v>2.7136900000000002</v>
      </c>
      <c r="DB80">
        <v>0.14034199999999999</v>
      </c>
      <c r="DC80">
        <v>0.146346</v>
      </c>
      <c r="DD80">
        <v>0.114632</v>
      </c>
      <c r="DE80">
        <v>0.101289</v>
      </c>
      <c r="DF80">
        <v>31411.3</v>
      </c>
      <c r="DG80">
        <v>27539.9</v>
      </c>
      <c r="DH80">
        <v>31192.6</v>
      </c>
      <c r="DI80">
        <v>28109.9</v>
      </c>
      <c r="DJ80">
        <v>37496.699999999997</v>
      </c>
      <c r="DK80">
        <v>35924.400000000001</v>
      </c>
      <c r="DL80">
        <v>44394.8</v>
      </c>
      <c r="DM80">
        <v>42609.599999999999</v>
      </c>
      <c r="DN80">
        <v>1.4759800000000001</v>
      </c>
      <c r="DO80">
        <v>2.0640700000000001</v>
      </c>
      <c r="DP80">
        <v>7.3052900000000004E-2</v>
      </c>
      <c r="DQ80">
        <v>0.22795099999999999</v>
      </c>
      <c r="DR80">
        <v>25.792300000000001</v>
      </c>
      <c r="DS80">
        <v>25.605899999999998</v>
      </c>
      <c r="DT80">
        <v>56.4</v>
      </c>
      <c r="DU80">
        <v>28.9</v>
      </c>
      <c r="DV80">
        <v>22.7774</v>
      </c>
      <c r="DW80">
        <v>61.808</v>
      </c>
      <c r="DX80">
        <v>35.4407</v>
      </c>
      <c r="DY80">
        <v>1</v>
      </c>
      <c r="DZ80">
        <v>-0.108941</v>
      </c>
      <c r="EA80">
        <v>-0.22040299999999999</v>
      </c>
      <c r="EB80">
        <v>20.189699999999998</v>
      </c>
      <c r="EC80">
        <v>5.24125</v>
      </c>
      <c r="ED80">
        <v>12.039899999999999</v>
      </c>
      <c r="EE80">
        <v>5.0168999999999997</v>
      </c>
      <c r="EF80">
        <v>3.2879999999999998</v>
      </c>
      <c r="EG80">
        <v>9999</v>
      </c>
      <c r="EH80">
        <v>9999</v>
      </c>
      <c r="EI80">
        <v>9999</v>
      </c>
      <c r="EJ80">
        <v>999.9</v>
      </c>
      <c r="EK80">
        <v>1.8689</v>
      </c>
      <c r="EL80">
        <v>1.8646199999999999</v>
      </c>
      <c r="EM80">
        <v>1.8692</v>
      </c>
      <c r="EN80">
        <v>1.8672200000000001</v>
      </c>
      <c r="EO80">
        <v>1.8633999999999999</v>
      </c>
      <c r="EP80">
        <v>1.8644700000000001</v>
      </c>
      <c r="EQ80">
        <v>1.8701399999999999</v>
      </c>
      <c r="ER80">
        <v>1.86941</v>
      </c>
      <c r="ES80">
        <v>0</v>
      </c>
      <c r="ET80">
        <v>0</v>
      </c>
      <c r="EU80">
        <v>0</v>
      </c>
      <c r="EV80">
        <v>0</v>
      </c>
      <c r="EW80" t="s">
        <v>334</v>
      </c>
      <c r="EX80" t="s">
        <v>335</v>
      </c>
      <c r="EY80" t="s">
        <v>336</v>
      </c>
      <c r="EZ80" t="s">
        <v>336</v>
      </c>
      <c r="FA80" t="s">
        <v>336</v>
      </c>
      <c r="FB80" t="s">
        <v>336</v>
      </c>
      <c r="FC80">
        <v>0</v>
      </c>
      <c r="FD80">
        <v>100</v>
      </c>
      <c r="FE80">
        <v>100</v>
      </c>
      <c r="FF80">
        <v>-0.30299999999999999</v>
      </c>
      <c r="FG80">
        <v>0.1719</v>
      </c>
      <c r="FH80">
        <v>0.2126736300064915</v>
      </c>
      <c r="FI80">
        <v>-6.1462078757559423E-4</v>
      </c>
      <c r="FJ80">
        <v>-1.8861989874597051E-7</v>
      </c>
      <c r="FK80">
        <v>1.1980462299894961E-10</v>
      </c>
      <c r="FL80">
        <v>0.1719881465068297</v>
      </c>
      <c r="FM80">
        <v>0</v>
      </c>
      <c r="FN80">
        <v>0</v>
      </c>
      <c r="FO80">
        <v>0</v>
      </c>
      <c r="FP80">
        <v>3</v>
      </c>
      <c r="FQ80">
        <v>2158</v>
      </c>
      <c r="FR80">
        <v>1</v>
      </c>
      <c r="FS80">
        <v>19</v>
      </c>
      <c r="FT80">
        <v>20</v>
      </c>
      <c r="FU80">
        <v>20.100000000000001</v>
      </c>
      <c r="FV80">
        <v>1.79321</v>
      </c>
      <c r="FW80">
        <v>2.5817899999999998</v>
      </c>
      <c r="FX80">
        <v>1.5490699999999999</v>
      </c>
      <c r="FY80">
        <v>2.3290999999999999</v>
      </c>
      <c r="FZ80">
        <v>1.50146</v>
      </c>
      <c r="GA80">
        <v>2.34375</v>
      </c>
      <c r="GB80">
        <v>33.602899999999998</v>
      </c>
      <c r="GC80">
        <v>23.982399999999998</v>
      </c>
      <c r="GD80">
        <v>19</v>
      </c>
      <c r="GE80">
        <v>281.97300000000001</v>
      </c>
      <c r="GF80">
        <v>604.15700000000004</v>
      </c>
      <c r="GG80">
        <v>25.229299999999999</v>
      </c>
      <c r="GH80">
        <v>26.049700000000001</v>
      </c>
      <c r="GI80">
        <v>30</v>
      </c>
      <c r="GJ80">
        <v>26.1675</v>
      </c>
      <c r="GK80">
        <v>26.148299999999999</v>
      </c>
      <c r="GL80">
        <v>35.844200000000001</v>
      </c>
      <c r="GM80">
        <v>17.986899999999999</v>
      </c>
      <c r="GN80">
        <v>100</v>
      </c>
      <c r="GO80">
        <v>25.235600000000002</v>
      </c>
      <c r="GP80">
        <v>800</v>
      </c>
      <c r="GQ80">
        <v>20.6233</v>
      </c>
      <c r="GR80">
        <v>99.809299999999993</v>
      </c>
      <c r="GS80">
        <v>99.674300000000002</v>
      </c>
    </row>
    <row r="81" spans="1:201" x14ac:dyDescent="0.25">
      <c r="A81">
        <v>65</v>
      </c>
      <c r="B81">
        <v>1690233214.5999999</v>
      </c>
      <c r="C81">
        <v>708.5</v>
      </c>
      <c r="D81" t="s">
        <v>461</v>
      </c>
      <c r="E81" t="s">
        <v>462</v>
      </c>
      <c r="F81" t="s">
        <v>330</v>
      </c>
      <c r="H81">
        <v>1690233214.5999999</v>
      </c>
      <c r="I81">
        <f t="shared" ref="I81:I144" si="30">(J81)/1000</f>
        <v>3.3923599888567102E-4</v>
      </c>
      <c r="J81">
        <f t="shared" ref="J81:J144" si="31">1000*AZ81*AH81*(AV81-AW81)/(100*AO81*(1000-AH81*AV81))</f>
        <v>0.33923599888567102</v>
      </c>
      <c r="K81">
        <f t="shared" ref="K81:K144" si="32">AZ81*AH81*(AU81-AT81*(1000-AH81*AW81)/(1000-AH81*AV81))/(100*AO81)</f>
        <v>4.7559247784258076</v>
      </c>
      <c r="L81">
        <f t="shared" ref="L81:L144" si="33">AT81 - IF(AH81&gt;1, K81*AO81*100/(AJ81*BH81), 0)</f>
        <v>745.92100000000005</v>
      </c>
      <c r="M81">
        <f t="shared" ref="M81:M144" si="34">((S81-I81/2)*L81-K81)/(S81+I81/2)</f>
        <v>341.02858717766895</v>
      </c>
      <c r="N81">
        <f t="shared" ref="N81:N144" si="35">M81*(BA81+BB81)/1000</f>
        <v>33.798815601645828</v>
      </c>
      <c r="O81">
        <f t="shared" ref="O81:O144" si="36">(AT81 - IF(AH81&gt;1, K81*AO81*100/(AJ81*BH81), 0))*(BA81+BB81)/1000</f>
        <v>73.927076146436704</v>
      </c>
      <c r="P81">
        <f t="shared" ref="P81:P144" si="37">2/((1/R81-1/Q81)+SIGN(R81)*SQRT((1/R81-1/Q81)*(1/R81-1/Q81) + 4*AP81/((AP81+1)*(AP81+1))*(2*1/R81*1/Q81-1/Q81*1/Q81)))</f>
        <v>1.9607645837770582E-2</v>
      </c>
      <c r="Q81">
        <f t="shared" ref="Q81:Q144" si="38">IF(LEFT(AQ81,1)&lt;&gt;"0",IF(LEFT(AQ81,1)="1",3,AR81),$D$5+$E$5*(BH81*BA81/($K$5*1000))+$F$5*(BH81*BA81/($K$5*1000))*MAX(MIN(AO81,$J$5),$I$5)*MAX(MIN(AO81,$J$5),$I$5)+$G$5*MAX(MIN(AO81,$J$5),$I$5)*(BH81*BA81/($K$5*1000))+$H$5*(BH81*BA81/($K$5*1000))*(BH81*BA81/($K$5*1000)))</f>
        <v>2.1349406221642915</v>
      </c>
      <c r="R81">
        <f t="shared" ref="R81:R144" si="39">I81*(1000-(1000*0.61365*EXP(17.502*V81/(240.97+V81))/(BA81+BB81)+AV81)/2)/(1000*0.61365*EXP(17.502*V81/(240.97+V81))/(BA81+BB81)-AV81)</f>
        <v>1.950814960491257E-2</v>
      </c>
      <c r="S81">
        <f t="shared" ref="S81:S144" si="40">1/((AP81+1)/(P81/1.6)+1/(Q81/1.37)) + AP81/((AP81+1)/(P81/1.6) + AP81/(Q81/1.37))</f>
        <v>1.2201490658867754E-2</v>
      </c>
      <c r="T81">
        <f t="shared" ref="T81:T144" si="41">(AK81*AN81)</f>
        <v>276.11630368200002</v>
      </c>
      <c r="U81">
        <f t="shared" ref="U81:U144" si="42">(BC81+(T81+2*0.95*0.0000000567*(((BC81+$B$7)+273)^4-(BC81+273)^4)-44100*I81)/(1.84*29.3*Q81+8*0.95*0.0000000567*(BC81+273)^3))</f>
        <v>29.200301628325661</v>
      </c>
      <c r="V81">
        <f t="shared" ref="V81:V144" si="43">($C$7*BD81+$D$7*BE81+$E$7*U81)</f>
        <v>29.200301628325661</v>
      </c>
      <c r="W81">
        <f t="shared" ref="W81:W144" si="44">0.61365*EXP(17.502*V81/(240.97+V81))</f>
        <v>4.0686235669273669</v>
      </c>
      <c r="X81">
        <f t="shared" ref="X81:X144" si="45">(Y81/Z81*100)</f>
        <v>66.546253451585258</v>
      </c>
      <c r="Y81">
        <f t="shared" ref="Y81:Y144" si="46">AV81*(BA81+BB81)/1000</f>
        <v>2.4014374523020803</v>
      </c>
      <c r="Z81">
        <f t="shared" ref="Z81:Z144" si="47">0.61365*EXP(17.502*BC81/(240.97+BC81))</f>
        <v>3.6086741593186917</v>
      </c>
      <c r="AA81">
        <f t="shared" ref="AA81:AA144" si="48">(W81-AV81*(BA81+BB81)/1000)</f>
        <v>1.6671861146252867</v>
      </c>
      <c r="AB81">
        <f t="shared" ref="AB81:AB144" si="49">(-I81*44100)</f>
        <v>-14.960307550858092</v>
      </c>
      <c r="AC81">
        <f t="shared" ref="AC81:AC144" si="50">2*29.3*Q81*0.92*(BC81-V81)</f>
        <v>-237.14999975962172</v>
      </c>
      <c r="AD81">
        <f t="shared" ref="AD81:AD144" si="51">2*0.95*0.0000000567*(((BC81+$B$7)+273)^4-(V81+273)^4)</f>
        <v>-24.254324303434949</v>
      </c>
      <c r="AE81">
        <f t="shared" ref="AE81:AE144" si="52">T81+AD81+AB81+AC81</f>
        <v>-0.24832793191473002</v>
      </c>
      <c r="AF81">
        <v>0</v>
      </c>
      <c r="AG81">
        <v>0</v>
      </c>
      <c r="AH81">
        <f t="shared" ref="AH81:AH144" si="53">IF(AF81*$H$13&gt;=AJ81,1,(AJ81/(AJ81-AF81*$H$13)))</f>
        <v>1</v>
      </c>
      <c r="AI81">
        <f t="shared" ref="AI81:AI144" si="54">(AH81-1)*100</f>
        <v>0</v>
      </c>
      <c r="AJ81">
        <f t="shared" ref="AJ81:AJ144" si="55">MAX(0,($B$13+$C$13*BH81)/(1+$D$13*BH81)*BA81/(BC81+273)*$E$13)</f>
        <v>52538.657979718584</v>
      </c>
      <c r="AK81">
        <f t="shared" ref="AK81:AK144" si="56">$B$11*BI81+$C$11*BJ81+$D$11*BU81</f>
        <v>1800</v>
      </c>
      <c r="AL81">
        <f t="shared" ref="AL81:AL144" si="57">AK81*AM81</f>
        <v>1499.1110532</v>
      </c>
      <c r="AM81">
        <f t="shared" ref="AM81:AM144" si="58">($B$11*$D$9+$C$11*$D$9+$D$11*(BV81*$E$9+BW81*$F$9+BX81*$G$9+BY81*$H$9))/($B$11+$C$11+$D$11)</f>
        <v>0.83283947400000002</v>
      </c>
      <c r="AN81">
        <f t="shared" ref="AN81:AN144" si="59">($B$11*$K$9+$C$11*$K$9+$D$11*(BV81*$L$9+BW81*$M$9+BX81*$N$9+BY81*$O$9))/($B$11+$C$11+$D$11)</f>
        <v>0.15339794649000002</v>
      </c>
      <c r="AO81">
        <v>32.4</v>
      </c>
      <c r="AP81">
        <v>0.5</v>
      </c>
      <c r="AQ81" t="s">
        <v>331</v>
      </c>
      <c r="AR81">
        <v>2</v>
      </c>
      <c r="AS81">
        <v>1690233214.5999999</v>
      </c>
      <c r="AT81">
        <v>745.92100000000005</v>
      </c>
      <c r="AU81">
        <v>799.99099999999999</v>
      </c>
      <c r="AV81">
        <v>24.230399999999999</v>
      </c>
      <c r="AW81">
        <v>20.6572</v>
      </c>
      <c r="AX81">
        <v>746.22199999999998</v>
      </c>
      <c r="AY81">
        <v>24.058399999999999</v>
      </c>
      <c r="AZ81">
        <v>300.149</v>
      </c>
      <c r="BA81">
        <v>99.008499999999998</v>
      </c>
      <c r="BB81">
        <v>9.9952700000000005E-2</v>
      </c>
      <c r="BC81">
        <v>27.139900000000001</v>
      </c>
      <c r="BD81">
        <v>26.993099999999998</v>
      </c>
      <c r="BE81">
        <v>29.3064</v>
      </c>
      <c r="BF81">
        <v>0</v>
      </c>
      <c r="BG81">
        <v>0</v>
      </c>
      <c r="BH81">
        <v>10041.9</v>
      </c>
      <c r="BI81">
        <v>1080.6600000000001</v>
      </c>
      <c r="BJ81">
        <v>1.5137799999999999</v>
      </c>
      <c r="BK81">
        <v>-54.0702</v>
      </c>
      <c r="BL81">
        <v>764.44299999999998</v>
      </c>
      <c r="BM81">
        <v>816.86500000000001</v>
      </c>
      <c r="BN81">
        <v>3.57314</v>
      </c>
      <c r="BO81">
        <v>799.99099999999999</v>
      </c>
      <c r="BP81">
        <v>20.6572</v>
      </c>
      <c r="BQ81">
        <v>2.3990100000000001</v>
      </c>
      <c r="BR81">
        <v>2.0452400000000002</v>
      </c>
      <c r="BS81">
        <v>20.357099999999999</v>
      </c>
      <c r="BT81">
        <v>17.798999999999999</v>
      </c>
      <c r="BU81">
        <v>1800</v>
      </c>
      <c r="BV81">
        <v>0.90998500000000004</v>
      </c>
      <c r="BW81">
        <v>3.3995999999999998E-2</v>
      </c>
      <c r="BX81">
        <v>2.2007700000000002E-2</v>
      </c>
      <c r="BY81">
        <v>3.4010899999999997E-2</v>
      </c>
      <c r="BZ81">
        <v>25</v>
      </c>
      <c r="CA81">
        <v>33528.199999999997</v>
      </c>
      <c r="CB81">
        <v>1690232006</v>
      </c>
      <c r="CC81" t="s">
        <v>332</v>
      </c>
      <c r="CD81">
        <v>1690232006</v>
      </c>
      <c r="CE81">
        <v>1690231998.5</v>
      </c>
      <c r="CF81">
        <v>14</v>
      </c>
      <c r="CG81">
        <v>-0.13200000000000001</v>
      </c>
      <c r="CH81">
        <v>-7.0000000000000001E-3</v>
      </c>
      <c r="CI81">
        <v>-0.33800000000000002</v>
      </c>
      <c r="CJ81">
        <v>0.14299999999999999</v>
      </c>
      <c r="CK81">
        <v>799</v>
      </c>
      <c r="CL81">
        <v>19</v>
      </c>
      <c r="CM81">
        <v>7.0000000000000007E-2</v>
      </c>
      <c r="CN81">
        <v>0.14000000000000001</v>
      </c>
      <c r="CO81">
        <v>-51.305507317073157</v>
      </c>
      <c r="CP81">
        <v>-15.109960975609781</v>
      </c>
      <c r="CQ81">
        <v>1.490182708292108</v>
      </c>
      <c r="CR81">
        <v>-1</v>
      </c>
      <c r="CS81">
        <v>3.4457907317073171</v>
      </c>
      <c r="CT81">
        <v>0.68729979094076843</v>
      </c>
      <c r="CU81">
        <v>6.7887488498150808E-2</v>
      </c>
      <c r="CV81">
        <v>-1</v>
      </c>
      <c r="CW81">
        <v>0</v>
      </c>
      <c r="CX81">
        <v>0</v>
      </c>
      <c r="CY81" t="s">
        <v>333</v>
      </c>
      <c r="CZ81">
        <v>2.36456</v>
      </c>
      <c r="DA81">
        <v>2.7137799999999999</v>
      </c>
      <c r="DB81">
        <v>0.14002000000000001</v>
      </c>
      <c r="DC81">
        <v>0.146343</v>
      </c>
      <c r="DD81">
        <v>0.11469799999999999</v>
      </c>
      <c r="DE81">
        <v>0.100953</v>
      </c>
      <c r="DF81">
        <v>31423.1</v>
      </c>
      <c r="DG81">
        <v>27540.2</v>
      </c>
      <c r="DH81">
        <v>31192.6</v>
      </c>
      <c r="DI81">
        <v>28110.1</v>
      </c>
      <c r="DJ81">
        <v>37493.699999999997</v>
      </c>
      <c r="DK81">
        <v>35938.199999999997</v>
      </c>
      <c r="DL81">
        <v>44394.6</v>
      </c>
      <c r="DM81">
        <v>42609.9</v>
      </c>
      <c r="DN81">
        <v>1.47648</v>
      </c>
      <c r="DO81">
        <v>2.0642200000000002</v>
      </c>
      <c r="DP81">
        <v>7.3611700000000002E-2</v>
      </c>
      <c r="DQ81">
        <v>0.226572</v>
      </c>
      <c r="DR81">
        <v>25.7881</v>
      </c>
      <c r="DS81">
        <v>25.6037</v>
      </c>
      <c r="DT81">
        <v>56.4</v>
      </c>
      <c r="DU81">
        <v>28.9</v>
      </c>
      <c r="DV81">
        <v>22.7774</v>
      </c>
      <c r="DW81">
        <v>61.497999999999998</v>
      </c>
      <c r="DX81">
        <v>36.622599999999998</v>
      </c>
      <c r="DY81">
        <v>1</v>
      </c>
      <c r="DZ81">
        <v>-0.10907</v>
      </c>
      <c r="EA81">
        <v>-0.22909299999999999</v>
      </c>
      <c r="EB81">
        <v>20.189699999999998</v>
      </c>
      <c r="EC81">
        <v>5.24125</v>
      </c>
      <c r="ED81">
        <v>12.039899999999999</v>
      </c>
      <c r="EE81">
        <v>5.01715</v>
      </c>
      <c r="EF81">
        <v>3.2879999999999998</v>
      </c>
      <c r="EG81">
        <v>9999</v>
      </c>
      <c r="EH81">
        <v>9999</v>
      </c>
      <c r="EI81">
        <v>9999</v>
      </c>
      <c r="EJ81">
        <v>999.9</v>
      </c>
      <c r="EK81">
        <v>1.8689</v>
      </c>
      <c r="EL81">
        <v>1.8646199999999999</v>
      </c>
      <c r="EM81">
        <v>1.8692</v>
      </c>
      <c r="EN81">
        <v>1.8672299999999999</v>
      </c>
      <c r="EO81">
        <v>1.8633999999999999</v>
      </c>
      <c r="EP81">
        <v>1.86449</v>
      </c>
      <c r="EQ81">
        <v>1.8701700000000001</v>
      </c>
      <c r="ER81">
        <v>1.8694</v>
      </c>
      <c r="ES81">
        <v>0</v>
      </c>
      <c r="ET81">
        <v>0</v>
      </c>
      <c r="EU81">
        <v>0</v>
      </c>
      <c r="EV81">
        <v>0</v>
      </c>
      <c r="EW81" t="s">
        <v>334</v>
      </c>
      <c r="EX81" t="s">
        <v>335</v>
      </c>
      <c r="EY81" t="s">
        <v>336</v>
      </c>
      <c r="EZ81" t="s">
        <v>336</v>
      </c>
      <c r="FA81" t="s">
        <v>336</v>
      </c>
      <c r="FB81" t="s">
        <v>336</v>
      </c>
      <c r="FC81">
        <v>0</v>
      </c>
      <c r="FD81">
        <v>100</v>
      </c>
      <c r="FE81">
        <v>100</v>
      </c>
      <c r="FF81">
        <v>-0.30099999999999999</v>
      </c>
      <c r="FG81">
        <v>0.17199999999999999</v>
      </c>
      <c r="FH81">
        <v>0.2126736300064915</v>
      </c>
      <c r="FI81">
        <v>-6.1462078757559423E-4</v>
      </c>
      <c r="FJ81">
        <v>-1.8861989874597051E-7</v>
      </c>
      <c r="FK81">
        <v>1.1980462299894961E-10</v>
      </c>
      <c r="FL81">
        <v>0.1719881465068297</v>
      </c>
      <c r="FM81">
        <v>0</v>
      </c>
      <c r="FN81">
        <v>0</v>
      </c>
      <c r="FO81">
        <v>0</v>
      </c>
      <c r="FP81">
        <v>3</v>
      </c>
      <c r="FQ81">
        <v>2158</v>
      </c>
      <c r="FR81">
        <v>1</v>
      </c>
      <c r="FS81">
        <v>19</v>
      </c>
      <c r="FT81">
        <v>20.100000000000001</v>
      </c>
      <c r="FU81">
        <v>20.3</v>
      </c>
      <c r="FV81">
        <v>1.79321</v>
      </c>
      <c r="FW81">
        <v>2.5866699999999998</v>
      </c>
      <c r="FX81">
        <v>1.5490699999999999</v>
      </c>
      <c r="FY81">
        <v>2.3290999999999999</v>
      </c>
      <c r="FZ81">
        <v>1.50146</v>
      </c>
      <c r="GA81">
        <v>2.3962400000000001</v>
      </c>
      <c r="GB81">
        <v>33.602899999999998</v>
      </c>
      <c r="GC81">
        <v>23.991199999999999</v>
      </c>
      <c r="GD81">
        <v>19</v>
      </c>
      <c r="GE81">
        <v>282.17500000000001</v>
      </c>
      <c r="GF81">
        <v>604.25800000000004</v>
      </c>
      <c r="GG81">
        <v>25.245699999999999</v>
      </c>
      <c r="GH81">
        <v>26.0458</v>
      </c>
      <c r="GI81">
        <v>30</v>
      </c>
      <c r="GJ81">
        <v>26.165299999999998</v>
      </c>
      <c r="GK81">
        <v>26.146100000000001</v>
      </c>
      <c r="GL81">
        <v>35.841799999999999</v>
      </c>
      <c r="GM81">
        <v>18.547999999999998</v>
      </c>
      <c r="GN81">
        <v>100</v>
      </c>
      <c r="GO81">
        <v>25.248799999999999</v>
      </c>
      <c r="GP81">
        <v>800</v>
      </c>
      <c r="GQ81">
        <v>20.521599999999999</v>
      </c>
      <c r="GR81">
        <v>99.809100000000001</v>
      </c>
      <c r="GS81">
        <v>99.674999999999997</v>
      </c>
    </row>
    <row r="82" spans="1:201" x14ac:dyDescent="0.25">
      <c r="A82">
        <v>66</v>
      </c>
      <c r="B82">
        <v>1690233224.5999999</v>
      </c>
      <c r="C82">
        <v>718.5</v>
      </c>
      <c r="D82" t="s">
        <v>463</v>
      </c>
      <c r="E82" t="s">
        <v>464</v>
      </c>
      <c r="F82" t="s">
        <v>330</v>
      </c>
      <c r="H82">
        <v>1690233224.5999999</v>
      </c>
      <c r="I82">
        <f t="shared" si="30"/>
        <v>3.5109568376019804E-4</v>
      </c>
      <c r="J82">
        <f t="shared" si="31"/>
        <v>0.35109568376019806</v>
      </c>
      <c r="K82">
        <f t="shared" si="32"/>
        <v>4.9881897399119248</v>
      </c>
      <c r="L82">
        <f t="shared" si="33"/>
        <v>743.375</v>
      </c>
      <c r="M82">
        <f t="shared" si="34"/>
        <v>333.52272958399516</v>
      </c>
      <c r="N82">
        <f t="shared" si="35"/>
        <v>33.053787792126506</v>
      </c>
      <c r="O82">
        <f t="shared" si="36"/>
        <v>73.672218773874988</v>
      </c>
      <c r="P82">
        <f t="shared" si="37"/>
        <v>2.0302527994498627E-2</v>
      </c>
      <c r="Q82">
        <f t="shared" si="38"/>
        <v>2.1349690669627948</v>
      </c>
      <c r="R82">
        <f t="shared" si="39"/>
        <v>2.0195876752073245E-2</v>
      </c>
      <c r="S82">
        <f t="shared" si="40"/>
        <v>1.263195835663181E-2</v>
      </c>
      <c r="T82">
        <f t="shared" si="41"/>
        <v>276.11458099158341</v>
      </c>
      <c r="U82">
        <f t="shared" si="42"/>
        <v>29.205918317491811</v>
      </c>
      <c r="V82">
        <f t="shared" si="43"/>
        <v>29.205918317491811</v>
      </c>
      <c r="W82">
        <f t="shared" si="44"/>
        <v>4.0699441471387461</v>
      </c>
      <c r="X82">
        <f t="shared" si="45"/>
        <v>66.560067324073529</v>
      </c>
      <c r="Y82">
        <f t="shared" si="46"/>
        <v>2.4033173562605996</v>
      </c>
      <c r="Z82">
        <f t="shared" si="47"/>
        <v>3.6107495873751385</v>
      </c>
      <c r="AA82">
        <f t="shared" si="48"/>
        <v>1.6666267908781465</v>
      </c>
      <c r="AB82">
        <f t="shared" si="49"/>
        <v>-15.483319653824733</v>
      </c>
      <c r="AC82">
        <f t="shared" si="50"/>
        <v>-236.67165844919074</v>
      </c>
      <c r="AD82">
        <f t="shared" si="51"/>
        <v>-24.20693728367976</v>
      </c>
      <c r="AE82">
        <f t="shared" si="52"/>
        <v>-0.24733439511183519</v>
      </c>
      <c r="AF82">
        <v>0</v>
      </c>
      <c r="AG82">
        <v>0</v>
      </c>
      <c r="AH82">
        <f t="shared" si="53"/>
        <v>1</v>
      </c>
      <c r="AI82">
        <f t="shared" si="54"/>
        <v>0</v>
      </c>
      <c r="AJ82">
        <f t="shared" si="55"/>
        <v>52538.092835995856</v>
      </c>
      <c r="AK82">
        <f t="shared" si="56"/>
        <v>1799.99</v>
      </c>
      <c r="AL82">
        <f t="shared" si="57"/>
        <v>1499.1035816005001</v>
      </c>
      <c r="AM82">
        <f t="shared" si="58"/>
        <v>0.83283995</v>
      </c>
      <c r="AN82">
        <f t="shared" si="59"/>
        <v>0.15339784164999995</v>
      </c>
      <c r="AO82">
        <v>32.4</v>
      </c>
      <c r="AP82">
        <v>0.5</v>
      </c>
      <c r="AQ82" t="s">
        <v>331</v>
      </c>
      <c r="AR82">
        <v>2</v>
      </c>
      <c r="AS82">
        <v>1690233224.5999999</v>
      </c>
      <c r="AT82">
        <v>743.375</v>
      </c>
      <c r="AU82">
        <v>800.01900000000001</v>
      </c>
      <c r="AV82">
        <v>24.2502</v>
      </c>
      <c r="AW82">
        <v>20.5534</v>
      </c>
      <c r="AX82">
        <v>743.67399999999998</v>
      </c>
      <c r="AY82">
        <v>24.078199999999999</v>
      </c>
      <c r="AZ82">
        <v>300.25</v>
      </c>
      <c r="BA82">
        <v>99.004999999999995</v>
      </c>
      <c r="BB82">
        <v>0.100053</v>
      </c>
      <c r="BC82">
        <v>27.149699999999999</v>
      </c>
      <c r="BD82">
        <v>26.9923</v>
      </c>
      <c r="BE82">
        <v>29.316400000000002</v>
      </c>
      <c r="BF82">
        <v>0</v>
      </c>
      <c r="BG82">
        <v>0</v>
      </c>
      <c r="BH82">
        <v>10042.5</v>
      </c>
      <c r="BI82">
        <v>1080.6500000000001</v>
      </c>
      <c r="BJ82">
        <v>1.5137799999999999</v>
      </c>
      <c r="BK82">
        <v>-56.644300000000001</v>
      </c>
      <c r="BL82">
        <v>761.85</v>
      </c>
      <c r="BM82">
        <v>816.80700000000002</v>
      </c>
      <c r="BN82">
        <v>3.6968399999999999</v>
      </c>
      <c r="BO82">
        <v>800.01900000000001</v>
      </c>
      <c r="BP82">
        <v>20.5534</v>
      </c>
      <c r="BQ82">
        <v>2.40089</v>
      </c>
      <c r="BR82">
        <v>2.0348799999999998</v>
      </c>
      <c r="BS82">
        <v>20.369800000000001</v>
      </c>
      <c r="BT82">
        <v>17.718399999999999</v>
      </c>
      <c r="BU82">
        <v>1799.99</v>
      </c>
      <c r="BV82">
        <v>0.90998999999999997</v>
      </c>
      <c r="BW82">
        <v>3.3994099999999999E-2</v>
      </c>
      <c r="BX82">
        <v>2.2006499999999998E-2</v>
      </c>
      <c r="BY82">
        <v>3.40091E-2</v>
      </c>
      <c r="BZ82">
        <v>25</v>
      </c>
      <c r="CA82">
        <v>33528.199999999997</v>
      </c>
      <c r="CB82">
        <v>1690232006</v>
      </c>
      <c r="CC82" t="s">
        <v>332</v>
      </c>
      <c r="CD82">
        <v>1690232006</v>
      </c>
      <c r="CE82">
        <v>1690231998.5</v>
      </c>
      <c r="CF82">
        <v>14</v>
      </c>
      <c r="CG82">
        <v>-0.13200000000000001</v>
      </c>
      <c r="CH82">
        <v>-7.0000000000000001E-3</v>
      </c>
      <c r="CI82">
        <v>-0.33800000000000002</v>
      </c>
      <c r="CJ82">
        <v>0.14299999999999999</v>
      </c>
      <c r="CK82">
        <v>799</v>
      </c>
      <c r="CL82">
        <v>19</v>
      </c>
      <c r="CM82">
        <v>7.0000000000000007E-2</v>
      </c>
      <c r="CN82">
        <v>0.14000000000000001</v>
      </c>
      <c r="CO82">
        <v>-53.883863414634149</v>
      </c>
      <c r="CP82">
        <v>-15.784438327526169</v>
      </c>
      <c r="CQ82">
        <v>1.5572759067156721</v>
      </c>
      <c r="CR82">
        <v>-1</v>
      </c>
      <c r="CS82">
        <v>3.562402926829269</v>
      </c>
      <c r="CT82">
        <v>0.7274485714285619</v>
      </c>
      <c r="CU82">
        <v>7.1799073173035022E-2</v>
      </c>
      <c r="CV82">
        <v>-1</v>
      </c>
      <c r="CW82">
        <v>0</v>
      </c>
      <c r="CX82">
        <v>0</v>
      </c>
      <c r="CY82" t="s">
        <v>333</v>
      </c>
      <c r="CZ82">
        <v>2.3649200000000001</v>
      </c>
      <c r="DA82">
        <v>2.7138800000000001</v>
      </c>
      <c r="DB82">
        <v>0.13969300000000001</v>
      </c>
      <c r="DC82">
        <v>0.14634</v>
      </c>
      <c r="DD82">
        <v>0.114761</v>
      </c>
      <c r="DE82">
        <v>0.100591</v>
      </c>
      <c r="DF82">
        <v>31435.4</v>
      </c>
      <c r="DG82">
        <v>27540.3</v>
      </c>
      <c r="DH82">
        <v>31193</v>
      </c>
      <c r="DI82">
        <v>28110.1</v>
      </c>
      <c r="DJ82">
        <v>37491.4</v>
      </c>
      <c r="DK82">
        <v>35952.6</v>
      </c>
      <c r="DL82">
        <v>44395.199999999997</v>
      </c>
      <c r="DM82">
        <v>42609.8</v>
      </c>
      <c r="DN82">
        <v>1.47672</v>
      </c>
      <c r="DO82">
        <v>2.0640499999999999</v>
      </c>
      <c r="DP82">
        <v>7.3835300000000006E-2</v>
      </c>
      <c r="DQ82">
        <v>0.22731699999999999</v>
      </c>
      <c r="DR82">
        <v>25.7836</v>
      </c>
      <c r="DS82">
        <v>25.601500000000001</v>
      </c>
      <c r="DT82">
        <v>56.4</v>
      </c>
      <c r="DU82">
        <v>28.9</v>
      </c>
      <c r="DV82">
        <v>22.779900000000001</v>
      </c>
      <c r="DW82">
        <v>61.548000000000002</v>
      </c>
      <c r="DX82">
        <v>35.420699999999997</v>
      </c>
      <c r="DY82">
        <v>1</v>
      </c>
      <c r="DZ82">
        <v>-0.10971</v>
      </c>
      <c r="EA82">
        <v>-0.221027</v>
      </c>
      <c r="EB82">
        <v>20.189800000000002</v>
      </c>
      <c r="EC82">
        <v>5.24125</v>
      </c>
      <c r="ED82">
        <v>12.039899999999999</v>
      </c>
      <c r="EE82">
        <v>5.0168999999999997</v>
      </c>
      <c r="EF82">
        <v>3.2879999999999998</v>
      </c>
      <c r="EG82">
        <v>9999</v>
      </c>
      <c r="EH82">
        <v>9999</v>
      </c>
      <c r="EI82">
        <v>9999</v>
      </c>
      <c r="EJ82">
        <v>999.9</v>
      </c>
      <c r="EK82">
        <v>1.8689</v>
      </c>
      <c r="EL82">
        <v>1.8646199999999999</v>
      </c>
      <c r="EM82">
        <v>1.8691899999999999</v>
      </c>
      <c r="EN82">
        <v>1.8672200000000001</v>
      </c>
      <c r="EO82">
        <v>1.8633999999999999</v>
      </c>
      <c r="EP82">
        <v>1.86449</v>
      </c>
      <c r="EQ82">
        <v>1.8701399999999999</v>
      </c>
      <c r="ER82">
        <v>1.8693900000000001</v>
      </c>
      <c r="ES82">
        <v>0</v>
      </c>
      <c r="ET82">
        <v>0</v>
      </c>
      <c r="EU82">
        <v>0</v>
      </c>
      <c r="EV82">
        <v>0</v>
      </c>
      <c r="EW82" t="s">
        <v>334</v>
      </c>
      <c r="EX82" t="s">
        <v>335</v>
      </c>
      <c r="EY82" t="s">
        <v>336</v>
      </c>
      <c r="EZ82" t="s">
        <v>336</v>
      </c>
      <c r="FA82" t="s">
        <v>336</v>
      </c>
      <c r="FB82" t="s">
        <v>336</v>
      </c>
      <c r="FC82">
        <v>0</v>
      </c>
      <c r="FD82">
        <v>100</v>
      </c>
      <c r="FE82">
        <v>100</v>
      </c>
      <c r="FF82">
        <v>-0.29899999999999999</v>
      </c>
      <c r="FG82">
        <v>0.17199999999999999</v>
      </c>
      <c r="FH82">
        <v>0.2126736300064915</v>
      </c>
      <c r="FI82">
        <v>-6.1462078757559423E-4</v>
      </c>
      <c r="FJ82">
        <v>-1.8861989874597051E-7</v>
      </c>
      <c r="FK82">
        <v>1.1980462299894961E-10</v>
      </c>
      <c r="FL82">
        <v>0.1719881465068297</v>
      </c>
      <c r="FM82">
        <v>0</v>
      </c>
      <c r="FN82">
        <v>0</v>
      </c>
      <c r="FO82">
        <v>0</v>
      </c>
      <c r="FP82">
        <v>3</v>
      </c>
      <c r="FQ82">
        <v>2158</v>
      </c>
      <c r="FR82">
        <v>1</v>
      </c>
      <c r="FS82">
        <v>19</v>
      </c>
      <c r="FT82">
        <v>20.3</v>
      </c>
      <c r="FU82">
        <v>20.399999999999999</v>
      </c>
      <c r="FV82">
        <v>1.79199</v>
      </c>
      <c r="FW82">
        <v>2.5952099999999998</v>
      </c>
      <c r="FX82">
        <v>1.5490699999999999</v>
      </c>
      <c r="FY82">
        <v>2.3290999999999999</v>
      </c>
      <c r="FZ82">
        <v>1.50146</v>
      </c>
      <c r="GA82">
        <v>2.2973599999999998</v>
      </c>
      <c r="GB82">
        <v>33.580399999999997</v>
      </c>
      <c r="GC82">
        <v>23.982399999999998</v>
      </c>
      <c r="GD82">
        <v>19</v>
      </c>
      <c r="GE82">
        <v>282.27</v>
      </c>
      <c r="GF82">
        <v>604.08000000000004</v>
      </c>
      <c r="GG82">
        <v>25.258299999999998</v>
      </c>
      <c r="GH82">
        <v>26.043600000000001</v>
      </c>
      <c r="GI82">
        <v>29.9999</v>
      </c>
      <c r="GJ82">
        <v>26.162500000000001</v>
      </c>
      <c r="GK82">
        <v>26.1435</v>
      </c>
      <c r="GL82">
        <v>35.8384</v>
      </c>
      <c r="GM82">
        <v>19.118400000000001</v>
      </c>
      <c r="GN82">
        <v>100</v>
      </c>
      <c r="GO82">
        <v>25.258199999999999</v>
      </c>
      <c r="GP82">
        <v>800</v>
      </c>
      <c r="GQ82">
        <v>20.4222</v>
      </c>
      <c r="GR82">
        <v>99.810299999999998</v>
      </c>
      <c r="GS82">
        <v>99.674899999999994</v>
      </c>
    </row>
    <row r="83" spans="1:201" x14ac:dyDescent="0.25">
      <c r="A83">
        <v>67</v>
      </c>
      <c r="B83">
        <v>1690233234.5999999</v>
      </c>
      <c r="C83">
        <v>728.5</v>
      </c>
      <c r="D83" t="s">
        <v>465</v>
      </c>
      <c r="E83" t="s">
        <v>466</v>
      </c>
      <c r="F83" t="s">
        <v>330</v>
      </c>
      <c r="H83">
        <v>1690233234.5999999</v>
      </c>
      <c r="I83">
        <f t="shared" si="30"/>
        <v>3.6296465817769465E-4</v>
      </c>
      <c r="J83">
        <f t="shared" si="31"/>
        <v>0.36296465817769463</v>
      </c>
      <c r="K83">
        <f t="shared" si="32"/>
        <v>5.22657617399594</v>
      </c>
      <c r="L83">
        <f t="shared" si="33"/>
        <v>740.69299999999998</v>
      </c>
      <c r="M83">
        <f t="shared" si="34"/>
        <v>326.01837906243202</v>
      </c>
      <c r="N83">
        <f t="shared" si="35"/>
        <v>32.312542563416741</v>
      </c>
      <c r="O83">
        <f t="shared" si="36"/>
        <v>73.412039400213004</v>
      </c>
      <c r="P83">
        <f t="shared" si="37"/>
        <v>2.1011508593077818E-2</v>
      </c>
      <c r="Q83">
        <f t="shared" si="38"/>
        <v>2.1302545174422516</v>
      </c>
      <c r="R83">
        <f t="shared" si="39"/>
        <v>2.0897049942190705E-2</v>
      </c>
      <c r="S83">
        <f t="shared" si="40"/>
        <v>1.3070887789754097E-2</v>
      </c>
      <c r="T83">
        <f t="shared" si="41"/>
        <v>276.11441164852425</v>
      </c>
      <c r="U83">
        <f t="shared" si="42"/>
        <v>29.208705423989446</v>
      </c>
      <c r="V83">
        <f t="shared" si="43"/>
        <v>29.208705423989446</v>
      </c>
      <c r="W83">
        <f t="shared" si="44"/>
        <v>4.0705995825257055</v>
      </c>
      <c r="X83">
        <f t="shared" si="45"/>
        <v>66.605002951037349</v>
      </c>
      <c r="Y83">
        <f t="shared" si="46"/>
        <v>2.4053349506367003</v>
      </c>
      <c r="Z83">
        <f t="shared" si="47"/>
        <v>3.6113427581482269</v>
      </c>
      <c r="AA83">
        <f t="shared" si="48"/>
        <v>1.6652646318890052</v>
      </c>
      <c r="AB83">
        <f t="shared" si="49"/>
        <v>-16.006741425636335</v>
      </c>
      <c r="AC83">
        <f t="shared" si="50"/>
        <v>-236.1475470365047</v>
      </c>
      <c r="AD83">
        <f t="shared" si="51"/>
        <v>-24.207459076656736</v>
      </c>
      <c r="AE83">
        <f t="shared" si="52"/>
        <v>-0.24733589027351854</v>
      </c>
      <c r="AF83">
        <v>0</v>
      </c>
      <c r="AG83">
        <v>0</v>
      </c>
      <c r="AH83">
        <f t="shared" si="53"/>
        <v>1</v>
      </c>
      <c r="AI83">
        <f t="shared" si="54"/>
        <v>0</v>
      </c>
      <c r="AJ83">
        <f t="shared" si="55"/>
        <v>52334.484567833046</v>
      </c>
      <c r="AK83">
        <f t="shared" si="56"/>
        <v>1799.99</v>
      </c>
      <c r="AL83">
        <f t="shared" si="57"/>
        <v>1499.1048451934801</v>
      </c>
      <c r="AM83">
        <f t="shared" si="58"/>
        <v>0.83284065200000001</v>
      </c>
      <c r="AN83">
        <f t="shared" si="59"/>
        <v>0.15339774756999996</v>
      </c>
      <c r="AO83">
        <v>32.4</v>
      </c>
      <c r="AP83">
        <v>0.5</v>
      </c>
      <c r="AQ83" t="s">
        <v>331</v>
      </c>
      <c r="AR83">
        <v>2</v>
      </c>
      <c r="AS83">
        <v>1690233234.5999999</v>
      </c>
      <c r="AT83">
        <v>740.69299999999998</v>
      </c>
      <c r="AU83">
        <v>800.005</v>
      </c>
      <c r="AV83">
        <v>24.268699999999999</v>
      </c>
      <c r="AW83">
        <v>20.446300000000001</v>
      </c>
      <c r="AX83">
        <v>740.99099999999999</v>
      </c>
      <c r="AY83">
        <v>24.096699999999998</v>
      </c>
      <c r="AZ83">
        <v>300.19499999999999</v>
      </c>
      <c r="BA83">
        <v>99.012600000000006</v>
      </c>
      <c r="BB83">
        <v>0.100041</v>
      </c>
      <c r="BC83">
        <v>27.1525</v>
      </c>
      <c r="BD83">
        <v>26.9834</v>
      </c>
      <c r="BE83">
        <v>29.297799999999999</v>
      </c>
      <c r="BF83">
        <v>0</v>
      </c>
      <c r="BG83">
        <v>0</v>
      </c>
      <c r="BH83">
        <v>10001.200000000001</v>
      </c>
      <c r="BI83">
        <v>1080.58</v>
      </c>
      <c r="BJ83">
        <v>1.5137799999999999</v>
      </c>
      <c r="BK83">
        <v>-59.311900000000001</v>
      </c>
      <c r="BL83">
        <v>759.11599999999999</v>
      </c>
      <c r="BM83">
        <v>816.70399999999995</v>
      </c>
      <c r="BN83">
        <v>3.8223699999999998</v>
      </c>
      <c r="BO83">
        <v>800.005</v>
      </c>
      <c r="BP83">
        <v>20.446300000000001</v>
      </c>
      <c r="BQ83">
        <v>2.4028999999999998</v>
      </c>
      <c r="BR83">
        <v>2.0244399999999998</v>
      </c>
      <c r="BS83">
        <v>20.383400000000002</v>
      </c>
      <c r="BT83">
        <v>17.636800000000001</v>
      </c>
      <c r="BU83">
        <v>1799.99</v>
      </c>
      <c r="BV83">
        <v>0.90999600000000003</v>
      </c>
      <c r="BW83">
        <v>3.3992000000000001E-2</v>
      </c>
      <c r="BX83">
        <v>2.20051E-2</v>
      </c>
      <c r="BY83">
        <v>3.40069E-2</v>
      </c>
      <c r="BZ83">
        <v>25</v>
      </c>
      <c r="CA83">
        <v>33528.1</v>
      </c>
      <c r="CB83">
        <v>1690232006</v>
      </c>
      <c r="CC83" t="s">
        <v>332</v>
      </c>
      <c r="CD83">
        <v>1690232006</v>
      </c>
      <c r="CE83">
        <v>1690231998.5</v>
      </c>
      <c r="CF83">
        <v>14</v>
      </c>
      <c r="CG83">
        <v>-0.13200000000000001</v>
      </c>
      <c r="CH83">
        <v>-7.0000000000000001E-3</v>
      </c>
      <c r="CI83">
        <v>-0.33800000000000002</v>
      </c>
      <c r="CJ83">
        <v>0.14299999999999999</v>
      </c>
      <c r="CK83">
        <v>799</v>
      </c>
      <c r="CL83">
        <v>19</v>
      </c>
      <c r="CM83">
        <v>7.0000000000000007E-2</v>
      </c>
      <c r="CN83">
        <v>0.14000000000000001</v>
      </c>
      <c r="CO83">
        <v>-56.678269999999998</v>
      </c>
      <c r="CP83">
        <v>-15.44691332082542</v>
      </c>
      <c r="CQ83">
        <v>1.487491799674876</v>
      </c>
      <c r="CR83">
        <v>-1</v>
      </c>
      <c r="CS83">
        <v>3.6954075</v>
      </c>
      <c r="CT83">
        <v>0.77556405253282545</v>
      </c>
      <c r="CU83">
        <v>7.4704685018745665E-2</v>
      </c>
      <c r="CV83">
        <v>-1</v>
      </c>
      <c r="CW83">
        <v>0</v>
      </c>
      <c r="CX83">
        <v>0</v>
      </c>
      <c r="CY83" t="s">
        <v>333</v>
      </c>
      <c r="CZ83">
        <v>2.3647200000000002</v>
      </c>
      <c r="DA83">
        <v>2.7138300000000002</v>
      </c>
      <c r="DB83">
        <v>0.13936399999999999</v>
      </c>
      <c r="DC83">
        <v>0.14634800000000001</v>
      </c>
      <c r="DD83">
        <v>0.114832</v>
      </c>
      <c r="DE83">
        <v>0.100228</v>
      </c>
      <c r="DF83">
        <v>31447.599999999999</v>
      </c>
      <c r="DG83">
        <v>27540.799999999999</v>
      </c>
      <c r="DH83">
        <v>31193.1</v>
      </c>
      <c r="DI83">
        <v>28110.9</v>
      </c>
      <c r="DJ83">
        <v>37488.5</v>
      </c>
      <c r="DK83">
        <v>35968.1</v>
      </c>
      <c r="DL83">
        <v>44395.4</v>
      </c>
      <c r="DM83">
        <v>42611</v>
      </c>
      <c r="DN83">
        <v>1.4767699999999999</v>
      </c>
      <c r="DO83">
        <v>2.0640200000000002</v>
      </c>
      <c r="DP83">
        <v>7.3425500000000005E-2</v>
      </c>
      <c r="DQ83">
        <v>0.22631100000000001</v>
      </c>
      <c r="DR83">
        <v>25.781400000000001</v>
      </c>
      <c r="DS83">
        <v>25.599399999999999</v>
      </c>
      <c r="DT83">
        <v>56.4</v>
      </c>
      <c r="DU83">
        <v>28.9</v>
      </c>
      <c r="DV83">
        <v>22.777899999999999</v>
      </c>
      <c r="DW83">
        <v>61.747999999999998</v>
      </c>
      <c r="DX83">
        <v>36.406199999999998</v>
      </c>
      <c r="DY83">
        <v>1</v>
      </c>
      <c r="DZ83">
        <v>-0.109761</v>
      </c>
      <c r="EA83">
        <v>-0.22112999999999999</v>
      </c>
      <c r="EB83">
        <v>20.189699999999998</v>
      </c>
      <c r="EC83">
        <v>5.2416999999999998</v>
      </c>
      <c r="ED83">
        <v>12.039899999999999</v>
      </c>
      <c r="EE83">
        <v>5.0168999999999997</v>
      </c>
      <c r="EF83">
        <v>3.2879999999999998</v>
      </c>
      <c r="EG83">
        <v>9999</v>
      </c>
      <c r="EH83">
        <v>9999</v>
      </c>
      <c r="EI83">
        <v>9999</v>
      </c>
      <c r="EJ83">
        <v>999.9</v>
      </c>
      <c r="EK83">
        <v>1.8689</v>
      </c>
      <c r="EL83">
        <v>1.8646199999999999</v>
      </c>
      <c r="EM83">
        <v>1.8692</v>
      </c>
      <c r="EN83">
        <v>1.8672200000000001</v>
      </c>
      <c r="EO83">
        <v>1.8633999999999999</v>
      </c>
      <c r="EP83">
        <v>1.86449</v>
      </c>
      <c r="EQ83">
        <v>1.8701399999999999</v>
      </c>
      <c r="ER83">
        <v>1.8694200000000001</v>
      </c>
      <c r="ES83">
        <v>0</v>
      </c>
      <c r="ET83">
        <v>0</v>
      </c>
      <c r="EU83">
        <v>0</v>
      </c>
      <c r="EV83">
        <v>0</v>
      </c>
      <c r="EW83" t="s">
        <v>334</v>
      </c>
      <c r="EX83" t="s">
        <v>335</v>
      </c>
      <c r="EY83" t="s">
        <v>336</v>
      </c>
      <c r="EZ83" t="s">
        <v>336</v>
      </c>
      <c r="FA83" t="s">
        <v>336</v>
      </c>
      <c r="FB83" t="s">
        <v>336</v>
      </c>
      <c r="FC83">
        <v>0</v>
      </c>
      <c r="FD83">
        <v>100</v>
      </c>
      <c r="FE83">
        <v>100</v>
      </c>
      <c r="FF83">
        <v>-0.29799999999999999</v>
      </c>
      <c r="FG83">
        <v>0.17199999999999999</v>
      </c>
      <c r="FH83">
        <v>0.2126736300064915</v>
      </c>
      <c r="FI83">
        <v>-6.1462078757559423E-4</v>
      </c>
      <c r="FJ83">
        <v>-1.8861989874597051E-7</v>
      </c>
      <c r="FK83">
        <v>1.1980462299894961E-10</v>
      </c>
      <c r="FL83">
        <v>0.1719881465068297</v>
      </c>
      <c r="FM83">
        <v>0</v>
      </c>
      <c r="FN83">
        <v>0</v>
      </c>
      <c r="FO83">
        <v>0</v>
      </c>
      <c r="FP83">
        <v>3</v>
      </c>
      <c r="FQ83">
        <v>2158</v>
      </c>
      <c r="FR83">
        <v>1</v>
      </c>
      <c r="FS83">
        <v>19</v>
      </c>
      <c r="FT83">
        <v>20.5</v>
      </c>
      <c r="FU83">
        <v>20.6</v>
      </c>
      <c r="FV83">
        <v>1.79199</v>
      </c>
      <c r="FW83">
        <v>2.5854499999999998</v>
      </c>
      <c r="FX83">
        <v>1.5490699999999999</v>
      </c>
      <c r="FY83">
        <v>2.3290999999999999</v>
      </c>
      <c r="FZ83">
        <v>1.50146</v>
      </c>
      <c r="GA83">
        <v>2.4072300000000002</v>
      </c>
      <c r="GB83">
        <v>33.602899999999998</v>
      </c>
      <c r="GC83">
        <v>23.991199999999999</v>
      </c>
      <c r="GD83">
        <v>19</v>
      </c>
      <c r="GE83">
        <v>282.279</v>
      </c>
      <c r="GF83">
        <v>604.02</v>
      </c>
      <c r="GG83">
        <v>25.265000000000001</v>
      </c>
      <c r="GH83">
        <v>26.0398</v>
      </c>
      <c r="GI83">
        <v>29.9999</v>
      </c>
      <c r="GJ83">
        <v>26.159800000000001</v>
      </c>
      <c r="GK83">
        <v>26.1402</v>
      </c>
      <c r="GL83">
        <v>35.835000000000001</v>
      </c>
      <c r="GM83">
        <v>19.7287</v>
      </c>
      <c r="GN83">
        <v>100</v>
      </c>
      <c r="GO83">
        <v>25.264600000000002</v>
      </c>
      <c r="GP83">
        <v>800</v>
      </c>
      <c r="GQ83">
        <v>20.314599999999999</v>
      </c>
      <c r="GR83">
        <v>99.8108</v>
      </c>
      <c r="GS83">
        <v>99.677599999999998</v>
      </c>
    </row>
    <row r="84" spans="1:201" x14ac:dyDescent="0.25">
      <c r="A84">
        <v>68</v>
      </c>
      <c r="B84">
        <v>1690233244.5999999</v>
      </c>
      <c r="C84">
        <v>738.5</v>
      </c>
      <c r="D84" t="s">
        <v>467</v>
      </c>
      <c r="E84" t="s">
        <v>468</v>
      </c>
      <c r="F84" t="s">
        <v>330</v>
      </c>
      <c r="H84">
        <v>1690233244.5999999</v>
      </c>
      <c r="I84">
        <f t="shared" si="30"/>
        <v>3.7585349762572518E-4</v>
      </c>
      <c r="J84">
        <f t="shared" si="31"/>
        <v>0.37585349762572517</v>
      </c>
      <c r="K84">
        <f t="shared" si="32"/>
        <v>5.4685067086460277</v>
      </c>
      <c r="L84">
        <f t="shared" si="33"/>
        <v>737.96699999999998</v>
      </c>
      <c r="M84">
        <f t="shared" si="34"/>
        <v>320.07114067731067</v>
      </c>
      <c r="N84">
        <f t="shared" si="35"/>
        <v>31.7200634503671</v>
      </c>
      <c r="O84">
        <f t="shared" si="36"/>
        <v>73.134866251115398</v>
      </c>
      <c r="P84">
        <f t="shared" si="37"/>
        <v>2.1804073110850086E-2</v>
      </c>
      <c r="Q84">
        <f t="shared" si="38"/>
        <v>2.132472532414901</v>
      </c>
      <c r="R84">
        <f t="shared" si="39"/>
        <v>2.1680971451806023E-2</v>
      </c>
      <c r="S84">
        <f t="shared" si="40"/>
        <v>1.3561609310340964E-2</v>
      </c>
      <c r="T84">
        <f t="shared" si="41"/>
        <v>276.11418268979628</v>
      </c>
      <c r="U84">
        <f t="shared" si="42"/>
        <v>29.200575894268585</v>
      </c>
      <c r="V84">
        <f t="shared" si="43"/>
        <v>29.200575894268585</v>
      </c>
      <c r="W84">
        <f t="shared" si="44"/>
        <v>4.068688042889975</v>
      </c>
      <c r="X84">
        <f t="shared" si="45"/>
        <v>66.652208957277324</v>
      </c>
      <c r="Y84">
        <f t="shared" si="46"/>
        <v>2.4067996736999597</v>
      </c>
      <c r="Z84">
        <f t="shared" si="47"/>
        <v>3.6109826086074177</v>
      </c>
      <c r="AA84">
        <f t="shared" si="48"/>
        <v>1.6618883691900153</v>
      </c>
      <c r="AB84">
        <f t="shared" si="49"/>
        <v>-16.57513924529448</v>
      </c>
      <c r="AC84">
        <f t="shared" si="50"/>
        <v>-235.6542467855254</v>
      </c>
      <c r="AD84">
        <f t="shared" si="51"/>
        <v>-24.130581899092761</v>
      </c>
      <c r="AE84">
        <f t="shared" si="52"/>
        <v>-0.24578524011636205</v>
      </c>
      <c r="AF84">
        <v>0</v>
      </c>
      <c r="AG84">
        <v>0</v>
      </c>
      <c r="AH84">
        <f t="shared" si="53"/>
        <v>1</v>
      </c>
      <c r="AI84">
        <f t="shared" si="54"/>
        <v>0</v>
      </c>
      <c r="AJ84">
        <f t="shared" si="55"/>
        <v>52430.14999674166</v>
      </c>
      <c r="AK84">
        <f t="shared" si="56"/>
        <v>1799.99</v>
      </c>
      <c r="AL84">
        <f t="shared" si="57"/>
        <v>1499.1019022098296</v>
      </c>
      <c r="AM84">
        <f t="shared" si="58"/>
        <v>0.83283901699999985</v>
      </c>
      <c r="AN84">
        <f t="shared" si="59"/>
        <v>0.15339762036999999</v>
      </c>
      <c r="AO84">
        <v>32.4</v>
      </c>
      <c r="AP84">
        <v>0.5</v>
      </c>
      <c r="AQ84" t="s">
        <v>331</v>
      </c>
      <c r="AR84">
        <v>2</v>
      </c>
      <c r="AS84">
        <v>1690233244.5999999</v>
      </c>
      <c r="AT84">
        <v>737.96699999999998</v>
      </c>
      <c r="AU84">
        <v>799.97799999999995</v>
      </c>
      <c r="AV84">
        <v>24.285799999999998</v>
      </c>
      <c r="AW84">
        <v>20.327999999999999</v>
      </c>
      <c r="AX84">
        <v>738.26199999999994</v>
      </c>
      <c r="AY84">
        <v>24.113800000000001</v>
      </c>
      <c r="AZ84">
        <v>300.21499999999997</v>
      </c>
      <c r="BA84">
        <v>99.003200000000007</v>
      </c>
      <c r="BB84">
        <v>9.9966200000000005E-2</v>
      </c>
      <c r="BC84">
        <v>27.1508</v>
      </c>
      <c r="BD84">
        <v>26.9864</v>
      </c>
      <c r="BE84">
        <v>29.317699999999999</v>
      </c>
      <c r="BF84">
        <v>0</v>
      </c>
      <c r="BG84">
        <v>0</v>
      </c>
      <c r="BH84">
        <v>10021.200000000001</v>
      </c>
      <c r="BI84">
        <v>1080.58</v>
      </c>
      <c r="BJ84">
        <v>1.5137799999999999</v>
      </c>
      <c r="BK84">
        <v>-62.011000000000003</v>
      </c>
      <c r="BL84">
        <v>756.33500000000004</v>
      </c>
      <c r="BM84">
        <v>816.577</v>
      </c>
      <c r="BN84">
        <v>3.95783</v>
      </c>
      <c r="BO84">
        <v>799.97799999999995</v>
      </c>
      <c r="BP84">
        <v>20.327999999999999</v>
      </c>
      <c r="BQ84">
        <v>2.4043700000000001</v>
      </c>
      <c r="BR84">
        <v>2.01254</v>
      </c>
      <c r="BS84">
        <v>20.3933</v>
      </c>
      <c r="BT84">
        <v>17.543299999999999</v>
      </c>
      <c r="BU84">
        <v>1799.99</v>
      </c>
      <c r="BV84">
        <v>0.90998999999999997</v>
      </c>
      <c r="BW84">
        <v>3.4001299999999998E-2</v>
      </c>
      <c r="BX84">
        <v>2.2003600000000002E-2</v>
      </c>
      <c r="BY84">
        <v>3.40045E-2</v>
      </c>
      <c r="BZ84">
        <v>25</v>
      </c>
      <c r="CA84">
        <v>33528.199999999997</v>
      </c>
      <c r="CB84">
        <v>1690232006</v>
      </c>
      <c r="CC84" t="s">
        <v>332</v>
      </c>
      <c r="CD84">
        <v>1690232006</v>
      </c>
      <c r="CE84">
        <v>1690231998.5</v>
      </c>
      <c r="CF84">
        <v>14</v>
      </c>
      <c r="CG84">
        <v>-0.13200000000000001</v>
      </c>
      <c r="CH84">
        <v>-7.0000000000000001E-3</v>
      </c>
      <c r="CI84">
        <v>-0.33800000000000002</v>
      </c>
      <c r="CJ84">
        <v>0.14299999999999999</v>
      </c>
      <c r="CK84">
        <v>799</v>
      </c>
      <c r="CL84">
        <v>19</v>
      </c>
      <c r="CM84">
        <v>7.0000000000000007E-2</v>
      </c>
      <c r="CN84">
        <v>0.14000000000000001</v>
      </c>
      <c r="CO84">
        <v>-59.316674999999996</v>
      </c>
      <c r="CP84">
        <v>-16.363290056285098</v>
      </c>
      <c r="CQ84">
        <v>1.575160118011816</v>
      </c>
      <c r="CR84">
        <v>-1</v>
      </c>
      <c r="CS84">
        <v>3.8235169999999998</v>
      </c>
      <c r="CT84">
        <v>0.79203669793619302</v>
      </c>
      <c r="CU84">
        <v>7.6415033638676078E-2</v>
      </c>
      <c r="CV84">
        <v>-1</v>
      </c>
      <c r="CW84">
        <v>0</v>
      </c>
      <c r="CX84">
        <v>0</v>
      </c>
      <c r="CY84" t="s">
        <v>333</v>
      </c>
      <c r="CZ84">
        <v>2.3647900000000002</v>
      </c>
      <c r="DA84">
        <v>2.7137799999999999</v>
      </c>
      <c r="DB84">
        <v>0.13900399999999999</v>
      </c>
      <c r="DC84">
        <v>0.14632999999999999</v>
      </c>
      <c r="DD84">
        <v>0.11488</v>
      </c>
      <c r="DE84">
        <v>9.9808900000000006E-2</v>
      </c>
      <c r="DF84">
        <v>31460.400000000001</v>
      </c>
      <c r="DG84">
        <v>27541.5</v>
      </c>
      <c r="DH84">
        <v>31192.799999999999</v>
      </c>
      <c r="DI84">
        <v>28111</v>
      </c>
      <c r="DJ84">
        <v>37486.400000000001</v>
      </c>
      <c r="DK84">
        <v>35985.199999999997</v>
      </c>
      <c r="DL84">
        <v>44395.3</v>
      </c>
      <c r="DM84">
        <v>42611.3</v>
      </c>
      <c r="DN84">
        <v>1.47685</v>
      </c>
      <c r="DO84">
        <v>2.0638999999999998</v>
      </c>
      <c r="DP84">
        <v>7.3611700000000002E-2</v>
      </c>
      <c r="DQ84">
        <v>0.22750300000000001</v>
      </c>
      <c r="DR84">
        <v>25.781400000000001</v>
      </c>
      <c r="DS84">
        <v>25.599799999999998</v>
      </c>
      <c r="DT84">
        <v>56.4</v>
      </c>
      <c r="DU84">
        <v>28.9</v>
      </c>
      <c r="DV84">
        <v>22.776700000000002</v>
      </c>
      <c r="DW84">
        <v>61.137999999999998</v>
      </c>
      <c r="DX84">
        <v>35.689100000000003</v>
      </c>
      <c r="DY84">
        <v>1</v>
      </c>
      <c r="DZ84">
        <v>-0.11040899999999999</v>
      </c>
      <c r="EA84">
        <v>-0.25554700000000002</v>
      </c>
      <c r="EB84">
        <v>20.189800000000002</v>
      </c>
      <c r="EC84">
        <v>5.2411000000000003</v>
      </c>
      <c r="ED84">
        <v>12.039899999999999</v>
      </c>
      <c r="EE84">
        <v>5.0169499999999996</v>
      </c>
      <c r="EF84">
        <v>3.2879999999999998</v>
      </c>
      <c r="EG84">
        <v>9999</v>
      </c>
      <c r="EH84">
        <v>9999</v>
      </c>
      <c r="EI84">
        <v>9999</v>
      </c>
      <c r="EJ84">
        <v>999.9</v>
      </c>
      <c r="EK84">
        <v>1.8689</v>
      </c>
      <c r="EL84">
        <v>1.8646199999999999</v>
      </c>
      <c r="EM84">
        <v>1.8691899999999999</v>
      </c>
      <c r="EN84">
        <v>1.8672200000000001</v>
      </c>
      <c r="EO84">
        <v>1.8633900000000001</v>
      </c>
      <c r="EP84">
        <v>1.8644799999999999</v>
      </c>
      <c r="EQ84">
        <v>1.87015</v>
      </c>
      <c r="ER84">
        <v>1.86941</v>
      </c>
      <c r="ES84">
        <v>0</v>
      </c>
      <c r="ET84">
        <v>0</v>
      </c>
      <c r="EU84">
        <v>0</v>
      </c>
      <c r="EV84">
        <v>0</v>
      </c>
      <c r="EW84" t="s">
        <v>334</v>
      </c>
      <c r="EX84" t="s">
        <v>335</v>
      </c>
      <c r="EY84" t="s">
        <v>336</v>
      </c>
      <c r="EZ84" t="s">
        <v>336</v>
      </c>
      <c r="FA84" t="s">
        <v>336</v>
      </c>
      <c r="FB84" t="s">
        <v>336</v>
      </c>
      <c r="FC84">
        <v>0</v>
      </c>
      <c r="FD84">
        <v>100</v>
      </c>
      <c r="FE84">
        <v>100</v>
      </c>
      <c r="FF84">
        <v>-0.29499999999999998</v>
      </c>
      <c r="FG84">
        <v>0.17199999999999999</v>
      </c>
      <c r="FH84">
        <v>0.2126736300064915</v>
      </c>
      <c r="FI84">
        <v>-6.1462078757559423E-4</v>
      </c>
      <c r="FJ84">
        <v>-1.8861989874597051E-7</v>
      </c>
      <c r="FK84">
        <v>1.1980462299894961E-10</v>
      </c>
      <c r="FL84">
        <v>0.1719881465068297</v>
      </c>
      <c r="FM84">
        <v>0</v>
      </c>
      <c r="FN84">
        <v>0</v>
      </c>
      <c r="FO84">
        <v>0</v>
      </c>
      <c r="FP84">
        <v>3</v>
      </c>
      <c r="FQ84">
        <v>2158</v>
      </c>
      <c r="FR84">
        <v>1</v>
      </c>
      <c r="FS84">
        <v>19</v>
      </c>
      <c r="FT84">
        <v>20.6</v>
      </c>
      <c r="FU84">
        <v>20.8</v>
      </c>
      <c r="FV84">
        <v>1.79199</v>
      </c>
      <c r="FW84">
        <v>2.5952099999999998</v>
      </c>
      <c r="FX84">
        <v>1.5490699999999999</v>
      </c>
      <c r="FY84">
        <v>2.3290999999999999</v>
      </c>
      <c r="FZ84">
        <v>1.50146</v>
      </c>
      <c r="GA84">
        <v>2.3120099999999999</v>
      </c>
      <c r="GB84">
        <v>33.602899999999998</v>
      </c>
      <c r="GC84">
        <v>23.982399999999998</v>
      </c>
      <c r="GD84">
        <v>19</v>
      </c>
      <c r="GE84">
        <v>282.29599999999999</v>
      </c>
      <c r="GF84">
        <v>603.88</v>
      </c>
      <c r="GG84">
        <v>25.278300000000002</v>
      </c>
      <c r="GH84">
        <v>26.037099999999999</v>
      </c>
      <c r="GI84">
        <v>29.9999</v>
      </c>
      <c r="GJ84">
        <v>26.156500000000001</v>
      </c>
      <c r="GK84">
        <v>26.1374</v>
      </c>
      <c r="GL84">
        <v>35.830599999999997</v>
      </c>
      <c r="GM84">
        <v>20.281600000000001</v>
      </c>
      <c r="GN84">
        <v>100</v>
      </c>
      <c r="GO84">
        <v>25.282499999999999</v>
      </c>
      <c r="GP84">
        <v>800</v>
      </c>
      <c r="GQ84">
        <v>20.205200000000001</v>
      </c>
      <c r="GR84">
        <v>99.810299999999998</v>
      </c>
      <c r="GS84">
        <v>99.678200000000004</v>
      </c>
    </row>
    <row r="85" spans="1:201" x14ac:dyDescent="0.25">
      <c r="A85">
        <v>69</v>
      </c>
      <c r="B85">
        <v>1690233254.5999999</v>
      </c>
      <c r="C85">
        <v>748.5</v>
      </c>
      <c r="D85" t="s">
        <v>469</v>
      </c>
      <c r="E85" t="s">
        <v>470</v>
      </c>
      <c r="F85" t="s">
        <v>330</v>
      </c>
      <c r="H85">
        <v>1690233254.5999999</v>
      </c>
      <c r="I85">
        <f t="shared" si="30"/>
        <v>3.8858195559713499E-4</v>
      </c>
      <c r="J85">
        <f t="shared" si="31"/>
        <v>0.38858195559713499</v>
      </c>
      <c r="K85">
        <f t="shared" si="32"/>
        <v>5.7212761653466151</v>
      </c>
      <c r="L85">
        <f t="shared" si="33"/>
        <v>735.22</v>
      </c>
      <c r="M85">
        <f t="shared" si="34"/>
        <v>313.31063470460208</v>
      </c>
      <c r="N85">
        <f t="shared" si="35"/>
        <v>31.050557336478956</v>
      </c>
      <c r="O85">
        <f t="shared" si="36"/>
        <v>72.863759592616006</v>
      </c>
      <c r="P85">
        <f t="shared" si="37"/>
        <v>2.2582311678980917E-2</v>
      </c>
      <c r="Q85">
        <f t="shared" si="38"/>
        <v>2.1343163880155247</v>
      </c>
      <c r="R85">
        <f t="shared" si="39"/>
        <v>2.2450407666539576E-2</v>
      </c>
      <c r="S85">
        <f t="shared" si="40"/>
        <v>1.4043291509935472E-2</v>
      </c>
      <c r="T85">
        <f t="shared" si="41"/>
        <v>276.11426125935981</v>
      </c>
      <c r="U85">
        <f t="shared" si="42"/>
        <v>29.196235607687452</v>
      </c>
      <c r="V85">
        <f t="shared" si="43"/>
        <v>29.196235607687452</v>
      </c>
      <c r="W85">
        <f t="shared" si="44"/>
        <v>4.0676678086848561</v>
      </c>
      <c r="X85">
        <f t="shared" si="45"/>
        <v>66.688856887078927</v>
      </c>
      <c r="Y85">
        <f t="shared" si="46"/>
        <v>2.40836320368336</v>
      </c>
      <c r="Z85">
        <f t="shared" si="47"/>
        <v>3.6113427581482269</v>
      </c>
      <c r="AA85">
        <f t="shared" si="48"/>
        <v>1.6593046050014961</v>
      </c>
      <c r="AB85">
        <f t="shared" si="49"/>
        <v>-17.136464241833654</v>
      </c>
      <c r="AC85">
        <f t="shared" si="50"/>
        <v>-235.16297951471989</v>
      </c>
      <c r="AD85">
        <f t="shared" si="51"/>
        <v>-24.05915580282818</v>
      </c>
      <c r="AE85">
        <f t="shared" si="52"/>
        <v>-0.24433830002192281</v>
      </c>
      <c r="AF85">
        <v>0</v>
      </c>
      <c r="AG85">
        <v>0</v>
      </c>
      <c r="AH85">
        <f t="shared" si="53"/>
        <v>1</v>
      </c>
      <c r="AI85">
        <f t="shared" si="54"/>
        <v>0</v>
      </c>
      <c r="AJ85">
        <f t="shared" si="55"/>
        <v>52509.42514664591</v>
      </c>
      <c r="AK85">
        <f t="shared" si="56"/>
        <v>1799.99</v>
      </c>
      <c r="AL85">
        <f t="shared" si="57"/>
        <v>1499.1009572150799</v>
      </c>
      <c r="AM85">
        <f t="shared" si="58"/>
        <v>0.83283849199999993</v>
      </c>
      <c r="AN85">
        <f t="shared" si="59"/>
        <v>0.15339766401999999</v>
      </c>
      <c r="AO85">
        <v>32.4</v>
      </c>
      <c r="AP85">
        <v>0.5</v>
      </c>
      <c r="AQ85" t="s">
        <v>331</v>
      </c>
      <c r="AR85">
        <v>2</v>
      </c>
      <c r="AS85">
        <v>1690233254.5999999</v>
      </c>
      <c r="AT85">
        <v>735.22</v>
      </c>
      <c r="AU85">
        <v>800.08100000000002</v>
      </c>
      <c r="AV85">
        <v>24.301200000000001</v>
      </c>
      <c r="AW85">
        <v>20.2074</v>
      </c>
      <c r="AX85">
        <v>735.51400000000001</v>
      </c>
      <c r="AY85">
        <v>24.129200000000001</v>
      </c>
      <c r="AZ85">
        <v>300.06599999999997</v>
      </c>
      <c r="BA85">
        <v>99.004800000000003</v>
      </c>
      <c r="BB85">
        <v>9.99028E-2</v>
      </c>
      <c r="BC85">
        <v>27.1525</v>
      </c>
      <c r="BD85">
        <v>26.9956</v>
      </c>
      <c r="BE85">
        <v>29.288699999999999</v>
      </c>
      <c r="BF85">
        <v>0</v>
      </c>
      <c r="BG85">
        <v>0</v>
      </c>
      <c r="BH85">
        <v>10036.9</v>
      </c>
      <c r="BI85">
        <v>1080.5899999999999</v>
      </c>
      <c r="BJ85">
        <v>1.5137799999999999</v>
      </c>
      <c r="BK85">
        <v>-64.861000000000004</v>
      </c>
      <c r="BL85">
        <v>753.53200000000004</v>
      </c>
      <c r="BM85">
        <v>816.58199999999999</v>
      </c>
      <c r="BN85">
        <v>4.09375</v>
      </c>
      <c r="BO85">
        <v>800.08100000000002</v>
      </c>
      <c r="BP85">
        <v>20.2074</v>
      </c>
      <c r="BQ85">
        <v>2.4059300000000001</v>
      </c>
      <c r="BR85">
        <v>2.0006300000000001</v>
      </c>
      <c r="BS85">
        <v>20.4038</v>
      </c>
      <c r="BT85">
        <v>17.449300000000001</v>
      </c>
      <c r="BU85">
        <v>1799.99</v>
      </c>
      <c r="BV85">
        <v>0.90998599999999996</v>
      </c>
      <c r="BW85">
        <v>3.4008200000000002E-2</v>
      </c>
      <c r="BX85">
        <v>2.2002600000000001E-2</v>
      </c>
      <c r="BY85">
        <v>3.4002999999999999E-2</v>
      </c>
      <c r="BZ85">
        <v>25</v>
      </c>
      <c r="CA85">
        <v>33528.1</v>
      </c>
      <c r="CB85">
        <v>1690232006</v>
      </c>
      <c r="CC85" t="s">
        <v>332</v>
      </c>
      <c r="CD85">
        <v>1690232006</v>
      </c>
      <c r="CE85">
        <v>1690231998.5</v>
      </c>
      <c r="CF85">
        <v>14</v>
      </c>
      <c r="CG85">
        <v>-0.13200000000000001</v>
      </c>
      <c r="CH85">
        <v>-7.0000000000000001E-3</v>
      </c>
      <c r="CI85">
        <v>-0.33800000000000002</v>
      </c>
      <c r="CJ85">
        <v>0.14299999999999999</v>
      </c>
      <c r="CK85">
        <v>799</v>
      </c>
      <c r="CL85">
        <v>19</v>
      </c>
      <c r="CM85">
        <v>7.0000000000000007E-2</v>
      </c>
      <c r="CN85">
        <v>0.14000000000000001</v>
      </c>
      <c r="CO85">
        <v>-61.757417500000003</v>
      </c>
      <c r="CP85">
        <v>-16.30783677298297</v>
      </c>
      <c r="CQ85">
        <v>1.569668326412861</v>
      </c>
      <c r="CR85">
        <v>-1</v>
      </c>
      <c r="CS85">
        <v>3.93884225</v>
      </c>
      <c r="CT85">
        <v>0.7896293808630338</v>
      </c>
      <c r="CU85">
        <v>7.6224595160863315E-2</v>
      </c>
      <c r="CV85">
        <v>-1</v>
      </c>
      <c r="CW85">
        <v>0</v>
      </c>
      <c r="CX85">
        <v>0</v>
      </c>
      <c r="CY85" t="s">
        <v>333</v>
      </c>
      <c r="CZ85">
        <v>2.3643100000000001</v>
      </c>
      <c r="DA85">
        <v>2.7137199999999999</v>
      </c>
      <c r="DB85">
        <v>0.138657</v>
      </c>
      <c r="DC85">
        <v>0.146343</v>
      </c>
      <c r="DD85">
        <v>0.11493299999999999</v>
      </c>
      <c r="DE85">
        <v>9.9391300000000002E-2</v>
      </c>
      <c r="DF85">
        <v>31473.7</v>
      </c>
      <c r="DG85">
        <v>27541.3</v>
      </c>
      <c r="DH85">
        <v>31193.4</v>
      </c>
      <c r="DI85">
        <v>28111.200000000001</v>
      </c>
      <c r="DJ85">
        <v>37484.5</v>
      </c>
      <c r="DK85">
        <v>36002</v>
      </c>
      <c r="DL85">
        <v>44395.9</v>
      </c>
      <c r="DM85">
        <v>42611.4</v>
      </c>
      <c r="DN85">
        <v>1.4766999999999999</v>
      </c>
      <c r="DO85">
        <v>2.0634999999999999</v>
      </c>
      <c r="DP85">
        <v>7.41705E-2</v>
      </c>
      <c r="DQ85">
        <v>0.22552900000000001</v>
      </c>
      <c r="DR85">
        <v>25.781400000000001</v>
      </c>
      <c r="DS85">
        <v>25.603100000000001</v>
      </c>
      <c r="DT85">
        <v>56.4</v>
      </c>
      <c r="DU85">
        <v>28.9</v>
      </c>
      <c r="DV85">
        <v>22.779699999999998</v>
      </c>
      <c r="DW85">
        <v>61.427999999999997</v>
      </c>
      <c r="DX85">
        <v>36.258000000000003</v>
      </c>
      <c r="DY85">
        <v>1</v>
      </c>
      <c r="DZ85">
        <v>-0.110805</v>
      </c>
      <c r="EA85">
        <v>-0.25448300000000001</v>
      </c>
      <c r="EB85">
        <v>20.189599999999999</v>
      </c>
      <c r="EC85">
        <v>5.2409499999999998</v>
      </c>
      <c r="ED85">
        <v>12.039899999999999</v>
      </c>
      <c r="EE85">
        <v>5.0168999999999997</v>
      </c>
      <c r="EF85">
        <v>3.2879999999999998</v>
      </c>
      <c r="EG85">
        <v>9999</v>
      </c>
      <c r="EH85">
        <v>9999</v>
      </c>
      <c r="EI85">
        <v>9999</v>
      </c>
      <c r="EJ85">
        <v>999.9</v>
      </c>
      <c r="EK85">
        <v>1.8689</v>
      </c>
      <c r="EL85">
        <v>1.8646199999999999</v>
      </c>
      <c r="EM85">
        <v>1.8691899999999999</v>
      </c>
      <c r="EN85">
        <v>1.8672200000000001</v>
      </c>
      <c r="EO85">
        <v>1.8633999999999999</v>
      </c>
      <c r="EP85">
        <v>1.8644799999999999</v>
      </c>
      <c r="EQ85">
        <v>1.87015</v>
      </c>
      <c r="ER85">
        <v>1.86941</v>
      </c>
      <c r="ES85">
        <v>0</v>
      </c>
      <c r="ET85">
        <v>0</v>
      </c>
      <c r="EU85">
        <v>0</v>
      </c>
      <c r="EV85">
        <v>0</v>
      </c>
      <c r="EW85" t="s">
        <v>334</v>
      </c>
      <c r="EX85" t="s">
        <v>335</v>
      </c>
      <c r="EY85" t="s">
        <v>336</v>
      </c>
      <c r="EZ85" t="s">
        <v>336</v>
      </c>
      <c r="FA85" t="s">
        <v>336</v>
      </c>
      <c r="FB85" t="s">
        <v>336</v>
      </c>
      <c r="FC85">
        <v>0</v>
      </c>
      <c r="FD85">
        <v>100</v>
      </c>
      <c r="FE85">
        <v>100</v>
      </c>
      <c r="FF85">
        <v>-0.29399999999999998</v>
      </c>
      <c r="FG85">
        <v>0.17199999999999999</v>
      </c>
      <c r="FH85">
        <v>0.2126736300064915</v>
      </c>
      <c r="FI85">
        <v>-6.1462078757559423E-4</v>
      </c>
      <c r="FJ85">
        <v>-1.8861989874597051E-7</v>
      </c>
      <c r="FK85">
        <v>1.1980462299894961E-10</v>
      </c>
      <c r="FL85">
        <v>0.1719881465068297</v>
      </c>
      <c r="FM85">
        <v>0</v>
      </c>
      <c r="FN85">
        <v>0</v>
      </c>
      <c r="FO85">
        <v>0</v>
      </c>
      <c r="FP85">
        <v>3</v>
      </c>
      <c r="FQ85">
        <v>2158</v>
      </c>
      <c r="FR85">
        <v>1</v>
      </c>
      <c r="FS85">
        <v>19</v>
      </c>
      <c r="FT85">
        <v>20.8</v>
      </c>
      <c r="FU85">
        <v>20.9</v>
      </c>
      <c r="FV85">
        <v>1.79199</v>
      </c>
      <c r="FW85">
        <v>2.5842299999999998</v>
      </c>
      <c r="FX85">
        <v>1.5490699999999999</v>
      </c>
      <c r="FY85">
        <v>2.3290999999999999</v>
      </c>
      <c r="FZ85">
        <v>1.50146</v>
      </c>
      <c r="GA85">
        <v>2.4194300000000002</v>
      </c>
      <c r="GB85">
        <v>33.602899999999998</v>
      </c>
      <c r="GC85">
        <v>23.991199999999999</v>
      </c>
      <c r="GD85">
        <v>19</v>
      </c>
      <c r="GE85">
        <v>282.22300000000001</v>
      </c>
      <c r="GF85">
        <v>603.51499999999999</v>
      </c>
      <c r="GG85">
        <v>25.295200000000001</v>
      </c>
      <c r="GH85">
        <v>26.033200000000001</v>
      </c>
      <c r="GI85">
        <v>29.9999</v>
      </c>
      <c r="GJ85">
        <v>26.154299999999999</v>
      </c>
      <c r="GK85">
        <v>26.135200000000001</v>
      </c>
      <c r="GL85">
        <v>35.826099999999997</v>
      </c>
      <c r="GM85">
        <v>20.8721</v>
      </c>
      <c r="GN85">
        <v>100</v>
      </c>
      <c r="GO85">
        <v>25.2957</v>
      </c>
      <c r="GP85">
        <v>800</v>
      </c>
      <c r="GQ85">
        <v>20.0961</v>
      </c>
      <c r="GR85">
        <v>99.811800000000005</v>
      </c>
      <c r="GS85">
        <v>99.678600000000003</v>
      </c>
    </row>
    <row r="86" spans="1:201" x14ac:dyDescent="0.25">
      <c r="A86">
        <v>70</v>
      </c>
      <c r="B86">
        <v>1690233264.5999999</v>
      </c>
      <c r="C86">
        <v>758.5</v>
      </c>
      <c r="D86" t="s">
        <v>471</v>
      </c>
      <c r="E86" t="s">
        <v>472</v>
      </c>
      <c r="F86" t="s">
        <v>330</v>
      </c>
      <c r="H86">
        <v>1690233264.5999999</v>
      </c>
      <c r="I86">
        <f t="shared" si="30"/>
        <v>4.0127559140387881E-4</v>
      </c>
      <c r="J86">
        <f t="shared" si="31"/>
        <v>0.40127559140387881</v>
      </c>
      <c r="K86">
        <f t="shared" si="32"/>
        <v>5.9831029389135519</v>
      </c>
      <c r="L86">
        <f t="shared" si="33"/>
        <v>732.40099999999995</v>
      </c>
      <c r="M86">
        <f t="shared" si="34"/>
        <v>305.25189836843106</v>
      </c>
      <c r="N86">
        <f t="shared" si="35"/>
        <v>30.252504439331474</v>
      </c>
      <c r="O86">
        <f t="shared" si="36"/>
        <v>72.585836885207286</v>
      </c>
      <c r="P86">
        <f t="shared" si="37"/>
        <v>2.3311825334460617E-2</v>
      </c>
      <c r="Q86">
        <f t="shared" si="38"/>
        <v>2.1299729397423319</v>
      </c>
      <c r="R86">
        <f t="shared" si="39"/>
        <v>2.3171005352258023E-2</v>
      </c>
      <c r="S86">
        <f t="shared" si="40"/>
        <v>1.4494459441673211E-2</v>
      </c>
      <c r="T86">
        <f t="shared" si="41"/>
        <v>276.11409128630413</v>
      </c>
      <c r="U86">
        <f t="shared" si="42"/>
        <v>29.207070489791324</v>
      </c>
      <c r="V86">
        <f t="shared" si="43"/>
        <v>29.207070489791324</v>
      </c>
      <c r="W86">
        <f t="shared" si="44"/>
        <v>4.0702150888484425</v>
      </c>
      <c r="X86">
        <f t="shared" si="45"/>
        <v>66.689095946778636</v>
      </c>
      <c r="Y86">
        <f t="shared" si="46"/>
        <v>2.40999713641156</v>
      </c>
      <c r="Z86">
        <f t="shared" si="47"/>
        <v>3.6137798873969791</v>
      </c>
      <c r="AA86">
        <f t="shared" si="48"/>
        <v>1.6602179524368825</v>
      </c>
      <c r="AB86">
        <f t="shared" si="49"/>
        <v>-17.696253580911055</v>
      </c>
      <c r="AC86">
        <f t="shared" si="50"/>
        <v>-234.60803402361071</v>
      </c>
      <c r="AD86">
        <f t="shared" si="51"/>
        <v>-24.054001280186643</v>
      </c>
      <c r="AE86">
        <f t="shared" si="52"/>
        <v>-0.24419759840426991</v>
      </c>
      <c r="AF86">
        <v>0</v>
      </c>
      <c r="AG86">
        <v>0</v>
      </c>
      <c r="AH86">
        <f t="shared" si="53"/>
        <v>1</v>
      </c>
      <c r="AI86">
        <f t="shared" si="54"/>
        <v>0</v>
      </c>
      <c r="AJ86">
        <f t="shared" si="55"/>
        <v>52320.227555531746</v>
      </c>
      <c r="AK86">
        <f t="shared" si="56"/>
        <v>1799.99</v>
      </c>
      <c r="AL86">
        <f t="shared" si="57"/>
        <v>1499.10222980801</v>
      </c>
      <c r="AM86">
        <f t="shared" si="58"/>
        <v>0.83283919900000003</v>
      </c>
      <c r="AN86">
        <f t="shared" si="59"/>
        <v>0.15339756959</v>
      </c>
      <c r="AO86">
        <v>32.4</v>
      </c>
      <c r="AP86">
        <v>0.5</v>
      </c>
      <c r="AQ86" t="s">
        <v>331</v>
      </c>
      <c r="AR86">
        <v>2</v>
      </c>
      <c r="AS86">
        <v>1690233264.5999999</v>
      </c>
      <c r="AT86">
        <v>732.40099999999995</v>
      </c>
      <c r="AU86">
        <v>800.13499999999999</v>
      </c>
      <c r="AV86">
        <v>24.3172</v>
      </c>
      <c r="AW86">
        <v>20.092400000000001</v>
      </c>
      <c r="AX86">
        <v>732.69299999999998</v>
      </c>
      <c r="AY86">
        <v>24.145299999999999</v>
      </c>
      <c r="AZ86">
        <v>300.255</v>
      </c>
      <c r="BA86">
        <v>99.006699999999995</v>
      </c>
      <c r="BB86">
        <v>9.9987300000000001E-2</v>
      </c>
      <c r="BC86">
        <v>27.164000000000001</v>
      </c>
      <c r="BD86">
        <v>26.999600000000001</v>
      </c>
      <c r="BE86">
        <v>29.304300000000001</v>
      </c>
      <c r="BF86">
        <v>0</v>
      </c>
      <c r="BG86">
        <v>0</v>
      </c>
      <c r="BH86">
        <v>9999.3799999999992</v>
      </c>
      <c r="BI86">
        <v>1080.67</v>
      </c>
      <c r="BJ86">
        <v>1.5137799999999999</v>
      </c>
      <c r="BK86">
        <v>-67.733900000000006</v>
      </c>
      <c r="BL86">
        <v>750.65499999999997</v>
      </c>
      <c r="BM86">
        <v>816.54100000000005</v>
      </c>
      <c r="BN86">
        <v>4.22485</v>
      </c>
      <c r="BO86">
        <v>800.13499999999999</v>
      </c>
      <c r="BP86">
        <v>20.092400000000001</v>
      </c>
      <c r="BQ86">
        <v>2.4075700000000002</v>
      </c>
      <c r="BR86">
        <v>1.9892799999999999</v>
      </c>
      <c r="BS86">
        <v>20.4148</v>
      </c>
      <c r="BT86">
        <v>17.359300000000001</v>
      </c>
      <c r="BU86">
        <v>1799.99</v>
      </c>
      <c r="BV86">
        <v>0.90999200000000002</v>
      </c>
      <c r="BW86">
        <v>3.4006000000000002E-2</v>
      </c>
      <c r="BX86">
        <v>2.2001199999999999E-2</v>
      </c>
      <c r="BY86">
        <v>3.4000900000000001E-2</v>
      </c>
      <c r="BZ86">
        <v>25</v>
      </c>
      <c r="CA86">
        <v>33528.199999999997</v>
      </c>
      <c r="CB86">
        <v>1690232006</v>
      </c>
      <c r="CC86" t="s">
        <v>332</v>
      </c>
      <c r="CD86">
        <v>1690232006</v>
      </c>
      <c r="CE86">
        <v>1690231998.5</v>
      </c>
      <c r="CF86">
        <v>14</v>
      </c>
      <c r="CG86">
        <v>-0.13200000000000001</v>
      </c>
      <c r="CH86">
        <v>-7.0000000000000001E-3</v>
      </c>
      <c r="CI86">
        <v>-0.33800000000000002</v>
      </c>
      <c r="CJ86">
        <v>0.14299999999999999</v>
      </c>
      <c r="CK86">
        <v>799</v>
      </c>
      <c r="CL86">
        <v>19</v>
      </c>
      <c r="CM86">
        <v>7.0000000000000007E-2</v>
      </c>
      <c r="CN86">
        <v>0.14000000000000001</v>
      </c>
      <c r="CO86">
        <v>-64.495750000000001</v>
      </c>
      <c r="CP86">
        <v>-16.716688930581469</v>
      </c>
      <c r="CQ86">
        <v>1.608362785567983</v>
      </c>
      <c r="CR86">
        <v>-1</v>
      </c>
      <c r="CS86">
        <v>4.0658155000000002</v>
      </c>
      <c r="CT86">
        <v>0.73619144465290642</v>
      </c>
      <c r="CU86">
        <v>7.115623531883912E-2</v>
      </c>
      <c r="CV86">
        <v>-1</v>
      </c>
      <c r="CW86">
        <v>0</v>
      </c>
      <c r="CX86">
        <v>0</v>
      </c>
      <c r="CY86" t="s">
        <v>333</v>
      </c>
      <c r="CZ86">
        <v>2.3649100000000001</v>
      </c>
      <c r="DA86">
        <v>2.7137799999999999</v>
      </c>
      <c r="DB86">
        <v>0.13829900000000001</v>
      </c>
      <c r="DC86">
        <v>0.14635100000000001</v>
      </c>
      <c r="DD86">
        <v>0.11498999999999999</v>
      </c>
      <c r="DE86">
        <v>9.8992499999999997E-2</v>
      </c>
      <c r="DF86">
        <v>31486.799999999999</v>
      </c>
      <c r="DG86">
        <v>27541.1</v>
      </c>
      <c r="DH86">
        <v>31193.3</v>
      </c>
      <c r="DI86">
        <v>28111.200000000001</v>
      </c>
      <c r="DJ86">
        <v>37482.199999999997</v>
      </c>
      <c r="DK86">
        <v>36018.1</v>
      </c>
      <c r="DL86">
        <v>44396.1</v>
      </c>
      <c r="DM86">
        <v>42611.6</v>
      </c>
      <c r="DN86">
        <v>1.4770700000000001</v>
      </c>
      <c r="DO86">
        <v>2.0632999999999999</v>
      </c>
      <c r="DP86">
        <v>7.4282299999999996E-2</v>
      </c>
      <c r="DQ86">
        <v>0.22631100000000001</v>
      </c>
      <c r="DR86">
        <v>25.7836</v>
      </c>
      <c r="DS86">
        <v>25.605899999999998</v>
      </c>
      <c r="DT86">
        <v>56.4</v>
      </c>
      <c r="DU86">
        <v>28.9</v>
      </c>
      <c r="DV86">
        <v>22.7819</v>
      </c>
      <c r="DW86">
        <v>61.537999999999997</v>
      </c>
      <c r="DX86">
        <v>35.9375</v>
      </c>
      <c r="DY86">
        <v>1</v>
      </c>
      <c r="DZ86">
        <v>-0.11078499999999999</v>
      </c>
      <c r="EA86">
        <v>-0.25040899999999999</v>
      </c>
      <c r="EB86">
        <v>20.189599999999999</v>
      </c>
      <c r="EC86">
        <v>5.2409499999999998</v>
      </c>
      <c r="ED86">
        <v>12.039899999999999</v>
      </c>
      <c r="EE86">
        <v>5.0170500000000002</v>
      </c>
      <c r="EF86">
        <v>3.2879999999999998</v>
      </c>
      <c r="EG86">
        <v>9999</v>
      </c>
      <c r="EH86">
        <v>9999</v>
      </c>
      <c r="EI86">
        <v>9999</v>
      </c>
      <c r="EJ86">
        <v>999.9</v>
      </c>
      <c r="EK86">
        <v>1.8689</v>
      </c>
      <c r="EL86">
        <v>1.8646199999999999</v>
      </c>
      <c r="EM86">
        <v>1.8692</v>
      </c>
      <c r="EN86">
        <v>1.8672200000000001</v>
      </c>
      <c r="EO86">
        <v>1.8633999999999999</v>
      </c>
      <c r="EP86">
        <v>1.8644799999999999</v>
      </c>
      <c r="EQ86">
        <v>1.87015</v>
      </c>
      <c r="ER86">
        <v>1.86937</v>
      </c>
      <c r="ES86">
        <v>0</v>
      </c>
      <c r="ET86">
        <v>0</v>
      </c>
      <c r="EU86">
        <v>0</v>
      </c>
      <c r="EV86">
        <v>0</v>
      </c>
      <c r="EW86" t="s">
        <v>334</v>
      </c>
      <c r="EX86" t="s">
        <v>335</v>
      </c>
      <c r="EY86" t="s">
        <v>336</v>
      </c>
      <c r="EZ86" t="s">
        <v>336</v>
      </c>
      <c r="FA86" t="s">
        <v>336</v>
      </c>
      <c r="FB86" t="s">
        <v>336</v>
      </c>
      <c r="FC86">
        <v>0</v>
      </c>
      <c r="FD86">
        <v>100</v>
      </c>
      <c r="FE86">
        <v>100</v>
      </c>
      <c r="FF86">
        <v>-0.29199999999999998</v>
      </c>
      <c r="FG86">
        <v>0.1719</v>
      </c>
      <c r="FH86">
        <v>0.2126736300064915</v>
      </c>
      <c r="FI86">
        <v>-6.1462078757559423E-4</v>
      </c>
      <c r="FJ86">
        <v>-1.8861989874597051E-7</v>
      </c>
      <c r="FK86">
        <v>1.1980462299894961E-10</v>
      </c>
      <c r="FL86">
        <v>0.1719881465068297</v>
      </c>
      <c r="FM86">
        <v>0</v>
      </c>
      <c r="FN86">
        <v>0</v>
      </c>
      <c r="FO86">
        <v>0</v>
      </c>
      <c r="FP86">
        <v>3</v>
      </c>
      <c r="FQ86">
        <v>2158</v>
      </c>
      <c r="FR86">
        <v>1</v>
      </c>
      <c r="FS86">
        <v>19</v>
      </c>
      <c r="FT86">
        <v>21</v>
      </c>
      <c r="FU86">
        <v>21.1</v>
      </c>
      <c r="FV86">
        <v>1.79199</v>
      </c>
      <c r="FW86">
        <v>2.5952099999999998</v>
      </c>
      <c r="FX86">
        <v>1.5490699999999999</v>
      </c>
      <c r="FY86">
        <v>2.3290999999999999</v>
      </c>
      <c r="FZ86">
        <v>1.50146</v>
      </c>
      <c r="GA86">
        <v>2.33887</v>
      </c>
      <c r="GB86">
        <v>33.602899999999998</v>
      </c>
      <c r="GC86">
        <v>23.982399999999998</v>
      </c>
      <c r="GD86">
        <v>19</v>
      </c>
      <c r="GE86">
        <v>282.37</v>
      </c>
      <c r="GF86">
        <v>603.31500000000005</v>
      </c>
      <c r="GG86">
        <v>25.303100000000001</v>
      </c>
      <c r="GH86">
        <v>26.0305</v>
      </c>
      <c r="GI86">
        <v>30.0001</v>
      </c>
      <c r="GJ86">
        <v>26.151599999999998</v>
      </c>
      <c r="GK86">
        <v>26.1326</v>
      </c>
      <c r="GL86">
        <v>35.819000000000003</v>
      </c>
      <c r="GM86">
        <v>21.155799999999999</v>
      </c>
      <c r="GN86">
        <v>100</v>
      </c>
      <c r="GO86">
        <v>25.303799999999999</v>
      </c>
      <c r="GP86">
        <v>800</v>
      </c>
      <c r="GQ86">
        <v>19.979900000000001</v>
      </c>
      <c r="GR86">
        <v>99.811999999999998</v>
      </c>
      <c r="GS86">
        <v>99.679100000000005</v>
      </c>
    </row>
    <row r="87" spans="1:201" x14ac:dyDescent="0.25">
      <c r="A87">
        <v>71</v>
      </c>
      <c r="B87">
        <v>1690233274.5999999</v>
      </c>
      <c r="C87">
        <v>768.5</v>
      </c>
      <c r="D87" t="s">
        <v>473</v>
      </c>
      <c r="E87" t="s">
        <v>474</v>
      </c>
      <c r="F87" t="s">
        <v>330</v>
      </c>
      <c r="H87">
        <v>1690233274.5999999</v>
      </c>
      <c r="I87">
        <f t="shared" si="30"/>
        <v>4.1087114447161077E-4</v>
      </c>
      <c r="J87">
        <f t="shared" si="31"/>
        <v>0.41087114447161077</v>
      </c>
      <c r="K87">
        <f t="shared" si="32"/>
        <v>6.2161796555474158</v>
      </c>
      <c r="L87">
        <f t="shared" si="33"/>
        <v>729.65</v>
      </c>
      <c r="M87">
        <f t="shared" si="34"/>
        <v>297.52152990841074</v>
      </c>
      <c r="N87">
        <f t="shared" si="35"/>
        <v>29.48498103715556</v>
      </c>
      <c r="O87">
        <f t="shared" si="36"/>
        <v>72.309780137199994</v>
      </c>
      <c r="P87">
        <f t="shared" si="37"/>
        <v>2.3924625348484385E-2</v>
      </c>
      <c r="Q87">
        <f t="shared" si="38"/>
        <v>2.1271451270731641</v>
      </c>
      <c r="R87">
        <f t="shared" si="39"/>
        <v>2.3776134156670757E-2</v>
      </c>
      <c r="S87">
        <f t="shared" si="40"/>
        <v>1.4873348255013699E-2</v>
      </c>
      <c r="T87">
        <f t="shared" si="41"/>
        <v>276.11375744215883</v>
      </c>
      <c r="U87">
        <f t="shared" si="42"/>
        <v>29.195903132461126</v>
      </c>
      <c r="V87">
        <f t="shared" si="43"/>
        <v>29.195903132461126</v>
      </c>
      <c r="W87">
        <f t="shared" si="44"/>
        <v>4.0675896657630357</v>
      </c>
      <c r="X87">
        <f t="shared" si="45"/>
        <v>66.757260056268819</v>
      </c>
      <c r="Y87">
        <f t="shared" si="46"/>
        <v>2.4110032016279996</v>
      </c>
      <c r="Z87">
        <f t="shared" si="47"/>
        <v>3.6115970002300823</v>
      </c>
      <c r="AA87">
        <f t="shared" si="48"/>
        <v>1.6565864641350361</v>
      </c>
      <c r="AB87">
        <f t="shared" si="49"/>
        <v>-18.119417471198034</v>
      </c>
      <c r="AC87">
        <f t="shared" si="50"/>
        <v>-234.19709435737431</v>
      </c>
      <c r="AD87">
        <f t="shared" si="51"/>
        <v>-24.041218738487498</v>
      </c>
      <c r="AE87">
        <f t="shared" si="52"/>
        <v>-0.24397312490100376</v>
      </c>
      <c r="AF87">
        <v>0</v>
      </c>
      <c r="AG87">
        <v>0</v>
      </c>
      <c r="AH87">
        <f t="shared" si="53"/>
        <v>1</v>
      </c>
      <c r="AI87">
        <f t="shared" si="54"/>
        <v>0</v>
      </c>
      <c r="AJ87">
        <f t="shared" si="55"/>
        <v>52200.258254770437</v>
      </c>
      <c r="AK87">
        <f t="shared" si="56"/>
        <v>1799.99</v>
      </c>
      <c r="AL87">
        <f t="shared" si="57"/>
        <v>1499.1021182086299</v>
      </c>
      <c r="AM87">
        <f t="shared" si="58"/>
        <v>0.8328391369999999</v>
      </c>
      <c r="AN87">
        <f t="shared" si="59"/>
        <v>0.15339738412000001</v>
      </c>
      <c r="AO87">
        <v>32.4</v>
      </c>
      <c r="AP87">
        <v>0.5</v>
      </c>
      <c r="AQ87" t="s">
        <v>331</v>
      </c>
      <c r="AR87">
        <v>2</v>
      </c>
      <c r="AS87">
        <v>1690233274.5999999</v>
      </c>
      <c r="AT87">
        <v>729.65</v>
      </c>
      <c r="AU87">
        <v>799.98099999999999</v>
      </c>
      <c r="AV87">
        <v>24.328499999999998</v>
      </c>
      <c r="AW87">
        <v>20.0016</v>
      </c>
      <c r="AX87">
        <v>729.94</v>
      </c>
      <c r="AY87">
        <v>24.156500000000001</v>
      </c>
      <c r="AZ87">
        <v>300.17700000000002</v>
      </c>
      <c r="BA87">
        <v>99.001999999999995</v>
      </c>
      <c r="BB87">
        <v>0.100008</v>
      </c>
      <c r="BC87">
        <v>27.153700000000001</v>
      </c>
      <c r="BD87">
        <v>26.990200000000002</v>
      </c>
      <c r="BE87">
        <v>29.3125</v>
      </c>
      <c r="BF87">
        <v>0</v>
      </c>
      <c r="BG87">
        <v>0</v>
      </c>
      <c r="BH87">
        <v>9975.6200000000008</v>
      </c>
      <c r="BI87">
        <v>1080.75</v>
      </c>
      <c r="BJ87">
        <v>1.5137799999999999</v>
      </c>
      <c r="BK87">
        <v>-70.330699999999993</v>
      </c>
      <c r="BL87">
        <v>747.84400000000005</v>
      </c>
      <c r="BM87">
        <v>816.30899999999997</v>
      </c>
      <c r="BN87">
        <v>4.3268300000000002</v>
      </c>
      <c r="BO87">
        <v>799.98099999999999</v>
      </c>
      <c r="BP87">
        <v>20.0016</v>
      </c>
      <c r="BQ87">
        <v>2.4085700000000001</v>
      </c>
      <c r="BR87">
        <v>1.9802</v>
      </c>
      <c r="BS87">
        <v>20.421500000000002</v>
      </c>
      <c r="BT87">
        <v>17.286899999999999</v>
      </c>
      <c r="BU87">
        <v>1799.99</v>
      </c>
      <c r="BV87">
        <v>0.90999600000000003</v>
      </c>
      <c r="BW87">
        <v>3.4004300000000001E-2</v>
      </c>
      <c r="BX87">
        <v>2.2000100000000002E-2</v>
      </c>
      <c r="BY87">
        <v>3.39992E-2</v>
      </c>
      <c r="BZ87">
        <v>25</v>
      </c>
      <c r="CA87">
        <v>33528.199999999997</v>
      </c>
      <c r="CB87">
        <v>1690232006</v>
      </c>
      <c r="CC87" t="s">
        <v>332</v>
      </c>
      <c r="CD87">
        <v>1690232006</v>
      </c>
      <c r="CE87">
        <v>1690231998.5</v>
      </c>
      <c r="CF87">
        <v>14</v>
      </c>
      <c r="CG87">
        <v>-0.13200000000000001</v>
      </c>
      <c r="CH87">
        <v>-7.0000000000000001E-3</v>
      </c>
      <c r="CI87">
        <v>-0.33800000000000002</v>
      </c>
      <c r="CJ87">
        <v>0.14299999999999999</v>
      </c>
      <c r="CK87">
        <v>799</v>
      </c>
      <c r="CL87">
        <v>19</v>
      </c>
      <c r="CM87">
        <v>7.0000000000000007E-2</v>
      </c>
      <c r="CN87">
        <v>0.14000000000000001</v>
      </c>
      <c r="CO87">
        <v>-67.29288249999999</v>
      </c>
      <c r="CP87">
        <v>-16.658574484052512</v>
      </c>
      <c r="CQ87">
        <v>1.6031460159460671</v>
      </c>
      <c r="CR87">
        <v>-1</v>
      </c>
      <c r="CS87">
        <v>4.1971109999999996</v>
      </c>
      <c r="CT87">
        <v>0.78242341463415122</v>
      </c>
      <c r="CU87">
        <v>7.5777757877889235E-2</v>
      </c>
      <c r="CV87">
        <v>-1</v>
      </c>
      <c r="CW87">
        <v>0</v>
      </c>
      <c r="CX87">
        <v>0</v>
      </c>
      <c r="CY87" t="s">
        <v>333</v>
      </c>
      <c r="CZ87">
        <v>2.3646600000000002</v>
      </c>
      <c r="DA87">
        <v>2.7137799999999999</v>
      </c>
      <c r="DB87">
        <v>0.13794200000000001</v>
      </c>
      <c r="DC87">
        <v>0.14632500000000001</v>
      </c>
      <c r="DD87">
        <v>0.115023</v>
      </c>
      <c r="DE87">
        <v>9.8671300000000003E-2</v>
      </c>
      <c r="DF87">
        <v>31500.6</v>
      </c>
      <c r="DG87">
        <v>27542.1</v>
      </c>
      <c r="DH87">
        <v>31194.1</v>
      </c>
      <c r="DI87">
        <v>28111.4</v>
      </c>
      <c r="DJ87">
        <v>37481.5</v>
      </c>
      <c r="DK87">
        <v>36031.300000000003</v>
      </c>
      <c r="DL87">
        <v>44396.9</v>
      </c>
      <c r="DM87">
        <v>42612</v>
      </c>
      <c r="DN87">
        <v>1.4771000000000001</v>
      </c>
      <c r="DO87">
        <v>2.0634299999999999</v>
      </c>
      <c r="DP87">
        <v>7.3574500000000001E-2</v>
      </c>
      <c r="DQ87">
        <v>0.226684</v>
      </c>
      <c r="DR87">
        <v>25.785799999999998</v>
      </c>
      <c r="DS87">
        <v>25.608000000000001</v>
      </c>
      <c r="DT87">
        <v>56.4</v>
      </c>
      <c r="DU87">
        <v>28.9</v>
      </c>
      <c r="DV87">
        <v>22.778300000000002</v>
      </c>
      <c r="DW87">
        <v>61.738</v>
      </c>
      <c r="DX87">
        <v>35.7973</v>
      </c>
      <c r="DY87">
        <v>1</v>
      </c>
      <c r="DZ87">
        <v>-0.11124199999999999</v>
      </c>
      <c r="EA87">
        <v>-0.14441200000000001</v>
      </c>
      <c r="EB87">
        <v>20.189900000000002</v>
      </c>
      <c r="EC87">
        <v>5.2409499999999998</v>
      </c>
      <c r="ED87">
        <v>12.039899999999999</v>
      </c>
      <c r="EE87">
        <v>5.0170500000000002</v>
      </c>
      <c r="EF87">
        <v>3.2879999999999998</v>
      </c>
      <c r="EG87">
        <v>9999</v>
      </c>
      <c r="EH87">
        <v>9999</v>
      </c>
      <c r="EI87">
        <v>9999</v>
      </c>
      <c r="EJ87">
        <v>999.9</v>
      </c>
      <c r="EK87">
        <v>1.8689</v>
      </c>
      <c r="EL87">
        <v>1.8646199999999999</v>
      </c>
      <c r="EM87">
        <v>1.8692</v>
      </c>
      <c r="EN87">
        <v>1.8672200000000001</v>
      </c>
      <c r="EO87">
        <v>1.8633999999999999</v>
      </c>
      <c r="EP87">
        <v>1.8644700000000001</v>
      </c>
      <c r="EQ87">
        <v>1.8701399999999999</v>
      </c>
      <c r="ER87">
        <v>1.86938</v>
      </c>
      <c r="ES87">
        <v>0</v>
      </c>
      <c r="ET87">
        <v>0</v>
      </c>
      <c r="EU87">
        <v>0</v>
      </c>
      <c r="EV87">
        <v>0</v>
      </c>
      <c r="EW87" t="s">
        <v>334</v>
      </c>
      <c r="EX87" t="s">
        <v>335</v>
      </c>
      <c r="EY87" t="s">
        <v>336</v>
      </c>
      <c r="EZ87" t="s">
        <v>336</v>
      </c>
      <c r="FA87" t="s">
        <v>336</v>
      </c>
      <c r="FB87" t="s">
        <v>336</v>
      </c>
      <c r="FC87">
        <v>0</v>
      </c>
      <c r="FD87">
        <v>100</v>
      </c>
      <c r="FE87">
        <v>100</v>
      </c>
      <c r="FF87">
        <v>-0.28999999999999998</v>
      </c>
      <c r="FG87">
        <v>0.17199999999999999</v>
      </c>
      <c r="FH87">
        <v>0.2126736300064915</v>
      </c>
      <c r="FI87">
        <v>-6.1462078757559423E-4</v>
      </c>
      <c r="FJ87">
        <v>-1.8861989874597051E-7</v>
      </c>
      <c r="FK87">
        <v>1.1980462299894961E-10</v>
      </c>
      <c r="FL87">
        <v>0.1719881465068297</v>
      </c>
      <c r="FM87">
        <v>0</v>
      </c>
      <c r="FN87">
        <v>0</v>
      </c>
      <c r="FO87">
        <v>0</v>
      </c>
      <c r="FP87">
        <v>3</v>
      </c>
      <c r="FQ87">
        <v>2158</v>
      </c>
      <c r="FR87">
        <v>1</v>
      </c>
      <c r="FS87">
        <v>19</v>
      </c>
      <c r="FT87">
        <v>21.1</v>
      </c>
      <c r="FU87">
        <v>21.3</v>
      </c>
      <c r="FV87">
        <v>1.79199</v>
      </c>
      <c r="FW87">
        <v>2.5842299999999998</v>
      </c>
      <c r="FX87">
        <v>1.5490699999999999</v>
      </c>
      <c r="FY87">
        <v>2.3290999999999999</v>
      </c>
      <c r="FZ87">
        <v>1.50146</v>
      </c>
      <c r="GA87">
        <v>2.3815900000000001</v>
      </c>
      <c r="GB87">
        <v>33.602899999999998</v>
      </c>
      <c r="GC87">
        <v>23.991199999999999</v>
      </c>
      <c r="GD87">
        <v>19</v>
      </c>
      <c r="GE87">
        <v>282.36700000000002</v>
      </c>
      <c r="GF87">
        <v>603.38900000000001</v>
      </c>
      <c r="GG87">
        <v>25.262799999999999</v>
      </c>
      <c r="GH87">
        <v>26.0261</v>
      </c>
      <c r="GI87">
        <v>29.9998</v>
      </c>
      <c r="GJ87">
        <v>26.148299999999999</v>
      </c>
      <c r="GK87">
        <v>26.129899999999999</v>
      </c>
      <c r="GL87">
        <v>35.818399999999997</v>
      </c>
      <c r="GM87">
        <v>21.709399999999999</v>
      </c>
      <c r="GN87">
        <v>100</v>
      </c>
      <c r="GO87">
        <v>25.261099999999999</v>
      </c>
      <c r="GP87">
        <v>800</v>
      </c>
      <c r="GQ87">
        <v>19.87</v>
      </c>
      <c r="GR87">
        <v>99.8142</v>
      </c>
      <c r="GS87">
        <v>99.679699999999997</v>
      </c>
    </row>
    <row r="88" spans="1:201" x14ac:dyDescent="0.25">
      <c r="A88">
        <v>72</v>
      </c>
      <c r="B88">
        <v>1690233284.5999999</v>
      </c>
      <c r="C88">
        <v>778.5</v>
      </c>
      <c r="D88" t="s">
        <v>475</v>
      </c>
      <c r="E88" t="s">
        <v>476</v>
      </c>
      <c r="F88" t="s">
        <v>330</v>
      </c>
      <c r="H88">
        <v>1690233284.5999999</v>
      </c>
      <c r="I88">
        <f t="shared" si="30"/>
        <v>4.2385662892909453E-4</v>
      </c>
      <c r="J88">
        <f t="shared" si="31"/>
        <v>0.42385662892909454</v>
      </c>
      <c r="K88">
        <f t="shared" si="32"/>
        <v>6.474276492547542</v>
      </c>
      <c r="L88">
        <f t="shared" si="33"/>
        <v>726.79300000000001</v>
      </c>
      <c r="M88">
        <f t="shared" si="34"/>
        <v>291.84173719322689</v>
      </c>
      <c r="N88">
        <f t="shared" si="35"/>
        <v>28.921998657792887</v>
      </c>
      <c r="O88">
        <f t="shared" si="36"/>
        <v>72.026387906866887</v>
      </c>
      <c r="P88">
        <f t="shared" si="37"/>
        <v>2.4746167316774821E-2</v>
      </c>
      <c r="Q88">
        <f t="shared" si="38"/>
        <v>2.1300562722753256</v>
      </c>
      <c r="R88">
        <f t="shared" si="39"/>
        <v>2.4587555126850159E-2</v>
      </c>
      <c r="S88">
        <f t="shared" si="40"/>
        <v>1.5381387772698653E-2</v>
      </c>
      <c r="T88">
        <f t="shared" si="41"/>
        <v>276.115074354</v>
      </c>
      <c r="U88">
        <f t="shared" si="42"/>
        <v>29.184260841848921</v>
      </c>
      <c r="V88">
        <f t="shared" si="43"/>
        <v>29.184260841848921</v>
      </c>
      <c r="W88">
        <f t="shared" si="44"/>
        <v>4.0648541589903058</v>
      </c>
      <c r="X88">
        <f t="shared" si="45"/>
        <v>66.811269262713822</v>
      </c>
      <c r="Y88">
        <f t="shared" si="46"/>
        <v>2.4123027141326099</v>
      </c>
      <c r="Z88">
        <f t="shared" si="47"/>
        <v>3.6106224904170068</v>
      </c>
      <c r="AA88">
        <f t="shared" si="48"/>
        <v>1.6525514448576959</v>
      </c>
      <c r="AB88">
        <f t="shared" si="49"/>
        <v>-18.692077335773067</v>
      </c>
      <c r="AC88">
        <f t="shared" si="50"/>
        <v>-233.70890365231728</v>
      </c>
      <c r="AD88">
        <f t="shared" si="51"/>
        <v>-23.956375573224896</v>
      </c>
      <c r="AE88">
        <f t="shared" si="52"/>
        <v>-0.24228220731524175</v>
      </c>
      <c r="AF88">
        <v>0</v>
      </c>
      <c r="AG88">
        <v>0</v>
      </c>
      <c r="AH88">
        <f t="shared" si="53"/>
        <v>1</v>
      </c>
      <c r="AI88">
        <f t="shared" si="54"/>
        <v>0</v>
      </c>
      <c r="AJ88">
        <f t="shared" si="55"/>
        <v>52326.304982926849</v>
      </c>
      <c r="AK88">
        <f t="shared" si="56"/>
        <v>1800</v>
      </c>
      <c r="AL88">
        <f t="shared" si="57"/>
        <v>1499.1111684</v>
      </c>
      <c r="AM88">
        <f t="shared" si="58"/>
        <v>0.83283953799999999</v>
      </c>
      <c r="AN88">
        <f t="shared" si="59"/>
        <v>0.15339726352999999</v>
      </c>
      <c r="AO88">
        <v>32.4</v>
      </c>
      <c r="AP88">
        <v>0.5</v>
      </c>
      <c r="AQ88" t="s">
        <v>331</v>
      </c>
      <c r="AR88">
        <v>2</v>
      </c>
      <c r="AS88">
        <v>1690233284.5999999</v>
      </c>
      <c r="AT88">
        <v>726.79300000000001</v>
      </c>
      <c r="AU88">
        <v>800.00900000000001</v>
      </c>
      <c r="AV88">
        <v>24.341699999999999</v>
      </c>
      <c r="AW88">
        <v>19.877500000000001</v>
      </c>
      <c r="AX88">
        <v>727.08100000000002</v>
      </c>
      <c r="AY88">
        <v>24.169699999999999</v>
      </c>
      <c r="AZ88">
        <v>300.13600000000002</v>
      </c>
      <c r="BA88">
        <v>99.0017</v>
      </c>
      <c r="BB88">
        <v>9.9953299999999995E-2</v>
      </c>
      <c r="BC88">
        <v>27.149100000000001</v>
      </c>
      <c r="BD88">
        <v>26.995999999999999</v>
      </c>
      <c r="BE88">
        <v>29.2806</v>
      </c>
      <c r="BF88">
        <v>0</v>
      </c>
      <c r="BG88">
        <v>0</v>
      </c>
      <c r="BH88">
        <v>10000.6</v>
      </c>
      <c r="BI88">
        <v>1080.73</v>
      </c>
      <c r="BJ88">
        <v>1.5137799999999999</v>
      </c>
      <c r="BK88">
        <v>-73.216099999999997</v>
      </c>
      <c r="BL88">
        <v>744.92600000000004</v>
      </c>
      <c r="BM88">
        <v>816.23400000000004</v>
      </c>
      <c r="BN88">
        <v>4.4642299999999997</v>
      </c>
      <c r="BO88">
        <v>800.00900000000001</v>
      </c>
      <c r="BP88">
        <v>19.877500000000001</v>
      </c>
      <c r="BQ88">
        <v>2.4098700000000002</v>
      </c>
      <c r="BR88">
        <v>1.9679</v>
      </c>
      <c r="BS88">
        <v>20.430199999999999</v>
      </c>
      <c r="BT88">
        <v>17.188400000000001</v>
      </c>
      <c r="BU88">
        <v>1800</v>
      </c>
      <c r="BV88">
        <v>0.91000099999999995</v>
      </c>
      <c r="BW88">
        <v>3.4002400000000002E-2</v>
      </c>
      <c r="BX88">
        <v>2.1998899999999998E-2</v>
      </c>
      <c r="BY88">
        <v>3.3997300000000001E-2</v>
      </c>
      <c r="BZ88">
        <v>25</v>
      </c>
      <c r="CA88">
        <v>33528.300000000003</v>
      </c>
      <c r="CB88">
        <v>1690232006</v>
      </c>
      <c r="CC88" t="s">
        <v>332</v>
      </c>
      <c r="CD88">
        <v>1690232006</v>
      </c>
      <c r="CE88">
        <v>1690231998.5</v>
      </c>
      <c r="CF88">
        <v>14</v>
      </c>
      <c r="CG88">
        <v>-0.13200000000000001</v>
      </c>
      <c r="CH88">
        <v>-7.0000000000000001E-3</v>
      </c>
      <c r="CI88">
        <v>-0.33800000000000002</v>
      </c>
      <c r="CJ88">
        <v>0.14299999999999999</v>
      </c>
      <c r="CK88">
        <v>799</v>
      </c>
      <c r="CL88">
        <v>19</v>
      </c>
      <c r="CM88">
        <v>7.0000000000000007E-2</v>
      </c>
      <c r="CN88">
        <v>0.14000000000000001</v>
      </c>
      <c r="CO88">
        <v>-70.168960975609764</v>
      </c>
      <c r="CP88">
        <v>-16.813726829268401</v>
      </c>
      <c r="CQ88">
        <v>1.659431881901821</v>
      </c>
      <c r="CR88">
        <v>-1</v>
      </c>
      <c r="CS88">
        <v>4.327429024390244</v>
      </c>
      <c r="CT88">
        <v>0.7269673170731823</v>
      </c>
      <c r="CU88">
        <v>7.2206195356275843E-2</v>
      </c>
      <c r="CV88">
        <v>-1</v>
      </c>
      <c r="CW88">
        <v>0</v>
      </c>
      <c r="CX88">
        <v>0</v>
      </c>
      <c r="CY88" t="s">
        <v>333</v>
      </c>
      <c r="CZ88">
        <v>2.36456</v>
      </c>
      <c r="DA88">
        <v>2.71374</v>
      </c>
      <c r="DB88">
        <v>0.137575</v>
      </c>
      <c r="DC88">
        <v>0.14632600000000001</v>
      </c>
      <c r="DD88">
        <v>0.115067</v>
      </c>
      <c r="DE88">
        <v>9.8236799999999999E-2</v>
      </c>
      <c r="DF88">
        <v>31513.9</v>
      </c>
      <c r="DG88">
        <v>27542.5</v>
      </c>
      <c r="DH88">
        <v>31194</v>
      </c>
      <c r="DI88">
        <v>28111.9</v>
      </c>
      <c r="DJ88">
        <v>37479.599999999999</v>
      </c>
      <c r="DK88">
        <v>36049.300000000003</v>
      </c>
      <c r="DL88">
        <v>44397</v>
      </c>
      <c r="DM88">
        <v>42612.7</v>
      </c>
      <c r="DN88">
        <v>1.47705</v>
      </c>
      <c r="DO88">
        <v>2.0632000000000001</v>
      </c>
      <c r="DP88">
        <v>7.3798000000000002E-2</v>
      </c>
      <c r="DQ88">
        <v>0.22459799999999999</v>
      </c>
      <c r="DR88">
        <v>25.788</v>
      </c>
      <c r="DS88">
        <v>25.610199999999999</v>
      </c>
      <c r="DT88">
        <v>56.4</v>
      </c>
      <c r="DU88">
        <v>28.9</v>
      </c>
      <c r="DV88">
        <v>22.7774</v>
      </c>
      <c r="DW88">
        <v>61.488</v>
      </c>
      <c r="DX88">
        <v>36.4343</v>
      </c>
      <c r="DY88">
        <v>1</v>
      </c>
      <c r="DZ88">
        <v>-0.111334</v>
      </c>
      <c r="EA88">
        <v>-0.22084100000000001</v>
      </c>
      <c r="EB88">
        <v>20.190100000000001</v>
      </c>
      <c r="EC88">
        <v>5.2409499999999998</v>
      </c>
      <c r="ED88">
        <v>12.039899999999999</v>
      </c>
      <c r="EE88">
        <v>5.0170000000000003</v>
      </c>
      <c r="EF88">
        <v>3.2879999999999998</v>
      </c>
      <c r="EG88">
        <v>9999</v>
      </c>
      <c r="EH88">
        <v>9999</v>
      </c>
      <c r="EI88">
        <v>9999</v>
      </c>
      <c r="EJ88">
        <v>999.9</v>
      </c>
      <c r="EK88">
        <v>1.8689100000000001</v>
      </c>
      <c r="EL88">
        <v>1.8646199999999999</v>
      </c>
      <c r="EM88">
        <v>1.8692</v>
      </c>
      <c r="EN88">
        <v>1.8672200000000001</v>
      </c>
      <c r="EO88">
        <v>1.8633999999999999</v>
      </c>
      <c r="EP88">
        <v>1.8645099999999999</v>
      </c>
      <c r="EQ88">
        <v>1.8701399999999999</v>
      </c>
      <c r="ER88">
        <v>1.8693900000000001</v>
      </c>
      <c r="ES88">
        <v>0</v>
      </c>
      <c r="ET88">
        <v>0</v>
      </c>
      <c r="EU88">
        <v>0</v>
      </c>
      <c r="EV88">
        <v>0</v>
      </c>
      <c r="EW88" t="s">
        <v>334</v>
      </c>
      <c r="EX88" t="s">
        <v>335</v>
      </c>
      <c r="EY88" t="s">
        <v>336</v>
      </c>
      <c r="EZ88" t="s">
        <v>336</v>
      </c>
      <c r="FA88" t="s">
        <v>336</v>
      </c>
      <c r="FB88" t="s">
        <v>336</v>
      </c>
      <c r="FC88">
        <v>0</v>
      </c>
      <c r="FD88">
        <v>100</v>
      </c>
      <c r="FE88">
        <v>100</v>
      </c>
      <c r="FF88">
        <v>-0.28799999999999998</v>
      </c>
      <c r="FG88">
        <v>0.17199999999999999</v>
      </c>
      <c r="FH88">
        <v>0.2126736300064915</v>
      </c>
      <c r="FI88">
        <v>-6.1462078757559423E-4</v>
      </c>
      <c r="FJ88">
        <v>-1.8861989874597051E-7</v>
      </c>
      <c r="FK88">
        <v>1.1980462299894961E-10</v>
      </c>
      <c r="FL88">
        <v>0.1719881465068297</v>
      </c>
      <c r="FM88">
        <v>0</v>
      </c>
      <c r="FN88">
        <v>0</v>
      </c>
      <c r="FO88">
        <v>0</v>
      </c>
      <c r="FP88">
        <v>3</v>
      </c>
      <c r="FQ88">
        <v>2158</v>
      </c>
      <c r="FR88">
        <v>1</v>
      </c>
      <c r="FS88">
        <v>19</v>
      </c>
      <c r="FT88">
        <v>21.3</v>
      </c>
      <c r="FU88">
        <v>21.4</v>
      </c>
      <c r="FV88">
        <v>1.79077</v>
      </c>
      <c r="FW88">
        <v>2.5891099999999998</v>
      </c>
      <c r="FX88">
        <v>1.5490699999999999</v>
      </c>
      <c r="FY88">
        <v>2.3290999999999999</v>
      </c>
      <c r="FZ88">
        <v>1.50146</v>
      </c>
      <c r="GA88">
        <v>2.36938</v>
      </c>
      <c r="GB88">
        <v>33.602899999999998</v>
      </c>
      <c r="GC88">
        <v>23.982399999999998</v>
      </c>
      <c r="GD88">
        <v>19</v>
      </c>
      <c r="GE88">
        <v>282.33300000000003</v>
      </c>
      <c r="GF88">
        <v>603.15800000000002</v>
      </c>
      <c r="GG88">
        <v>25.259</v>
      </c>
      <c r="GH88">
        <v>26.023399999999999</v>
      </c>
      <c r="GI88">
        <v>30.0001</v>
      </c>
      <c r="GJ88">
        <v>26.145499999999998</v>
      </c>
      <c r="GK88">
        <v>26.1265</v>
      </c>
      <c r="GL88">
        <v>35.811399999999999</v>
      </c>
      <c r="GM88">
        <v>22.2729</v>
      </c>
      <c r="GN88">
        <v>100</v>
      </c>
      <c r="GO88">
        <v>25.266200000000001</v>
      </c>
      <c r="GP88">
        <v>800</v>
      </c>
      <c r="GQ88">
        <v>19.753299999999999</v>
      </c>
      <c r="GR88">
        <v>99.813999999999993</v>
      </c>
      <c r="GS88">
        <v>99.681399999999996</v>
      </c>
    </row>
    <row r="89" spans="1:201" x14ac:dyDescent="0.25">
      <c r="A89">
        <v>73</v>
      </c>
      <c r="B89">
        <v>1690233294.5999999</v>
      </c>
      <c r="C89">
        <v>788.5</v>
      </c>
      <c r="D89" t="s">
        <v>477</v>
      </c>
      <c r="E89" t="s">
        <v>478</v>
      </c>
      <c r="F89" t="s">
        <v>330</v>
      </c>
      <c r="H89">
        <v>1690233294.5999999</v>
      </c>
      <c r="I89">
        <f t="shared" si="30"/>
        <v>4.3796376309906591E-4</v>
      </c>
      <c r="J89">
        <f t="shared" si="31"/>
        <v>0.43796376309906593</v>
      </c>
      <c r="K89">
        <f t="shared" si="32"/>
        <v>6.73535945966717</v>
      </c>
      <c r="L89">
        <f t="shared" si="33"/>
        <v>723.904</v>
      </c>
      <c r="M89">
        <f t="shared" si="34"/>
        <v>287.0406048090112</v>
      </c>
      <c r="N89">
        <f t="shared" si="35"/>
        <v>28.4466701372227</v>
      </c>
      <c r="O89">
        <f t="shared" si="36"/>
        <v>71.741272677145588</v>
      </c>
      <c r="P89">
        <f t="shared" si="37"/>
        <v>2.5624416781493062E-2</v>
      </c>
      <c r="Q89">
        <f t="shared" si="38"/>
        <v>2.1326947115966166</v>
      </c>
      <c r="R89">
        <f t="shared" si="39"/>
        <v>2.5454597001257327E-2</v>
      </c>
      <c r="S89">
        <f t="shared" si="40"/>
        <v>1.5924286831880786E-2</v>
      </c>
      <c r="T89">
        <f t="shared" si="41"/>
        <v>276.11340262812996</v>
      </c>
      <c r="U89">
        <f t="shared" si="42"/>
        <v>29.177048612634255</v>
      </c>
      <c r="V89">
        <f t="shared" si="43"/>
        <v>29.177048612634255</v>
      </c>
      <c r="W89">
        <f t="shared" si="44"/>
        <v>4.0631603571602106</v>
      </c>
      <c r="X89">
        <f t="shared" si="45"/>
        <v>66.851078252169927</v>
      </c>
      <c r="Y89">
        <f t="shared" si="46"/>
        <v>2.4137400664591198</v>
      </c>
      <c r="Z89">
        <f t="shared" si="47"/>
        <v>3.6106224904170068</v>
      </c>
      <c r="AA89">
        <f t="shared" si="48"/>
        <v>1.6494202907010909</v>
      </c>
      <c r="AB89">
        <f t="shared" si="49"/>
        <v>-19.314201952668807</v>
      </c>
      <c r="AC89">
        <f t="shared" si="50"/>
        <v>-233.1691456191808</v>
      </c>
      <c r="AD89">
        <f t="shared" si="51"/>
        <v>-23.870619251384042</v>
      </c>
      <c r="AE89">
        <f t="shared" si="52"/>
        <v>-0.24056419510367277</v>
      </c>
      <c r="AF89">
        <v>0</v>
      </c>
      <c r="AG89">
        <v>0</v>
      </c>
      <c r="AH89">
        <f t="shared" si="53"/>
        <v>1</v>
      </c>
      <c r="AI89">
        <f t="shared" si="54"/>
        <v>0</v>
      </c>
      <c r="AJ89">
        <f t="shared" si="55"/>
        <v>52440.028996156056</v>
      </c>
      <c r="AK89">
        <f t="shared" si="56"/>
        <v>1799.99</v>
      </c>
      <c r="AL89">
        <f t="shared" si="57"/>
        <v>1499.1035636006</v>
      </c>
      <c r="AM89">
        <f t="shared" si="58"/>
        <v>0.83283993999999995</v>
      </c>
      <c r="AN89">
        <f t="shared" si="59"/>
        <v>0.15339718699999999</v>
      </c>
      <c r="AO89">
        <v>32.4</v>
      </c>
      <c r="AP89">
        <v>0.5</v>
      </c>
      <c r="AQ89" t="s">
        <v>331</v>
      </c>
      <c r="AR89">
        <v>2</v>
      </c>
      <c r="AS89">
        <v>1690233294.5999999</v>
      </c>
      <c r="AT89">
        <v>723.904</v>
      </c>
      <c r="AU89">
        <v>800.02200000000005</v>
      </c>
      <c r="AV89">
        <v>24.355799999999999</v>
      </c>
      <c r="AW89">
        <v>19.7439</v>
      </c>
      <c r="AX89">
        <v>724.19</v>
      </c>
      <c r="AY89">
        <v>24.183800000000002</v>
      </c>
      <c r="AZ89">
        <v>300.18900000000002</v>
      </c>
      <c r="BA89">
        <v>99.003299999999996</v>
      </c>
      <c r="BB89">
        <v>9.9996399999999999E-2</v>
      </c>
      <c r="BC89">
        <v>27.149100000000001</v>
      </c>
      <c r="BD89">
        <v>26.9802</v>
      </c>
      <c r="BE89">
        <v>29.275500000000001</v>
      </c>
      <c r="BF89">
        <v>0</v>
      </c>
      <c r="BG89">
        <v>0</v>
      </c>
      <c r="BH89">
        <v>10023.1</v>
      </c>
      <c r="BI89">
        <v>1080.74</v>
      </c>
      <c r="BJ89">
        <v>1.5137799999999999</v>
      </c>
      <c r="BK89">
        <v>-76.118300000000005</v>
      </c>
      <c r="BL89">
        <v>741.97500000000002</v>
      </c>
      <c r="BM89">
        <v>816.13599999999997</v>
      </c>
      <c r="BN89">
        <v>4.6118199999999998</v>
      </c>
      <c r="BO89">
        <v>800.02200000000005</v>
      </c>
      <c r="BP89">
        <v>19.7439</v>
      </c>
      <c r="BQ89">
        <v>2.4113000000000002</v>
      </c>
      <c r="BR89">
        <v>1.9547099999999999</v>
      </c>
      <c r="BS89">
        <v>20.439900000000002</v>
      </c>
      <c r="BT89">
        <v>17.0822</v>
      </c>
      <c r="BU89">
        <v>1799.99</v>
      </c>
      <c r="BV89">
        <v>0.91000499999999995</v>
      </c>
      <c r="BW89">
        <v>3.4000900000000001E-2</v>
      </c>
      <c r="BX89">
        <v>2.1998E-2</v>
      </c>
      <c r="BY89">
        <v>3.39958E-2</v>
      </c>
      <c r="BZ89">
        <v>25</v>
      </c>
      <c r="CA89">
        <v>33528.199999999997</v>
      </c>
      <c r="CB89">
        <v>1690232006</v>
      </c>
      <c r="CC89" t="s">
        <v>332</v>
      </c>
      <c r="CD89">
        <v>1690232006</v>
      </c>
      <c r="CE89">
        <v>1690231998.5</v>
      </c>
      <c r="CF89">
        <v>14</v>
      </c>
      <c r="CG89">
        <v>-0.13200000000000001</v>
      </c>
      <c r="CH89">
        <v>-7.0000000000000001E-3</v>
      </c>
      <c r="CI89">
        <v>-0.33800000000000002</v>
      </c>
      <c r="CJ89">
        <v>0.14299999999999999</v>
      </c>
      <c r="CK89">
        <v>799</v>
      </c>
      <c r="CL89">
        <v>19</v>
      </c>
      <c r="CM89">
        <v>7.0000000000000007E-2</v>
      </c>
      <c r="CN89">
        <v>0.14000000000000001</v>
      </c>
      <c r="CO89">
        <v>-72.92817749999999</v>
      </c>
      <c r="CP89">
        <v>-17.300299812382669</v>
      </c>
      <c r="CQ89">
        <v>1.6650675766297749</v>
      </c>
      <c r="CR89">
        <v>-1</v>
      </c>
      <c r="CS89">
        <v>4.44965075</v>
      </c>
      <c r="CT89">
        <v>0.83212131332081796</v>
      </c>
      <c r="CU89">
        <v>8.0320957426673445E-2</v>
      </c>
      <c r="CV89">
        <v>-1</v>
      </c>
      <c r="CW89">
        <v>0</v>
      </c>
      <c r="CX89">
        <v>0</v>
      </c>
      <c r="CY89" t="s">
        <v>333</v>
      </c>
      <c r="CZ89">
        <v>2.36469</v>
      </c>
      <c r="DA89">
        <v>2.7138100000000001</v>
      </c>
      <c r="DB89">
        <v>0.13720599999999999</v>
      </c>
      <c r="DC89">
        <v>0.14632800000000001</v>
      </c>
      <c r="DD89">
        <v>0.115116</v>
      </c>
      <c r="DE89">
        <v>9.7769900000000007E-2</v>
      </c>
      <c r="DF89">
        <v>31527.4</v>
      </c>
      <c r="DG89">
        <v>27542.799999999999</v>
      </c>
      <c r="DH89">
        <v>31194.1</v>
      </c>
      <c r="DI89">
        <v>28112.2</v>
      </c>
      <c r="DJ89">
        <v>37477.4</v>
      </c>
      <c r="DK89">
        <v>36068.199999999997</v>
      </c>
      <c r="DL89">
        <v>44397</v>
      </c>
      <c r="DM89">
        <v>42613</v>
      </c>
      <c r="DN89">
        <v>1.4773799999999999</v>
      </c>
      <c r="DO89">
        <v>2.0630199999999999</v>
      </c>
      <c r="DP89">
        <v>7.2829400000000002E-2</v>
      </c>
      <c r="DQ89">
        <v>0.224411</v>
      </c>
      <c r="DR89">
        <v>25.788</v>
      </c>
      <c r="DS89">
        <v>25.608000000000001</v>
      </c>
      <c r="DT89">
        <v>56.4</v>
      </c>
      <c r="DU89">
        <v>28.8</v>
      </c>
      <c r="DV89">
        <v>22.6447</v>
      </c>
      <c r="DW89">
        <v>61.838000000000001</v>
      </c>
      <c r="DX89">
        <v>35.721200000000003</v>
      </c>
      <c r="DY89">
        <v>1</v>
      </c>
      <c r="DZ89">
        <v>-0.11158999999999999</v>
      </c>
      <c r="EA89">
        <v>-0.227715</v>
      </c>
      <c r="EB89">
        <v>20.190200000000001</v>
      </c>
      <c r="EC89">
        <v>5.24125</v>
      </c>
      <c r="ED89">
        <v>12.039899999999999</v>
      </c>
      <c r="EE89">
        <v>5.0171999999999999</v>
      </c>
      <c r="EF89">
        <v>3.2879999999999998</v>
      </c>
      <c r="EG89">
        <v>9999</v>
      </c>
      <c r="EH89">
        <v>9999</v>
      </c>
      <c r="EI89">
        <v>9999</v>
      </c>
      <c r="EJ89">
        <v>999.9</v>
      </c>
      <c r="EK89">
        <v>1.8689</v>
      </c>
      <c r="EL89">
        <v>1.8646199999999999</v>
      </c>
      <c r="EM89">
        <v>1.8691899999999999</v>
      </c>
      <c r="EN89">
        <v>1.8672200000000001</v>
      </c>
      <c r="EO89">
        <v>1.8633999999999999</v>
      </c>
      <c r="EP89">
        <v>1.86449</v>
      </c>
      <c r="EQ89">
        <v>1.8701399999999999</v>
      </c>
      <c r="ER89">
        <v>1.86938</v>
      </c>
      <c r="ES89">
        <v>0</v>
      </c>
      <c r="ET89">
        <v>0</v>
      </c>
      <c r="EU89">
        <v>0</v>
      </c>
      <c r="EV89">
        <v>0</v>
      </c>
      <c r="EW89" t="s">
        <v>334</v>
      </c>
      <c r="EX89" t="s">
        <v>335</v>
      </c>
      <c r="EY89" t="s">
        <v>336</v>
      </c>
      <c r="EZ89" t="s">
        <v>336</v>
      </c>
      <c r="FA89" t="s">
        <v>336</v>
      </c>
      <c r="FB89" t="s">
        <v>336</v>
      </c>
      <c r="FC89">
        <v>0</v>
      </c>
      <c r="FD89">
        <v>100</v>
      </c>
      <c r="FE89">
        <v>100</v>
      </c>
      <c r="FF89">
        <v>-0.28599999999999998</v>
      </c>
      <c r="FG89">
        <v>0.17199999999999999</v>
      </c>
      <c r="FH89">
        <v>0.2126736300064915</v>
      </c>
      <c r="FI89">
        <v>-6.1462078757559423E-4</v>
      </c>
      <c r="FJ89">
        <v>-1.8861989874597051E-7</v>
      </c>
      <c r="FK89">
        <v>1.1980462299894961E-10</v>
      </c>
      <c r="FL89">
        <v>0.1719881465068297</v>
      </c>
      <c r="FM89">
        <v>0</v>
      </c>
      <c r="FN89">
        <v>0</v>
      </c>
      <c r="FO89">
        <v>0</v>
      </c>
      <c r="FP89">
        <v>3</v>
      </c>
      <c r="FQ89">
        <v>2158</v>
      </c>
      <c r="FR89">
        <v>1</v>
      </c>
      <c r="FS89">
        <v>19</v>
      </c>
      <c r="FT89">
        <v>21.5</v>
      </c>
      <c r="FU89">
        <v>21.6</v>
      </c>
      <c r="FV89">
        <v>1.79077</v>
      </c>
      <c r="FW89">
        <v>2.5805699999999998</v>
      </c>
      <c r="FX89">
        <v>1.5490699999999999</v>
      </c>
      <c r="FY89">
        <v>2.3290999999999999</v>
      </c>
      <c r="FZ89">
        <v>1.50146</v>
      </c>
      <c r="GA89">
        <v>2.3706100000000001</v>
      </c>
      <c r="GB89">
        <v>33.580399999999997</v>
      </c>
      <c r="GC89">
        <v>23.991199999999999</v>
      </c>
      <c r="GD89">
        <v>19</v>
      </c>
      <c r="GE89">
        <v>282.46100000000001</v>
      </c>
      <c r="GF89">
        <v>602.98400000000004</v>
      </c>
      <c r="GG89">
        <v>25.266999999999999</v>
      </c>
      <c r="GH89">
        <v>26.019500000000001</v>
      </c>
      <c r="GI89">
        <v>29.9999</v>
      </c>
      <c r="GJ89">
        <v>26.1434</v>
      </c>
      <c r="GK89">
        <v>26.124300000000002</v>
      </c>
      <c r="GL89">
        <v>35.805599999999998</v>
      </c>
      <c r="GM89">
        <v>22.822600000000001</v>
      </c>
      <c r="GN89">
        <v>100</v>
      </c>
      <c r="GO89">
        <v>25.2682</v>
      </c>
      <c r="GP89">
        <v>800</v>
      </c>
      <c r="GQ89">
        <v>19.630700000000001</v>
      </c>
      <c r="GR89">
        <v>99.814099999999996</v>
      </c>
      <c r="GS89">
        <v>99.682199999999995</v>
      </c>
    </row>
    <row r="90" spans="1:201" x14ac:dyDescent="0.25">
      <c r="A90">
        <v>74</v>
      </c>
      <c r="B90">
        <v>1690233304.5999999</v>
      </c>
      <c r="C90">
        <v>798.5</v>
      </c>
      <c r="D90" t="s">
        <v>479</v>
      </c>
      <c r="E90" t="s">
        <v>480</v>
      </c>
      <c r="F90" t="s">
        <v>330</v>
      </c>
      <c r="H90">
        <v>1690233304.5999999</v>
      </c>
      <c r="I90">
        <f t="shared" si="30"/>
        <v>4.5017017949861558E-4</v>
      </c>
      <c r="J90">
        <f t="shared" si="31"/>
        <v>0.4501701794986156</v>
      </c>
      <c r="K90">
        <f t="shared" si="32"/>
        <v>7.0029043966039275</v>
      </c>
      <c r="L90">
        <f t="shared" si="33"/>
        <v>721.02700000000004</v>
      </c>
      <c r="M90">
        <f t="shared" si="34"/>
        <v>280.11704272137325</v>
      </c>
      <c r="N90">
        <f t="shared" si="35"/>
        <v>27.759961405141372</v>
      </c>
      <c r="O90">
        <f t="shared" si="36"/>
        <v>71.454708708938014</v>
      </c>
      <c r="P90">
        <f t="shared" si="37"/>
        <v>2.6384732201190499E-2</v>
      </c>
      <c r="Q90">
        <f t="shared" si="38"/>
        <v>2.1306329864011131</v>
      </c>
      <c r="R90">
        <f t="shared" si="39"/>
        <v>2.6204550587651247E-2</v>
      </c>
      <c r="S90">
        <f t="shared" si="40"/>
        <v>1.6393930039425408E-2</v>
      </c>
      <c r="T90">
        <f t="shared" si="41"/>
        <v>276.11323328507081</v>
      </c>
      <c r="U90">
        <f t="shared" si="42"/>
        <v>29.172278469423592</v>
      </c>
      <c r="V90">
        <f t="shared" si="43"/>
        <v>29.172278469423592</v>
      </c>
      <c r="W90">
        <f t="shared" si="44"/>
        <v>4.0620404206777838</v>
      </c>
      <c r="X90">
        <f t="shared" si="45"/>
        <v>66.900748339345427</v>
      </c>
      <c r="Y90">
        <f t="shared" si="46"/>
        <v>2.4152075462033999</v>
      </c>
      <c r="Z90">
        <f t="shared" si="47"/>
        <v>3.6101353215850005</v>
      </c>
      <c r="AA90">
        <f t="shared" si="48"/>
        <v>1.6468328744743839</v>
      </c>
      <c r="AB90">
        <f t="shared" si="49"/>
        <v>-19.852504915888947</v>
      </c>
      <c r="AC90">
        <f t="shared" si="50"/>
        <v>-232.65999846161634</v>
      </c>
      <c r="AD90">
        <f t="shared" si="51"/>
        <v>-23.840703436355934</v>
      </c>
      <c r="AE90">
        <f t="shared" si="52"/>
        <v>-0.239973528790415</v>
      </c>
      <c r="AF90">
        <v>0</v>
      </c>
      <c r="AG90">
        <v>0</v>
      </c>
      <c r="AH90">
        <f t="shared" si="53"/>
        <v>1</v>
      </c>
      <c r="AI90">
        <f t="shared" si="54"/>
        <v>0</v>
      </c>
      <c r="AJ90">
        <f t="shared" si="55"/>
        <v>52351.531827688894</v>
      </c>
      <c r="AK90">
        <f t="shared" si="56"/>
        <v>1799.99</v>
      </c>
      <c r="AL90">
        <f t="shared" si="57"/>
        <v>1499.1048271935801</v>
      </c>
      <c r="AM90">
        <f t="shared" si="58"/>
        <v>0.83284064200000008</v>
      </c>
      <c r="AN90">
        <f t="shared" si="59"/>
        <v>0.15339709292000001</v>
      </c>
      <c r="AO90">
        <v>32.4</v>
      </c>
      <c r="AP90">
        <v>0.5</v>
      </c>
      <c r="AQ90" t="s">
        <v>331</v>
      </c>
      <c r="AR90">
        <v>2</v>
      </c>
      <c r="AS90">
        <v>1690233304.5999999</v>
      </c>
      <c r="AT90">
        <v>721.02700000000004</v>
      </c>
      <c r="AU90">
        <v>800.10799999999995</v>
      </c>
      <c r="AV90">
        <v>24.371099999999998</v>
      </c>
      <c r="AW90">
        <v>19.6311</v>
      </c>
      <c r="AX90">
        <v>721.31100000000004</v>
      </c>
      <c r="AY90">
        <v>24.199100000000001</v>
      </c>
      <c r="AZ90">
        <v>300.21199999999999</v>
      </c>
      <c r="BA90">
        <v>99.001199999999997</v>
      </c>
      <c r="BB90">
        <v>0.100094</v>
      </c>
      <c r="BC90">
        <v>27.146799999999999</v>
      </c>
      <c r="BD90">
        <v>26.9924</v>
      </c>
      <c r="BE90">
        <v>29.278199999999998</v>
      </c>
      <c r="BF90">
        <v>0</v>
      </c>
      <c r="BG90">
        <v>0</v>
      </c>
      <c r="BH90">
        <v>10005.6</v>
      </c>
      <c r="BI90">
        <v>1080.77</v>
      </c>
      <c r="BJ90">
        <v>1.5137799999999999</v>
      </c>
      <c r="BK90">
        <v>-79.080600000000004</v>
      </c>
      <c r="BL90">
        <v>739.03800000000001</v>
      </c>
      <c r="BM90">
        <v>816.12900000000002</v>
      </c>
      <c r="BN90">
        <v>4.7400099999999998</v>
      </c>
      <c r="BO90">
        <v>800.10799999999995</v>
      </c>
      <c r="BP90">
        <v>19.6311</v>
      </c>
      <c r="BQ90">
        <v>2.41276</v>
      </c>
      <c r="BR90">
        <v>1.9435</v>
      </c>
      <c r="BS90">
        <v>20.4497</v>
      </c>
      <c r="BT90">
        <v>16.991399999999999</v>
      </c>
      <c r="BU90">
        <v>1799.99</v>
      </c>
      <c r="BV90">
        <v>0.91001100000000001</v>
      </c>
      <c r="BW90">
        <v>3.3998800000000003E-2</v>
      </c>
      <c r="BX90">
        <v>2.1996600000000002E-2</v>
      </c>
      <c r="BY90">
        <v>3.3993599999999999E-2</v>
      </c>
      <c r="BZ90">
        <v>25</v>
      </c>
      <c r="CA90">
        <v>33528.300000000003</v>
      </c>
      <c r="CB90">
        <v>1690232006</v>
      </c>
      <c r="CC90" t="s">
        <v>332</v>
      </c>
      <c r="CD90">
        <v>1690232006</v>
      </c>
      <c r="CE90">
        <v>1690231998.5</v>
      </c>
      <c r="CF90">
        <v>14</v>
      </c>
      <c r="CG90">
        <v>-0.13200000000000001</v>
      </c>
      <c r="CH90">
        <v>-7.0000000000000001E-3</v>
      </c>
      <c r="CI90">
        <v>-0.33800000000000002</v>
      </c>
      <c r="CJ90">
        <v>0.14299999999999999</v>
      </c>
      <c r="CK90">
        <v>799</v>
      </c>
      <c r="CL90">
        <v>19</v>
      </c>
      <c r="CM90">
        <v>7.0000000000000007E-2</v>
      </c>
      <c r="CN90">
        <v>0.14000000000000001</v>
      </c>
      <c r="CO90">
        <v>-75.887299999999996</v>
      </c>
      <c r="CP90">
        <v>-17.599946341463571</v>
      </c>
      <c r="CQ90">
        <v>1.7355336342490619</v>
      </c>
      <c r="CR90">
        <v>-1</v>
      </c>
      <c r="CS90">
        <v>4.5858026829268299</v>
      </c>
      <c r="CT90">
        <v>0.7813273170731676</v>
      </c>
      <c r="CU90">
        <v>7.7401116460857816E-2</v>
      </c>
      <c r="CV90">
        <v>-1</v>
      </c>
      <c r="CW90">
        <v>0</v>
      </c>
      <c r="CX90">
        <v>0</v>
      </c>
      <c r="CY90" t="s">
        <v>333</v>
      </c>
      <c r="CZ90">
        <v>2.36477</v>
      </c>
      <c r="DA90">
        <v>2.7138900000000001</v>
      </c>
      <c r="DB90">
        <v>0.13683300000000001</v>
      </c>
      <c r="DC90">
        <v>0.14633399999999999</v>
      </c>
      <c r="DD90">
        <v>0.115165</v>
      </c>
      <c r="DE90">
        <v>9.7370899999999996E-2</v>
      </c>
      <c r="DF90">
        <v>31541</v>
      </c>
      <c r="DG90">
        <v>27542.9</v>
      </c>
      <c r="DH90">
        <v>31194</v>
      </c>
      <c r="DI90">
        <v>28112.5</v>
      </c>
      <c r="DJ90">
        <v>37475.1</v>
      </c>
      <c r="DK90">
        <v>36084.6</v>
      </c>
      <c r="DL90">
        <v>44396.800000000003</v>
      </c>
      <c r="DM90">
        <v>42613.4</v>
      </c>
      <c r="DN90">
        <v>1.4776</v>
      </c>
      <c r="DO90">
        <v>2.0628500000000001</v>
      </c>
      <c r="DP90">
        <v>7.3574500000000001E-2</v>
      </c>
      <c r="DQ90">
        <v>0.22470999999999999</v>
      </c>
      <c r="DR90">
        <v>25.788</v>
      </c>
      <c r="DS90">
        <v>25.605899999999998</v>
      </c>
      <c r="DT90">
        <v>56.4</v>
      </c>
      <c r="DU90">
        <v>28.9</v>
      </c>
      <c r="DV90">
        <v>22.781099999999999</v>
      </c>
      <c r="DW90">
        <v>61.648000000000003</v>
      </c>
      <c r="DX90">
        <v>36.714700000000001</v>
      </c>
      <c r="DY90">
        <v>1</v>
      </c>
      <c r="DZ90">
        <v>-0.11199199999999999</v>
      </c>
      <c r="EA90">
        <v>-0.27659899999999998</v>
      </c>
      <c r="EB90">
        <v>20.190100000000001</v>
      </c>
      <c r="EC90">
        <v>5.24125</v>
      </c>
      <c r="ED90">
        <v>12.039899999999999</v>
      </c>
      <c r="EE90">
        <v>5.0170000000000003</v>
      </c>
      <c r="EF90">
        <v>3.2879999999999998</v>
      </c>
      <c r="EG90">
        <v>9999</v>
      </c>
      <c r="EH90">
        <v>9999</v>
      </c>
      <c r="EI90">
        <v>9999</v>
      </c>
      <c r="EJ90">
        <v>999.9</v>
      </c>
      <c r="EK90">
        <v>1.8689</v>
      </c>
      <c r="EL90">
        <v>1.8646199999999999</v>
      </c>
      <c r="EM90">
        <v>1.8692</v>
      </c>
      <c r="EN90">
        <v>1.8672200000000001</v>
      </c>
      <c r="EO90">
        <v>1.8633999999999999</v>
      </c>
      <c r="EP90">
        <v>1.86449</v>
      </c>
      <c r="EQ90">
        <v>1.8701399999999999</v>
      </c>
      <c r="ER90">
        <v>1.86938</v>
      </c>
      <c r="ES90">
        <v>0</v>
      </c>
      <c r="ET90">
        <v>0</v>
      </c>
      <c r="EU90">
        <v>0</v>
      </c>
      <c r="EV90">
        <v>0</v>
      </c>
      <c r="EW90" t="s">
        <v>334</v>
      </c>
      <c r="EX90" t="s">
        <v>335</v>
      </c>
      <c r="EY90" t="s">
        <v>336</v>
      </c>
      <c r="EZ90" t="s">
        <v>336</v>
      </c>
      <c r="FA90" t="s">
        <v>336</v>
      </c>
      <c r="FB90" t="s">
        <v>336</v>
      </c>
      <c r="FC90">
        <v>0</v>
      </c>
      <c r="FD90">
        <v>100</v>
      </c>
      <c r="FE90">
        <v>100</v>
      </c>
      <c r="FF90">
        <v>-0.28399999999999997</v>
      </c>
      <c r="FG90">
        <v>0.17199999999999999</v>
      </c>
      <c r="FH90">
        <v>0.2126736300064915</v>
      </c>
      <c r="FI90">
        <v>-6.1462078757559423E-4</v>
      </c>
      <c r="FJ90">
        <v>-1.8861989874597051E-7</v>
      </c>
      <c r="FK90">
        <v>1.1980462299894961E-10</v>
      </c>
      <c r="FL90">
        <v>0.1719881465068297</v>
      </c>
      <c r="FM90">
        <v>0</v>
      </c>
      <c r="FN90">
        <v>0</v>
      </c>
      <c r="FO90">
        <v>0</v>
      </c>
      <c r="FP90">
        <v>3</v>
      </c>
      <c r="FQ90">
        <v>2158</v>
      </c>
      <c r="FR90">
        <v>1</v>
      </c>
      <c r="FS90">
        <v>19</v>
      </c>
      <c r="FT90">
        <v>21.6</v>
      </c>
      <c r="FU90">
        <v>21.8</v>
      </c>
      <c r="FV90">
        <v>1.79077</v>
      </c>
      <c r="FW90">
        <v>2.5903299999999998</v>
      </c>
      <c r="FX90">
        <v>1.5490699999999999</v>
      </c>
      <c r="FY90">
        <v>2.3290999999999999</v>
      </c>
      <c r="FZ90">
        <v>1.50146</v>
      </c>
      <c r="GA90">
        <v>2.3779300000000001</v>
      </c>
      <c r="GB90">
        <v>33.602899999999998</v>
      </c>
      <c r="GC90">
        <v>23.982399999999998</v>
      </c>
      <c r="GD90">
        <v>19</v>
      </c>
      <c r="GE90">
        <v>282.54700000000003</v>
      </c>
      <c r="GF90">
        <v>602.80999999999995</v>
      </c>
      <c r="GG90">
        <v>25.2837</v>
      </c>
      <c r="GH90">
        <v>26.0168</v>
      </c>
      <c r="GI90">
        <v>30.0001</v>
      </c>
      <c r="GJ90">
        <v>26.141100000000002</v>
      </c>
      <c r="GK90">
        <v>26.1221</v>
      </c>
      <c r="GL90">
        <v>35.796799999999998</v>
      </c>
      <c r="GM90">
        <v>23.122499999999999</v>
      </c>
      <c r="GN90">
        <v>100</v>
      </c>
      <c r="GO90">
        <v>25.2895</v>
      </c>
      <c r="GP90">
        <v>800</v>
      </c>
      <c r="GQ90">
        <v>19.508900000000001</v>
      </c>
      <c r="GR90">
        <v>99.813900000000004</v>
      </c>
      <c r="GS90">
        <v>99.683199999999999</v>
      </c>
    </row>
    <row r="91" spans="1:201" x14ac:dyDescent="0.25">
      <c r="A91">
        <v>75</v>
      </c>
      <c r="B91">
        <v>1690233314.5999999</v>
      </c>
      <c r="C91">
        <v>808.5</v>
      </c>
      <c r="D91" t="s">
        <v>481</v>
      </c>
      <c r="E91" t="s">
        <v>482</v>
      </c>
      <c r="F91" t="s">
        <v>330</v>
      </c>
      <c r="H91">
        <v>1690233314.5999999</v>
      </c>
      <c r="I91">
        <f t="shared" si="30"/>
        <v>4.6340823077873407E-4</v>
      </c>
      <c r="J91">
        <f t="shared" si="31"/>
        <v>0.46340823077873405</v>
      </c>
      <c r="K91">
        <f t="shared" si="32"/>
        <v>7.2732747282029129</v>
      </c>
      <c r="L91">
        <f t="shared" si="33"/>
        <v>718.01400000000001</v>
      </c>
      <c r="M91">
        <f t="shared" si="34"/>
        <v>273.78542220152207</v>
      </c>
      <c r="N91">
        <f t="shared" si="35"/>
        <v>27.132238967953139</v>
      </c>
      <c r="O91">
        <f t="shared" si="36"/>
        <v>71.155459168299004</v>
      </c>
      <c r="P91">
        <f t="shared" si="37"/>
        <v>2.7188431219373217E-2</v>
      </c>
      <c r="Q91">
        <f t="shared" si="38"/>
        <v>2.127273471187336</v>
      </c>
      <c r="R91">
        <f t="shared" si="39"/>
        <v>2.6996848638454269E-2</v>
      </c>
      <c r="S91">
        <f t="shared" si="40"/>
        <v>1.6890130691617808E-2</v>
      </c>
      <c r="T91">
        <f t="shared" si="41"/>
        <v>276.11310190380073</v>
      </c>
      <c r="U91">
        <f t="shared" si="42"/>
        <v>29.173953883879427</v>
      </c>
      <c r="V91">
        <f t="shared" si="43"/>
        <v>29.173953883879427</v>
      </c>
      <c r="W91">
        <f t="shared" si="44"/>
        <v>4.0624337446087626</v>
      </c>
      <c r="X91">
        <f t="shared" si="45"/>
        <v>66.935913891628104</v>
      </c>
      <c r="Y91">
        <f t="shared" si="46"/>
        <v>2.4169591312365002</v>
      </c>
      <c r="Z91">
        <f t="shared" si="47"/>
        <v>3.6108555044899404</v>
      </c>
      <c r="AA91">
        <f t="shared" si="48"/>
        <v>1.6454746133722624</v>
      </c>
      <c r="AB91">
        <f t="shared" si="49"/>
        <v>-20.436302977342173</v>
      </c>
      <c r="AC91">
        <f t="shared" si="50"/>
        <v>-232.09536240746189</v>
      </c>
      <c r="AD91">
        <f t="shared" si="51"/>
        <v>-23.821006071438411</v>
      </c>
      <c r="AE91">
        <f t="shared" si="52"/>
        <v>-0.23956955244173628</v>
      </c>
      <c r="AF91">
        <v>0</v>
      </c>
      <c r="AG91">
        <v>0</v>
      </c>
      <c r="AH91">
        <f t="shared" si="53"/>
        <v>1</v>
      </c>
      <c r="AI91">
        <f t="shared" si="54"/>
        <v>0</v>
      </c>
      <c r="AJ91">
        <f t="shared" si="55"/>
        <v>52206.350871600887</v>
      </c>
      <c r="AK91">
        <f t="shared" si="56"/>
        <v>1799.99</v>
      </c>
      <c r="AL91">
        <f t="shared" si="57"/>
        <v>1499.1059449873701</v>
      </c>
      <c r="AM91">
        <f t="shared" si="58"/>
        <v>0.83284126300000005</v>
      </c>
      <c r="AN91">
        <f t="shared" si="59"/>
        <v>0.15339701993000002</v>
      </c>
      <c r="AO91">
        <v>32.4</v>
      </c>
      <c r="AP91">
        <v>0.5</v>
      </c>
      <c r="AQ91" t="s">
        <v>331</v>
      </c>
      <c r="AR91">
        <v>2</v>
      </c>
      <c r="AS91">
        <v>1690233314.5999999</v>
      </c>
      <c r="AT91">
        <v>718.01400000000001</v>
      </c>
      <c r="AU91">
        <v>800.11099999999999</v>
      </c>
      <c r="AV91">
        <v>24.388999999999999</v>
      </c>
      <c r="AW91">
        <v>19.5091</v>
      </c>
      <c r="AX91">
        <v>718.29499999999996</v>
      </c>
      <c r="AY91">
        <v>24.217099999999999</v>
      </c>
      <c r="AZ91">
        <v>300.17500000000001</v>
      </c>
      <c r="BA91">
        <v>99.000399999999999</v>
      </c>
      <c r="BB91">
        <v>9.9978499999999998E-2</v>
      </c>
      <c r="BC91">
        <v>27.150200000000002</v>
      </c>
      <c r="BD91">
        <v>27.003499999999999</v>
      </c>
      <c r="BE91">
        <v>29.2988</v>
      </c>
      <c r="BF91">
        <v>0</v>
      </c>
      <c r="BG91">
        <v>0</v>
      </c>
      <c r="BH91">
        <v>9976.8799999999992</v>
      </c>
      <c r="BI91">
        <v>1080.7</v>
      </c>
      <c r="BJ91">
        <v>1.5137799999999999</v>
      </c>
      <c r="BK91">
        <v>-82.097200000000001</v>
      </c>
      <c r="BL91">
        <v>735.96299999999997</v>
      </c>
      <c r="BM91">
        <v>816.03099999999995</v>
      </c>
      <c r="BN91">
        <v>4.8799400000000004</v>
      </c>
      <c r="BO91">
        <v>800.11099999999999</v>
      </c>
      <c r="BP91">
        <v>19.5091</v>
      </c>
      <c r="BQ91">
        <v>2.41452</v>
      </c>
      <c r="BR91">
        <v>1.9314100000000001</v>
      </c>
      <c r="BS91">
        <v>20.461500000000001</v>
      </c>
      <c r="BT91">
        <v>16.893000000000001</v>
      </c>
      <c r="BU91">
        <v>1799.99</v>
      </c>
      <c r="BV91">
        <v>0.91001600000000005</v>
      </c>
      <c r="BW91">
        <v>3.3996999999999999E-2</v>
      </c>
      <c r="BX91">
        <v>2.1995399999999998E-2</v>
      </c>
      <c r="BY91">
        <v>3.3991899999999999E-2</v>
      </c>
      <c r="BZ91">
        <v>25</v>
      </c>
      <c r="CA91">
        <v>33528.300000000003</v>
      </c>
      <c r="CB91">
        <v>1690232006</v>
      </c>
      <c r="CC91" t="s">
        <v>332</v>
      </c>
      <c r="CD91">
        <v>1690232006</v>
      </c>
      <c r="CE91">
        <v>1690231998.5</v>
      </c>
      <c r="CF91">
        <v>14</v>
      </c>
      <c r="CG91">
        <v>-0.13200000000000001</v>
      </c>
      <c r="CH91">
        <v>-7.0000000000000001E-3</v>
      </c>
      <c r="CI91">
        <v>-0.33800000000000002</v>
      </c>
      <c r="CJ91">
        <v>0.14299999999999999</v>
      </c>
      <c r="CK91">
        <v>799</v>
      </c>
      <c r="CL91">
        <v>19</v>
      </c>
      <c r="CM91">
        <v>7.0000000000000007E-2</v>
      </c>
      <c r="CN91">
        <v>0.14000000000000001</v>
      </c>
      <c r="CO91">
        <v>-78.789775609756092</v>
      </c>
      <c r="CP91">
        <v>-17.51164808362385</v>
      </c>
      <c r="CQ91">
        <v>1.7274548535670711</v>
      </c>
      <c r="CR91">
        <v>-1</v>
      </c>
      <c r="CS91">
        <v>4.7191612195121957</v>
      </c>
      <c r="CT91">
        <v>0.78546857142858018</v>
      </c>
      <c r="CU91">
        <v>7.7741412142611793E-2</v>
      </c>
      <c r="CV91">
        <v>-1</v>
      </c>
      <c r="CW91">
        <v>0</v>
      </c>
      <c r="CX91">
        <v>0</v>
      </c>
      <c r="CY91" t="s">
        <v>333</v>
      </c>
      <c r="CZ91">
        <v>2.3646199999999999</v>
      </c>
      <c r="DA91">
        <v>2.7137500000000001</v>
      </c>
      <c r="DB91">
        <v>0.13644400000000001</v>
      </c>
      <c r="DC91">
        <v>0.14633099999999999</v>
      </c>
      <c r="DD91">
        <v>0.11522499999999999</v>
      </c>
      <c r="DE91">
        <v>9.6940200000000004E-2</v>
      </c>
      <c r="DF91">
        <v>31555.4</v>
      </c>
      <c r="DG91">
        <v>27543.3</v>
      </c>
      <c r="DH91">
        <v>31194.2</v>
      </c>
      <c r="DI91">
        <v>28112.799999999999</v>
      </c>
      <c r="DJ91">
        <v>37472.9</v>
      </c>
      <c r="DK91">
        <v>36102.199999999997</v>
      </c>
      <c r="DL91">
        <v>44397.3</v>
      </c>
      <c r="DM91">
        <v>42613.8</v>
      </c>
      <c r="DN91">
        <v>1.4774700000000001</v>
      </c>
      <c r="DO91">
        <v>2.06297</v>
      </c>
      <c r="DP91">
        <v>7.4282299999999996E-2</v>
      </c>
      <c r="DQ91">
        <v>0.22597600000000001</v>
      </c>
      <c r="DR91">
        <v>25.787500000000001</v>
      </c>
      <c r="DS91">
        <v>25.605899999999998</v>
      </c>
      <c r="DT91">
        <v>56.4</v>
      </c>
      <c r="DU91">
        <v>28.8</v>
      </c>
      <c r="DV91">
        <v>22.650200000000002</v>
      </c>
      <c r="DW91">
        <v>61.698</v>
      </c>
      <c r="DX91">
        <v>35.368600000000001</v>
      </c>
      <c r="DY91">
        <v>1</v>
      </c>
      <c r="DZ91">
        <v>-0.112083</v>
      </c>
      <c r="EA91">
        <v>-0.27319700000000002</v>
      </c>
      <c r="EB91">
        <v>20.189900000000002</v>
      </c>
      <c r="EC91">
        <v>5.2408000000000001</v>
      </c>
      <c r="ED91">
        <v>12.039899999999999</v>
      </c>
      <c r="EE91">
        <v>5.0166000000000004</v>
      </c>
      <c r="EF91">
        <v>3.2879999999999998</v>
      </c>
      <c r="EG91">
        <v>9999</v>
      </c>
      <c r="EH91">
        <v>9999</v>
      </c>
      <c r="EI91">
        <v>9999</v>
      </c>
      <c r="EJ91">
        <v>999.9</v>
      </c>
      <c r="EK91">
        <v>1.8689</v>
      </c>
      <c r="EL91">
        <v>1.8646199999999999</v>
      </c>
      <c r="EM91">
        <v>1.8692</v>
      </c>
      <c r="EN91">
        <v>1.8672200000000001</v>
      </c>
      <c r="EO91">
        <v>1.8633900000000001</v>
      </c>
      <c r="EP91">
        <v>1.86449</v>
      </c>
      <c r="EQ91">
        <v>1.8701399999999999</v>
      </c>
      <c r="ER91">
        <v>1.8693900000000001</v>
      </c>
      <c r="ES91">
        <v>0</v>
      </c>
      <c r="ET91">
        <v>0</v>
      </c>
      <c r="EU91">
        <v>0</v>
      </c>
      <c r="EV91">
        <v>0</v>
      </c>
      <c r="EW91" t="s">
        <v>334</v>
      </c>
      <c r="EX91" t="s">
        <v>335</v>
      </c>
      <c r="EY91" t="s">
        <v>336</v>
      </c>
      <c r="EZ91" t="s">
        <v>336</v>
      </c>
      <c r="FA91" t="s">
        <v>336</v>
      </c>
      <c r="FB91" t="s">
        <v>336</v>
      </c>
      <c r="FC91">
        <v>0</v>
      </c>
      <c r="FD91">
        <v>100</v>
      </c>
      <c r="FE91">
        <v>100</v>
      </c>
      <c r="FF91">
        <v>-0.28100000000000003</v>
      </c>
      <c r="FG91">
        <v>0.1719</v>
      </c>
      <c r="FH91">
        <v>0.2126736300064915</v>
      </c>
      <c r="FI91">
        <v>-6.1462078757559423E-4</v>
      </c>
      <c r="FJ91">
        <v>-1.8861989874597051E-7</v>
      </c>
      <c r="FK91">
        <v>1.1980462299894961E-10</v>
      </c>
      <c r="FL91">
        <v>0.1719881465068297</v>
      </c>
      <c r="FM91">
        <v>0</v>
      </c>
      <c r="FN91">
        <v>0</v>
      </c>
      <c r="FO91">
        <v>0</v>
      </c>
      <c r="FP91">
        <v>3</v>
      </c>
      <c r="FQ91">
        <v>2158</v>
      </c>
      <c r="FR91">
        <v>1</v>
      </c>
      <c r="FS91">
        <v>19</v>
      </c>
      <c r="FT91">
        <v>21.8</v>
      </c>
      <c r="FU91">
        <v>21.9</v>
      </c>
      <c r="FV91">
        <v>1.79077</v>
      </c>
      <c r="FW91">
        <v>2.5817899999999998</v>
      </c>
      <c r="FX91">
        <v>1.5490699999999999</v>
      </c>
      <c r="FY91">
        <v>2.3290999999999999</v>
      </c>
      <c r="FZ91">
        <v>1.50146</v>
      </c>
      <c r="GA91">
        <v>2.3645</v>
      </c>
      <c r="GB91">
        <v>33.580399999999997</v>
      </c>
      <c r="GC91">
        <v>23.991199999999999</v>
      </c>
      <c r="GD91">
        <v>19</v>
      </c>
      <c r="GE91">
        <v>282.48200000000003</v>
      </c>
      <c r="GF91">
        <v>602.89099999999996</v>
      </c>
      <c r="GG91">
        <v>25.3</v>
      </c>
      <c r="GH91">
        <v>26.013500000000001</v>
      </c>
      <c r="GI91">
        <v>30</v>
      </c>
      <c r="GJ91">
        <v>26.138400000000001</v>
      </c>
      <c r="GK91">
        <v>26.119900000000001</v>
      </c>
      <c r="GL91">
        <v>35.792700000000004</v>
      </c>
      <c r="GM91">
        <v>23.71</v>
      </c>
      <c r="GN91">
        <v>100</v>
      </c>
      <c r="GO91">
        <v>25.302499999999998</v>
      </c>
      <c r="GP91">
        <v>800</v>
      </c>
      <c r="GQ91">
        <v>19.3796</v>
      </c>
      <c r="GR91">
        <v>99.814800000000005</v>
      </c>
      <c r="GS91">
        <v>99.684299999999993</v>
      </c>
    </row>
    <row r="92" spans="1:201" x14ac:dyDescent="0.25">
      <c r="A92">
        <v>76</v>
      </c>
      <c r="B92">
        <v>1690233324.5999999</v>
      </c>
      <c r="C92">
        <v>818.5</v>
      </c>
      <c r="D92" t="s">
        <v>483</v>
      </c>
      <c r="E92" t="s">
        <v>484</v>
      </c>
      <c r="F92" t="s">
        <v>330</v>
      </c>
      <c r="H92">
        <v>1690233324.5999999</v>
      </c>
      <c r="I92">
        <f t="shared" si="30"/>
        <v>4.7731774261535712E-4</v>
      </c>
      <c r="J92">
        <f t="shared" si="31"/>
        <v>0.47731774261535714</v>
      </c>
      <c r="K92">
        <f t="shared" si="32"/>
        <v>7.5316429333046448</v>
      </c>
      <c r="L92">
        <f t="shared" si="33"/>
        <v>715.05799999999999</v>
      </c>
      <c r="M92">
        <f t="shared" si="34"/>
        <v>269.66418701067101</v>
      </c>
      <c r="N92">
        <f t="shared" si="35"/>
        <v>26.72478198043413</v>
      </c>
      <c r="O92">
        <f t="shared" si="36"/>
        <v>70.865061338712607</v>
      </c>
      <c r="P92">
        <f t="shared" si="37"/>
        <v>2.8075019236368171E-2</v>
      </c>
      <c r="Q92">
        <f t="shared" si="38"/>
        <v>2.1323423521636595</v>
      </c>
      <c r="R92">
        <f t="shared" si="39"/>
        <v>2.7871270622701668E-2</v>
      </c>
      <c r="S92">
        <f t="shared" si="40"/>
        <v>1.743772677685201E-2</v>
      </c>
      <c r="T92">
        <f t="shared" si="41"/>
        <v>276.11282862931893</v>
      </c>
      <c r="U92">
        <f t="shared" si="42"/>
        <v>29.165936666557968</v>
      </c>
      <c r="V92">
        <f t="shared" si="43"/>
        <v>29.165936666557968</v>
      </c>
      <c r="W92">
        <f t="shared" si="44"/>
        <v>4.0605519059723321</v>
      </c>
      <c r="X92">
        <f t="shared" si="45"/>
        <v>66.982179796511431</v>
      </c>
      <c r="Y92">
        <f t="shared" si="46"/>
        <v>2.4188000030424903</v>
      </c>
      <c r="Z92">
        <f t="shared" si="47"/>
        <v>3.6111097166301334</v>
      </c>
      <c r="AA92">
        <f t="shared" si="48"/>
        <v>1.6417519029298417</v>
      </c>
      <c r="AB92">
        <f t="shared" si="49"/>
        <v>-21.04971244933725</v>
      </c>
      <c r="AC92">
        <f t="shared" si="50"/>
        <v>-231.58880011760081</v>
      </c>
      <c r="AD92">
        <f t="shared" si="51"/>
        <v>-23.711705377560907</v>
      </c>
      <c r="AE92">
        <f t="shared" si="52"/>
        <v>-0.23738931518005302</v>
      </c>
      <c r="AF92">
        <v>0</v>
      </c>
      <c r="AG92">
        <v>0</v>
      </c>
      <c r="AH92">
        <f t="shared" si="53"/>
        <v>1</v>
      </c>
      <c r="AI92">
        <f t="shared" si="54"/>
        <v>0</v>
      </c>
      <c r="AJ92">
        <f t="shared" si="55"/>
        <v>52424.450214961376</v>
      </c>
      <c r="AK92">
        <f t="shared" si="56"/>
        <v>1799.99</v>
      </c>
      <c r="AL92">
        <f t="shared" si="57"/>
        <v>1499.1054193902901</v>
      </c>
      <c r="AM92">
        <f t="shared" si="58"/>
        <v>0.83284097099999999</v>
      </c>
      <c r="AN92">
        <f t="shared" si="59"/>
        <v>0.15339686811000003</v>
      </c>
      <c r="AO92">
        <v>32.4</v>
      </c>
      <c r="AP92">
        <v>0.5</v>
      </c>
      <c r="AQ92" t="s">
        <v>331</v>
      </c>
      <c r="AR92">
        <v>2</v>
      </c>
      <c r="AS92">
        <v>1690233324.5999999</v>
      </c>
      <c r="AT92">
        <v>715.05799999999999</v>
      </c>
      <c r="AU92">
        <v>800.04</v>
      </c>
      <c r="AV92">
        <v>24.406700000000001</v>
      </c>
      <c r="AW92">
        <v>19.380199999999999</v>
      </c>
      <c r="AX92">
        <v>715.33799999999997</v>
      </c>
      <c r="AY92">
        <v>24.2348</v>
      </c>
      <c r="AZ92">
        <v>300.16199999999998</v>
      </c>
      <c r="BA92">
        <v>99.004000000000005</v>
      </c>
      <c r="BB92">
        <v>9.9934700000000001E-2</v>
      </c>
      <c r="BC92">
        <v>27.151399999999999</v>
      </c>
      <c r="BD92">
        <v>26.995899999999999</v>
      </c>
      <c r="BE92">
        <v>29.2788</v>
      </c>
      <c r="BF92">
        <v>0</v>
      </c>
      <c r="BG92">
        <v>0</v>
      </c>
      <c r="BH92">
        <v>10020</v>
      </c>
      <c r="BI92">
        <v>1080.81</v>
      </c>
      <c r="BJ92">
        <v>1.5137799999999999</v>
      </c>
      <c r="BK92">
        <v>-84.982399999999998</v>
      </c>
      <c r="BL92">
        <v>732.947</v>
      </c>
      <c r="BM92">
        <v>815.85199999999998</v>
      </c>
      <c r="BN92">
        <v>5.02651</v>
      </c>
      <c r="BO92">
        <v>800.04</v>
      </c>
      <c r="BP92">
        <v>19.380199999999999</v>
      </c>
      <c r="BQ92">
        <v>2.4163600000000001</v>
      </c>
      <c r="BR92">
        <v>1.91872</v>
      </c>
      <c r="BS92">
        <v>20.4739</v>
      </c>
      <c r="BT92">
        <v>16.789100000000001</v>
      </c>
      <c r="BU92">
        <v>1799.99</v>
      </c>
      <c r="BV92">
        <v>0.91001799999999999</v>
      </c>
      <c r="BW92">
        <v>3.3995999999999998E-2</v>
      </c>
      <c r="BX92">
        <v>2.1994799999999998E-2</v>
      </c>
      <c r="BY92">
        <v>3.3990899999999998E-2</v>
      </c>
      <c r="BZ92">
        <v>25</v>
      </c>
      <c r="CA92">
        <v>33528.400000000001</v>
      </c>
      <c r="CB92">
        <v>1690232006</v>
      </c>
      <c r="CC92" t="s">
        <v>332</v>
      </c>
      <c r="CD92">
        <v>1690232006</v>
      </c>
      <c r="CE92">
        <v>1690231998.5</v>
      </c>
      <c r="CF92">
        <v>14</v>
      </c>
      <c r="CG92">
        <v>-0.13200000000000001</v>
      </c>
      <c r="CH92">
        <v>-7.0000000000000001E-3</v>
      </c>
      <c r="CI92">
        <v>-0.33800000000000002</v>
      </c>
      <c r="CJ92">
        <v>0.14299999999999999</v>
      </c>
      <c r="CK92">
        <v>799</v>
      </c>
      <c r="CL92">
        <v>19</v>
      </c>
      <c r="CM92">
        <v>7.0000000000000007E-2</v>
      </c>
      <c r="CN92">
        <v>0.14000000000000001</v>
      </c>
      <c r="CO92">
        <v>-81.648442500000016</v>
      </c>
      <c r="CP92">
        <v>-17.834729831144202</v>
      </c>
      <c r="CQ92">
        <v>1.7163272027628509</v>
      </c>
      <c r="CR92">
        <v>-1</v>
      </c>
      <c r="CS92">
        <v>4.855715</v>
      </c>
      <c r="CT92">
        <v>0.84054439024388738</v>
      </c>
      <c r="CU92">
        <v>8.1059574357382383E-2</v>
      </c>
      <c r="CV92">
        <v>-1</v>
      </c>
      <c r="CW92">
        <v>0</v>
      </c>
      <c r="CX92">
        <v>0</v>
      </c>
      <c r="CY92" t="s">
        <v>333</v>
      </c>
      <c r="CZ92">
        <v>2.3646099999999999</v>
      </c>
      <c r="DA92">
        <v>2.71374</v>
      </c>
      <c r="DB92">
        <v>0.13606699999999999</v>
      </c>
      <c r="DC92">
        <v>0.14632600000000001</v>
      </c>
      <c r="DD92">
        <v>0.115289</v>
      </c>
      <c r="DE92">
        <v>9.6488099999999993E-2</v>
      </c>
      <c r="DF92">
        <v>31569.9</v>
      </c>
      <c r="DG92">
        <v>27543.4</v>
      </c>
      <c r="DH92">
        <v>31194.799999999999</v>
      </c>
      <c r="DI92">
        <v>28112.799999999999</v>
      </c>
      <c r="DJ92">
        <v>37470.800000000003</v>
      </c>
      <c r="DK92">
        <v>36120.400000000001</v>
      </c>
      <c r="DL92">
        <v>44398.1</v>
      </c>
      <c r="DM92">
        <v>42614</v>
      </c>
      <c r="DN92">
        <v>1.4780199999999999</v>
      </c>
      <c r="DO92">
        <v>2.06257</v>
      </c>
      <c r="DP92">
        <v>7.3798000000000002E-2</v>
      </c>
      <c r="DQ92">
        <v>0.224747</v>
      </c>
      <c r="DR92">
        <v>25.7879</v>
      </c>
      <c r="DS92">
        <v>25.605899999999998</v>
      </c>
      <c r="DT92">
        <v>56.5</v>
      </c>
      <c r="DU92">
        <v>28.8</v>
      </c>
      <c r="DV92">
        <v>22.6907</v>
      </c>
      <c r="DW92">
        <v>61.898000000000003</v>
      </c>
      <c r="DX92">
        <v>36.710700000000003</v>
      </c>
      <c r="DY92">
        <v>1</v>
      </c>
      <c r="DZ92">
        <v>-0.11208799999999999</v>
      </c>
      <c r="EA92">
        <v>-0.25348300000000001</v>
      </c>
      <c r="EB92">
        <v>20.189699999999998</v>
      </c>
      <c r="EC92">
        <v>5.24125</v>
      </c>
      <c r="ED92">
        <v>12.039899999999999</v>
      </c>
      <c r="EE92">
        <v>5.0170000000000003</v>
      </c>
      <c r="EF92">
        <v>3.2879999999999998</v>
      </c>
      <c r="EG92">
        <v>9999</v>
      </c>
      <c r="EH92">
        <v>9999</v>
      </c>
      <c r="EI92">
        <v>9999</v>
      </c>
      <c r="EJ92">
        <v>999.9</v>
      </c>
      <c r="EK92">
        <v>1.8689</v>
      </c>
      <c r="EL92">
        <v>1.8646199999999999</v>
      </c>
      <c r="EM92">
        <v>1.8691899999999999</v>
      </c>
      <c r="EN92">
        <v>1.8672200000000001</v>
      </c>
      <c r="EO92">
        <v>1.8633999999999999</v>
      </c>
      <c r="EP92">
        <v>1.8644799999999999</v>
      </c>
      <c r="EQ92">
        <v>1.8701700000000001</v>
      </c>
      <c r="ER92">
        <v>1.8693900000000001</v>
      </c>
      <c r="ES92">
        <v>0</v>
      </c>
      <c r="ET92">
        <v>0</v>
      </c>
      <c r="EU92">
        <v>0</v>
      </c>
      <c r="EV92">
        <v>0</v>
      </c>
      <c r="EW92" t="s">
        <v>334</v>
      </c>
      <c r="EX92" t="s">
        <v>335</v>
      </c>
      <c r="EY92" t="s">
        <v>336</v>
      </c>
      <c r="EZ92" t="s">
        <v>336</v>
      </c>
      <c r="FA92" t="s">
        <v>336</v>
      </c>
      <c r="FB92" t="s">
        <v>336</v>
      </c>
      <c r="FC92">
        <v>0</v>
      </c>
      <c r="FD92">
        <v>100</v>
      </c>
      <c r="FE92">
        <v>100</v>
      </c>
      <c r="FF92">
        <v>-0.28000000000000003</v>
      </c>
      <c r="FG92">
        <v>0.1719</v>
      </c>
      <c r="FH92">
        <v>0.2126736300064915</v>
      </c>
      <c r="FI92">
        <v>-6.1462078757559423E-4</v>
      </c>
      <c r="FJ92">
        <v>-1.8861989874597051E-7</v>
      </c>
      <c r="FK92">
        <v>1.1980462299894961E-10</v>
      </c>
      <c r="FL92">
        <v>0.1719881465068297</v>
      </c>
      <c r="FM92">
        <v>0</v>
      </c>
      <c r="FN92">
        <v>0</v>
      </c>
      <c r="FO92">
        <v>0</v>
      </c>
      <c r="FP92">
        <v>3</v>
      </c>
      <c r="FQ92">
        <v>2158</v>
      </c>
      <c r="FR92">
        <v>1</v>
      </c>
      <c r="FS92">
        <v>19</v>
      </c>
      <c r="FT92">
        <v>22</v>
      </c>
      <c r="FU92">
        <v>22.1</v>
      </c>
      <c r="FV92">
        <v>1.78955</v>
      </c>
      <c r="FW92">
        <v>2.5878899999999998</v>
      </c>
      <c r="FX92">
        <v>1.5490699999999999</v>
      </c>
      <c r="FY92">
        <v>2.3290999999999999</v>
      </c>
      <c r="FZ92">
        <v>1.50146</v>
      </c>
      <c r="GA92">
        <v>2.3950200000000001</v>
      </c>
      <c r="GB92">
        <v>33.580399999999997</v>
      </c>
      <c r="GC92">
        <v>23.991199999999999</v>
      </c>
      <c r="GD92">
        <v>19</v>
      </c>
      <c r="GE92">
        <v>282.70400000000001</v>
      </c>
      <c r="GF92">
        <v>602.52700000000004</v>
      </c>
      <c r="GG92">
        <v>25.307099999999998</v>
      </c>
      <c r="GH92">
        <v>26.0107</v>
      </c>
      <c r="GI92">
        <v>30.0001</v>
      </c>
      <c r="GJ92">
        <v>26.1357</v>
      </c>
      <c r="GK92">
        <v>26.117799999999999</v>
      </c>
      <c r="GL92">
        <v>35.786700000000003</v>
      </c>
      <c r="GM92">
        <v>24.294599999999999</v>
      </c>
      <c r="GN92">
        <v>100</v>
      </c>
      <c r="GO92">
        <v>25.3063</v>
      </c>
      <c r="GP92">
        <v>800</v>
      </c>
      <c r="GQ92">
        <v>19.251200000000001</v>
      </c>
      <c r="GR92">
        <v>99.816699999999997</v>
      </c>
      <c r="GS92">
        <v>99.6845</v>
      </c>
    </row>
    <row r="93" spans="1:201" x14ac:dyDescent="0.25">
      <c r="A93">
        <v>77</v>
      </c>
      <c r="B93">
        <v>1690233334.5999999</v>
      </c>
      <c r="C93">
        <v>828.5</v>
      </c>
      <c r="D93" t="s">
        <v>485</v>
      </c>
      <c r="E93" t="s">
        <v>486</v>
      </c>
      <c r="F93" t="s">
        <v>330</v>
      </c>
      <c r="H93">
        <v>1690233334.5999999</v>
      </c>
      <c r="I93">
        <f t="shared" si="30"/>
        <v>4.9162929203665077E-4</v>
      </c>
      <c r="J93">
        <f t="shared" si="31"/>
        <v>0.49162929203665079</v>
      </c>
      <c r="K93">
        <f t="shared" si="32"/>
        <v>7.8116610026817366</v>
      </c>
      <c r="L93">
        <f t="shared" si="33"/>
        <v>712.05700000000002</v>
      </c>
      <c r="M93">
        <f t="shared" si="34"/>
        <v>264.50915609175144</v>
      </c>
      <c r="N93">
        <f t="shared" si="35"/>
        <v>26.213302378896778</v>
      </c>
      <c r="O93">
        <f t="shared" si="36"/>
        <v>70.566046664696799</v>
      </c>
      <c r="P93">
        <f t="shared" si="37"/>
        <v>2.8970977698302033E-2</v>
      </c>
      <c r="Q93">
        <f t="shared" si="38"/>
        <v>2.13398945137462</v>
      </c>
      <c r="R93">
        <f t="shared" si="39"/>
        <v>2.8754237392036034E-2</v>
      </c>
      <c r="S93">
        <f t="shared" si="40"/>
        <v>1.7990736356458873E-2</v>
      </c>
      <c r="T93">
        <f t="shared" si="41"/>
        <v>276.11410482000002</v>
      </c>
      <c r="U93">
        <f t="shared" si="42"/>
        <v>29.160651446294963</v>
      </c>
      <c r="V93">
        <f t="shared" si="43"/>
        <v>29.160651446294963</v>
      </c>
      <c r="W93">
        <f t="shared" si="44"/>
        <v>4.0593117501474723</v>
      </c>
      <c r="X93">
        <f t="shared" si="45"/>
        <v>67.019418823784193</v>
      </c>
      <c r="Y93">
        <f t="shared" si="46"/>
        <v>2.4203009282457599</v>
      </c>
      <c r="Z93">
        <f t="shared" si="47"/>
        <v>3.6113427581482269</v>
      </c>
      <c r="AA93">
        <f t="shared" si="48"/>
        <v>1.6390108219017123</v>
      </c>
      <c r="AB93">
        <f t="shared" si="49"/>
        <v>-21.680851778816297</v>
      </c>
      <c r="AC93">
        <f t="shared" si="50"/>
        <v>-231.03308325815379</v>
      </c>
      <c r="AD93">
        <f t="shared" si="51"/>
        <v>-23.636055021181448</v>
      </c>
      <c r="AE93">
        <f t="shared" si="52"/>
        <v>-0.23588523815152485</v>
      </c>
      <c r="AF93">
        <v>0</v>
      </c>
      <c r="AG93">
        <v>0</v>
      </c>
      <c r="AH93">
        <f t="shared" si="53"/>
        <v>1</v>
      </c>
      <c r="AI93">
        <f t="shared" si="54"/>
        <v>0</v>
      </c>
      <c r="AJ93">
        <f t="shared" si="55"/>
        <v>52495.248005345224</v>
      </c>
      <c r="AK93">
        <f t="shared" si="56"/>
        <v>1800</v>
      </c>
      <c r="AL93">
        <f t="shared" si="57"/>
        <v>1499.1143130000003</v>
      </c>
      <c r="AM93">
        <f t="shared" si="58"/>
        <v>0.8328412850000001</v>
      </c>
      <c r="AN93">
        <f t="shared" si="59"/>
        <v>0.1533967249</v>
      </c>
      <c r="AO93">
        <v>32.4</v>
      </c>
      <c r="AP93">
        <v>0.5</v>
      </c>
      <c r="AQ93" t="s">
        <v>331</v>
      </c>
      <c r="AR93">
        <v>2</v>
      </c>
      <c r="AS93">
        <v>1690233334.5999999</v>
      </c>
      <c r="AT93">
        <v>712.05700000000002</v>
      </c>
      <c r="AU93">
        <v>800.125</v>
      </c>
      <c r="AV93">
        <v>24.4224</v>
      </c>
      <c r="AW93">
        <v>19.2471</v>
      </c>
      <c r="AX93">
        <v>712.33500000000004</v>
      </c>
      <c r="AY93">
        <v>24.250399999999999</v>
      </c>
      <c r="AZ93">
        <v>300.26799999999997</v>
      </c>
      <c r="BA93">
        <v>99.0017</v>
      </c>
      <c r="BB93">
        <v>9.9982399999999999E-2</v>
      </c>
      <c r="BC93">
        <v>27.1525</v>
      </c>
      <c r="BD93">
        <v>26.988800000000001</v>
      </c>
      <c r="BE93">
        <v>29.28</v>
      </c>
      <c r="BF93">
        <v>0</v>
      </c>
      <c r="BG93">
        <v>0</v>
      </c>
      <c r="BH93">
        <v>10034.4</v>
      </c>
      <c r="BI93">
        <v>1080.78</v>
      </c>
      <c r="BJ93">
        <v>1.5137799999999999</v>
      </c>
      <c r="BK93">
        <v>-88.067700000000002</v>
      </c>
      <c r="BL93">
        <v>729.88300000000004</v>
      </c>
      <c r="BM93">
        <v>815.82799999999997</v>
      </c>
      <c r="BN93">
        <v>5.17523</v>
      </c>
      <c r="BO93">
        <v>800.125</v>
      </c>
      <c r="BP93">
        <v>19.2471</v>
      </c>
      <c r="BQ93">
        <v>2.4178600000000001</v>
      </c>
      <c r="BR93">
        <v>1.9055</v>
      </c>
      <c r="BS93">
        <v>20.483899999999998</v>
      </c>
      <c r="BT93">
        <v>16.680199999999999</v>
      </c>
      <c r="BU93">
        <v>1800</v>
      </c>
      <c r="BV93">
        <v>0.91002300000000003</v>
      </c>
      <c r="BW93">
        <v>3.3994099999999999E-2</v>
      </c>
      <c r="BX93">
        <v>2.1993499999999999E-2</v>
      </c>
      <c r="BY93">
        <v>3.3988999999999998E-2</v>
      </c>
      <c r="BZ93">
        <v>25</v>
      </c>
      <c r="CA93">
        <v>33528.5</v>
      </c>
      <c r="CB93">
        <v>1690232006</v>
      </c>
      <c r="CC93" t="s">
        <v>332</v>
      </c>
      <c r="CD93">
        <v>1690232006</v>
      </c>
      <c r="CE93">
        <v>1690231998.5</v>
      </c>
      <c r="CF93">
        <v>14</v>
      </c>
      <c r="CG93">
        <v>-0.13200000000000001</v>
      </c>
      <c r="CH93">
        <v>-7.0000000000000001E-3</v>
      </c>
      <c r="CI93">
        <v>-0.33800000000000002</v>
      </c>
      <c r="CJ93">
        <v>0.14299999999999999</v>
      </c>
      <c r="CK93">
        <v>799</v>
      </c>
      <c r="CL93">
        <v>19</v>
      </c>
      <c r="CM93">
        <v>7.0000000000000007E-2</v>
      </c>
      <c r="CN93">
        <v>0.14000000000000001</v>
      </c>
      <c r="CO93">
        <v>-84.650177499999998</v>
      </c>
      <c r="CP93">
        <v>-18.04717711069393</v>
      </c>
      <c r="CQ93">
        <v>1.7368016217299409</v>
      </c>
      <c r="CR93">
        <v>-1</v>
      </c>
      <c r="CS93">
        <v>5.0026454999999999</v>
      </c>
      <c r="CT93">
        <v>0.87166649155721232</v>
      </c>
      <c r="CU93">
        <v>8.4006915993565662E-2</v>
      </c>
      <c r="CV93">
        <v>-1</v>
      </c>
      <c r="CW93">
        <v>0</v>
      </c>
      <c r="CX93">
        <v>0</v>
      </c>
      <c r="CY93" t="s">
        <v>333</v>
      </c>
      <c r="CZ93">
        <v>2.3649300000000002</v>
      </c>
      <c r="DA93">
        <v>2.7138100000000001</v>
      </c>
      <c r="DB93">
        <v>0.13567499999999999</v>
      </c>
      <c r="DC93">
        <v>0.14633099999999999</v>
      </c>
      <c r="DD93">
        <v>0.115339</v>
      </c>
      <c r="DE93">
        <v>9.6014199999999994E-2</v>
      </c>
      <c r="DF93">
        <v>31584.3</v>
      </c>
      <c r="DG93">
        <v>27543.599999999999</v>
      </c>
      <c r="DH93">
        <v>31194.9</v>
      </c>
      <c r="DI93">
        <v>28113.1</v>
      </c>
      <c r="DJ93">
        <v>37468.6</v>
      </c>
      <c r="DK93">
        <v>36139.800000000003</v>
      </c>
      <c r="DL93">
        <v>44398.1</v>
      </c>
      <c r="DM93">
        <v>42614.400000000001</v>
      </c>
      <c r="DN93">
        <v>1.4779</v>
      </c>
      <c r="DO93">
        <v>2.0623</v>
      </c>
      <c r="DP93">
        <v>7.3462700000000006E-2</v>
      </c>
      <c r="DQ93">
        <v>0.22482099999999999</v>
      </c>
      <c r="DR93">
        <v>25.786200000000001</v>
      </c>
      <c r="DS93">
        <v>25.605899999999998</v>
      </c>
      <c r="DT93">
        <v>56.5</v>
      </c>
      <c r="DU93">
        <v>28.8</v>
      </c>
      <c r="DV93">
        <v>22.688600000000001</v>
      </c>
      <c r="DW93">
        <v>61.738</v>
      </c>
      <c r="DX93">
        <v>35.548900000000003</v>
      </c>
      <c r="DY93">
        <v>1</v>
      </c>
      <c r="DZ93">
        <v>-0.112612</v>
      </c>
      <c r="EA93">
        <v>-0.255158</v>
      </c>
      <c r="EB93">
        <v>20.189900000000002</v>
      </c>
      <c r="EC93">
        <v>5.24125</v>
      </c>
      <c r="ED93">
        <v>12.039899999999999</v>
      </c>
      <c r="EE93">
        <v>5.0170500000000002</v>
      </c>
      <c r="EF93">
        <v>3.2879999999999998</v>
      </c>
      <c r="EG93">
        <v>9999</v>
      </c>
      <c r="EH93">
        <v>9999</v>
      </c>
      <c r="EI93">
        <v>9999</v>
      </c>
      <c r="EJ93">
        <v>999.9</v>
      </c>
      <c r="EK93">
        <v>1.8689</v>
      </c>
      <c r="EL93">
        <v>1.8646199999999999</v>
      </c>
      <c r="EM93">
        <v>1.8691899999999999</v>
      </c>
      <c r="EN93">
        <v>1.8672200000000001</v>
      </c>
      <c r="EO93">
        <v>1.8633999999999999</v>
      </c>
      <c r="EP93">
        <v>1.8644799999999999</v>
      </c>
      <c r="EQ93">
        <v>1.8701399999999999</v>
      </c>
      <c r="ER93">
        <v>1.86937</v>
      </c>
      <c r="ES93">
        <v>0</v>
      </c>
      <c r="ET93">
        <v>0</v>
      </c>
      <c r="EU93">
        <v>0</v>
      </c>
      <c r="EV93">
        <v>0</v>
      </c>
      <c r="EW93" t="s">
        <v>334</v>
      </c>
      <c r="EX93" t="s">
        <v>335</v>
      </c>
      <c r="EY93" t="s">
        <v>336</v>
      </c>
      <c r="EZ93" t="s">
        <v>336</v>
      </c>
      <c r="FA93" t="s">
        <v>336</v>
      </c>
      <c r="FB93" t="s">
        <v>336</v>
      </c>
      <c r="FC93">
        <v>0</v>
      </c>
      <c r="FD93">
        <v>100</v>
      </c>
      <c r="FE93">
        <v>100</v>
      </c>
      <c r="FF93">
        <v>-0.27800000000000002</v>
      </c>
      <c r="FG93">
        <v>0.17199999999999999</v>
      </c>
      <c r="FH93">
        <v>0.2126736300064915</v>
      </c>
      <c r="FI93">
        <v>-6.1462078757559423E-4</v>
      </c>
      <c r="FJ93">
        <v>-1.8861989874597051E-7</v>
      </c>
      <c r="FK93">
        <v>1.1980462299894961E-10</v>
      </c>
      <c r="FL93">
        <v>0.1719881465068297</v>
      </c>
      <c r="FM93">
        <v>0</v>
      </c>
      <c r="FN93">
        <v>0</v>
      </c>
      <c r="FO93">
        <v>0</v>
      </c>
      <c r="FP93">
        <v>3</v>
      </c>
      <c r="FQ93">
        <v>2158</v>
      </c>
      <c r="FR93">
        <v>1</v>
      </c>
      <c r="FS93">
        <v>19</v>
      </c>
      <c r="FT93">
        <v>22.1</v>
      </c>
      <c r="FU93">
        <v>22.3</v>
      </c>
      <c r="FV93">
        <v>1.78955</v>
      </c>
      <c r="FW93">
        <v>2.5915499999999998</v>
      </c>
      <c r="FX93">
        <v>1.5490699999999999</v>
      </c>
      <c r="FY93">
        <v>2.3290999999999999</v>
      </c>
      <c r="FZ93">
        <v>1.50146</v>
      </c>
      <c r="GA93">
        <v>2.2656200000000002</v>
      </c>
      <c r="GB93">
        <v>33.580399999999997</v>
      </c>
      <c r="GC93">
        <v>23.982399999999998</v>
      </c>
      <c r="GD93">
        <v>19</v>
      </c>
      <c r="GE93">
        <v>282.63900000000001</v>
      </c>
      <c r="GF93">
        <v>602.26800000000003</v>
      </c>
      <c r="GG93">
        <v>25.310700000000001</v>
      </c>
      <c r="GH93">
        <v>26.007999999999999</v>
      </c>
      <c r="GI93">
        <v>30</v>
      </c>
      <c r="GJ93">
        <v>26.132899999999999</v>
      </c>
      <c r="GK93">
        <v>26.115600000000001</v>
      </c>
      <c r="GL93">
        <v>35.778799999999997</v>
      </c>
      <c r="GM93">
        <v>24.8659</v>
      </c>
      <c r="GN93">
        <v>100</v>
      </c>
      <c r="GO93">
        <v>25.311499999999999</v>
      </c>
      <c r="GP93">
        <v>800</v>
      </c>
      <c r="GQ93">
        <v>19.1191</v>
      </c>
      <c r="GR93">
        <v>99.816699999999997</v>
      </c>
      <c r="GS93">
        <v>99.685500000000005</v>
      </c>
    </row>
    <row r="94" spans="1:201" x14ac:dyDescent="0.25">
      <c r="A94">
        <v>78</v>
      </c>
      <c r="B94">
        <v>1690233344.5999999</v>
      </c>
      <c r="C94">
        <v>838.5</v>
      </c>
      <c r="D94" t="s">
        <v>487</v>
      </c>
      <c r="E94" t="s">
        <v>488</v>
      </c>
      <c r="F94" t="s">
        <v>330</v>
      </c>
      <c r="H94">
        <v>1690233344.5999999</v>
      </c>
      <c r="I94">
        <f t="shared" si="30"/>
        <v>5.0489921759689239E-4</v>
      </c>
      <c r="J94">
        <f t="shared" si="31"/>
        <v>0.50489921759689238</v>
      </c>
      <c r="K94">
        <f t="shared" si="32"/>
        <v>8.0865203105766259</v>
      </c>
      <c r="L94">
        <f t="shared" si="33"/>
        <v>708.976</v>
      </c>
      <c r="M94">
        <f t="shared" si="34"/>
        <v>258.4452622128735</v>
      </c>
      <c r="N94">
        <f t="shared" si="35"/>
        <v>25.612547046151384</v>
      </c>
      <c r="O94">
        <f t="shared" si="36"/>
        <v>70.261226687280001</v>
      </c>
      <c r="P94">
        <f t="shared" si="37"/>
        <v>2.9782280334065363E-2</v>
      </c>
      <c r="Q94">
        <f t="shared" si="38"/>
        <v>2.1292659158393601</v>
      </c>
      <c r="R94">
        <f t="shared" si="39"/>
        <v>2.9552778864837818E-2</v>
      </c>
      <c r="S94">
        <f t="shared" si="40"/>
        <v>1.8490959064599497E-2</v>
      </c>
      <c r="T94">
        <f t="shared" si="41"/>
        <v>276.11258847465314</v>
      </c>
      <c r="U94">
        <f t="shared" si="42"/>
        <v>29.161752522669978</v>
      </c>
      <c r="V94">
        <f t="shared" si="43"/>
        <v>29.161752522669978</v>
      </c>
      <c r="W94">
        <f t="shared" si="44"/>
        <v>4.0595700860841308</v>
      </c>
      <c r="X94">
        <f t="shared" si="45"/>
        <v>67.054382733635208</v>
      </c>
      <c r="Y94">
        <f t="shared" si="46"/>
        <v>2.4218051119469997</v>
      </c>
      <c r="Z94">
        <f t="shared" si="47"/>
        <v>3.6117029390417397</v>
      </c>
      <c r="AA94">
        <f t="shared" si="48"/>
        <v>1.6377649741371312</v>
      </c>
      <c r="AB94">
        <f t="shared" si="49"/>
        <v>-22.266055496022954</v>
      </c>
      <c r="AC94">
        <f t="shared" si="50"/>
        <v>-230.45294472389105</v>
      </c>
      <c r="AD94">
        <f t="shared" si="51"/>
        <v>-23.629335161318689</v>
      </c>
      <c r="AE94">
        <f t="shared" si="52"/>
        <v>-0.23574690657954989</v>
      </c>
      <c r="AF94">
        <v>0</v>
      </c>
      <c r="AG94">
        <v>0</v>
      </c>
      <c r="AH94">
        <f t="shared" si="53"/>
        <v>1</v>
      </c>
      <c r="AI94">
        <f t="shared" si="54"/>
        <v>0</v>
      </c>
      <c r="AJ94">
        <f t="shared" si="55"/>
        <v>52291.406851430867</v>
      </c>
      <c r="AK94">
        <f t="shared" si="56"/>
        <v>1799.99</v>
      </c>
      <c r="AL94">
        <f t="shared" si="57"/>
        <v>1499.10738677936</v>
      </c>
      <c r="AM94">
        <f t="shared" si="58"/>
        <v>0.83284206400000005</v>
      </c>
      <c r="AN94">
        <f t="shared" si="59"/>
        <v>0.15339673469000001</v>
      </c>
      <c r="AO94">
        <v>32.4</v>
      </c>
      <c r="AP94">
        <v>0.5</v>
      </c>
      <c r="AQ94" t="s">
        <v>331</v>
      </c>
      <c r="AR94">
        <v>2</v>
      </c>
      <c r="AS94">
        <v>1690233344.5999999</v>
      </c>
      <c r="AT94">
        <v>708.976</v>
      </c>
      <c r="AU94">
        <v>800.11199999999997</v>
      </c>
      <c r="AV94">
        <v>24.4374</v>
      </c>
      <c r="AW94">
        <v>19.121500000000001</v>
      </c>
      <c r="AX94">
        <v>709.25099999999998</v>
      </c>
      <c r="AY94">
        <v>24.2654</v>
      </c>
      <c r="AZ94">
        <v>300.21199999999999</v>
      </c>
      <c r="BA94">
        <v>99.002399999999994</v>
      </c>
      <c r="BB94">
        <v>0.100005</v>
      </c>
      <c r="BC94">
        <v>27.154199999999999</v>
      </c>
      <c r="BD94">
        <v>27.000299999999999</v>
      </c>
      <c r="BE94">
        <v>29.2575</v>
      </c>
      <c r="BF94">
        <v>0</v>
      </c>
      <c r="BG94">
        <v>0</v>
      </c>
      <c r="BH94">
        <v>9993.75</v>
      </c>
      <c r="BI94">
        <v>1080.8599999999999</v>
      </c>
      <c r="BJ94">
        <v>1.5137799999999999</v>
      </c>
      <c r="BK94">
        <v>-91.136499999999998</v>
      </c>
      <c r="BL94">
        <v>726.73500000000001</v>
      </c>
      <c r="BM94">
        <v>815.71</v>
      </c>
      <c r="BN94">
        <v>5.3159000000000001</v>
      </c>
      <c r="BO94">
        <v>800.11199999999997</v>
      </c>
      <c r="BP94">
        <v>19.121500000000001</v>
      </c>
      <c r="BQ94">
        <v>2.4193600000000002</v>
      </c>
      <c r="BR94">
        <v>1.89307</v>
      </c>
      <c r="BS94">
        <v>20.4939</v>
      </c>
      <c r="BT94">
        <v>16.577300000000001</v>
      </c>
      <c r="BU94">
        <v>1799.99</v>
      </c>
      <c r="BV94">
        <v>0.91002700000000003</v>
      </c>
      <c r="BW94">
        <v>3.3992799999999997E-2</v>
      </c>
      <c r="BX94">
        <v>2.19927E-2</v>
      </c>
      <c r="BY94">
        <v>3.3987700000000003E-2</v>
      </c>
      <c r="BZ94">
        <v>25</v>
      </c>
      <c r="CA94">
        <v>33528.400000000001</v>
      </c>
      <c r="CB94">
        <v>1690232006</v>
      </c>
      <c r="CC94" t="s">
        <v>332</v>
      </c>
      <c r="CD94">
        <v>1690232006</v>
      </c>
      <c r="CE94">
        <v>1690231998.5</v>
      </c>
      <c r="CF94">
        <v>14</v>
      </c>
      <c r="CG94">
        <v>-0.13200000000000001</v>
      </c>
      <c r="CH94">
        <v>-7.0000000000000001E-3</v>
      </c>
      <c r="CI94">
        <v>-0.33800000000000002</v>
      </c>
      <c r="CJ94">
        <v>0.14299999999999999</v>
      </c>
      <c r="CK94">
        <v>799</v>
      </c>
      <c r="CL94">
        <v>19</v>
      </c>
      <c r="CM94">
        <v>7.0000000000000007E-2</v>
      </c>
      <c r="CN94">
        <v>0.14000000000000001</v>
      </c>
      <c r="CO94">
        <v>-87.750912195121956</v>
      </c>
      <c r="CP94">
        <v>-18.31989407665511</v>
      </c>
      <c r="CQ94">
        <v>1.8068193950798299</v>
      </c>
      <c r="CR94">
        <v>-1</v>
      </c>
      <c r="CS94">
        <v>5.1533348780487804</v>
      </c>
      <c r="CT94">
        <v>0.85065637630663227</v>
      </c>
      <c r="CU94">
        <v>8.4013577013159618E-2</v>
      </c>
      <c r="CV94">
        <v>-1</v>
      </c>
      <c r="CW94">
        <v>0</v>
      </c>
      <c r="CX94">
        <v>0</v>
      </c>
      <c r="CY94" t="s">
        <v>333</v>
      </c>
      <c r="CZ94">
        <v>2.36476</v>
      </c>
      <c r="DA94">
        <v>2.7137899999999999</v>
      </c>
      <c r="DB94">
        <v>0.13527600000000001</v>
      </c>
      <c r="DC94">
        <v>0.14632899999999999</v>
      </c>
      <c r="DD94">
        <v>0.11539000000000001</v>
      </c>
      <c r="DE94">
        <v>9.5568299999999995E-2</v>
      </c>
      <c r="DF94">
        <v>31598.799999999999</v>
      </c>
      <c r="DG94">
        <v>27543.3</v>
      </c>
      <c r="DH94">
        <v>31194.9</v>
      </c>
      <c r="DI94">
        <v>28112.799999999999</v>
      </c>
      <c r="DJ94">
        <v>37466.5</v>
      </c>
      <c r="DK94">
        <v>36157.199999999997</v>
      </c>
      <c r="DL94">
        <v>44398.3</v>
      </c>
      <c r="DM94">
        <v>42613.9</v>
      </c>
      <c r="DN94">
        <v>1.4781200000000001</v>
      </c>
      <c r="DO94">
        <v>2.0619200000000002</v>
      </c>
      <c r="DP94">
        <v>7.4058799999999994E-2</v>
      </c>
      <c r="DQ94">
        <v>0.223443</v>
      </c>
      <c r="DR94">
        <v>25.788</v>
      </c>
      <c r="DS94">
        <v>25.605899999999998</v>
      </c>
      <c r="DT94">
        <v>56.5</v>
      </c>
      <c r="DU94">
        <v>28.8</v>
      </c>
      <c r="DV94">
        <v>22.6873</v>
      </c>
      <c r="DW94">
        <v>61.847999999999999</v>
      </c>
      <c r="DX94">
        <v>36.5745</v>
      </c>
      <c r="DY94">
        <v>1</v>
      </c>
      <c r="DZ94">
        <v>-0.11258600000000001</v>
      </c>
      <c r="EA94">
        <v>-0.26644099999999998</v>
      </c>
      <c r="EB94">
        <v>20.189800000000002</v>
      </c>
      <c r="EC94">
        <v>5.2416999999999998</v>
      </c>
      <c r="ED94">
        <v>12.039899999999999</v>
      </c>
      <c r="EE94">
        <v>5.0167000000000002</v>
      </c>
      <c r="EF94">
        <v>3.2879999999999998</v>
      </c>
      <c r="EG94">
        <v>9999</v>
      </c>
      <c r="EH94">
        <v>9999</v>
      </c>
      <c r="EI94">
        <v>9999</v>
      </c>
      <c r="EJ94">
        <v>999.9</v>
      </c>
      <c r="EK94">
        <v>1.8689</v>
      </c>
      <c r="EL94">
        <v>1.8646199999999999</v>
      </c>
      <c r="EM94">
        <v>1.8691899999999999</v>
      </c>
      <c r="EN94">
        <v>1.8672200000000001</v>
      </c>
      <c r="EO94">
        <v>1.8633999999999999</v>
      </c>
      <c r="EP94">
        <v>1.8644799999999999</v>
      </c>
      <c r="EQ94">
        <v>1.8701399999999999</v>
      </c>
      <c r="ER94">
        <v>1.8694</v>
      </c>
      <c r="ES94">
        <v>0</v>
      </c>
      <c r="ET94">
        <v>0</v>
      </c>
      <c r="EU94">
        <v>0</v>
      </c>
      <c r="EV94">
        <v>0</v>
      </c>
      <c r="EW94" t="s">
        <v>334</v>
      </c>
      <c r="EX94" t="s">
        <v>335</v>
      </c>
      <c r="EY94" t="s">
        <v>336</v>
      </c>
      <c r="EZ94" t="s">
        <v>336</v>
      </c>
      <c r="FA94" t="s">
        <v>336</v>
      </c>
      <c r="FB94" t="s">
        <v>336</v>
      </c>
      <c r="FC94">
        <v>0</v>
      </c>
      <c r="FD94">
        <v>100</v>
      </c>
      <c r="FE94">
        <v>100</v>
      </c>
      <c r="FF94">
        <v>-0.27500000000000002</v>
      </c>
      <c r="FG94">
        <v>0.17199999999999999</v>
      </c>
      <c r="FH94">
        <v>0.2126736300064915</v>
      </c>
      <c r="FI94">
        <v>-6.1462078757559423E-4</v>
      </c>
      <c r="FJ94">
        <v>-1.8861989874597051E-7</v>
      </c>
      <c r="FK94">
        <v>1.1980462299894961E-10</v>
      </c>
      <c r="FL94">
        <v>0.1719881465068297</v>
      </c>
      <c r="FM94">
        <v>0</v>
      </c>
      <c r="FN94">
        <v>0</v>
      </c>
      <c r="FO94">
        <v>0</v>
      </c>
      <c r="FP94">
        <v>3</v>
      </c>
      <c r="FQ94">
        <v>2158</v>
      </c>
      <c r="FR94">
        <v>1</v>
      </c>
      <c r="FS94">
        <v>19</v>
      </c>
      <c r="FT94">
        <v>22.3</v>
      </c>
      <c r="FU94">
        <v>22.4</v>
      </c>
      <c r="FV94">
        <v>1.78955</v>
      </c>
      <c r="FW94">
        <v>2.5854499999999998</v>
      </c>
      <c r="FX94">
        <v>1.5490699999999999</v>
      </c>
      <c r="FY94">
        <v>2.3290999999999999</v>
      </c>
      <c r="FZ94">
        <v>1.50146</v>
      </c>
      <c r="GA94">
        <v>2.4230999999999998</v>
      </c>
      <c r="GB94">
        <v>33.580399999999997</v>
      </c>
      <c r="GC94">
        <v>23.991199999999999</v>
      </c>
      <c r="GD94">
        <v>19</v>
      </c>
      <c r="GE94">
        <v>282.72199999999998</v>
      </c>
      <c r="GF94">
        <v>601.92499999999995</v>
      </c>
      <c r="GG94">
        <v>25.32</v>
      </c>
      <c r="GH94">
        <v>26.005199999999999</v>
      </c>
      <c r="GI94">
        <v>30</v>
      </c>
      <c r="GJ94">
        <v>26.130199999999999</v>
      </c>
      <c r="GK94">
        <v>26.113399999999999</v>
      </c>
      <c r="GL94">
        <v>35.773800000000001</v>
      </c>
      <c r="GM94">
        <v>25.736999999999998</v>
      </c>
      <c r="GN94">
        <v>100</v>
      </c>
      <c r="GO94">
        <v>25.320799999999998</v>
      </c>
      <c r="GP94">
        <v>800</v>
      </c>
      <c r="GQ94">
        <v>18.9833</v>
      </c>
      <c r="GR94">
        <v>99.816999999999993</v>
      </c>
      <c r="GS94">
        <v>99.684299999999993</v>
      </c>
    </row>
    <row r="95" spans="1:201" x14ac:dyDescent="0.25">
      <c r="A95">
        <v>79</v>
      </c>
      <c r="B95">
        <v>1690233354.5999999</v>
      </c>
      <c r="C95">
        <v>848.5</v>
      </c>
      <c r="D95" t="s">
        <v>489</v>
      </c>
      <c r="E95" t="s">
        <v>490</v>
      </c>
      <c r="F95" t="s">
        <v>330</v>
      </c>
      <c r="H95">
        <v>1690233354.5999999</v>
      </c>
      <c r="I95">
        <f t="shared" si="30"/>
        <v>5.201559540432396E-4</v>
      </c>
      <c r="J95">
        <f t="shared" si="31"/>
        <v>0.52015595404323955</v>
      </c>
      <c r="K95">
        <f t="shared" si="32"/>
        <v>8.3649511497797988</v>
      </c>
      <c r="L95">
        <f t="shared" si="33"/>
        <v>705.88599999999997</v>
      </c>
      <c r="M95">
        <f t="shared" si="34"/>
        <v>253.90655159572654</v>
      </c>
      <c r="N95">
        <f t="shared" si="35"/>
        <v>25.162558716759737</v>
      </c>
      <c r="O95">
        <f t="shared" si="36"/>
        <v>69.954468723671994</v>
      </c>
      <c r="P95">
        <f t="shared" si="37"/>
        <v>3.0704513831482549E-2</v>
      </c>
      <c r="Q95">
        <f t="shared" si="38"/>
        <v>2.1293299666121488</v>
      </c>
      <c r="R95">
        <f t="shared" si="39"/>
        <v>3.0460648952023765E-2</v>
      </c>
      <c r="S95">
        <f t="shared" si="40"/>
        <v>1.9059654339092701E-2</v>
      </c>
      <c r="T95">
        <f t="shared" si="41"/>
        <v>276.11391184200005</v>
      </c>
      <c r="U95">
        <f t="shared" si="42"/>
        <v>29.164472340464467</v>
      </c>
      <c r="V95">
        <f t="shared" si="43"/>
        <v>29.164472340464467</v>
      </c>
      <c r="W95">
        <f t="shared" si="44"/>
        <v>4.0602082746241441</v>
      </c>
      <c r="X95">
        <f t="shared" si="45"/>
        <v>67.063157712978679</v>
      </c>
      <c r="Y95">
        <f t="shared" si="46"/>
        <v>2.4232732353648001</v>
      </c>
      <c r="Z95">
        <f t="shared" si="47"/>
        <v>3.6134195257194484</v>
      </c>
      <c r="AA95">
        <f t="shared" si="48"/>
        <v>1.636935039259344</v>
      </c>
      <c r="AB95">
        <f t="shared" si="49"/>
        <v>-22.938877573306865</v>
      </c>
      <c r="AC95">
        <f t="shared" si="50"/>
        <v>-229.84225126560787</v>
      </c>
      <c r="AD95">
        <f t="shared" si="51"/>
        <v>-23.567277841875335</v>
      </c>
      <c r="AE95">
        <f t="shared" si="52"/>
        <v>-0.23449483878999899</v>
      </c>
      <c r="AF95">
        <v>0</v>
      </c>
      <c r="AG95">
        <v>0</v>
      </c>
      <c r="AH95">
        <f t="shared" si="53"/>
        <v>1</v>
      </c>
      <c r="AI95">
        <f t="shared" si="54"/>
        <v>0</v>
      </c>
      <c r="AJ95">
        <f t="shared" si="55"/>
        <v>52292.735253261671</v>
      </c>
      <c r="AK95">
        <f t="shared" si="56"/>
        <v>1800</v>
      </c>
      <c r="AL95">
        <f t="shared" si="57"/>
        <v>1499.1135012000002</v>
      </c>
      <c r="AM95">
        <f t="shared" si="58"/>
        <v>0.83284083400000009</v>
      </c>
      <c r="AN95">
        <f t="shared" si="59"/>
        <v>0.15339661769000001</v>
      </c>
      <c r="AO95">
        <v>32.4</v>
      </c>
      <c r="AP95">
        <v>0.5</v>
      </c>
      <c r="AQ95" t="s">
        <v>331</v>
      </c>
      <c r="AR95">
        <v>2</v>
      </c>
      <c r="AS95">
        <v>1690233354.5999999</v>
      </c>
      <c r="AT95">
        <v>705.88599999999997</v>
      </c>
      <c r="AU95">
        <v>800.11</v>
      </c>
      <c r="AV95">
        <v>24.452400000000001</v>
      </c>
      <c r="AW95">
        <v>18.976900000000001</v>
      </c>
      <c r="AX95">
        <v>706.15899999999999</v>
      </c>
      <c r="AY95">
        <v>24.2804</v>
      </c>
      <c r="AZ95">
        <v>300.26400000000001</v>
      </c>
      <c r="BA95">
        <v>99.001599999999996</v>
      </c>
      <c r="BB95">
        <v>0.100052</v>
      </c>
      <c r="BC95">
        <v>27.162299999999998</v>
      </c>
      <c r="BD95">
        <v>26.997199999999999</v>
      </c>
      <c r="BE95">
        <v>29.2669</v>
      </c>
      <c r="BF95">
        <v>0</v>
      </c>
      <c r="BG95">
        <v>0</v>
      </c>
      <c r="BH95">
        <v>9994.3799999999992</v>
      </c>
      <c r="BI95">
        <v>1081</v>
      </c>
      <c r="BJ95">
        <v>1.5137799999999999</v>
      </c>
      <c r="BK95">
        <v>-94.2239</v>
      </c>
      <c r="BL95">
        <v>723.57899999999995</v>
      </c>
      <c r="BM95">
        <v>815.58699999999999</v>
      </c>
      <c r="BN95">
        <v>5.47553</v>
      </c>
      <c r="BO95">
        <v>800.11</v>
      </c>
      <c r="BP95">
        <v>18.976900000000001</v>
      </c>
      <c r="BQ95">
        <v>2.42083</v>
      </c>
      <c r="BR95">
        <v>1.8787400000000001</v>
      </c>
      <c r="BS95">
        <v>20.503799999999998</v>
      </c>
      <c r="BT95">
        <v>16.457799999999999</v>
      </c>
      <c r="BU95">
        <v>1800</v>
      </c>
      <c r="BV95">
        <v>0.91002300000000003</v>
      </c>
      <c r="BW95">
        <v>3.3998800000000003E-2</v>
      </c>
      <c r="BX95">
        <v>2.1991699999999999E-2</v>
      </c>
      <c r="BY95">
        <v>3.3986099999999998E-2</v>
      </c>
      <c r="BZ95">
        <v>25</v>
      </c>
      <c r="CA95">
        <v>33528.6</v>
      </c>
      <c r="CB95">
        <v>1690232006</v>
      </c>
      <c r="CC95" t="s">
        <v>332</v>
      </c>
      <c r="CD95">
        <v>1690232006</v>
      </c>
      <c r="CE95">
        <v>1690231998.5</v>
      </c>
      <c r="CF95">
        <v>14</v>
      </c>
      <c r="CG95">
        <v>-0.13200000000000001</v>
      </c>
      <c r="CH95">
        <v>-7.0000000000000001E-3</v>
      </c>
      <c r="CI95">
        <v>-0.33800000000000002</v>
      </c>
      <c r="CJ95">
        <v>0.14299999999999999</v>
      </c>
      <c r="CK95">
        <v>799</v>
      </c>
      <c r="CL95">
        <v>19</v>
      </c>
      <c r="CM95">
        <v>7.0000000000000007E-2</v>
      </c>
      <c r="CN95">
        <v>0.14000000000000001</v>
      </c>
      <c r="CO95">
        <v>-90.700270000000003</v>
      </c>
      <c r="CP95">
        <v>-18.18029718574077</v>
      </c>
      <c r="CQ95">
        <v>1.749266049261804</v>
      </c>
      <c r="CR95">
        <v>-1</v>
      </c>
      <c r="CS95">
        <v>5.2968912499999998</v>
      </c>
      <c r="CT95">
        <v>0.87957714821762578</v>
      </c>
      <c r="CU95">
        <v>8.4813776186050613E-2</v>
      </c>
      <c r="CV95">
        <v>-1</v>
      </c>
      <c r="CW95">
        <v>0</v>
      </c>
      <c r="CX95">
        <v>0</v>
      </c>
      <c r="CY95" t="s">
        <v>333</v>
      </c>
      <c r="CZ95">
        <v>2.3649100000000001</v>
      </c>
      <c r="DA95">
        <v>2.7138399999999998</v>
      </c>
      <c r="DB95">
        <v>0.13487299999999999</v>
      </c>
      <c r="DC95">
        <v>0.14632500000000001</v>
      </c>
      <c r="DD95">
        <v>0.11544</v>
      </c>
      <c r="DE95">
        <v>9.5051999999999998E-2</v>
      </c>
      <c r="DF95">
        <v>31613.599999999999</v>
      </c>
      <c r="DG95">
        <v>27543.4</v>
      </c>
      <c r="DH95">
        <v>31194.9</v>
      </c>
      <c r="DI95">
        <v>28112.7</v>
      </c>
      <c r="DJ95">
        <v>37464.6</v>
      </c>
      <c r="DK95">
        <v>36178</v>
      </c>
      <c r="DL95">
        <v>44398.5</v>
      </c>
      <c r="DM95">
        <v>42613.9</v>
      </c>
      <c r="DN95">
        <v>1.4779800000000001</v>
      </c>
      <c r="DO95">
        <v>2.0619800000000001</v>
      </c>
      <c r="DP95">
        <v>7.3872499999999994E-2</v>
      </c>
      <c r="DQ95">
        <v>0.224076</v>
      </c>
      <c r="DR95">
        <v>25.788</v>
      </c>
      <c r="DS95">
        <v>25.604900000000001</v>
      </c>
      <c r="DT95">
        <v>56.5</v>
      </c>
      <c r="DU95">
        <v>28.8</v>
      </c>
      <c r="DV95">
        <v>22.690799999999999</v>
      </c>
      <c r="DW95">
        <v>61.808</v>
      </c>
      <c r="DX95">
        <v>35.628999999999998</v>
      </c>
      <c r="DY95">
        <v>1</v>
      </c>
      <c r="DZ95">
        <v>-0.11274099999999999</v>
      </c>
      <c r="EA95">
        <v>-0.21259800000000001</v>
      </c>
      <c r="EB95">
        <v>20.190000000000001</v>
      </c>
      <c r="EC95">
        <v>5.24125</v>
      </c>
      <c r="ED95">
        <v>12.039899999999999</v>
      </c>
      <c r="EE95">
        <v>5.0167000000000002</v>
      </c>
      <c r="EF95">
        <v>3.2879999999999998</v>
      </c>
      <c r="EG95">
        <v>9999</v>
      </c>
      <c r="EH95">
        <v>9999</v>
      </c>
      <c r="EI95">
        <v>9999</v>
      </c>
      <c r="EJ95">
        <v>999.9</v>
      </c>
      <c r="EK95">
        <v>1.8689</v>
      </c>
      <c r="EL95">
        <v>1.8646199999999999</v>
      </c>
      <c r="EM95">
        <v>1.86917</v>
      </c>
      <c r="EN95">
        <v>1.8672200000000001</v>
      </c>
      <c r="EO95">
        <v>1.8633999999999999</v>
      </c>
      <c r="EP95">
        <v>1.8644799999999999</v>
      </c>
      <c r="EQ95">
        <v>1.8701300000000001</v>
      </c>
      <c r="ER95">
        <v>1.8693599999999999</v>
      </c>
      <c r="ES95">
        <v>0</v>
      </c>
      <c r="ET95">
        <v>0</v>
      </c>
      <c r="EU95">
        <v>0</v>
      </c>
      <c r="EV95">
        <v>0</v>
      </c>
      <c r="EW95" t="s">
        <v>334</v>
      </c>
      <c r="EX95" t="s">
        <v>335</v>
      </c>
      <c r="EY95" t="s">
        <v>336</v>
      </c>
      <c r="EZ95" t="s">
        <v>336</v>
      </c>
      <c r="FA95" t="s">
        <v>336</v>
      </c>
      <c r="FB95" t="s">
        <v>336</v>
      </c>
      <c r="FC95">
        <v>0</v>
      </c>
      <c r="FD95">
        <v>100</v>
      </c>
      <c r="FE95">
        <v>100</v>
      </c>
      <c r="FF95">
        <v>-0.27300000000000002</v>
      </c>
      <c r="FG95">
        <v>0.17199999999999999</v>
      </c>
      <c r="FH95">
        <v>0.2126736300064915</v>
      </c>
      <c r="FI95">
        <v>-6.1462078757559423E-4</v>
      </c>
      <c r="FJ95">
        <v>-1.8861989874597051E-7</v>
      </c>
      <c r="FK95">
        <v>1.1980462299894961E-10</v>
      </c>
      <c r="FL95">
        <v>0.1719881465068297</v>
      </c>
      <c r="FM95">
        <v>0</v>
      </c>
      <c r="FN95">
        <v>0</v>
      </c>
      <c r="FO95">
        <v>0</v>
      </c>
      <c r="FP95">
        <v>3</v>
      </c>
      <c r="FQ95">
        <v>2158</v>
      </c>
      <c r="FR95">
        <v>1</v>
      </c>
      <c r="FS95">
        <v>19</v>
      </c>
      <c r="FT95">
        <v>22.5</v>
      </c>
      <c r="FU95">
        <v>22.6</v>
      </c>
      <c r="FV95">
        <v>1.78955</v>
      </c>
      <c r="FW95">
        <v>2.5903299999999998</v>
      </c>
      <c r="FX95">
        <v>1.5490699999999999</v>
      </c>
      <c r="FY95">
        <v>2.3290999999999999</v>
      </c>
      <c r="FZ95">
        <v>1.50146</v>
      </c>
      <c r="GA95">
        <v>2.2863799999999999</v>
      </c>
      <c r="GB95">
        <v>33.580399999999997</v>
      </c>
      <c r="GC95">
        <v>23.982399999999998</v>
      </c>
      <c r="GD95">
        <v>19</v>
      </c>
      <c r="GE95">
        <v>282.64800000000002</v>
      </c>
      <c r="GF95">
        <v>601.94200000000001</v>
      </c>
      <c r="GG95">
        <v>25.293399999999998</v>
      </c>
      <c r="GH95">
        <v>26.002500000000001</v>
      </c>
      <c r="GI95">
        <v>30</v>
      </c>
      <c r="GJ95">
        <v>26.128</v>
      </c>
      <c r="GK95">
        <v>26.1112</v>
      </c>
      <c r="GL95">
        <v>35.768700000000003</v>
      </c>
      <c r="GM95">
        <v>26.3201</v>
      </c>
      <c r="GN95">
        <v>100</v>
      </c>
      <c r="GO95">
        <v>25.297699999999999</v>
      </c>
      <c r="GP95">
        <v>800</v>
      </c>
      <c r="GQ95">
        <v>18.846699999999998</v>
      </c>
      <c r="GR95">
        <v>99.817300000000003</v>
      </c>
      <c r="GS95">
        <v>99.684299999999993</v>
      </c>
    </row>
    <row r="96" spans="1:201" x14ac:dyDescent="0.25">
      <c r="A96">
        <v>80</v>
      </c>
      <c r="B96">
        <v>1690233364.5999999</v>
      </c>
      <c r="C96">
        <v>858.5</v>
      </c>
      <c r="D96" t="s">
        <v>491</v>
      </c>
      <c r="E96" t="s">
        <v>492</v>
      </c>
      <c r="F96" t="s">
        <v>330</v>
      </c>
      <c r="H96">
        <v>1690233364.5999999</v>
      </c>
      <c r="I96">
        <f t="shared" si="30"/>
        <v>5.3282355803662286E-4</v>
      </c>
      <c r="J96">
        <f t="shared" si="31"/>
        <v>0.53282355803662285</v>
      </c>
      <c r="K96">
        <f t="shared" si="32"/>
        <v>8.6351997403032978</v>
      </c>
      <c r="L96">
        <f t="shared" si="33"/>
        <v>702.78700000000003</v>
      </c>
      <c r="M96">
        <f t="shared" si="34"/>
        <v>248.81924827725518</v>
      </c>
      <c r="N96">
        <f t="shared" si="35"/>
        <v>24.658413283773641</v>
      </c>
      <c r="O96">
        <f t="shared" si="36"/>
        <v>69.647394309114404</v>
      </c>
      <c r="P96">
        <f t="shared" si="37"/>
        <v>3.1548359621891162E-2</v>
      </c>
      <c r="Q96">
        <f t="shared" si="38"/>
        <v>2.1334095673226185</v>
      </c>
      <c r="R96">
        <f t="shared" si="39"/>
        <v>3.1291454872534451E-2</v>
      </c>
      <c r="S96">
        <f t="shared" si="40"/>
        <v>1.9580066689980344E-2</v>
      </c>
      <c r="T96">
        <f t="shared" si="41"/>
        <v>276.11413846199991</v>
      </c>
      <c r="U96">
        <f t="shared" si="42"/>
        <v>29.148003287770273</v>
      </c>
      <c r="V96">
        <f t="shared" si="43"/>
        <v>29.148003287770273</v>
      </c>
      <c r="W96">
        <f t="shared" si="44"/>
        <v>4.0563452509893825</v>
      </c>
      <c r="X96">
        <f t="shared" si="45"/>
        <v>67.118168665238471</v>
      </c>
      <c r="Y96">
        <f t="shared" si="46"/>
        <v>2.4240377661231198</v>
      </c>
      <c r="Z96">
        <f t="shared" si="47"/>
        <v>3.6115970002300823</v>
      </c>
      <c r="AA96">
        <f t="shared" si="48"/>
        <v>1.6323074848662626</v>
      </c>
      <c r="AB96">
        <f t="shared" si="49"/>
        <v>-23.497518909415067</v>
      </c>
      <c r="AC96">
        <f t="shared" si="50"/>
        <v>-229.37753798783487</v>
      </c>
      <c r="AD96">
        <f t="shared" si="51"/>
        <v>-23.471719412198993</v>
      </c>
      <c r="AE96">
        <f t="shared" si="52"/>
        <v>-0.23263784744901272</v>
      </c>
      <c r="AF96">
        <v>0</v>
      </c>
      <c r="AG96">
        <v>0</v>
      </c>
      <c r="AH96">
        <f t="shared" si="53"/>
        <v>1</v>
      </c>
      <c r="AI96">
        <f t="shared" si="54"/>
        <v>0</v>
      </c>
      <c r="AJ96">
        <f t="shared" si="55"/>
        <v>52470.022515454169</v>
      </c>
      <c r="AK96">
        <f t="shared" si="56"/>
        <v>1800</v>
      </c>
      <c r="AL96">
        <f t="shared" si="57"/>
        <v>1499.1104412</v>
      </c>
      <c r="AM96">
        <f t="shared" si="58"/>
        <v>0.83283913399999998</v>
      </c>
      <c r="AN96">
        <f t="shared" si="59"/>
        <v>0.15339674358999997</v>
      </c>
      <c r="AO96">
        <v>32.4</v>
      </c>
      <c r="AP96">
        <v>0.5</v>
      </c>
      <c r="AQ96" t="s">
        <v>331</v>
      </c>
      <c r="AR96">
        <v>2</v>
      </c>
      <c r="AS96">
        <v>1690233364.5999999</v>
      </c>
      <c r="AT96">
        <v>702.78700000000003</v>
      </c>
      <c r="AU96">
        <v>800.05600000000004</v>
      </c>
      <c r="AV96">
        <v>24.460100000000001</v>
      </c>
      <c r="AW96">
        <v>18.848400000000002</v>
      </c>
      <c r="AX96">
        <v>703.05799999999999</v>
      </c>
      <c r="AY96">
        <v>24.2881</v>
      </c>
      <c r="AZ96">
        <v>300.10899999999998</v>
      </c>
      <c r="BA96">
        <v>99.001800000000003</v>
      </c>
      <c r="BB96">
        <v>9.9911200000000006E-2</v>
      </c>
      <c r="BC96">
        <v>27.153700000000001</v>
      </c>
      <c r="BD96">
        <v>26.991800000000001</v>
      </c>
      <c r="BE96">
        <v>29.257200000000001</v>
      </c>
      <c r="BF96">
        <v>0</v>
      </c>
      <c r="BG96">
        <v>0</v>
      </c>
      <c r="BH96">
        <v>10029.4</v>
      </c>
      <c r="BI96">
        <v>1081.02</v>
      </c>
      <c r="BJ96">
        <v>1.5137799999999999</v>
      </c>
      <c r="BK96">
        <v>-97.2697</v>
      </c>
      <c r="BL96">
        <v>720.40800000000002</v>
      </c>
      <c r="BM96">
        <v>815.42600000000004</v>
      </c>
      <c r="BN96">
        <v>5.6116200000000003</v>
      </c>
      <c r="BO96">
        <v>800.05600000000004</v>
      </c>
      <c r="BP96">
        <v>18.848400000000002</v>
      </c>
      <c r="BQ96">
        <v>2.4215900000000001</v>
      </c>
      <c r="BR96">
        <v>1.8660300000000001</v>
      </c>
      <c r="BS96">
        <v>20.508900000000001</v>
      </c>
      <c r="BT96">
        <v>16.351199999999999</v>
      </c>
      <c r="BU96">
        <v>1800</v>
      </c>
      <c r="BV96">
        <v>0.91000499999999995</v>
      </c>
      <c r="BW96">
        <v>3.4004E-2</v>
      </c>
      <c r="BX96">
        <v>2.1990699999999998E-2</v>
      </c>
      <c r="BY96">
        <v>3.4000299999999997E-2</v>
      </c>
      <c r="BZ96">
        <v>25</v>
      </c>
      <c r="CA96">
        <v>33528.5</v>
      </c>
      <c r="CB96">
        <v>1690232006</v>
      </c>
      <c r="CC96" t="s">
        <v>332</v>
      </c>
      <c r="CD96">
        <v>1690232006</v>
      </c>
      <c r="CE96">
        <v>1690231998.5</v>
      </c>
      <c r="CF96">
        <v>14</v>
      </c>
      <c r="CG96">
        <v>-0.13200000000000001</v>
      </c>
      <c r="CH96">
        <v>-7.0000000000000001E-3</v>
      </c>
      <c r="CI96">
        <v>-0.33800000000000002</v>
      </c>
      <c r="CJ96">
        <v>0.14299999999999999</v>
      </c>
      <c r="CK96">
        <v>799</v>
      </c>
      <c r="CL96">
        <v>19</v>
      </c>
      <c r="CM96">
        <v>7.0000000000000007E-2</v>
      </c>
      <c r="CN96">
        <v>0.14000000000000001</v>
      </c>
      <c r="CO96">
        <v>-93.764894999999996</v>
      </c>
      <c r="CP96">
        <v>-18.46510243902415</v>
      </c>
      <c r="CQ96">
        <v>1.776727918808898</v>
      </c>
      <c r="CR96">
        <v>-1</v>
      </c>
      <c r="CS96">
        <v>5.4448807499999994</v>
      </c>
      <c r="CT96">
        <v>0.87049272045027204</v>
      </c>
      <c r="CU96">
        <v>8.3937306556366831E-2</v>
      </c>
      <c r="CV96">
        <v>-1</v>
      </c>
      <c r="CW96">
        <v>0</v>
      </c>
      <c r="CX96">
        <v>0</v>
      </c>
      <c r="CY96" t="s">
        <v>333</v>
      </c>
      <c r="CZ96">
        <v>2.36443</v>
      </c>
      <c r="DA96">
        <v>2.71373</v>
      </c>
      <c r="DB96">
        <v>0.13446900000000001</v>
      </c>
      <c r="DC96">
        <v>0.146317</v>
      </c>
      <c r="DD96">
        <v>0.115466</v>
      </c>
      <c r="DE96">
        <v>9.4593200000000002E-2</v>
      </c>
      <c r="DF96">
        <v>31628.7</v>
      </c>
      <c r="DG96">
        <v>27543.8</v>
      </c>
      <c r="DH96">
        <v>31195.200000000001</v>
      </c>
      <c r="DI96">
        <v>28112.799999999999</v>
      </c>
      <c r="DJ96">
        <v>37463.699999999997</v>
      </c>
      <c r="DK96">
        <v>36196.300000000003</v>
      </c>
      <c r="DL96">
        <v>44398.9</v>
      </c>
      <c r="DM96">
        <v>42613.9</v>
      </c>
      <c r="DN96">
        <v>1.4779800000000001</v>
      </c>
      <c r="DO96">
        <v>2.0619000000000001</v>
      </c>
      <c r="DP96">
        <v>7.3537199999999997E-2</v>
      </c>
      <c r="DQ96">
        <v>0.223555</v>
      </c>
      <c r="DR96">
        <v>25.788</v>
      </c>
      <c r="DS96">
        <v>25.6037</v>
      </c>
      <c r="DT96">
        <v>56.5</v>
      </c>
      <c r="DU96">
        <v>28.8</v>
      </c>
      <c r="DV96">
        <v>22.689299999999999</v>
      </c>
      <c r="DW96">
        <v>61.798000000000002</v>
      </c>
      <c r="DX96">
        <v>36.5745</v>
      </c>
      <c r="DY96">
        <v>1</v>
      </c>
      <c r="DZ96">
        <v>-0.112876</v>
      </c>
      <c r="EA96">
        <v>-0.26275599999999999</v>
      </c>
      <c r="EB96">
        <v>20.189900000000002</v>
      </c>
      <c r="EC96">
        <v>5.24125</v>
      </c>
      <c r="ED96">
        <v>12.039899999999999</v>
      </c>
      <c r="EE96">
        <v>5.0171000000000001</v>
      </c>
      <c r="EF96">
        <v>3.2879999999999998</v>
      </c>
      <c r="EG96">
        <v>9999</v>
      </c>
      <c r="EH96">
        <v>9999</v>
      </c>
      <c r="EI96">
        <v>9999</v>
      </c>
      <c r="EJ96">
        <v>999.9</v>
      </c>
      <c r="EK96">
        <v>1.8689</v>
      </c>
      <c r="EL96">
        <v>1.8646199999999999</v>
      </c>
      <c r="EM96">
        <v>1.8691800000000001</v>
      </c>
      <c r="EN96">
        <v>1.8672200000000001</v>
      </c>
      <c r="EO96">
        <v>1.8633999999999999</v>
      </c>
      <c r="EP96">
        <v>1.8644799999999999</v>
      </c>
      <c r="EQ96">
        <v>1.8701300000000001</v>
      </c>
      <c r="ER96">
        <v>1.8693599999999999</v>
      </c>
      <c r="ES96">
        <v>0</v>
      </c>
      <c r="ET96">
        <v>0</v>
      </c>
      <c r="EU96">
        <v>0</v>
      </c>
      <c r="EV96">
        <v>0</v>
      </c>
      <c r="EW96" t="s">
        <v>334</v>
      </c>
      <c r="EX96" t="s">
        <v>335</v>
      </c>
      <c r="EY96" t="s">
        <v>336</v>
      </c>
      <c r="EZ96" t="s">
        <v>336</v>
      </c>
      <c r="FA96" t="s">
        <v>336</v>
      </c>
      <c r="FB96" t="s">
        <v>336</v>
      </c>
      <c r="FC96">
        <v>0</v>
      </c>
      <c r="FD96">
        <v>100</v>
      </c>
      <c r="FE96">
        <v>100</v>
      </c>
      <c r="FF96">
        <v>-0.27100000000000002</v>
      </c>
      <c r="FG96">
        <v>0.17199999999999999</v>
      </c>
      <c r="FH96">
        <v>0.2126736300064915</v>
      </c>
      <c r="FI96">
        <v>-6.1462078757559423E-4</v>
      </c>
      <c r="FJ96">
        <v>-1.8861989874597051E-7</v>
      </c>
      <c r="FK96">
        <v>1.1980462299894961E-10</v>
      </c>
      <c r="FL96">
        <v>0.1719881465068297</v>
      </c>
      <c r="FM96">
        <v>0</v>
      </c>
      <c r="FN96">
        <v>0</v>
      </c>
      <c r="FO96">
        <v>0</v>
      </c>
      <c r="FP96">
        <v>3</v>
      </c>
      <c r="FQ96">
        <v>2158</v>
      </c>
      <c r="FR96">
        <v>1</v>
      </c>
      <c r="FS96">
        <v>19</v>
      </c>
      <c r="FT96">
        <v>22.6</v>
      </c>
      <c r="FU96">
        <v>22.8</v>
      </c>
      <c r="FV96">
        <v>1.78833</v>
      </c>
      <c r="FW96">
        <v>2.5842299999999998</v>
      </c>
      <c r="FX96">
        <v>1.5490699999999999</v>
      </c>
      <c r="FY96">
        <v>2.3290999999999999</v>
      </c>
      <c r="FZ96">
        <v>1.50146</v>
      </c>
      <c r="GA96">
        <v>2.4035600000000001</v>
      </c>
      <c r="GB96">
        <v>33.580399999999997</v>
      </c>
      <c r="GC96">
        <v>23.991199999999999</v>
      </c>
      <c r="GD96">
        <v>19</v>
      </c>
      <c r="GE96">
        <v>282.63900000000001</v>
      </c>
      <c r="GF96">
        <v>601.85299999999995</v>
      </c>
      <c r="GG96">
        <v>25.301200000000001</v>
      </c>
      <c r="GH96">
        <v>25.9998</v>
      </c>
      <c r="GI96">
        <v>30.0001</v>
      </c>
      <c r="GJ96">
        <v>26.125800000000002</v>
      </c>
      <c r="GK96">
        <v>26.109000000000002</v>
      </c>
      <c r="GL96">
        <v>35.766100000000002</v>
      </c>
      <c r="GM96">
        <v>26.893599999999999</v>
      </c>
      <c r="GN96">
        <v>100</v>
      </c>
      <c r="GO96">
        <v>25.307200000000002</v>
      </c>
      <c r="GP96">
        <v>800</v>
      </c>
      <c r="GQ96">
        <v>18.711400000000001</v>
      </c>
      <c r="GR96">
        <v>99.818299999999994</v>
      </c>
      <c r="GS96">
        <v>99.6845</v>
      </c>
    </row>
    <row r="97" spans="1:201" x14ac:dyDescent="0.25">
      <c r="A97">
        <v>81</v>
      </c>
      <c r="B97">
        <v>1690233374.5999999</v>
      </c>
      <c r="C97">
        <v>868.5</v>
      </c>
      <c r="D97" t="s">
        <v>493</v>
      </c>
      <c r="E97" t="s">
        <v>494</v>
      </c>
      <c r="F97" t="s">
        <v>330</v>
      </c>
      <c r="H97">
        <v>1690233374.5999999</v>
      </c>
      <c r="I97">
        <f t="shared" si="30"/>
        <v>5.4746246371705832E-4</v>
      </c>
      <c r="J97">
        <f t="shared" si="31"/>
        <v>0.54746246371705831</v>
      </c>
      <c r="K97">
        <f t="shared" si="32"/>
        <v>8.919140177652384</v>
      </c>
      <c r="L97">
        <f t="shared" si="33"/>
        <v>699.68100000000004</v>
      </c>
      <c r="M97">
        <f t="shared" si="34"/>
        <v>244.53389432654043</v>
      </c>
      <c r="N97">
        <f t="shared" si="35"/>
        <v>24.234277477608806</v>
      </c>
      <c r="O97">
        <f t="shared" si="36"/>
        <v>69.34115839650481</v>
      </c>
      <c r="P97">
        <f t="shared" si="37"/>
        <v>3.2496074113250679E-2</v>
      </c>
      <c r="Q97">
        <f t="shared" si="38"/>
        <v>2.133505215059198</v>
      </c>
      <c r="R97">
        <f t="shared" si="39"/>
        <v>3.2223586700354641E-2</v>
      </c>
      <c r="S97">
        <f t="shared" si="40"/>
        <v>2.0164033055281975E-2</v>
      </c>
      <c r="T97">
        <f t="shared" si="41"/>
        <v>276.11258723265996</v>
      </c>
      <c r="U97">
        <f t="shared" si="42"/>
        <v>29.138820829793897</v>
      </c>
      <c r="V97">
        <f t="shared" si="43"/>
        <v>29.138820829793897</v>
      </c>
      <c r="W97">
        <f t="shared" si="44"/>
        <v>4.0541927816783305</v>
      </c>
      <c r="X97">
        <f t="shared" si="45"/>
        <v>67.174693772291278</v>
      </c>
      <c r="Y97">
        <f t="shared" si="46"/>
        <v>2.4255099782035199</v>
      </c>
      <c r="Z97">
        <f t="shared" si="47"/>
        <v>3.6107495873751385</v>
      </c>
      <c r="AA97">
        <f t="shared" si="48"/>
        <v>1.6286828034748106</v>
      </c>
      <c r="AB97">
        <f t="shared" si="49"/>
        <v>-24.143094649922272</v>
      </c>
      <c r="AC97">
        <f t="shared" si="50"/>
        <v>-228.79172747199078</v>
      </c>
      <c r="AD97">
        <f t="shared" si="51"/>
        <v>-23.409186633869275</v>
      </c>
      <c r="AE97">
        <f t="shared" si="52"/>
        <v>-0.23142152312234998</v>
      </c>
      <c r="AF97">
        <v>0</v>
      </c>
      <c r="AG97">
        <v>0</v>
      </c>
      <c r="AH97">
        <f t="shared" si="53"/>
        <v>1</v>
      </c>
      <c r="AI97">
        <f t="shared" si="54"/>
        <v>0</v>
      </c>
      <c r="AJ97">
        <f t="shared" si="55"/>
        <v>52474.896298616419</v>
      </c>
      <c r="AK97">
        <f t="shared" si="56"/>
        <v>1799.99</v>
      </c>
      <c r="AL97">
        <f t="shared" si="57"/>
        <v>1499.0993516239998</v>
      </c>
      <c r="AM97">
        <f t="shared" si="58"/>
        <v>0.83283759999999996</v>
      </c>
      <c r="AN97">
        <f t="shared" si="59"/>
        <v>0.15339673399999998</v>
      </c>
      <c r="AO97">
        <v>32.4</v>
      </c>
      <c r="AP97">
        <v>0.5</v>
      </c>
      <c r="AQ97" t="s">
        <v>331</v>
      </c>
      <c r="AR97">
        <v>2</v>
      </c>
      <c r="AS97">
        <v>1690233374.5999999</v>
      </c>
      <c r="AT97">
        <v>699.68100000000004</v>
      </c>
      <c r="AU97">
        <v>800.06299999999999</v>
      </c>
      <c r="AV97">
        <v>24.474399999999999</v>
      </c>
      <c r="AW97">
        <v>18.711200000000002</v>
      </c>
      <c r="AX97">
        <v>699.95</v>
      </c>
      <c r="AY97">
        <v>24.302399999999999</v>
      </c>
      <c r="AZ97">
        <v>300.24400000000003</v>
      </c>
      <c r="BA97">
        <v>99.004000000000005</v>
      </c>
      <c r="BB97">
        <v>9.9960800000000002E-2</v>
      </c>
      <c r="BC97">
        <v>27.149699999999999</v>
      </c>
      <c r="BD97">
        <v>26.9954</v>
      </c>
      <c r="BE97">
        <v>29.231400000000001</v>
      </c>
      <c r="BF97">
        <v>0</v>
      </c>
      <c r="BG97">
        <v>0</v>
      </c>
      <c r="BH97">
        <v>10030</v>
      </c>
      <c r="BI97">
        <v>1080.99</v>
      </c>
      <c r="BJ97">
        <v>1.5137799999999999</v>
      </c>
      <c r="BK97">
        <v>-100.38200000000001</v>
      </c>
      <c r="BL97">
        <v>717.23500000000001</v>
      </c>
      <c r="BM97">
        <v>815.31899999999996</v>
      </c>
      <c r="BN97">
        <v>5.7632500000000002</v>
      </c>
      <c r="BO97">
        <v>800.06299999999999</v>
      </c>
      <c r="BP97">
        <v>18.711200000000002</v>
      </c>
      <c r="BQ97">
        <v>2.4230700000000001</v>
      </c>
      <c r="BR97">
        <v>1.8524799999999999</v>
      </c>
      <c r="BS97">
        <v>20.518799999999999</v>
      </c>
      <c r="BT97">
        <v>16.236799999999999</v>
      </c>
      <c r="BU97">
        <v>1799.99</v>
      </c>
      <c r="BV97">
        <v>0.90999399999999997</v>
      </c>
      <c r="BW97">
        <v>3.4008700000000003E-2</v>
      </c>
      <c r="BX97">
        <v>2.1989999999999999E-2</v>
      </c>
      <c r="BY97">
        <v>3.4007000000000003E-2</v>
      </c>
      <c r="BZ97">
        <v>25</v>
      </c>
      <c r="CA97">
        <v>33528.300000000003</v>
      </c>
      <c r="CB97">
        <v>1690232006</v>
      </c>
      <c r="CC97" t="s">
        <v>332</v>
      </c>
      <c r="CD97">
        <v>1690232006</v>
      </c>
      <c r="CE97">
        <v>1690231998.5</v>
      </c>
      <c r="CF97">
        <v>14</v>
      </c>
      <c r="CG97">
        <v>-0.13200000000000001</v>
      </c>
      <c r="CH97">
        <v>-7.0000000000000001E-3</v>
      </c>
      <c r="CI97">
        <v>-0.33800000000000002</v>
      </c>
      <c r="CJ97">
        <v>0.14299999999999999</v>
      </c>
      <c r="CK97">
        <v>799</v>
      </c>
      <c r="CL97">
        <v>19</v>
      </c>
      <c r="CM97">
        <v>7.0000000000000007E-2</v>
      </c>
      <c r="CN97">
        <v>0.14000000000000001</v>
      </c>
      <c r="CO97">
        <v>-96.8708575</v>
      </c>
      <c r="CP97">
        <v>-18.525000000000151</v>
      </c>
      <c r="CQ97">
        <v>1.782240156781278</v>
      </c>
      <c r="CR97">
        <v>-1</v>
      </c>
      <c r="CS97">
        <v>5.5914752500000002</v>
      </c>
      <c r="CT97">
        <v>0.86656941838647383</v>
      </c>
      <c r="CU97">
        <v>8.3556143759375992E-2</v>
      </c>
      <c r="CV97">
        <v>-1</v>
      </c>
      <c r="CW97">
        <v>0</v>
      </c>
      <c r="CX97">
        <v>0</v>
      </c>
      <c r="CY97" t="s">
        <v>333</v>
      </c>
      <c r="CZ97">
        <v>2.3648899999999999</v>
      </c>
      <c r="DA97">
        <v>2.7137799999999999</v>
      </c>
      <c r="DB97">
        <v>0.13406599999999999</v>
      </c>
      <c r="DC97">
        <v>0.146319</v>
      </c>
      <c r="DD97">
        <v>0.11551699999999999</v>
      </c>
      <c r="DE97">
        <v>9.4103099999999995E-2</v>
      </c>
      <c r="DF97">
        <v>31643.200000000001</v>
      </c>
      <c r="DG97">
        <v>27544</v>
      </c>
      <c r="DH97">
        <v>31195.1</v>
      </c>
      <c r="DI97">
        <v>28113.1</v>
      </c>
      <c r="DJ97">
        <v>37461</v>
      </c>
      <c r="DK97">
        <v>36216.400000000001</v>
      </c>
      <c r="DL97">
        <v>44398.400000000001</v>
      </c>
      <c r="DM97">
        <v>42614.400000000001</v>
      </c>
      <c r="DN97">
        <v>1.4782999999999999</v>
      </c>
      <c r="DO97">
        <v>2.0616500000000002</v>
      </c>
      <c r="DP97">
        <v>7.3760699999999998E-2</v>
      </c>
      <c r="DQ97">
        <v>0.22210199999999999</v>
      </c>
      <c r="DR97">
        <v>25.788</v>
      </c>
      <c r="DS97">
        <v>25.601500000000001</v>
      </c>
      <c r="DT97">
        <v>56.5</v>
      </c>
      <c r="DU97">
        <v>28.8</v>
      </c>
      <c r="DV97">
        <v>22.686800000000002</v>
      </c>
      <c r="DW97">
        <v>61.427999999999997</v>
      </c>
      <c r="DX97">
        <v>35.757199999999997</v>
      </c>
      <c r="DY97">
        <v>1</v>
      </c>
      <c r="DZ97">
        <v>-0.113232</v>
      </c>
      <c r="EA97">
        <v>-0.27970600000000001</v>
      </c>
      <c r="EB97">
        <v>20.189900000000002</v>
      </c>
      <c r="EC97">
        <v>5.24125</v>
      </c>
      <c r="ED97">
        <v>12.039899999999999</v>
      </c>
      <c r="EE97">
        <v>5.0170000000000003</v>
      </c>
      <c r="EF97">
        <v>3.2879999999999998</v>
      </c>
      <c r="EG97">
        <v>9999</v>
      </c>
      <c r="EH97">
        <v>9999</v>
      </c>
      <c r="EI97">
        <v>9999</v>
      </c>
      <c r="EJ97">
        <v>999.9</v>
      </c>
      <c r="EK97">
        <v>1.8689</v>
      </c>
      <c r="EL97">
        <v>1.8646199999999999</v>
      </c>
      <c r="EM97">
        <v>1.8692</v>
      </c>
      <c r="EN97">
        <v>1.8672200000000001</v>
      </c>
      <c r="EO97">
        <v>1.8633900000000001</v>
      </c>
      <c r="EP97">
        <v>1.8644700000000001</v>
      </c>
      <c r="EQ97">
        <v>1.8701399999999999</v>
      </c>
      <c r="ER97">
        <v>1.8693900000000001</v>
      </c>
      <c r="ES97">
        <v>0</v>
      </c>
      <c r="ET97">
        <v>0</v>
      </c>
      <c r="EU97">
        <v>0</v>
      </c>
      <c r="EV97">
        <v>0</v>
      </c>
      <c r="EW97" t="s">
        <v>334</v>
      </c>
      <c r="EX97" t="s">
        <v>335</v>
      </c>
      <c r="EY97" t="s">
        <v>336</v>
      </c>
      <c r="EZ97" t="s">
        <v>336</v>
      </c>
      <c r="FA97" t="s">
        <v>336</v>
      </c>
      <c r="FB97" t="s">
        <v>336</v>
      </c>
      <c r="FC97">
        <v>0</v>
      </c>
      <c r="FD97">
        <v>100</v>
      </c>
      <c r="FE97">
        <v>100</v>
      </c>
      <c r="FF97">
        <v>-0.26900000000000002</v>
      </c>
      <c r="FG97">
        <v>0.17199999999999999</v>
      </c>
      <c r="FH97">
        <v>0.2126736300064915</v>
      </c>
      <c r="FI97">
        <v>-6.1462078757559423E-4</v>
      </c>
      <c r="FJ97">
        <v>-1.8861989874597051E-7</v>
      </c>
      <c r="FK97">
        <v>1.1980462299894961E-10</v>
      </c>
      <c r="FL97">
        <v>0.1719881465068297</v>
      </c>
      <c r="FM97">
        <v>0</v>
      </c>
      <c r="FN97">
        <v>0</v>
      </c>
      <c r="FO97">
        <v>0</v>
      </c>
      <c r="FP97">
        <v>3</v>
      </c>
      <c r="FQ97">
        <v>2158</v>
      </c>
      <c r="FR97">
        <v>1</v>
      </c>
      <c r="FS97">
        <v>19</v>
      </c>
      <c r="FT97">
        <v>22.8</v>
      </c>
      <c r="FU97">
        <v>22.9</v>
      </c>
      <c r="FV97">
        <v>1.78833</v>
      </c>
      <c r="FW97">
        <v>2.5939899999999998</v>
      </c>
      <c r="FX97">
        <v>1.5490699999999999</v>
      </c>
      <c r="FY97">
        <v>2.3290999999999999</v>
      </c>
      <c r="FZ97">
        <v>1.50146</v>
      </c>
      <c r="GA97">
        <v>2.3010299999999999</v>
      </c>
      <c r="GB97">
        <v>33.580399999999997</v>
      </c>
      <c r="GC97">
        <v>23.982399999999998</v>
      </c>
      <c r="GD97">
        <v>19</v>
      </c>
      <c r="GE97">
        <v>282.767</v>
      </c>
      <c r="GF97">
        <v>601.61599999999999</v>
      </c>
      <c r="GG97">
        <v>25.315100000000001</v>
      </c>
      <c r="GH97">
        <v>25.997599999999998</v>
      </c>
      <c r="GI97">
        <v>30</v>
      </c>
      <c r="GJ97">
        <v>26.1236</v>
      </c>
      <c r="GK97">
        <v>26.1069</v>
      </c>
      <c r="GL97">
        <v>35.7622</v>
      </c>
      <c r="GM97">
        <v>27.471800000000002</v>
      </c>
      <c r="GN97">
        <v>100</v>
      </c>
      <c r="GO97">
        <v>25.318200000000001</v>
      </c>
      <c r="GP97">
        <v>800</v>
      </c>
      <c r="GQ97">
        <v>18.5703</v>
      </c>
      <c r="GR97">
        <v>99.817300000000003</v>
      </c>
      <c r="GS97">
        <v>99.685599999999994</v>
      </c>
    </row>
    <row r="98" spans="1:201" x14ac:dyDescent="0.25">
      <c r="A98">
        <v>82</v>
      </c>
      <c r="B98">
        <v>1690233384.5999999</v>
      </c>
      <c r="C98">
        <v>878.5</v>
      </c>
      <c r="D98" t="s">
        <v>495</v>
      </c>
      <c r="E98" t="s">
        <v>496</v>
      </c>
      <c r="F98" t="s">
        <v>330</v>
      </c>
      <c r="H98">
        <v>1690233384.5999999</v>
      </c>
      <c r="I98">
        <f t="shared" si="30"/>
        <v>5.6277039911154891E-4</v>
      </c>
      <c r="J98">
        <f t="shared" si="31"/>
        <v>0.56277039911154891</v>
      </c>
      <c r="K98">
        <f t="shared" si="32"/>
        <v>9.1965989938571777</v>
      </c>
      <c r="L98">
        <f t="shared" si="33"/>
        <v>696.54</v>
      </c>
      <c r="M98">
        <f t="shared" si="34"/>
        <v>240.97611759688988</v>
      </c>
      <c r="N98">
        <f t="shared" si="35"/>
        <v>23.880859766313527</v>
      </c>
      <c r="O98">
        <f t="shared" si="36"/>
        <v>69.027479683500005</v>
      </c>
      <c r="P98">
        <f t="shared" si="37"/>
        <v>3.3474352606949323E-2</v>
      </c>
      <c r="Q98">
        <f t="shared" si="38"/>
        <v>2.1305548470328874</v>
      </c>
      <c r="R98">
        <f t="shared" si="39"/>
        <v>3.3184894222036784E-2</v>
      </c>
      <c r="S98">
        <f t="shared" si="40"/>
        <v>2.0766356858208535E-2</v>
      </c>
      <c r="T98">
        <f t="shared" si="41"/>
        <v>276.11616036599997</v>
      </c>
      <c r="U98">
        <f t="shared" si="42"/>
        <v>29.132520309351321</v>
      </c>
      <c r="V98">
        <f t="shared" si="43"/>
        <v>29.132520309351321</v>
      </c>
      <c r="W98">
        <f t="shared" si="44"/>
        <v>4.0527164464315435</v>
      </c>
      <c r="X98">
        <f t="shared" si="45"/>
        <v>67.23117992985506</v>
      </c>
      <c r="Y98">
        <f t="shared" si="46"/>
        <v>2.4270511376699999</v>
      </c>
      <c r="Z98">
        <f t="shared" si="47"/>
        <v>3.6100082434998733</v>
      </c>
      <c r="AA98">
        <f t="shared" si="48"/>
        <v>1.6256653087615436</v>
      </c>
      <c r="AB98">
        <f t="shared" si="49"/>
        <v>-24.818174600819308</v>
      </c>
      <c r="AC98">
        <f t="shared" si="50"/>
        <v>-228.15366272987868</v>
      </c>
      <c r="AD98">
        <f t="shared" si="51"/>
        <v>-23.375086567874558</v>
      </c>
      <c r="AE98">
        <f t="shared" si="52"/>
        <v>-0.23076353257255278</v>
      </c>
      <c r="AF98">
        <v>0</v>
      </c>
      <c r="AG98">
        <v>0</v>
      </c>
      <c r="AH98">
        <f t="shared" si="53"/>
        <v>1</v>
      </c>
      <c r="AI98">
        <f t="shared" si="54"/>
        <v>0</v>
      </c>
      <c r="AJ98">
        <f t="shared" si="55"/>
        <v>52348.255712437494</v>
      </c>
      <c r="AK98">
        <f t="shared" si="56"/>
        <v>1800</v>
      </c>
      <c r="AL98">
        <f t="shared" si="57"/>
        <v>1499.1080345999999</v>
      </c>
      <c r="AM98">
        <f t="shared" si="58"/>
        <v>0.83283779699999994</v>
      </c>
      <c r="AN98">
        <f t="shared" si="59"/>
        <v>0.15339786686999998</v>
      </c>
      <c r="AO98">
        <v>32.4</v>
      </c>
      <c r="AP98">
        <v>0.5</v>
      </c>
      <c r="AQ98" t="s">
        <v>331</v>
      </c>
      <c r="AR98">
        <v>2</v>
      </c>
      <c r="AS98">
        <v>1690233384.5999999</v>
      </c>
      <c r="AT98">
        <v>696.54</v>
      </c>
      <c r="AU98">
        <v>800.024</v>
      </c>
      <c r="AV98">
        <v>24.4908</v>
      </c>
      <c r="AW98">
        <v>18.565899999999999</v>
      </c>
      <c r="AX98">
        <v>696.80700000000002</v>
      </c>
      <c r="AY98">
        <v>24.3188</v>
      </c>
      <c r="AZ98">
        <v>300.21100000000001</v>
      </c>
      <c r="BA98">
        <v>99.000500000000002</v>
      </c>
      <c r="BB98">
        <v>0.100025</v>
      </c>
      <c r="BC98">
        <v>27.1462</v>
      </c>
      <c r="BD98">
        <v>26.989899999999999</v>
      </c>
      <c r="BE98">
        <v>29.237100000000002</v>
      </c>
      <c r="BF98">
        <v>0</v>
      </c>
      <c r="BG98">
        <v>0</v>
      </c>
      <c r="BH98">
        <v>10005</v>
      </c>
      <c r="BI98">
        <v>1081.02</v>
      </c>
      <c r="BJ98">
        <v>1.4577199999999999</v>
      </c>
      <c r="BK98">
        <v>-103.485</v>
      </c>
      <c r="BL98">
        <v>714.02700000000004</v>
      </c>
      <c r="BM98">
        <v>815.15899999999999</v>
      </c>
      <c r="BN98">
        <v>5.9249099999999997</v>
      </c>
      <c r="BO98">
        <v>800.024</v>
      </c>
      <c r="BP98">
        <v>18.565899999999999</v>
      </c>
      <c r="BQ98">
        <v>2.4245999999999999</v>
      </c>
      <c r="BR98">
        <v>1.8380300000000001</v>
      </c>
      <c r="BS98">
        <v>20.529</v>
      </c>
      <c r="BT98">
        <v>16.114000000000001</v>
      </c>
      <c r="BU98">
        <v>1800</v>
      </c>
      <c r="BV98">
        <v>0.90997499999999998</v>
      </c>
      <c r="BW98">
        <v>3.4007099999999998E-2</v>
      </c>
      <c r="BX98">
        <v>2.2004599999999999E-2</v>
      </c>
      <c r="BY98">
        <v>3.4013099999999998E-2</v>
      </c>
      <c r="BZ98">
        <v>25</v>
      </c>
      <c r="CA98">
        <v>33528.199999999997</v>
      </c>
      <c r="CB98">
        <v>1690232006</v>
      </c>
      <c r="CC98" t="s">
        <v>332</v>
      </c>
      <c r="CD98">
        <v>1690232006</v>
      </c>
      <c r="CE98">
        <v>1690231998.5</v>
      </c>
      <c r="CF98">
        <v>14</v>
      </c>
      <c r="CG98">
        <v>-0.13200000000000001</v>
      </c>
      <c r="CH98">
        <v>-7.0000000000000001E-3</v>
      </c>
      <c r="CI98">
        <v>-0.33800000000000002</v>
      </c>
      <c r="CJ98">
        <v>0.14299999999999999</v>
      </c>
      <c r="CK98">
        <v>799</v>
      </c>
      <c r="CL98">
        <v>19</v>
      </c>
      <c r="CM98">
        <v>7.0000000000000007E-2</v>
      </c>
      <c r="CN98">
        <v>0.14000000000000001</v>
      </c>
      <c r="CO98">
        <v>-100.0683756097561</v>
      </c>
      <c r="CP98">
        <v>-18.734826480836389</v>
      </c>
      <c r="CQ98">
        <v>1.847407945860768</v>
      </c>
      <c r="CR98">
        <v>-1</v>
      </c>
      <c r="CS98">
        <v>5.7430770731707321</v>
      </c>
      <c r="CT98">
        <v>0.89334167247387586</v>
      </c>
      <c r="CU98">
        <v>8.8212123502935183E-2</v>
      </c>
      <c r="CV98">
        <v>-1</v>
      </c>
      <c r="CW98">
        <v>0</v>
      </c>
      <c r="CX98">
        <v>0</v>
      </c>
      <c r="CY98" t="s">
        <v>333</v>
      </c>
      <c r="CZ98">
        <v>2.3647499999999999</v>
      </c>
      <c r="DA98">
        <v>2.7138200000000001</v>
      </c>
      <c r="DB98">
        <v>0.13364999999999999</v>
      </c>
      <c r="DC98">
        <v>0.14630699999999999</v>
      </c>
      <c r="DD98">
        <v>0.115568</v>
      </c>
      <c r="DE98">
        <v>9.3577499999999994E-2</v>
      </c>
      <c r="DF98">
        <v>31658.3</v>
      </c>
      <c r="DG98">
        <v>27544.7</v>
      </c>
      <c r="DH98">
        <v>31194.9</v>
      </c>
      <c r="DI98">
        <v>28113.4</v>
      </c>
      <c r="DJ98">
        <v>37458.9</v>
      </c>
      <c r="DK98">
        <v>36238</v>
      </c>
      <c r="DL98">
        <v>44398.5</v>
      </c>
      <c r="DM98">
        <v>42615.1</v>
      </c>
      <c r="DN98">
        <v>1.4786300000000001</v>
      </c>
      <c r="DO98">
        <v>2.0613000000000001</v>
      </c>
      <c r="DP98">
        <v>7.3425500000000005E-2</v>
      </c>
      <c r="DQ98">
        <v>0.22258600000000001</v>
      </c>
      <c r="DR98">
        <v>25.788</v>
      </c>
      <c r="DS98">
        <v>25.599399999999999</v>
      </c>
      <c r="DT98">
        <v>56.5</v>
      </c>
      <c r="DU98">
        <v>28.8</v>
      </c>
      <c r="DV98">
        <v>22.687999999999999</v>
      </c>
      <c r="DW98">
        <v>61.747999999999998</v>
      </c>
      <c r="DX98">
        <v>36.189900000000002</v>
      </c>
      <c r="DY98">
        <v>1</v>
      </c>
      <c r="DZ98">
        <v>-0.113288</v>
      </c>
      <c r="EA98">
        <v>-0.30662299999999998</v>
      </c>
      <c r="EB98">
        <v>20.190000000000001</v>
      </c>
      <c r="EC98">
        <v>5.2415500000000002</v>
      </c>
      <c r="ED98">
        <v>12.039899999999999</v>
      </c>
      <c r="EE98">
        <v>5.01715</v>
      </c>
      <c r="EF98">
        <v>3.2879999999999998</v>
      </c>
      <c r="EG98">
        <v>9999</v>
      </c>
      <c r="EH98">
        <v>9999</v>
      </c>
      <c r="EI98">
        <v>9999</v>
      </c>
      <c r="EJ98">
        <v>999.9</v>
      </c>
      <c r="EK98">
        <v>1.8689</v>
      </c>
      <c r="EL98">
        <v>1.8646199999999999</v>
      </c>
      <c r="EM98">
        <v>1.8691899999999999</v>
      </c>
      <c r="EN98">
        <v>1.8672200000000001</v>
      </c>
      <c r="EO98">
        <v>1.8633900000000001</v>
      </c>
      <c r="EP98">
        <v>1.8644700000000001</v>
      </c>
      <c r="EQ98">
        <v>1.8701399999999999</v>
      </c>
      <c r="ER98">
        <v>1.8693900000000001</v>
      </c>
      <c r="ES98">
        <v>0</v>
      </c>
      <c r="ET98">
        <v>0</v>
      </c>
      <c r="EU98">
        <v>0</v>
      </c>
      <c r="EV98">
        <v>0</v>
      </c>
      <c r="EW98" t="s">
        <v>334</v>
      </c>
      <c r="EX98" t="s">
        <v>335</v>
      </c>
      <c r="EY98" t="s">
        <v>336</v>
      </c>
      <c r="EZ98" t="s">
        <v>336</v>
      </c>
      <c r="FA98" t="s">
        <v>336</v>
      </c>
      <c r="FB98" t="s">
        <v>336</v>
      </c>
      <c r="FC98">
        <v>0</v>
      </c>
      <c r="FD98">
        <v>100</v>
      </c>
      <c r="FE98">
        <v>100</v>
      </c>
      <c r="FF98">
        <v>-0.26700000000000002</v>
      </c>
      <c r="FG98">
        <v>0.17199999999999999</v>
      </c>
      <c r="FH98">
        <v>0.2126736300064915</v>
      </c>
      <c r="FI98">
        <v>-6.1462078757559423E-4</v>
      </c>
      <c r="FJ98">
        <v>-1.8861989874597051E-7</v>
      </c>
      <c r="FK98">
        <v>1.1980462299894961E-10</v>
      </c>
      <c r="FL98">
        <v>0.1719881465068297</v>
      </c>
      <c r="FM98">
        <v>0</v>
      </c>
      <c r="FN98">
        <v>0</v>
      </c>
      <c r="FO98">
        <v>0</v>
      </c>
      <c r="FP98">
        <v>3</v>
      </c>
      <c r="FQ98">
        <v>2158</v>
      </c>
      <c r="FR98">
        <v>1</v>
      </c>
      <c r="FS98">
        <v>19</v>
      </c>
      <c r="FT98">
        <v>23</v>
      </c>
      <c r="FU98">
        <v>23.1</v>
      </c>
      <c r="FV98">
        <v>1.78833</v>
      </c>
      <c r="FW98">
        <v>2.5830099999999998</v>
      </c>
      <c r="FX98">
        <v>1.5490699999999999</v>
      </c>
      <c r="FY98">
        <v>2.3290999999999999</v>
      </c>
      <c r="FZ98">
        <v>1.50146</v>
      </c>
      <c r="GA98">
        <v>2.4023400000000001</v>
      </c>
      <c r="GB98">
        <v>33.580399999999997</v>
      </c>
      <c r="GC98">
        <v>23.991199999999999</v>
      </c>
      <c r="GD98">
        <v>19</v>
      </c>
      <c r="GE98">
        <v>282.89600000000002</v>
      </c>
      <c r="GF98">
        <v>601.29499999999996</v>
      </c>
      <c r="GG98">
        <v>25.330400000000001</v>
      </c>
      <c r="GH98">
        <v>25.9954</v>
      </c>
      <c r="GI98">
        <v>30</v>
      </c>
      <c r="GJ98">
        <v>26.121400000000001</v>
      </c>
      <c r="GK98">
        <v>26.104700000000001</v>
      </c>
      <c r="GL98">
        <v>35.761000000000003</v>
      </c>
      <c r="GM98">
        <v>28.355</v>
      </c>
      <c r="GN98">
        <v>100</v>
      </c>
      <c r="GO98">
        <v>25.3368</v>
      </c>
      <c r="GP98">
        <v>800</v>
      </c>
      <c r="GQ98">
        <v>18.424600000000002</v>
      </c>
      <c r="GR98">
        <v>99.817300000000003</v>
      </c>
      <c r="GS98">
        <v>99.686999999999998</v>
      </c>
    </row>
    <row r="99" spans="1:201" x14ac:dyDescent="0.25">
      <c r="A99">
        <v>83</v>
      </c>
      <c r="B99">
        <v>1690233394.5999999</v>
      </c>
      <c r="C99">
        <v>888.5</v>
      </c>
      <c r="D99" t="s">
        <v>497</v>
      </c>
      <c r="E99" t="s">
        <v>498</v>
      </c>
      <c r="F99" t="s">
        <v>330</v>
      </c>
      <c r="H99">
        <v>1690233394.5999999</v>
      </c>
      <c r="I99">
        <f t="shared" si="30"/>
        <v>5.7798247594368919E-4</v>
      </c>
      <c r="J99">
        <f t="shared" si="31"/>
        <v>0.57798247594368923</v>
      </c>
      <c r="K99">
        <f t="shared" si="32"/>
        <v>9.4849898109117792</v>
      </c>
      <c r="L99">
        <f t="shared" si="33"/>
        <v>693.36</v>
      </c>
      <c r="M99">
        <f t="shared" si="34"/>
        <v>237.14932398852235</v>
      </c>
      <c r="N99">
        <f t="shared" si="35"/>
        <v>23.501918283294536</v>
      </c>
      <c r="O99">
        <f t="shared" si="36"/>
        <v>68.713204772591993</v>
      </c>
      <c r="P99">
        <f t="shared" si="37"/>
        <v>3.4471236239305932E-2</v>
      </c>
      <c r="Q99">
        <f t="shared" si="38"/>
        <v>2.1328980120112142</v>
      </c>
      <c r="R99">
        <f t="shared" si="39"/>
        <v>3.4164699851398347E-2</v>
      </c>
      <c r="S99">
        <f t="shared" si="40"/>
        <v>2.1380251198133235E-2</v>
      </c>
      <c r="T99">
        <f t="shared" si="41"/>
        <v>276.11533074141818</v>
      </c>
      <c r="U99">
        <f t="shared" si="42"/>
        <v>29.121841288958031</v>
      </c>
      <c r="V99">
        <f t="shared" si="43"/>
        <v>29.121841288958031</v>
      </c>
      <c r="W99">
        <f t="shared" si="44"/>
        <v>4.0502152135030105</v>
      </c>
      <c r="X99">
        <f t="shared" si="45"/>
        <v>67.283604334510045</v>
      </c>
      <c r="Y99">
        <f t="shared" si="46"/>
        <v>2.4284591972293401</v>
      </c>
      <c r="Z99">
        <f t="shared" si="47"/>
        <v>3.6092882080988242</v>
      </c>
      <c r="AA99">
        <f t="shared" si="48"/>
        <v>1.6217560162736704</v>
      </c>
      <c r="AB99">
        <f t="shared" si="49"/>
        <v>-25.489027189116694</v>
      </c>
      <c r="AC99">
        <f t="shared" si="50"/>
        <v>-227.56757826464161</v>
      </c>
      <c r="AD99">
        <f t="shared" si="51"/>
        <v>-23.287791740638927</v>
      </c>
      <c r="AE99">
        <f t="shared" si="52"/>
        <v>-0.2290664529790547</v>
      </c>
      <c r="AF99">
        <v>0</v>
      </c>
      <c r="AG99">
        <v>0</v>
      </c>
      <c r="AH99">
        <f t="shared" si="53"/>
        <v>1</v>
      </c>
      <c r="AI99">
        <f t="shared" si="54"/>
        <v>0</v>
      </c>
      <c r="AJ99">
        <f t="shared" si="55"/>
        <v>52449.86378853218</v>
      </c>
      <c r="AK99">
        <f t="shared" si="56"/>
        <v>1799.99</v>
      </c>
      <c r="AL99">
        <f t="shared" si="57"/>
        <v>1499.10140901257</v>
      </c>
      <c r="AM99">
        <f t="shared" si="58"/>
        <v>0.83283874299999994</v>
      </c>
      <c r="AN99">
        <f t="shared" si="59"/>
        <v>0.15339825818</v>
      </c>
      <c r="AO99">
        <v>32.4</v>
      </c>
      <c r="AP99">
        <v>0.5</v>
      </c>
      <c r="AQ99" t="s">
        <v>331</v>
      </c>
      <c r="AR99">
        <v>2</v>
      </c>
      <c r="AS99">
        <v>1690233394.5999999</v>
      </c>
      <c r="AT99">
        <v>693.36</v>
      </c>
      <c r="AU99">
        <v>800.04100000000005</v>
      </c>
      <c r="AV99">
        <v>24.5047</v>
      </c>
      <c r="AW99">
        <v>18.420300000000001</v>
      </c>
      <c r="AX99">
        <v>693.62400000000002</v>
      </c>
      <c r="AY99">
        <v>24.332699999999999</v>
      </c>
      <c r="AZ99">
        <v>300.23899999999998</v>
      </c>
      <c r="BA99">
        <v>99.001800000000003</v>
      </c>
      <c r="BB99">
        <v>9.9972199999999997E-2</v>
      </c>
      <c r="BC99">
        <v>27.142800000000001</v>
      </c>
      <c r="BD99">
        <v>26.9938</v>
      </c>
      <c r="BE99">
        <v>29.243500000000001</v>
      </c>
      <c r="BF99">
        <v>0</v>
      </c>
      <c r="BG99">
        <v>0</v>
      </c>
      <c r="BH99">
        <v>10025</v>
      </c>
      <c r="BI99">
        <v>1080.9000000000001</v>
      </c>
      <c r="BJ99">
        <v>1.0063899999999999</v>
      </c>
      <c r="BK99">
        <v>-106.681</v>
      </c>
      <c r="BL99">
        <v>710.77700000000004</v>
      </c>
      <c r="BM99">
        <v>815.05399999999997</v>
      </c>
      <c r="BN99">
        <v>6.0843400000000001</v>
      </c>
      <c r="BO99">
        <v>800.04100000000005</v>
      </c>
      <c r="BP99">
        <v>18.420300000000001</v>
      </c>
      <c r="BQ99">
        <v>2.4260100000000002</v>
      </c>
      <c r="BR99">
        <v>1.8236399999999999</v>
      </c>
      <c r="BS99">
        <v>20.538399999999999</v>
      </c>
      <c r="BT99">
        <v>15.9909</v>
      </c>
      <c r="BU99">
        <v>1799.99</v>
      </c>
      <c r="BV99">
        <v>0.90997399999999995</v>
      </c>
      <c r="BW99">
        <v>3.40057E-2</v>
      </c>
      <c r="BX99">
        <v>2.2008900000000001E-2</v>
      </c>
      <c r="BY99">
        <v>3.4011800000000002E-2</v>
      </c>
      <c r="BZ99">
        <v>25</v>
      </c>
      <c r="CA99">
        <v>33528.1</v>
      </c>
      <c r="CB99">
        <v>1690232006</v>
      </c>
      <c r="CC99" t="s">
        <v>332</v>
      </c>
      <c r="CD99">
        <v>1690232006</v>
      </c>
      <c r="CE99">
        <v>1690231998.5</v>
      </c>
      <c r="CF99">
        <v>14</v>
      </c>
      <c r="CG99">
        <v>-0.13200000000000001</v>
      </c>
      <c r="CH99">
        <v>-7.0000000000000001E-3</v>
      </c>
      <c r="CI99">
        <v>-0.33800000000000002</v>
      </c>
      <c r="CJ99">
        <v>0.14299999999999999</v>
      </c>
      <c r="CK99">
        <v>799</v>
      </c>
      <c r="CL99">
        <v>19</v>
      </c>
      <c r="CM99">
        <v>7.0000000000000007E-2</v>
      </c>
      <c r="CN99">
        <v>0.14000000000000001</v>
      </c>
      <c r="CO99">
        <v>-103.44365000000001</v>
      </c>
      <c r="CP99">
        <v>-18.832637898686549</v>
      </c>
      <c r="CQ99">
        <v>1.811816168241138</v>
      </c>
      <c r="CR99">
        <v>-1</v>
      </c>
      <c r="CS99">
        <v>5.9179539999999999</v>
      </c>
      <c r="CT99">
        <v>1.0418575609755849</v>
      </c>
      <c r="CU99">
        <v>0.1004897319580462</v>
      </c>
      <c r="CV99">
        <v>-1</v>
      </c>
      <c r="CW99">
        <v>0</v>
      </c>
      <c r="CX99">
        <v>0</v>
      </c>
      <c r="CY99" t="s">
        <v>333</v>
      </c>
      <c r="CZ99">
        <v>2.3648799999999999</v>
      </c>
      <c r="DA99">
        <v>2.7137899999999999</v>
      </c>
      <c r="DB99">
        <v>0.13323499999999999</v>
      </c>
      <c r="DC99">
        <v>0.14630899999999999</v>
      </c>
      <c r="DD99">
        <v>0.115616</v>
      </c>
      <c r="DE99">
        <v>9.30536E-2</v>
      </c>
      <c r="DF99">
        <v>31673.3</v>
      </c>
      <c r="DG99">
        <v>27544.799999999999</v>
      </c>
      <c r="DH99">
        <v>31194.7</v>
      </c>
      <c r="DI99">
        <v>28113.599999999999</v>
      </c>
      <c r="DJ99">
        <v>37456.5</v>
      </c>
      <c r="DK99">
        <v>36259.199999999997</v>
      </c>
      <c r="DL99">
        <v>44398.2</v>
      </c>
      <c r="DM99">
        <v>42615.3</v>
      </c>
      <c r="DN99">
        <v>1.47847</v>
      </c>
      <c r="DO99">
        <v>2.0611999999999999</v>
      </c>
      <c r="DP99">
        <v>7.3798000000000002E-2</v>
      </c>
      <c r="DQ99">
        <v>0.223108</v>
      </c>
      <c r="DR99">
        <v>25.785799999999998</v>
      </c>
      <c r="DS99">
        <v>25.597200000000001</v>
      </c>
      <c r="DT99">
        <v>56.5</v>
      </c>
      <c r="DU99">
        <v>28.8</v>
      </c>
      <c r="DV99">
        <v>22.687999999999999</v>
      </c>
      <c r="DW99">
        <v>61.677999999999997</v>
      </c>
      <c r="DX99">
        <v>35.977600000000002</v>
      </c>
      <c r="DY99">
        <v>1</v>
      </c>
      <c r="DZ99">
        <v>-0.113359</v>
      </c>
      <c r="EA99">
        <v>-0.28120400000000001</v>
      </c>
      <c r="EB99">
        <v>20.189900000000002</v>
      </c>
      <c r="EC99">
        <v>5.2411000000000003</v>
      </c>
      <c r="ED99">
        <v>12.039899999999999</v>
      </c>
      <c r="EE99">
        <v>5.0174000000000003</v>
      </c>
      <c r="EF99">
        <v>3.2879999999999998</v>
      </c>
      <c r="EG99">
        <v>9999</v>
      </c>
      <c r="EH99">
        <v>9999</v>
      </c>
      <c r="EI99">
        <v>9999</v>
      </c>
      <c r="EJ99">
        <v>999.9</v>
      </c>
      <c r="EK99">
        <v>1.8689</v>
      </c>
      <c r="EL99">
        <v>1.8646199999999999</v>
      </c>
      <c r="EM99">
        <v>1.8691800000000001</v>
      </c>
      <c r="EN99">
        <v>1.8672200000000001</v>
      </c>
      <c r="EO99">
        <v>1.8633999999999999</v>
      </c>
      <c r="EP99">
        <v>1.8644700000000001</v>
      </c>
      <c r="EQ99">
        <v>1.87015</v>
      </c>
      <c r="ER99">
        <v>1.86937</v>
      </c>
      <c r="ES99">
        <v>0</v>
      </c>
      <c r="ET99">
        <v>0</v>
      </c>
      <c r="EU99">
        <v>0</v>
      </c>
      <c r="EV99">
        <v>0</v>
      </c>
      <c r="EW99" t="s">
        <v>334</v>
      </c>
      <c r="EX99" t="s">
        <v>335</v>
      </c>
      <c r="EY99" t="s">
        <v>336</v>
      </c>
      <c r="EZ99" t="s">
        <v>336</v>
      </c>
      <c r="FA99" t="s">
        <v>336</v>
      </c>
      <c r="FB99" t="s">
        <v>336</v>
      </c>
      <c r="FC99">
        <v>0</v>
      </c>
      <c r="FD99">
        <v>100</v>
      </c>
      <c r="FE99">
        <v>100</v>
      </c>
      <c r="FF99">
        <v>-0.26400000000000001</v>
      </c>
      <c r="FG99">
        <v>0.17199999999999999</v>
      </c>
      <c r="FH99">
        <v>0.2126736300064915</v>
      </c>
      <c r="FI99">
        <v>-6.1462078757559423E-4</v>
      </c>
      <c r="FJ99">
        <v>-1.8861989874597051E-7</v>
      </c>
      <c r="FK99">
        <v>1.1980462299894961E-10</v>
      </c>
      <c r="FL99">
        <v>0.1719881465068297</v>
      </c>
      <c r="FM99">
        <v>0</v>
      </c>
      <c r="FN99">
        <v>0</v>
      </c>
      <c r="FO99">
        <v>0</v>
      </c>
      <c r="FP99">
        <v>3</v>
      </c>
      <c r="FQ99">
        <v>2158</v>
      </c>
      <c r="FR99">
        <v>1</v>
      </c>
      <c r="FS99">
        <v>19</v>
      </c>
      <c r="FT99">
        <v>23.1</v>
      </c>
      <c r="FU99">
        <v>23.3</v>
      </c>
      <c r="FV99">
        <v>1.78833</v>
      </c>
      <c r="FW99">
        <v>2.5927699999999998</v>
      </c>
      <c r="FX99">
        <v>1.5490699999999999</v>
      </c>
      <c r="FY99">
        <v>2.3290999999999999</v>
      </c>
      <c r="FZ99">
        <v>1.50146</v>
      </c>
      <c r="GA99">
        <v>2.32544</v>
      </c>
      <c r="GB99">
        <v>33.580399999999997</v>
      </c>
      <c r="GC99">
        <v>23.982399999999998</v>
      </c>
      <c r="GD99">
        <v>19</v>
      </c>
      <c r="GE99">
        <v>282.822</v>
      </c>
      <c r="GF99">
        <v>601.18399999999997</v>
      </c>
      <c r="GG99">
        <v>25.349299999999999</v>
      </c>
      <c r="GH99">
        <v>25.993300000000001</v>
      </c>
      <c r="GI99">
        <v>30</v>
      </c>
      <c r="GJ99">
        <v>26.119199999999999</v>
      </c>
      <c r="GK99">
        <v>26.102499999999999</v>
      </c>
      <c r="GL99">
        <v>35.756</v>
      </c>
      <c r="GM99">
        <v>28.939399999999999</v>
      </c>
      <c r="GN99">
        <v>100</v>
      </c>
      <c r="GO99">
        <v>25.346699999999998</v>
      </c>
      <c r="GP99">
        <v>800</v>
      </c>
      <c r="GQ99">
        <v>18.280799999999999</v>
      </c>
      <c r="GR99">
        <v>99.816599999999994</v>
      </c>
      <c r="GS99">
        <v>99.687600000000003</v>
      </c>
    </row>
    <row r="100" spans="1:201" x14ac:dyDescent="0.25">
      <c r="A100">
        <v>84</v>
      </c>
      <c r="B100">
        <v>1690233404.5999999</v>
      </c>
      <c r="C100">
        <v>898.5</v>
      </c>
      <c r="D100" t="s">
        <v>499</v>
      </c>
      <c r="E100" t="s">
        <v>500</v>
      </c>
      <c r="F100" t="s">
        <v>330</v>
      </c>
      <c r="H100">
        <v>1690233404.5999999</v>
      </c>
      <c r="I100">
        <f t="shared" si="30"/>
        <v>5.9299827803386217E-4</v>
      </c>
      <c r="J100">
        <f t="shared" si="31"/>
        <v>0.59299827803386218</v>
      </c>
      <c r="K100">
        <f t="shared" si="32"/>
        <v>9.7661144835882912</v>
      </c>
      <c r="L100">
        <f t="shared" si="33"/>
        <v>690.22199999999998</v>
      </c>
      <c r="M100">
        <f t="shared" si="34"/>
        <v>232.8165763750163</v>
      </c>
      <c r="N100">
        <f t="shared" si="35"/>
        <v>23.072535199892478</v>
      </c>
      <c r="O100">
        <f t="shared" si="36"/>
        <v>68.402223066317404</v>
      </c>
      <c r="P100">
        <f t="shared" si="37"/>
        <v>3.5396072383652291E-2</v>
      </c>
      <c r="Q100">
        <f t="shared" si="38"/>
        <v>2.1337001315561719</v>
      </c>
      <c r="R100">
        <f t="shared" si="39"/>
        <v>3.5073070541111764E-2</v>
      </c>
      <c r="S100">
        <f t="shared" si="40"/>
        <v>2.194944377177805E-2</v>
      </c>
      <c r="T100">
        <f t="shared" si="41"/>
        <v>276.11499689727287</v>
      </c>
      <c r="U100">
        <f t="shared" si="42"/>
        <v>29.122723590983622</v>
      </c>
      <c r="V100">
        <f t="shared" si="43"/>
        <v>29.122723590983622</v>
      </c>
      <c r="W100">
        <f t="shared" si="44"/>
        <v>4.050421814665409</v>
      </c>
      <c r="X100">
        <f t="shared" si="45"/>
        <v>67.289428171386305</v>
      </c>
      <c r="Y100">
        <f t="shared" si="46"/>
        <v>2.4296384960602198</v>
      </c>
      <c r="Z100">
        <f t="shared" si="47"/>
        <v>3.6107284042776016</v>
      </c>
      <c r="AA100">
        <f t="shared" si="48"/>
        <v>1.6207833186051892</v>
      </c>
      <c r="AB100">
        <f t="shared" si="49"/>
        <v>-26.151224061293323</v>
      </c>
      <c r="AC100">
        <f t="shared" si="50"/>
        <v>-226.9724347877725</v>
      </c>
      <c r="AD100">
        <f t="shared" si="51"/>
        <v>-23.219043952764597</v>
      </c>
      <c r="AE100">
        <f t="shared" si="52"/>
        <v>-0.22770590455755269</v>
      </c>
      <c r="AF100">
        <v>0</v>
      </c>
      <c r="AG100">
        <v>0</v>
      </c>
      <c r="AH100">
        <f t="shared" si="53"/>
        <v>1</v>
      </c>
      <c r="AI100">
        <f t="shared" si="54"/>
        <v>0</v>
      </c>
      <c r="AJ100">
        <f t="shared" si="55"/>
        <v>52483.274197128972</v>
      </c>
      <c r="AK100">
        <f t="shared" si="56"/>
        <v>1799.99</v>
      </c>
      <c r="AL100">
        <f t="shared" si="57"/>
        <v>1499.1012974131897</v>
      </c>
      <c r="AM100">
        <f t="shared" si="58"/>
        <v>0.83283868099999991</v>
      </c>
      <c r="AN100">
        <f t="shared" si="59"/>
        <v>0.15339807271</v>
      </c>
      <c r="AO100">
        <v>32.4</v>
      </c>
      <c r="AP100">
        <v>0.5</v>
      </c>
      <c r="AQ100" t="s">
        <v>331</v>
      </c>
      <c r="AR100">
        <v>2</v>
      </c>
      <c r="AS100">
        <v>1690233404.5999999</v>
      </c>
      <c r="AT100">
        <v>690.22199999999998</v>
      </c>
      <c r="AU100">
        <v>800.05899999999997</v>
      </c>
      <c r="AV100">
        <v>24.5166</v>
      </c>
      <c r="AW100">
        <v>18.272500000000001</v>
      </c>
      <c r="AX100">
        <v>690.48500000000001</v>
      </c>
      <c r="AY100">
        <v>24.3446</v>
      </c>
      <c r="AZ100">
        <v>300.15699999999998</v>
      </c>
      <c r="BA100">
        <v>99.001800000000003</v>
      </c>
      <c r="BB100">
        <v>9.9971699999999997E-2</v>
      </c>
      <c r="BC100">
        <v>27.1496</v>
      </c>
      <c r="BD100">
        <v>26.992599999999999</v>
      </c>
      <c r="BE100">
        <v>29.246200000000002</v>
      </c>
      <c r="BF100">
        <v>0</v>
      </c>
      <c r="BG100">
        <v>0</v>
      </c>
      <c r="BH100">
        <v>10031.9</v>
      </c>
      <c r="BI100">
        <v>1080.82</v>
      </c>
      <c r="BJ100">
        <v>1.2726999999999999</v>
      </c>
      <c r="BK100">
        <v>-109.837</v>
      </c>
      <c r="BL100">
        <v>707.57</v>
      </c>
      <c r="BM100">
        <v>814.95</v>
      </c>
      <c r="BN100">
        <v>6.2441399999999998</v>
      </c>
      <c r="BO100">
        <v>800.05899999999997</v>
      </c>
      <c r="BP100">
        <v>18.272500000000001</v>
      </c>
      <c r="BQ100">
        <v>2.42719</v>
      </c>
      <c r="BR100">
        <v>1.80901</v>
      </c>
      <c r="BS100">
        <v>20.546299999999999</v>
      </c>
      <c r="BT100">
        <v>15.864800000000001</v>
      </c>
      <c r="BU100">
        <v>1799.99</v>
      </c>
      <c r="BV100">
        <v>0.90997799999999995</v>
      </c>
      <c r="BW100">
        <v>3.4004E-2</v>
      </c>
      <c r="BX100">
        <v>2.2007800000000001E-2</v>
      </c>
      <c r="BY100">
        <v>3.4010100000000001E-2</v>
      </c>
      <c r="BZ100">
        <v>25</v>
      </c>
      <c r="CA100">
        <v>33528</v>
      </c>
      <c r="CB100">
        <v>1690232006</v>
      </c>
      <c r="CC100" t="s">
        <v>332</v>
      </c>
      <c r="CD100">
        <v>1690232006</v>
      </c>
      <c r="CE100">
        <v>1690231998.5</v>
      </c>
      <c r="CF100">
        <v>14</v>
      </c>
      <c r="CG100">
        <v>-0.13200000000000001</v>
      </c>
      <c r="CH100">
        <v>-7.0000000000000001E-3</v>
      </c>
      <c r="CI100">
        <v>-0.33800000000000002</v>
      </c>
      <c r="CJ100">
        <v>0.14299999999999999</v>
      </c>
      <c r="CK100">
        <v>799</v>
      </c>
      <c r="CL100">
        <v>19</v>
      </c>
      <c r="CM100">
        <v>7.0000000000000007E-2</v>
      </c>
      <c r="CN100">
        <v>0.14000000000000001</v>
      </c>
      <c r="CO100">
        <v>-106.57705</v>
      </c>
      <c r="CP100">
        <v>-18.759264540337611</v>
      </c>
      <c r="CQ100">
        <v>1.804744593425895</v>
      </c>
      <c r="CR100">
        <v>-1</v>
      </c>
      <c r="CS100">
        <v>6.0847545000000007</v>
      </c>
      <c r="CT100">
        <v>0.95143857410882582</v>
      </c>
      <c r="CU100">
        <v>9.1716142280135166E-2</v>
      </c>
      <c r="CV100">
        <v>-1</v>
      </c>
      <c r="CW100">
        <v>0</v>
      </c>
      <c r="CX100">
        <v>0</v>
      </c>
      <c r="CY100" t="s">
        <v>333</v>
      </c>
      <c r="CZ100">
        <v>2.3645900000000002</v>
      </c>
      <c r="DA100">
        <v>2.7137899999999999</v>
      </c>
      <c r="DB100">
        <v>0.132822</v>
      </c>
      <c r="DC100">
        <v>0.14630899999999999</v>
      </c>
      <c r="DD100">
        <v>0.11565599999999999</v>
      </c>
      <c r="DE100">
        <v>9.2518500000000004E-2</v>
      </c>
      <c r="DF100">
        <v>31688.7</v>
      </c>
      <c r="DG100">
        <v>27545</v>
      </c>
      <c r="DH100">
        <v>31195</v>
      </c>
      <c r="DI100">
        <v>28113.8</v>
      </c>
      <c r="DJ100">
        <v>37454.9</v>
      </c>
      <c r="DK100">
        <v>36280.699999999997</v>
      </c>
      <c r="DL100">
        <v>44398.400000000001</v>
      </c>
      <c r="DM100">
        <v>42615.4</v>
      </c>
      <c r="DN100">
        <v>1.4783500000000001</v>
      </c>
      <c r="DO100">
        <v>2.0611700000000002</v>
      </c>
      <c r="DP100">
        <v>7.3723499999999997E-2</v>
      </c>
      <c r="DQ100">
        <v>0.22340599999999999</v>
      </c>
      <c r="DR100">
        <v>25.785799999999998</v>
      </c>
      <c r="DS100">
        <v>25.595099999999999</v>
      </c>
      <c r="DT100">
        <v>56.5</v>
      </c>
      <c r="DU100">
        <v>28.8</v>
      </c>
      <c r="DV100">
        <v>22.684699999999999</v>
      </c>
      <c r="DW100">
        <v>61.247999999999998</v>
      </c>
      <c r="DX100">
        <v>36.145800000000001</v>
      </c>
      <c r="DY100">
        <v>1</v>
      </c>
      <c r="DZ100">
        <v>-0.113801</v>
      </c>
      <c r="EA100">
        <v>-0.27149200000000001</v>
      </c>
      <c r="EB100">
        <v>20.190100000000001</v>
      </c>
      <c r="EC100">
        <v>5.2413999999999996</v>
      </c>
      <c r="ED100">
        <v>12.039899999999999</v>
      </c>
      <c r="EE100">
        <v>5.0170500000000002</v>
      </c>
      <c r="EF100">
        <v>3.2879999999999998</v>
      </c>
      <c r="EG100">
        <v>9999</v>
      </c>
      <c r="EH100">
        <v>9999</v>
      </c>
      <c r="EI100">
        <v>9999</v>
      </c>
      <c r="EJ100">
        <v>999.9</v>
      </c>
      <c r="EK100">
        <v>1.8689</v>
      </c>
      <c r="EL100">
        <v>1.8646199999999999</v>
      </c>
      <c r="EM100">
        <v>1.8691899999999999</v>
      </c>
      <c r="EN100">
        <v>1.8672200000000001</v>
      </c>
      <c r="EO100">
        <v>1.86338</v>
      </c>
      <c r="EP100">
        <v>1.8644700000000001</v>
      </c>
      <c r="EQ100">
        <v>1.87015</v>
      </c>
      <c r="ER100">
        <v>1.86938</v>
      </c>
      <c r="ES100">
        <v>0</v>
      </c>
      <c r="ET100">
        <v>0</v>
      </c>
      <c r="EU100">
        <v>0</v>
      </c>
      <c r="EV100">
        <v>0</v>
      </c>
      <c r="EW100" t="s">
        <v>334</v>
      </c>
      <c r="EX100" t="s">
        <v>335</v>
      </c>
      <c r="EY100" t="s">
        <v>336</v>
      </c>
      <c r="EZ100" t="s">
        <v>336</v>
      </c>
      <c r="FA100" t="s">
        <v>336</v>
      </c>
      <c r="FB100" t="s">
        <v>336</v>
      </c>
      <c r="FC100">
        <v>0</v>
      </c>
      <c r="FD100">
        <v>100</v>
      </c>
      <c r="FE100">
        <v>100</v>
      </c>
      <c r="FF100">
        <v>-0.26300000000000001</v>
      </c>
      <c r="FG100">
        <v>0.17199999999999999</v>
      </c>
      <c r="FH100">
        <v>0.2126736300064915</v>
      </c>
      <c r="FI100">
        <v>-6.1462078757559423E-4</v>
      </c>
      <c r="FJ100">
        <v>-1.8861989874597051E-7</v>
      </c>
      <c r="FK100">
        <v>1.1980462299894961E-10</v>
      </c>
      <c r="FL100">
        <v>0.1719881465068297</v>
      </c>
      <c r="FM100">
        <v>0</v>
      </c>
      <c r="FN100">
        <v>0</v>
      </c>
      <c r="FO100">
        <v>0</v>
      </c>
      <c r="FP100">
        <v>3</v>
      </c>
      <c r="FQ100">
        <v>2158</v>
      </c>
      <c r="FR100">
        <v>1</v>
      </c>
      <c r="FS100">
        <v>19</v>
      </c>
      <c r="FT100">
        <v>23.3</v>
      </c>
      <c r="FU100">
        <v>23.4</v>
      </c>
      <c r="FV100">
        <v>1.78833</v>
      </c>
      <c r="FW100">
        <v>2.5830099999999998</v>
      </c>
      <c r="FX100">
        <v>1.5490699999999999</v>
      </c>
      <c r="FY100">
        <v>2.3303199999999999</v>
      </c>
      <c r="FZ100">
        <v>1.50146</v>
      </c>
      <c r="GA100">
        <v>2.4047900000000002</v>
      </c>
      <c r="GB100">
        <v>33.580399999999997</v>
      </c>
      <c r="GC100">
        <v>23.991199999999999</v>
      </c>
      <c r="GD100">
        <v>19</v>
      </c>
      <c r="GE100">
        <v>282.76400000000001</v>
      </c>
      <c r="GF100">
        <v>601.13800000000003</v>
      </c>
      <c r="GG100">
        <v>25.3535</v>
      </c>
      <c r="GH100">
        <v>25.991</v>
      </c>
      <c r="GI100">
        <v>30.0001</v>
      </c>
      <c r="GJ100">
        <v>26.118099999999998</v>
      </c>
      <c r="GK100">
        <v>26.100300000000001</v>
      </c>
      <c r="GL100">
        <v>35.753300000000003</v>
      </c>
      <c r="GM100">
        <v>29.529199999999999</v>
      </c>
      <c r="GN100">
        <v>100</v>
      </c>
      <c r="GO100">
        <v>25.351800000000001</v>
      </c>
      <c r="GP100">
        <v>800</v>
      </c>
      <c r="GQ100">
        <v>18.130800000000001</v>
      </c>
      <c r="GR100">
        <v>99.817300000000003</v>
      </c>
      <c r="GS100">
        <v>99.688000000000002</v>
      </c>
    </row>
    <row r="101" spans="1:201" x14ac:dyDescent="0.25">
      <c r="A101">
        <v>85</v>
      </c>
      <c r="B101">
        <v>1690233414.5999999</v>
      </c>
      <c r="C101">
        <v>908.5</v>
      </c>
      <c r="D101" t="s">
        <v>501</v>
      </c>
      <c r="E101" t="s">
        <v>502</v>
      </c>
      <c r="F101" t="s">
        <v>330</v>
      </c>
      <c r="H101">
        <v>1690233414.5999999</v>
      </c>
      <c r="I101">
        <f t="shared" si="30"/>
        <v>6.0798517181354604E-4</v>
      </c>
      <c r="J101">
        <f t="shared" si="31"/>
        <v>0.60798517181354605</v>
      </c>
      <c r="K101">
        <f t="shared" si="32"/>
        <v>10.06221182401616</v>
      </c>
      <c r="L101">
        <f t="shared" si="33"/>
        <v>687.01599999999996</v>
      </c>
      <c r="M101">
        <f t="shared" si="34"/>
        <v>227.84095093064323</v>
      </c>
      <c r="N101">
        <f t="shared" si="35"/>
        <v>22.579732468604231</v>
      </c>
      <c r="O101">
        <f t="shared" si="36"/>
        <v>68.085378937751997</v>
      </c>
      <c r="P101">
        <f t="shared" si="37"/>
        <v>3.6322888010110653E-2</v>
      </c>
      <c r="Q101">
        <f t="shared" si="38"/>
        <v>2.1311678240521266</v>
      </c>
      <c r="R101">
        <f t="shared" si="39"/>
        <v>3.598243735970711E-2</v>
      </c>
      <c r="S101">
        <f t="shared" si="40"/>
        <v>2.2519345454901848E-2</v>
      </c>
      <c r="T101">
        <f t="shared" si="41"/>
        <v>276.11644084199997</v>
      </c>
      <c r="U101">
        <f t="shared" si="42"/>
        <v>29.121936760903598</v>
      </c>
      <c r="V101">
        <f t="shared" si="43"/>
        <v>29.121936760903598</v>
      </c>
      <c r="W101">
        <f t="shared" si="44"/>
        <v>4.0502375689132837</v>
      </c>
      <c r="X101">
        <f t="shared" si="45"/>
        <v>67.303443966168757</v>
      </c>
      <c r="Y101">
        <f t="shared" si="46"/>
        <v>2.4304724967608999</v>
      </c>
      <c r="Z101">
        <f t="shared" si="47"/>
        <v>3.6112156429656399</v>
      </c>
      <c r="AA101">
        <f t="shared" si="48"/>
        <v>1.6197650721523837</v>
      </c>
      <c r="AB101">
        <f t="shared" si="49"/>
        <v>-26.812146076977381</v>
      </c>
      <c r="AC101">
        <f t="shared" si="50"/>
        <v>-226.34839753181203</v>
      </c>
      <c r="AD101">
        <f t="shared" si="51"/>
        <v>-23.18289314802573</v>
      </c>
      <c r="AE101">
        <f t="shared" si="52"/>
        <v>-0.22699591481514858</v>
      </c>
      <c r="AF101">
        <v>0</v>
      </c>
      <c r="AG101">
        <v>0</v>
      </c>
      <c r="AH101">
        <f t="shared" si="53"/>
        <v>1</v>
      </c>
      <c r="AI101">
        <f t="shared" si="54"/>
        <v>0</v>
      </c>
      <c r="AJ101">
        <f t="shared" si="55"/>
        <v>52373.723345977305</v>
      </c>
      <c r="AK101">
        <f t="shared" si="56"/>
        <v>1800</v>
      </c>
      <c r="AL101">
        <f t="shared" si="57"/>
        <v>1499.1108911999997</v>
      </c>
      <c r="AM101">
        <f t="shared" si="58"/>
        <v>0.8328393839999999</v>
      </c>
      <c r="AN101">
        <f t="shared" si="59"/>
        <v>0.15339802269</v>
      </c>
      <c r="AO101">
        <v>32.4</v>
      </c>
      <c r="AP101">
        <v>0.5</v>
      </c>
      <c r="AQ101" t="s">
        <v>331</v>
      </c>
      <c r="AR101">
        <v>2</v>
      </c>
      <c r="AS101">
        <v>1690233414.5999999</v>
      </c>
      <c r="AT101">
        <v>687.01599999999996</v>
      </c>
      <c r="AU101">
        <v>800.13</v>
      </c>
      <c r="AV101">
        <v>24.524699999999999</v>
      </c>
      <c r="AW101">
        <v>18.1234</v>
      </c>
      <c r="AX101">
        <v>687.27599999999995</v>
      </c>
      <c r="AY101">
        <v>24.352799999999998</v>
      </c>
      <c r="AZ101">
        <v>300.18299999999999</v>
      </c>
      <c r="BA101">
        <v>99.003100000000003</v>
      </c>
      <c r="BB101">
        <v>9.9946999999999994E-2</v>
      </c>
      <c r="BC101">
        <v>27.151900000000001</v>
      </c>
      <c r="BD101">
        <v>26.9999</v>
      </c>
      <c r="BE101">
        <v>29.255400000000002</v>
      </c>
      <c r="BF101">
        <v>0</v>
      </c>
      <c r="BG101">
        <v>0</v>
      </c>
      <c r="BH101">
        <v>10010</v>
      </c>
      <c r="BI101">
        <v>1080.76</v>
      </c>
      <c r="BJ101">
        <v>1.28952</v>
      </c>
      <c r="BK101">
        <v>-113.114</v>
      </c>
      <c r="BL101">
        <v>704.28899999999999</v>
      </c>
      <c r="BM101">
        <v>814.899</v>
      </c>
      <c r="BN101">
        <v>6.40137</v>
      </c>
      <c r="BO101">
        <v>800.13</v>
      </c>
      <c r="BP101">
        <v>18.1234</v>
      </c>
      <c r="BQ101">
        <v>2.4280300000000001</v>
      </c>
      <c r="BR101">
        <v>1.79427</v>
      </c>
      <c r="BS101">
        <v>20.5519</v>
      </c>
      <c r="BT101">
        <v>15.737</v>
      </c>
      <c r="BU101">
        <v>1800</v>
      </c>
      <c r="BV101">
        <v>0.90998299999999999</v>
      </c>
      <c r="BW101">
        <v>3.4002299999999999E-2</v>
      </c>
      <c r="BX101">
        <v>2.2006700000000001E-2</v>
      </c>
      <c r="BY101">
        <v>3.4008299999999998E-2</v>
      </c>
      <c r="BZ101">
        <v>25</v>
      </c>
      <c r="CA101">
        <v>33528.300000000003</v>
      </c>
      <c r="CB101">
        <v>1690232006</v>
      </c>
      <c r="CC101" t="s">
        <v>332</v>
      </c>
      <c r="CD101">
        <v>1690232006</v>
      </c>
      <c r="CE101">
        <v>1690231998.5</v>
      </c>
      <c r="CF101">
        <v>14</v>
      </c>
      <c r="CG101">
        <v>-0.13200000000000001</v>
      </c>
      <c r="CH101">
        <v>-7.0000000000000001E-3</v>
      </c>
      <c r="CI101">
        <v>-0.33800000000000002</v>
      </c>
      <c r="CJ101">
        <v>0.14299999999999999</v>
      </c>
      <c r="CK101">
        <v>799</v>
      </c>
      <c r="CL101">
        <v>19</v>
      </c>
      <c r="CM101">
        <v>7.0000000000000007E-2</v>
      </c>
      <c r="CN101">
        <v>0.14000000000000001</v>
      </c>
      <c r="CO101">
        <v>-109.399475</v>
      </c>
      <c r="CP101">
        <v>-18.796581613508319</v>
      </c>
      <c r="CQ101">
        <v>1.8087311711183061</v>
      </c>
      <c r="CR101">
        <v>-1</v>
      </c>
      <c r="CS101">
        <v>6.2278085000000001</v>
      </c>
      <c r="CT101">
        <v>0.98208022514069171</v>
      </c>
      <c r="CU101">
        <v>9.4639326908796229E-2</v>
      </c>
      <c r="CV101">
        <v>-1</v>
      </c>
      <c r="CW101">
        <v>0</v>
      </c>
      <c r="CX101">
        <v>0</v>
      </c>
      <c r="CY101" t="s">
        <v>333</v>
      </c>
      <c r="CZ101">
        <v>2.3647</v>
      </c>
      <c r="DA101">
        <v>2.7137500000000001</v>
      </c>
      <c r="DB101">
        <v>0.13239999999999999</v>
      </c>
      <c r="DC101">
        <v>0.146317</v>
      </c>
      <c r="DD101">
        <v>0.115685</v>
      </c>
      <c r="DE101">
        <v>9.1978400000000002E-2</v>
      </c>
      <c r="DF101">
        <v>31704.1</v>
      </c>
      <c r="DG101">
        <v>27544.400000000001</v>
      </c>
      <c r="DH101">
        <v>31195.1</v>
      </c>
      <c r="DI101">
        <v>28113.5</v>
      </c>
      <c r="DJ101">
        <v>37453.599999999999</v>
      </c>
      <c r="DK101">
        <v>36302.1</v>
      </c>
      <c r="DL101">
        <v>44398.400000000001</v>
      </c>
      <c r="DM101">
        <v>42615.199999999997</v>
      </c>
      <c r="DN101">
        <v>1.47865</v>
      </c>
      <c r="DO101">
        <v>2.06115</v>
      </c>
      <c r="DP101">
        <v>7.41705E-2</v>
      </c>
      <c r="DQ101">
        <v>0.223778</v>
      </c>
      <c r="DR101">
        <v>25.785799999999998</v>
      </c>
      <c r="DS101">
        <v>25.598199999999999</v>
      </c>
      <c r="DT101">
        <v>56.5</v>
      </c>
      <c r="DU101">
        <v>28.8</v>
      </c>
      <c r="DV101">
        <v>22.686</v>
      </c>
      <c r="DW101">
        <v>61.478000000000002</v>
      </c>
      <c r="DX101">
        <v>36.286099999999998</v>
      </c>
      <c r="DY101">
        <v>1</v>
      </c>
      <c r="DZ101">
        <v>-0.11369899999999999</v>
      </c>
      <c r="EA101">
        <v>-0.16145999999999999</v>
      </c>
      <c r="EB101">
        <v>20.190100000000001</v>
      </c>
      <c r="EC101">
        <v>5.2416999999999998</v>
      </c>
      <c r="ED101">
        <v>12.039899999999999</v>
      </c>
      <c r="EE101">
        <v>5.0170500000000002</v>
      </c>
      <c r="EF101">
        <v>3.2879999999999998</v>
      </c>
      <c r="EG101">
        <v>9999</v>
      </c>
      <c r="EH101">
        <v>9999</v>
      </c>
      <c r="EI101">
        <v>9999</v>
      </c>
      <c r="EJ101">
        <v>999.9</v>
      </c>
      <c r="EK101">
        <v>1.8689</v>
      </c>
      <c r="EL101">
        <v>1.8646199999999999</v>
      </c>
      <c r="EM101">
        <v>1.8692</v>
      </c>
      <c r="EN101">
        <v>1.8672200000000001</v>
      </c>
      <c r="EO101">
        <v>1.86338</v>
      </c>
      <c r="EP101">
        <v>1.8644700000000001</v>
      </c>
      <c r="EQ101">
        <v>1.8701399999999999</v>
      </c>
      <c r="ER101">
        <v>1.8693599999999999</v>
      </c>
      <c r="ES101">
        <v>0</v>
      </c>
      <c r="ET101">
        <v>0</v>
      </c>
      <c r="EU101">
        <v>0</v>
      </c>
      <c r="EV101">
        <v>0</v>
      </c>
      <c r="EW101" t="s">
        <v>334</v>
      </c>
      <c r="EX101" t="s">
        <v>335</v>
      </c>
      <c r="EY101" t="s">
        <v>336</v>
      </c>
      <c r="EZ101" t="s">
        <v>336</v>
      </c>
      <c r="FA101" t="s">
        <v>336</v>
      </c>
      <c r="FB101" t="s">
        <v>336</v>
      </c>
      <c r="FC101">
        <v>0</v>
      </c>
      <c r="FD101">
        <v>100</v>
      </c>
      <c r="FE101">
        <v>100</v>
      </c>
      <c r="FF101">
        <v>-0.26</v>
      </c>
      <c r="FG101">
        <v>0.1719</v>
      </c>
      <c r="FH101">
        <v>0.2126736300064915</v>
      </c>
      <c r="FI101">
        <v>-6.1462078757559423E-4</v>
      </c>
      <c r="FJ101">
        <v>-1.8861989874597051E-7</v>
      </c>
      <c r="FK101">
        <v>1.1980462299894961E-10</v>
      </c>
      <c r="FL101">
        <v>0.1719881465068297</v>
      </c>
      <c r="FM101">
        <v>0</v>
      </c>
      <c r="FN101">
        <v>0</v>
      </c>
      <c r="FO101">
        <v>0</v>
      </c>
      <c r="FP101">
        <v>3</v>
      </c>
      <c r="FQ101">
        <v>2158</v>
      </c>
      <c r="FR101">
        <v>1</v>
      </c>
      <c r="FS101">
        <v>19</v>
      </c>
      <c r="FT101">
        <v>23.5</v>
      </c>
      <c r="FU101">
        <v>23.6</v>
      </c>
      <c r="FV101">
        <v>1.78833</v>
      </c>
      <c r="FW101">
        <v>2.5903299999999998</v>
      </c>
      <c r="FX101">
        <v>1.5490699999999999</v>
      </c>
      <c r="FY101">
        <v>2.3290999999999999</v>
      </c>
      <c r="FZ101">
        <v>1.50146</v>
      </c>
      <c r="GA101">
        <v>2.3315399999999999</v>
      </c>
      <c r="GB101">
        <v>33.580399999999997</v>
      </c>
      <c r="GC101">
        <v>23.982399999999998</v>
      </c>
      <c r="GD101">
        <v>19</v>
      </c>
      <c r="GE101">
        <v>282.88200000000001</v>
      </c>
      <c r="GF101">
        <v>601.09100000000001</v>
      </c>
      <c r="GG101">
        <v>25.347899999999999</v>
      </c>
      <c r="GH101">
        <v>25.9894</v>
      </c>
      <c r="GI101">
        <v>30.0002</v>
      </c>
      <c r="GJ101">
        <v>26.116</v>
      </c>
      <c r="GK101">
        <v>26.098099999999999</v>
      </c>
      <c r="GL101">
        <v>35.7515</v>
      </c>
      <c r="GM101">
        <v>30.103300000000001</v>
      </c>
      <c r="GN101">
        <v>99.6297</v>
      </c>
      <c r="GO101">
        <v>25.326799999999999</v>
      </c>
      <c r="GP101">
        <v>800</v>
      </c>
      <c r="GQ101">
        <v>17.984200000000001</v>
      </c>
      <c r="GR101">
        <v>99.817300000000003</v>
      </c>
      <c r="GS101">
        <v>99.687200000000004</v>
      </c>
    </row>
    <row r="102" spans="1:201" x14ac:dyDescent="0.25">
      <c r="A102">
        <v>86</v>
      </c>
      <c r="B102">
        <v>1690233424.5999999</v>
      </c>
      <c r="C102">
        <v>918.5</v>
      </c>
      <c r="D102" t="s">
        <v>503</v>
      </c>
      <c r="E102" t="s">
        <v>504</v>
      </c>
      <c r="F102" t="s">
        <v>330</v>
      </c>
      <c r="H102">
        <v>1690233424.5999999</v>
      </c>
      <c r="I102">
        <f t="shared" si="30"/>
        <v>6.2302108679808681E-4</v>
      </c>
      <c r="J102">
        <f t="shared" si="31"/>
        <v>0.62302108679808677</v>
      </c>
      <c r="K102">
        <f t="shared" si="32"/>
        <v>10.340176664506554</v>
      </c>
      <c r="L102">
        <f t="shared" si="33"/>
        <v>683.83900000000006</v>
      </c>
      <c r="M102">
        <f t="shared" si="34"/>
        <v>224.03618717496246</v>
      </c>
      <c r="N102">
        <f t="shared" si="35"/>
        <v>22.202588649556951</v>
      </c>
      <c r="O102">
        <f t="shared" si="36"/>
        <v>67.770283948222712</v>
      </c>
      <c r="P102">
        <f t="shared" si="37"/>
        <v>3.7273227505389007E-2</v>
      </c>
      <c r="Q102">
        <f t="shared" si="38"/>
        <v>2.127592511418384</v>
      </c>
      <c r="R102">
        <f t="shared" si="39"/>
        <v>3.6914227742771873E-2</v>
      </c>
      <c r="S102">
        <f t="shared" si="40"/>
        <v>2.3103358790117174E-2</v>
      </c>
      <c r="T102">
        <f t="shared" si="41"/>
        <v>276.11626237199999</v>
      </c>
      <c r="U102">
        <f t="shared" si="42"/>
        <v>29.11749681434236</v>
      </c>
      <c r="V102">
        <f t="shared" si="43"/>
        <v>29.11749681434236</v>
      </c>
      <c r="W102">
        <f t="shared" si="44"/>
        <v>4.0491980388342581</v>
      </c>
      <c r="X102">
        <f t="shared" si="45"/>
        <v>67.334394354813313</v>
      </c>
      <c r="Y102">
        <f t="shared" si="46"/>
        <v>2.4312763663279702</v>
      </c>
      <c r="Z102">
        <f t="shared" si="47"/>
        <v>3.6107495873751385</v>
      </c>
      <c r="AA102">
        <f t="shared" si="48"/>
        <v>1.6179216725062879</v>
      </c>
      <c r="AB102">
        <f t="shared" si="49"/>
        <v>-27.475229927795628</v>
      </c>
      <c r="AC102">
        <f t="shared" si="50"/>
        <v>-225.71174043471447</v>
      </c>
      <c r="AD102">
        <f t="shared" si="51"/>
        <v>-23.155767587367031</v>
      </c>
      <c r="AE102">
        <f t="shared" si="52"/>
        <v>-0.22647557787712458</v>
      </c>
      <c r="AF102">
        <v>0</v>
      </c>
      <c r="AG102">
        <v>0</v>
      </c>
      <c r="AH102">
        <f t="shared" si="53"/>
        <v>1</v>
      </c>
      <c r="AI102">
        <f t="shared" si="54"/>
        <v>0</v>
      </c>
      <c r="AJ102">
        <f t="shared" si="55"/>
        <v>52220.205000573049</v>
      </c>
      <c r="AK102">
        <f t="shared" si="56"/>
        <v>1800</v>
      </c>
      <c r="AL102">
        <f t="shared" si="57"/>
        <v>1499.1114581999998</v>
      </c>
      <c r="AM102">
        <f t="shared" si="58"/>
        <v>0.83283969899999988</v>
      </c>
      <c r="AN102">
        <f t="shared" si="59"/>
        <v>0.15339792354000001</v>
      </c>
      <c r="AO102">
        <v>32.4</v>
      </c>
      <c r="AP102">
        <v>0.5</v>
      </c>
      <c r="AQ102" t="s">
        <v>331</v>
      </c>
      <c r="AR102">
        <v>2</v>
      </c>
      <c r="AS102">
        <v>1690233424.5999999</v>
      </c>
      <c r="AT102">
        <v>683.83900000000006</v>
      </c>
      <c r="AU102">
        <v>800.053</v>
      </c>
      <c r="AV102">
        <v>24.532900000000001</v>
      </c>
      <c r="AW102">
        <v>17.972799999999999</v>
      </c>
      <c r="AX102">
        <v>684.09699999999998</v>
      </c>
      <c r="AY102">
        <v>24.360900000000001</v>
      </c>
      <c r="AZ102">
        <v>300.15800000000002</v>
      </c>
      <c r="BA102">
        <v>99.002700000000004</v>
      </c>
      <c r="BB102">
        <v>9.9989300000000003E-2</v>
      </c>
      <c r="BC102">
        <v>27.149699999999999</v>
      </c>
      <c r="BD102">
        <v>27.004000000000001</v>
      </c>
      <c r="BE102">
        <v>29.2483</v>
      </c>
      <c r="BF102">
        <v>0</v>
      </c>
      <c r="BG102">
        <v>0</v>
      </c>
      <c r="BH102">
        <v>9979.3799999999992</v>
      </c>
      <c r="BI102">
        <v>1080.74</v>
      </c>
      <c r="BJ102">
        <v>1.40726</v>
      </c>
      <c r="BK102">
        <v>-116.214</v>
      </c>
      <c r="BL102">
        <v>701.03700000000003</v>
      </c>
      <c r="BM102">
        <v>814.69500000000005</v>
      </c>
      <c r="BN102">
        <v>6.56006</v>
      </c>
      <c r="BO102">
        <v>800.053</v>
      </c>
      <c r="BP102">
        <v>17.972799999999999</v>
      </c>
      <c r="BQ102">
        <v>2.42882</v>
      </c>
      <c r="BR102">
        <v>1.7793600000000001</v>
      </c>
      <c r="BS102">
        <v>20.557200000000002</v>
      </c>
      <c r="BT102">
        <v>15.6066</v>
      </c>
      <c r="BU102">
        <v>1800</v>
      </c>
      <c r="BV102">
        <v>0.90998699999999999</v>
      </c>
      <c r="BW102">
        <v>3.4000799999999998E-2</v>
      </c>
      <c r="BX102">
        <v>2.20057E-2</v>
      </c>
      <c r="BY102">
        <v>3.4006799999999997E-2</v>
      </c>
      <c r="BZ102">
        <v>25</v>
      </c>
      <c r="CA102">
        <v>33528.199999999997</v>
      </c>
      <c r="CB102">
        <v>1690232006</v>
      </c>
      <c r="CC102" t="s">
        <v>332</v>
      </c>
      <c r="CD102">
        <v>1690232006</v>
      </c>
      <c r="CE102">
        <v>1690231998.5</v>
      </c>
      <c r="CF102">
        <v>14</v>
      </c>
      <c r="CG102">
        <v>-0.13200000000000001</v>
      </c>
      <c r="CH102">
        <v>-7.0000000000000001E-3</v>
      </c>
      <c r="CI102">
        <v>-0.33800000000000002</v>
      </c>
      <c r="CJ102">
        <v>0.14299999999999999</v>
      </c>
      <c r="CK102">
        <v>799</v>
      </c>
      <c r="CL102">
        <v>19</v>
      </c>
      <c r="CM102">
        <v>7.0000000000000007E-2</v>
      </c>
      <c r="CN102">
        <v>0.14000000000000001</v>
      </c>
      <c r="CO102">
        <v>-112.67704878048779</v>
      </c>
      <c r="CP102">
        <v>-19.16383275261337</v>
      </c>
      <c r="CQ102">
        <v>1.8908116717717469</v>
      </c>
      <c r="CR102">
        <v>-1</v>
      </c>
      <c r="CS102">
        <v>6.3904504878048778</v>
      </c>
      <c r="CT102">
        <v>0.95474320557491532</v>
      </c>
      <c r="CU102">
        <v>9.4357055701932882E-2</v>
      </c>
      <c r="CV102">
        <v>-1</v>
      </c>
      <c r="CW102">
        <v>0</v>
      </c>
      <c r="CX102">
        <v>0</v>
      </c>
      <c r="CY102" t="s">
        <v>333</v>
      </c>
      <c r="CZ102">
        <v>2.3646199999999999</v>
      </c>
      <c r="DA102">
        <v>2.7137600000000002</v>
      </c>
      <c r="DB102">
        <v>0.13197900000000001</v>
      </c>
      <c r="DC102">
        <v>0.14630499999999999</v>
      </c>
      <c r="DD102">
        <v>0.115712</v>
      </c>
      <c r="DE102">
        <v>9.14296E-2</v>
      </c>
      <c r="DF102">
        <v>31719.7</v>
      </c>
      <c r="DG102">
        <v>27545.1</v>
      </c>
      <c r="DH102">
        <v>31195.200000000001</v>
      </c>
      <c r="DI102">
        <v>28113.7</v>
      </c>
      <c r="DJ102">
        <v>37452.9</v>
      </c>
      <c r="DK102">
        <v>36324.400000000001</v>
      </c>
      <c r="DL102">
        <v>44398.9</v>
      </c>
      <c r="DM102">
        <v>42615.5</v>
      </c>
      <c r="DN102">
        <v>1.4790000000000001</v>
      </c>
      <c r="DO102">
        <v>2.0608499999999998</v>
      </c>
      <c r="DP102">
        <v>7.4394000000000002E-2</v>
      </c>
      <c r="DQ102">
        <v>0.22318199999999999</v>
      </c>
      <c r="DR102">
        <v>25.786200000000001</v>
      </c>
      <c r="DS102">
        <v>25.600899999999999</v>
      </c>
      <c r="DT102">
        <v>56.5</v>
      </c>
      <c r="DU102">
        <v>28.8</v>
      </c>
      <c r="DV102">
        <v>22.686800000000002</v>
      </c>
      <c r="DW102">
        <v>62.008000000000003</v>
      </c>
      <c r="DX102">
        <v>36.033700000000003</v>
      </c>
      <c r="DY102">
        <v>1</v>
      </c>
      <c r="DZ102">
        <v>-0.11379300000000001</v>
      </c>
      <c r="EA102">
        <v>-0.210343</v>
      </c>
      <c r="EB102">
        <v>20.189900000000002</v>
      </c>
      <c r="EC102">
        <v>5.2415500000000002</v>
      </c>
      <c r="ED102">
        <v>12.039899999999999</v>
      </c>
      <c r="EE102">
        <v>5.01715</v>
      </c>
      <c r="EF102">
        <v>3.2879999999999998</v>
      </c>
      <c r="EG102">
        <v>9999</v>
      </c>
      <c r="EH102">
        <v>9999</v>
      </c>
      <c r="EI102">
        <v>9999</v>
      </c>
      <c r="EJ102">
        <v>999.9</v>
      </c>
      <c r="EK102">
        <v>1.8689</v>
      </c>
      <c r="EL102">
        <v>1.8646199999999999</v>
      </c>
      <c r="EM102">
        <v>1.8692</v>
      </c>
      <c r="EN102">
        <v>1.8672200000000001</v>
      </c>
      <c r="EO102">
        <v>1.8633999999999999</v>
      </c>
      <c r="EP102">
        <v>1.8644700000000001</v>
      </c>
      <c r="EQ102">
        <v>1.8701300000000001</v>
      </c>
      <c r="ER102">
        <v>1.86938</v>
      </c>
      <c r="ES102">
        <v>0</v>
      </c>
      <c r="ET102">
        <v>0</v>
      </c>
      <c r="EU102">
        <v>0</v>
      </c>
      <c r="EV102">
        <v>0</v>
      </c>
      <c r="EW102" t="s">
        <v>334</v>
      </c>
      <c r="EX102" t="s">
        <v>335</v>
      </c>
      <c r="EY102" t="s">
        <v>336</v>
      </c>
      <c r="EZ102" t="s">
        <v>336</v>
      </c>
      <c r="FA102" t="s">
        <v>336</v>
      </c>
      <c r="FB102" t="s">
        <v>336</v>
      </c>
      <c r="FC102">
        <v>0</v>
      </c>
      <c r="FD102">
        <v>100</v>
      </c>
      <c r="FE102">
        <v>100</v>
      </c>
      <c r="FF102">
        <v>-0.25800000000000001</v>
      </c>
      <c r="FG102">
        <v>0.17199999999999999</v>
      </c>
      <c r="FH102">
        <v>0.2126736300064915</v>
      </c>
      <c r="FI102">
        <v>-6.1462078757559423E-4</v>
      </c>
      <c r="FJ102">
        <v>-1.8861989874597051E-7</v>
      </c>
      <c r="FK102">
        <v>1.1980462299894961E-10</v>
      </c>
      <c r="FL102">
        <v>0.1719881465068297</v>
      </c>
      <c r="FM102">
        <v>0</v>
      </c>
      <c r="FN102">
        <v>0</v>
      </c>
      <c r="FO102">
        <v>0</v>
      </c>
      <c r="FP102">
        <v>3</v>
      </c>
      <c r="FQ102">
        <v>2158</v>
      </c>
      <c r="FR102">
        <v>1</v>
      </c>
      <c r="FS102">
        <v>19</v>
      </c>
      <c r="FT102">
        <v>23.6</v>
      </c>
      <c r="FU102">
        <v>23.8</v>
      </c>
      <c r="FV102">
        <v>1.78833</v>
      </c>
      <c r="FW102">
        <v>2.5854499999999998</v>
      </c>
      <c r="FX102">
        <v>1.5490699999999999</v>
      </c>
      <c r="FY102">
        <v>2.3290999999999999</v>
      </c>
      <c r="FZ102">
        <v>1.50146</v>
      </c>
      <c r="GA102">
        <v>2.3986800000000001</v>
      </c>
      <c r="GB102">
        <v>33.580399999999997</v>
      </c>
      <c r="GC102">
        <v>23.991199999999999</v>
      </c>
      <c r="GD102">
        <v>19</v>
      </c>
      <c r="GE102">
        <v>283.02600000000001</v>
      </c>
      <c r="GF102">
        <v>600.81200000000001</v>
      </c>
      <c r="GG102">
        <v>25.319900000000001</v>
      </c>
      <c r="GH102">
        <v>25.988299999999999</v>
      </c>
      <c r="GI102">
        <v>30.0001</v>
      </c>
      <c r="GJ102">
        <v>26.114899999999999</v>
      </c>
      <c r="GK102">
        <v>26.0959</v>
      </c>
      <c r="GL102">
        <v>35.7498</v>
      </c>
      <c r="GM102">
        <v>30.383500000000002</v>
      </c>
      <c r="GN102">
        <v>99.6297</v>
      </c>
      <c r="GO102">
        <v>25.319299999999998</v>
      </c>
      <c r="GP102">
        <v>800</v>
      </c>
      <c r="GQ102">
        <v>17.838000000000001</v>
      </c>
      <c r="GR102">
        <v>99.818200000000004</v>
      </c>
      <c r="GS102">
        <v>99.688000000000002</v>
      </c>
    </row>
    <row r="103" spans="1:201" x14ac:dyDescent="0.25">
      <c r="A103">
        <v>87</v>
      </c>
      <c r="B103">
        <v>1690233434.5999999</v>
      </c>
      <c r="C103">
        <v>928.5</v>
      </c>
      <c r="D103" t="s">
        <v>505</v>
      </c>
      <c r="E103" t="s">
        <v>506</v>
      </c>
      <c r="F103" t="s">
        <v>330</v>
      </c>
      <c r="H103">
        <v>1690233434.5999999</v>
      </c>
      <c r="I103">
        <f t="shared" si="30"/>
        <v>6.3792597800017663E-4</v>
      </c>
      <c r="J103">
        <f t="shared" si="31"/>
        <v>0.63792597800017659</v>
      </c>
      <c r="K103">
        <f t="shared" si="32"/>
        <v>10.62756429407694</v>
      </c>
      <c r="L103">
        <f t="shared" si="33"/>
        <v>680.59699999999998</v>
      </c>
      <c r="M103">
        <f t="shared" si="34"/>
        <v>220.08725720606756</v>
      </c>
      <c r="N103">
        <f t="shared" si="35"/>
        <v>21.81078874924513</v>
      </c>
      <c r="O103">
        <f t="shared" si="36"/>
        <v>67.447600459990397</v>
      </c>
      <c r="P103">
        <f t="shared" si="37"/>
        <v>3.8245463922472758E-2</v>
      </c>
      <c r="Q103">
        <f t="shared" si="38"/>
        <v>2.1359292611587786</v>
      </c>
      <c r="R103">
        <f t="shared" si="39"/>
        <v>3.7869053199914002E-2</v>
      </c>
      <c r="S103">
        <f t="shared" si="40"/>
        <v>2.370166843958578E-2</v>
      </c>
      <c r="T103">
        <f t="shared" si="41"/>
        <v>276.11596711800001</v>
      </c>
      <c r="U103">
        <f t="shared" si="42"/>
        <v>29.107532181537447</v>
      </c>
      <c r="V103">
        <f t="shared" si="43"/>
        <v>29.107532181537447</v>
      </c>
      <c r="W103">
        <f t="shared" si="44"/>
        <v>4.0468658541465858</v>
      </c>
      <c r="X103">
        <f t="shared" si="45"/>
        <v>67.346542694247532</v>
      </c>
      <c r="Y103">
        <f t="shared" si="46"/>
        <v>2.4320288847712002</v>
      </c>
      <c r="Z103">
        <f t="shared" si="47"/>
        <v>3.6112156429656399</v>
      </c>
      <c r="AA103">
        <f t="shared" si="48"/>
        <v>1.6148369693753857</v>
      </c>
      <c r="AB103">
        <f t="shared" si="49"/>
        <v>-28.132535629807791</v>
      </c>
      <c r="AC103">
        <f t="shared" si="50"/>
        <v>-225.19538393686517</v>
      </c>
      <c r="AD103">
        <f t="shared" si="51"/>
        <v>-23.011728940905321</v>
      </c>
      <c r="AE103">
        <f t="shared" si="52"/>
        <v>-0.22368138957827455</v>
      </c>
      <c r="AF103">
        <v>0</v>
      </c>
      <c r="AG103">
        <v>0</v>
      </c>
      <c r="AH103">
        <f t="shared" si="53"/>
        <v>1</v>
      </c>
      <c r="AI103">
        <f t="shared" si="54"/>
        <v>0</v>
      </c>
      <c r="AJ103">
        <f t="shared" si="55"/>
        <v>52579.079227107031</v>
      </c>
      <c r="AK103">
        <f t="shared" si="56"/>
        <v>1800</v>
      </c>
      <c r="AL103">
        <f t="shared" si="57"/>
        <v>1499.1111917999997</v>
      </c>
      <c r="AM103">
        <f t="shared" si="58"/>
        <v>0.83283955099999984</v>
      </c>
      <c r="AN103">
        <f t="shared" si="59"/>
        <v>0.15339775951000001</v>
      </c>
      <c r="AO103">
        <v>32.4</v>
      </c>
      <c r="AP103">
        <v>0.5</v>
      </c>
      <c r="AQ103" t="s">
        <v>331</v>
      </c>
      <c r="AR103">
        <v>2</v>
      </c>
      <c r="AS103">
        <v>1690233434.5999999</v>
      </c>
      <c r="AT103">
        <v>680.59699999999998</v>
      </c>
      <c r="AU103">
        <v>800.01</v>
      </c>
      <c r="AV103">
        <v>24.541</v>
      </c>
      <c r="AW103">
        <v>17.823499999999999</v>
      </c>
      <c r="AX103">
        <v>680.85199999999998</v>
      </c>
      <c r="AY103">
        <v>24.369</v>
      </c>
      <c r="AZ103">
        <v>300.13499999999999</v>
      </c>
      <c r="BA103">
        <v>99.000799999999998</v>
      </c>
      <c r="BB103">
        <v>9.9843199999999993E-2</v>
      </c>
      <c r="BC103">
        <v>27.151900000000001</v>
      </c>
      <c r="BD103">
        <v>26.990200000000002</v>
      </c>
      <c r="BE103">
        <v>29.2319</v>
      </c>
      <c r="BF103">
        <v>0</v>
      </c>
      <c r="BG103">
        <v>0</v>
      </c>
      <c r="BH103">
        <v>10051.200000000001</v>
      </c>
      <c r="BI103">
        <v>1080.6600000000001</v>
      </c>
      <c r="BJ103">
        <v>1.4577199999999999</v>
      </c>
      <c r="BK103">
        <v>-119.413</v>
      </c>
      <c r="BL103">
        <v>697.72</v>
      </c>
      <c r="BM103">
        <v>814.52800000000002</v>
      </c>
      <c r="BN103">
        <v>6.7175000000000002</v>
      </c>
      <c r="BO103">
        <v>800.01</v>
      </c>
      <c r="BP103">
        <v>17.823499999999999</v>
      </c>
      <c r="BQ103">
        <v>2.4295800000000001</v>
      </c>
      <c r="BR103">
        <v>1.76454</v>
      </c>
      <c r="BS103">
        <v>20.5623</v>
      </c>
      <c r="BT103">
        <v>15.476100000000001</v>
      </c>
      <c r="BU103">
        <v>1800</v>
      </c>
      <c r="BV103">
        <v>0.90998999999999997</v>
      </c>
      <c r="BW103">
        <v>3.3999500000000002E-2</v>
      </c>
      <c r="BX103">
        <v>2.2004800000000001E-2</v>
      </c>
      <c r="BY103">
        <v>3.4005500000000001E-2</v>
      </c>
      <c r="BZ103">
        <v>25</v>
      </c>
      <c r="CA103">
        <v>33528.300000000003</v>
      </c>
      <c r="CB103">
        <v>1690232006</v>
      </c>
      <c r="CC103" t="s">
        <v>332</v>
      </c>
      <c r="CD103">
        <v>1690232006</v>
      </c>
      <c r="CE103">
        <v>1690231998.5</v>
      </c>
      <c r="CF103">
        <v>14</v>
      </c>
      <c r="CG103">
        <v>-0.13200000000000001</v>
      </c>
      <c r="CH103">
        <v>-7.0000000000000001E-3</v>
      </c>
      <c r="CI103">
        <v>-0.33800000000000002</v>
      </c>
      <c r="CJ103">
        <v>0.14299999999999999</v>
      </c>
      <c r="CK103">
        <v>799</v>
      </c>
      <c r="CL103">
        <v>19</v>
      </c>
      <c r="CM103">
        <v>7.0000000000000007E-2</v>
      </c>
      <c r="CN103">
        <v>0.14000000000000001</v>
      </c>
      <c r="CO103">
        <v>-115.82535</v>
      </c>
      <c r="CP103">
        <v>-19.066941838649178</v>
      </c>
      <c r="CQ103">
        <v>1.834819399150772</v>
      </c>
      <c r="CR103">
        <v>-1</v>
      </c>
      <c r="CS103">
        <v>6.5430229999999998</v>
      </c>
      <c r="CT103">
        <v>0.9654493058161262</v>
      </c>
      <c r="CU103">
        <v>9.3070408648506589E-2</v>
      </c>
      <c r="CV103">
        <v>-1</v>
      </c>
      <c r="CW103">
        <v>0</v>
      </c>
      <c r="CX103">
        <v>0</v>
      </c>
      <c r="CY103" t="s">
        <v>333</v>
      </c>
      <c r="CZ103">
        <v>2.3645499999999999</v>
      </c>
      <c r="DA103">
        <v>2.7136800000000001</v>
      </c>
      <c r="DB103">
        <v>0.131547</v>
      </c>
      <c r="DC103">
        <v>0.14629400000000001</v>
      </c>
      <c r="DD103">
        <v>0.11573700000000001</v>
      </c>
      <c r="DE103">
        <v>9.0882000000000004E-2</v>
      </c>
      <c r="DF103">
        <v>31735.1</v>
      </c>
      <c r="DG103">
        <v>27545.5</v>
      </c>
      <c r="DH103">
        <v>31194.799999999999</v>
      </c>
      <c r="DI103">
        <v>28113.9</v>
      </c>
      <c r="DJ103">
        <v>37451</v>
      </c>
      <c r="DK103">
        <v>36346.5</v>
      </c>
      <c r="DL103">
        <v>44398</v>
      </c>
      <c r="DM103">
        <v>42615.7</v>
      </c>
      <c r="DN103">
        <v>1.47868</v>
      </c>
      <c r="DO103">
        <v>2.06053</v>
      </c>
      <c r="DP103">
        <v>7.3574500000000001E-2</v>
      </c>
      <c r="DQ103">
        <v>0.222027</v>
      </c>
      <c r="DR103">
        <v>25.785799999999998</v>
      </c>
      <c r="DS103">
        <v>25.603300000000001</v>
      </c>
      <c r="DT103">
        <v>56.5</v>
      </c>
      <c r="DU103">
        <v>28.8</v>
      </c>
      <c r="DV103">
        <v>22.688700000000001</v>
      </c>
      <c r="DW103">
        <v>61.247999999999998</v>
      </c>
      <c r="DX103">
        <v>36.526400000000002</v>
      </c>
      <c r="DY103">
        <v>1</v>
      </c>
      <c r="DZ103">
        <v>-0.113887</v>
      </c>
      <c r="EA103">
        <v>-0.22636400000000001</v>
      </c>
      <c r="EB103">
        <v>20.189800000000002</v>
      </c>
      <c r="EC103">
        <v>5.2409499999999998</v>
      </c>
      <c r="ED103">
        <v>12.039899999999999</v>
      </c>
      <c r="EE103">
        <v>5.0166500000000003</v>
      </c>
      <c r="EF103">
        <v>3.2879999999999998</v>
      </c>
      <c r="EG103">
        <v>9999</v>
      </c>
      <c r="EH103">
        <v>9999</v>
      </c>
      <c r="EI103">
        <v>9999</v>
      </c>
      <c r="EJ103">
        <v>999.9</v>
      </c>
      <c r="EK103">
        <v>1.8689</v>
      </c>
      <c r="EL103">
        <v>1.8646100000000001</v>
      </c>
      <c r="EM103">
        <v>1.8691899999999999</v>
      </c>
      <c r="EN103">
        <v>1.8672200000000001</v>
      </c>
      <c r="EO103">
        <v>1.8633999999999999</v>
      </c>
      <c r="EP103">
        <v>1.8644700000000001</v>
      </c>
      <c r="EQ103">
        <v>1.8701399999999999</v>
      </c>
      <c r="ER103">
        <v>1.8693900000000001</v>
      </c>
      <c r="ES103">
        <v>0</v>
      </c>
      <c r="ET103">
        <v>0</v>
      </c>
      <c r="EU103">
        <v>0</v>
      </c>
      <c r="EV103">
        <v>0</v>
      </c>
      <c r="EW103" t="s">
        <v>334</v>
      </c>
      <c r="EX103" t="s">
        <v>335</v>
      </c>
      <c r="EY103" t="s">
        <v>336</v>
      </c>
      <c r="EZ103" t="s">
        <v>336</v>
      </c>
      <c r="FA103" t="s">
        <v>336</v>
      </c>
      <c r="FB103" t="s">
        <v>336</v>
      </c>
      <c r="FC103">
        <v>0</v>
      </c>
      <c r="FD103">
        <v>100</v>
      </c>
      <c r="FE103">
        <v>100</v>
      </c>
      <c r="FF103">
        <v>-0.255</v>
      </c>
      <c r="FG103">
        <v>0.17199999999999999</v>
      </c>
      <c r="FH103">
        <v>0.2126736300064915</v>
      </c>
      <c r="FI103">
        <v>-6.1462078757559423E-4</v>
      </c>
      <c r="FJ103">
        <v>-1.8861989874597051E-7</v>
      </c>
      <c r="FK103">
        <v>1.1980462299894961E-10</v>
      </c>
      <c r="FL103">
        <v>0.1719881465068297</v>
      </c>
      <c r="FM103">
        <v>0</v>
      </c>
      <c r="FN103">
        <v>0</v>
      </c>
      <c r="FO103">
        <v>0</v>
      </c>
      <c r="FP103">
        <v>3</v>
      </c>
      <c r="FQ103">
        <v>2158</v>
      </c>
      <c r="FR103">
        <v>1</v>
      </c>
      <c r="FS103">
        <v>19</v>
      </c>
      <c r="FT103">
        <v>23.8</v>
      </c>
      <c r="FU103">
        <v>23.9</v>
      </c>
      <c r="FV103">
        <v>1.78833</v>
      </c>
      <c r="FW103">
        <v>2.5891099999999998</v>
      </c>
      <c r="FX103">
        <v>1.5490699999999999</v>
      </c>
      <c r="FY103">
        <v>2.3290999999999999</v>
      </c>
      <c r="FZ103">
        <v>1.50146</v>
      </c>
      <c r="GA103">
        <v>2.34253</v>
      </c>
      <c r="GB103">
        <v>33.580399999999997</v>
      </c>
      <c r="GC103">
        <v>23.982399999999998</v>
      </c>
      <c r="GD103">
        <v>19</v>
      </c>
      <c r="GE103">
        <v>282.87799999999999</v>
      </c>
      <c r="GF103">
        <v>600.52099999999996</v>
      </c>
      <c r="GG103">
        <v>25.308700000000002</v>
      </c>
      <c r="GH103">
        <v>25.986599999999999</v>
      </c>
      <c r="GI103">
        <v>30</v>
      </c>
      <c r="GJ103">
        <v>26.1126</v>
      </c>
      <c r="GK103">
        <v>26.0944</v>
      </c>
      <c r="GL103">
        <v>35.7483</v>
      </c>
      <c r="GM103">
        <v>30.962299999999999</v>
      </c>
      <c r="GN103">
        <v>99.6297</v>
      </c>
      <c r="GO103">
        <v>25.3109</v>
      </c>
      <c r="GP103">
        <v>800</v>
      </c>
      <c r="GQ103">
        <v>17.687899999999999</v>
      </c>
      <c r="GR103">
        <v>99.816599999999994</v>
      </c>
      <c r="GS103">
        <v>99.688400000000001</v>
      </c>
    </row>
    <row r="104" spans="1:201" x14ac:dyDescent="0.25">
      <c r="A104">
        <v>88</v>
      </c>
      <c r="B104">
        <v>1690233444.5999999</v>
      </c>
      <c r="C104">
        <v>938.5</v>
      </c>
      <c r="D104" t="s">
        <v>507</v>
      </c>
      <c r="E104" t="s">
        <v>508</v>
      </c>
      <c r="F104" t="s">
        <v>330</v>
      </c>
      <c r="H104">
        <v>1690233444.5999999</v>
      </c>
      <c r="I104">
        <f t="shared" si="30"/>
        <v>6.5402286501456473E-4</v>
      </c>
      <c r="J104">
        <f t="shared" si="31"/>
        <v>0.65402286501456475</v>
      </c>
      <c r="K104">
        <f t="shared" si="32"/>
        <v>10.913041669860075</v>
      </c>
      <c r="L104">
        <f t="shared" si="33"/>
        <v>677.40200000000004</v>
      </c>
      <c r="M104">
        <f t="shared" si="34"/>
        <v>216.45994416470762</v>
      </c>
      <c r="N104">
        <f t="shared" si="35"/>
        <v>21.451921192651454</v>
      </c>
      <c r="O104">
        <f t="shared" si="36"/>
        <v>67.132856269644009</v>
      </c>
      <c r="P104">
        <f t="shared" si="37"/>
        <v>3.9236644766675072E-2</v>
      </c>
      <c r="Q104">
        <f t="shared" si="38"/>
        <v>2.1262851992736955</v>
      </c>
      <c r="R104">
        <f t="shared" si="39"/>
        <v>3.8838803113625607E-2</v>
      </c>
      <c r="S104">
        <f t="shared" si="40"/>
        <v>2.4309660190106639E-2</v>
      </c>
      <c r="T104">
        <f t="shared" si="41"/>
        <v>276.11583897600008</v>
      </c>
      <c r="U104">
        <f t="shared" si="42"/>
        <v>29.108264619455802</v>
      </c>
      <c r="V104">
        <f t="shared" si="43"/>
        <v>29.108264619455802</v>
      </c>
      <c r="W104">
        <f t="shared" si="44"/>
        <v>4.0470372385868378</v>
      </c>
      <c r="X104">
        <f t="shared" si="45"/>
        <v>67.373262620511412</v>
      </c>
      <c r="Y104">
        <f t="shared" si="46"/>
        <v>2.4327511618871998</v>
      </c>
      <c r="Z104">
        <f t="shared" si="47"/>
        <v>3.6108555044899404</v>
      </c>
      <c r="AA104">
        <f t="shared" si="48"/>
        <v>1.6142860766996381</v>
      </c>
      <c r="AB104">
        <f t="shared" si="49"/>
        <v>-28.842408347142303</v>
      </c>
      <c r="AC104">
        <f t="shared" si="50"/>
        <v>-224.45742672067675</v>
      </c>
      <c r="AD104">
        <f t="shared" si="51"/>
        <v>-23.040240754409016</v>
      </c>
      <c r="AE104">
        <f t="shared" si="52"/>
        <v>-0.22423684622799556</v>
      </c>
      <c r="AF104">
        <v>0</v>
      </c>
      <c r="AG104">
        <v>0</v>
      </c>
      <c r="AH104">
        <f t="shared" si="53"/>
        <v>1</v>
      </c>
      <c r="AI104">
        <f t="shared" si="54"/>
        <v>0</v>
      </c>
      <c r="AJ104">
        <f t="shared" si="55"/>
        <v>52163.935173420585</v>
      </c>
      <c r="AK104">
        <f t="shared" si="56"/>
        <v>1800</v>
      </c>
      <c r="AL104">
        <f t="shared" si="57"/>
        <v>1499.1116345999999</v>
      </c>
      <c r="AM104">
        <f t="shared" si="58"/>
        <v>0.83283979699999999</v>
      </c>
      <c r="AN104">
        <f t="shared" si="59"/>
        <v>0.15339768832000003</v>
      </c>
      <c r="AO104">
        <v>32.4</v>
      </c>
      <c r="AP104">
        <v>0.5</v>
      </c>
      <c r="AQ104" t="s">
        <v>331</v>
      </c>
      <c r="AR104">
        <v>2</v>
      </c>
      <c r="AS104">
        <v>1690233444.5999999</v>
      </c>
      <c r="AT104">
        <v>677.40200000000004</v>
      </c>
      <c r="AU104">
        <v>799.97900000000004</v>
      </c>
      <c r="AV104">
        <v>24.547599999999999</v>
      </c>
      <c r="AW104">
        <v>17.6614</v>
      </c>
      <c r="AX104">
        <v>677.65499999999997</v>
      </c>
      <c r="AY104">
        <v>24.375599999999999</v>
      </c>
      <c r="AZ104">
        <v>300.16800000000001</v>
      </c>
      <c r="BA104">
        <v>99.003399999999999</v>
      </c>
      <c r="BB104">
        <v>0.100022</v>
      </c>
      <c r="BC104">
        <v>27.150200000000002</v>
      </c>
      <c r="BD104">
        <v>26.988099999999999</v>
      </c>
      <c r="BE104">
        <v>29.200399999999998</v>
      </c>
      <c r="BF104">
        <v>0</v>
      </c>
      <c r="BG104">
        <v>0</v>
      </c>
      <c r="BH104">
        <v>9968.1200000000008</v>
      </c>
      <c r="BI104">
        <v>1080.6400000000001</v>
      </c>
      <c r="BJ104">
        <v>1.47174</v>
      </c>
      <c r="BK104">
        <v>-122.578</v>
      </c>
      <c r="BL104">
        <v>694.44899999999996</v>
      </c>
      <c r="BM104">
        <v>814.36199999999997</v>
      </c>
      <c r="BN104">
        <v>6.8862500000000004</v>
      </c>
      <c r="BO104">
        <v>799.97900000000004</v>
      </c>
      <c r="BP104">
        <v>17.6614</v>
      </c>
      <c r="BQ104">
        <v>2.4302999999999999</v>
      </c>
      <c r="BR104">
        <v>1.74854</v>
      </c>
      <c r="BS104">
        <v>20.5671</v>
      </c>
      <c r="BT104">
        <v>15.334199999999999</v>
      </c>
      <c r="BU104">
        <v>1800</v>
      </c>
      <c r="BV104">
        <v>0.90999300000000005</v>
      </c>
      <c r="BW104">
        <v>3.3998300000000002E-2</v>
      </c>
      <c r="BX104">
        <v>2.2004099999999999E-2</v>
      </c>
      <c r="BY104">
        <v>3.4004399999999997E-2</v>
      </c>
      <c r="BZ104">
        <v>25</v>
      </c>
      <c r="CA104">
        <v>33528.199999999997</v>
      </c>
      <c r="CB104">
        <v>1690232006</v>
      </c>
      <c r="CC104" t="s">
        <v>332</v>
      </c>
      <c r="CD104">
        <v>1690232006</v>
      </c>
      <c r="CE104">
        <v>1690231998.5</v>
      </c>
      <c r="CF104">
        <v>14</v>
      </c>
      <c r="CG104">
        <v>-0.13200000000000001</v>
      </c>
      <c r="CH104">
        <v>-7.0000000000000001E-3</v>
      </c>
      <c r="CI104">
        <v>-0.33800000000000002</v>
      </c>
      <c r="CJ104">
        <v>0.14299999999999999</v>
      </c>
      <c r="CK104">
        <v>799</v>
      </c>
      <c r="CL104">
        <v>19</v>
      </c>
      <c r="CM104">
        <v>7.0000000000000007E-2</v>
      </c>
      <c r="CN104">
        <v>0.14000000000000001</v>
      </c>
      <c r="CO104">
        <v>-119.02822500000001</v>
      </c>
      <c r="CP104">
        <v>-19.195778611632139</v>
      </c>
      <c r="CQ104">
        <v>1.846901587625881</v>
      </c>
      <c r="CR104">
        <v>-1</v>
      </c>
      <c r="CS104">
        <v>6.6958490000000008</v>
      </c>
      <c r="CT104">
        <v>0.9053842401500789</v>
      </c>
      <c r="CU104">
        <v>8.7339364200800074E-2</v>
      </c>
      <c r="CV104">
        <v>-1</v>
      </c>
      <c r="CW104">
        <v>0</v>
      </c>
      <c r="CX104">
        <v>0</v>
      </c>
      <c r="CY104" t="s">
        <v>333</v>
      </c>
      <c r="CZ104">
        <v>2.3646600000000002</v>
      </c>
      <c r="DA104">
        <v>2.7137799999999999</v>
      </c>
      <c r="DB104">
        <v>0.13112599999999999</v>
      </c>
      <c r="DC104">
        <v>0.14629200000000001</v>
      </c>
      <c r="DD104">
        <v>0.115763</v>
      </c>
      <c r="DE104">
        <v>9.0289599999999998E-2</v>
      </c>
      <c r="DF104">
        <v>31750.5</v>
      </c>
      <c r="DG104">
        <v>27545.599999999999</v>
      </c>
      <c r="DH104">
        <v>31194.9</v>
      </c>
      <c r="DI104">
        <v>28113.9</v>
      </c>
      <c r="DJ104">
        <v>37450.1</v>
      </c>
      <c r="DK104">
        <v>36370.400000000001</v>
      </c>
      <c r="DL104">
        <v>44398.400000000001</v>
      </c>
      <c r="DM104">
        <v>42615.9</v>
      </c>
      <c r="DN104">
        <v>1.47933</v>
      </c>
      <c r="DO104">
        <v>2.0604</v>
      </c>
      <c r="DP104">
        <v>7.3574500000000001E-2</v>
      </c>
      <c r="DQ104">
        <v>0.22020200000000001</v>
      </c>
      <c r="DR104">
        <v>25.7837</v>
      </c>
      <c r="DS104">
        <v>25.601500000000001</v>
      </c>
      <c r="DT104">
        <v>56.5</v>
      </c>
      <c r="DU104">
        <v>28.8</v>
      </c>
      <c r="DV104">
        <v>22.687200000000001</v>
      </c>
      <c r="DW104">
        <v>61.927999999999997</v>
      </c>
      <c r="DX104">
        <v>35.873399999999997</v>
      </c>
      <c r="DY104">
        <v>1</v>
      </c>
      <c r="DZ104">
        <v>-0.114007</v>
      </c>
      <c r="EA104">
        <v>-0.28019300000000003</v>
      </c>
      <c r="EB104">
        <v>20.189699999999998</v>
      </c>
      <c r="EC104">
        <v>5.2411000000000003</v>
      </c>
      <c r="ED104">
        <v>12.039899999999999</v>
      </c>
      <c r="EE104">
        <v>5.0171999999999999</v>
      </c>
      <c r="EF104">
        <v>3.2879999999999998</v>
      </c>
      <c r="EG104">
        <v>9999</v>
      </c>
      <c r="EH104">
        <v>9999</v>
      </c>
      <c r="EI104">
        <v>9999</v>
      </c>
      <c r="EJ104">
        <v>999.9</v>
      </c>
      <c r="EK104">
        <v>1.8689</v>
      </c>
      <c r="EL104">
        <v>1.8646199999999999</v>
      </c>
      <c r="EM104">
        <v>1.86917</v>
      </c>
      <c r="EN104">
        <v>1.8672200000000001</v>
      </c>
      <c r="EO104">
        <v>1.8633900000000001</v>
      </c>
      <c r="EP104">
        <v>1.8644700000000001</v>
      </c>
      <c r="EQ104">
        <v>1.87016</v>
      </c>
      <c r="ER104">
        <v>1.86938</v>
      </c>
      <c r="ES104">
        <v>0</v>
      </c>
      <c r="ET104">
        <v>0</v>
      </c>
      <c r="EU104">
        <v>0</v>
      </c>
      <c r="EV104">
        <v>0</v>
      </c>
      <c r="EW104" t="s">
        <v>334</v>
      </c>
      <c r="EX104" t="s">
        <v>335</v>
      </c>
      <c r="EY104" t="s">
        <v>336</v>
      </c>
      <c r="EZ104" t="s">
        <v>336</v>
      </c>
      <c r="FA104" t="s">
        <v>336</v>
      </c>
      <c r="FB104" t="s">
        <v>336</v>
      </c>
      <c r="FC104">
        <v>0</v>
      </c>
      <c r="FD104">
        <v>100</v>
      </c>
      <c r="FE104">
        <v>100</v>
      </c>
      <c r="FF104">
        <v>-0.253</v>
      </c>
      <c r="FG104">
        <v>0.17199999999999999</v>
      </c>
      <c r="FH104">
        <v>0.2126736300064915</v>
      </c>
      <c r="FI104">
        <v>-6.1462078757559423E-4</v>
      </c>
      <c r="FJ104">
        <v>-1.8861989874597051E-7</v>
      </c>
      <c r="FK104">
        <v>1.1980462299894961E-10</v>
      </c>
      <c r="FL104">
        <v>0.1719881465068297</v>
      </c>
      <c r="FM104">
        <v>0</v>
      </c>
      <c r="FN104">
        <v>0</v>
      </c>
      <c r="FO104">
        <v>0</v>
      </c>
      <c r="FP104">
        <v>3</v>
      </c>
      <c r="FQ104">
        <v>2158</v>
      </c>
      <c r="FR104">
        <v>1</v>
      </c>
      <c r="FS104">
        <v>19</v>
      </c>
      <c r="FT104">
        <v>24</v>
      </c>
      <c r="FU104">
        <v>24.1</v>
      </c>
      <c r="FV104">
        <v>1.78833</v>
      </c>
      <c r="FW104">
        <v>2.5842299999999998</v>
      </c>
      <c r="FX104">
        <v>1.5490699999999999</v>
      </c>
      <c r="FY104">
        <v>2.3303199999999999</v>
      </c>
      <c r="FZ104">
        <v>1.50146</v>
      </c>
      <c r="GA104">
        <v>2.3828100000000001</v>
      </c>
      <c r="GB104">
        <v>33.580399999999997</v>
      </c>
      <c r="GC104">
        <v>23.991199999999999</v>
      </c>
      <c r="GD104">
        <v>19</v>
      </c>
      <c r="GE104">
        <v>283.14499999999998</v>
      </c>
      <c r="GF104">
        <v>600.40300000000002</v>
      </c>
      <c r="GG104">
        <v>25.3186</v>
      </c>
      <c r="GH104">
        <v>25.984500000000001</v>
      </c>
      <c r="GI104">
        <v>29.9999</v>
      </c>
      <c r="GJ104">
        <v>26.110399999999998</v>
      </c>
      <c r="GK104">
        <v>26.093299999999999</v>
      </c>
      <c r="GL104">
        <v>35.748199999999997</v>
      </c>
      <c r="GM104">
        <v>31.515799999999999</v>
      </c>
      <c r="GN104">
        <v>99.254900000000006</v>
      </c>
      <c r="GO104">
        <v>25.324300000000001</v>
      </c>
      <c r="GP104">
        <v>800</v>
      </c>
      <c r="GQ104">
        <v>17.538599999999999</v>
      </c>
      <c r="GR104">
        <v>99.817099999999996</v>
      </c>
      <c r="GS104">
        <v>99.688699999999997</v>
      </c>
    </row>
    <row r="105" spans="1:201" x14ac:dyDescent="0.25">
      <c r="A105">
        <v>89</v>
      </c>
      <c r="B105">
        <v>1690233454.5999999</v>
      </c>
      <c r="C105">
        <v>948.5</v>
      </c>
      <c r="D105" t="s">
        <v>509</v>
      </c>
      <c r="E105" t="s">
        <v>510</v>
      </c>
      <c r="F105" t="s">
        <v>330</v>
      </c>
      <c r="H105">
        <v>1690233454.5999999</v>
      </c>
      <c r="I105">
        <f t="shared" si="30"/>
        <v>6.6840815878683655E-4</v>
      </c>
      <c r="J105">
        <f t="shared" si="31"/>
        <v>0.66840815878683657</v>
      </c>
      <c r="K105">
        <f t="shared" si="32"/>
        <v>11.21296959787195</v>
      </c>
      <c r="L105">
        <f t="shared" si="33"/>
        <v>674.19</v>
      </c>
      <c r="M105">
        <f t="shared" si="34"/>
        <v>212.79465447006902</v>
      </c>
      <c r="N105">
        <f t="shared" si="35"/>
        <v>21.088350886479812</v>
      </c>
      <c r="O105">
        <f t="shared" si="36"/>
        <v>66.813498297513007</v>
      </c>
      <c r="P105">
        <f t="shared" si="37"/>
        <v>4.0269363605561749E-2</v>
      </c>
      <c r="Q105">
        <f t="shared" si="38"/>
        <v>2.1357333883407508</v>
      </c>
      <c r="R105">
        <f t="shared" si="39"/>
        <v>3.9852256987239237E-2</v>
      </c>
      <c r="S105">
        <f t="shared" si="40"/>
        <v>2.4944775883112124E-2</v>
      </c>
      <c r="T105">
        <f t="shared" si="41"/>
        <v>276.11567924400003</v>
      </c>
      <c r="U105">
        <f t="shared" si="42"/>
        <v>29.08561139151427</v>
      </c>
      <c r="V105">
        <f t="shared" si="43"/>
        <v>29.08561139151427</v>
      </c>
      <c r="W105">
        <f t="shared" si="44"/>
        <v>4.0417394978286607</v>
      </c>
      <c r="X105">
        <f t="shared" si="45"/>
        <v>67.443642240913903</v>
      </c>
      <c r="Y105">
        <f t="shared" si="46"/>
        <v>2.4338926881706504</v>
      </c>
      <c r="Z105">
        <f t="shared" si="47"/>
        <v>3.6087800232920362</v>
      </c>
      <c r="AA105">
        <f t="shared" si="48"/>
        <v>1.6078468096580103</v>
      </c>
      <c r="AB105">
        <f t="shared" si="49"/>
        <v>-29.476799802499492</v>
      </c>
      <c r="AC105">
        <f t="shared" si="50"/>
        <v>-223.97486562021226</v>
      </c>
      <c r="AD105">
        <f t="shared" si="51"/>
        <v>-22.885295705528183</v>
      </c>
      <c r="AE105">
        <f t="shared" si="52"/>
        <v>-0.22128188423991446</v>
      </c>
      <c r="AF105">
        <v>0</v>
      </c>
      <c r="AG105">
        <v>0</v>
      </c>
      <c r="AH105">
        <f t="shared" si="53"/>
        <v>1</v>
      </c>
      <c r="AI105">
        <f t="shared" si="54"/>
        <v>0</v>
      </c>
      <c r="AJ105">
        <f t="shared" si="55"/>
        <v>52572.657768953068</v>
      </c>
      <c r="AK105">
        <f t="shared" si="56"/>
        <v>1800</v>
      </c>
      <c r="AL105">
        <f t="shared" si="57"/>
        <v>1499.1126173999999</v>
      </c>
      <c r="AM105">
        <f t="shared" si="58"/>
        <v>0.83284034299999987</v>
      </c>
      <c r="AN105">
        <f t="shared" si="59"/>
        <v>0.15339759958000002</v>
      </c>
      <c r="AO105">
        <v>32.4</v>
      </c>
      <c r="AP105">
        <v>0.5</v>
      </c>
      <c r="AQ105" t="s">
        <v>331</v>
      </c>
      <c r="AR105">
        <v>2</v>
      </c>
      <c r="AS105">
        <v>1690233454.5999999</v>
      </c>
      <c r="AT105">
        <v>674.19</v>
      </c>
      <c r="AU105">
        <v>800.06</v>
      </c>
      <c r="AV105">
        <v>24.5595</v>
      </c>
      <c r="AW105">
        <v>17.523399999999999</v>
      </c>
      <c r="AX105">
        <v>674.44100000000003</v>
      </c>
      <c r="AY105">
        <v>24.387499999999999</v>
      </c>
      <c r="AZ105">
        <v>300.23099999999999</v>
      </c>
      <c r="BA105">
        <v>99.001900000000006</v>
      </c>
      <c r="BB105">
        <v>9.9982699999999994E-2</v>
      </c>
      <c r="BC105">
        <v>27.1404</v>
      </c>
      <c r="BD105">
        <v>26.9923</v>
      </c>
      <c r="BE105">
        <v>29.207999999999998</v>
      </c>
      <c r="BF105">
        <v>0</v>
      </c>
      <c r="BG105">
        <v>0</v>
      </c>
      <c r="BH105">
        <v>10049.4</v>
      </c>
      <c r="BI105">
        <v>1080.6500000000001</v>
      </c>
      <c r="BJ105">
        <v>1.48295</v>
      </c>
      <c r="BK105">
        <v>-125.87</v>
      </c>
      <c r="BL105">
        <v>691.16399999999999</v>
      </c>
      <c r="BM105">
        <v>814.32899999999995</v>
      </c>
      <c r="BN105">
        <v>7.0360199999999997</v>
      </c>
      <c r="BO105">
        <v>800.06</v>
      </c>
      <c r="BP105">
        <v>17.523399999999999</v>
      </c>
      <c r="BQ105">
        <v>2.4314300000000002</v>
      </c>
      <c r="BR105">
        <v>1.73485</v>
      </c>
      <c r="BS105">
        <v>20.5747</v>
      </c>
      <c r="BT105">
        <v>15.2119</v>
      </c>
      <c r="BU105">
        <v>1800</v>
      </c>
      <c r="BV105">
        <v>0.90999799999999997</v>
      </c>
      <c r="BW105">
        <v>3.3996499999999999E-2</v>
      </c>
      <c r="BX105">
        <v>2.2002899999999999E-2</v>
      </c>
      <c r="BY105">
        <v>3.4002600000000001E-2</v>
      </c>
      <c r="BZ105">
        <v>25</v>
      </c>
      <c r="CA105">
        <v>33528.300000000003</v>
      </c>
      <c r="CB105">
        <v>1690232006</v>
      </c>
      <c r="CC105" t="s">
        <v>332</v>
      </c>
      <c r="CD105">
        <v>1690232006</v>
      </c>
      <c r="CE105">
        <v>1690231998.5</v>
      </c>
      <c r="CF105">
        <v>14</v>
      </c>
      <c r="CG105">
        <v>-0.13200000000000001</v>
      </c>
      <c r="CH105">
        <v>-7.0000000000000001E-3</v>
      </c>
      <c r="CI105">
        <v>-0.33800000000000002</v>
      </c>
      <c r="CJ105">
        <v>0.14299999999999999</v>
      </c>
      <c r="CK105">
        <v>799</v>
      </c>
      <c r="CL105">
        <v>19</v>
      </c>
      <c r="CM105">
        <v>7.0000000000000007E-2</v>
      </c>
      <c r="CN105">
        <v>0.14000000000000001</v>
      </c>
      <c r="CO105">
        <v>-122.29073170731709</v>
      </c>
      <c r="CP105">
        <v>-19.207860627177599</v>
      </c>
      <c r="CQ105">
        <v>1.894310313059973</v>
      </c>
      <c r="CR105">
        <v>-1</v>
      </c>
      <c r="CS105">
        <v>6.8551939024390229</v>
      </c>
      <c r="CT105">
        <v>0.93369972125435341</v>
      </c>
      <c r="CU105">
        <v>9.2500380694748585E-2</v>
      </c>
      <c r="CV105">
        <v>-1</v>
      </c>
      <c r="CW105">
        <v>0</v>
      </c>
      <c r="CX105">
        <v>0</v>
      </c>
      <c r="CY105" t="s">
        <v>333</v>
      </c>
      <c r="CZ105">
        <v>2.3648799999999999</v>
      </c>
      <c r="DA105">
        <v>2.7138200000000001</v>
      </c>
      <c r="DB105">
        <v>0.13069600000000001</v>
      </c>
      <c r="DC105">
        <v>0.14629700000000001</v>
      </c>
      <c r="DD105">
        <v>0.115801</v>
      </c>
      <c r="DE105">
        <v>8.9780700000000005E-2</v>
      </c>
      <c r="DF105">
        <v>31766.2</v>
      </c>
      <c r="DG105">
        <v>27545.8</v>
      </c>
      <c r="DH105">
        <v>31194.799999999999</v>
      </c>
      <c r="DI105">
        <v>28114.2</v>
      </c>
      <c r="DJ105">
        <v>37448.199999999997</v>
      </c>
      <c r="DK105">
        <v>36391</v>
      </c>
      <c r="DL105">
        <v>44398.1</v>
      </c>
      <c r="DM105">
        <v>42616.1</v>
      </c>
      <c r="DN105">
        <v>1.4791700000000001</v>
      </c>
      <c r="DO105">
        <v>2.0600800000000001</v>
      </c>
      <c r="DP105">
        <v>7.3835300000000006E-2</v>
      </c>
      <c r="DQ105">
        <v>0.22079799999999999</v>
      </c>
      <c r="DR105">
        <v>25.7836</v>
      </c>
      <c r="DS105">
        <v>25.599399999999999</v>
      </c>
      <c r="DT105">
        <v>56.5</v>
      </c>
      <c r="DU105">
        <v>28.8</v>
      </c>
      <c r="DV105">
        <v>22.686199999999999</v>
      </c>
      <c r="DW105">
        <v>61.768000000000001</v>
      </c>
      <c r="DX105">
        <v>36.494399999999999</v>
      </c>
      <c r="DY105">
        <v>1</v>
      </c>
      <c r="DZ105">
        <v>-0.114527</v>
      </c>
      <c r="EA105">
        <v>-0.29406599999999999</v>
      </c>
      <c r="EB105">
        <v>20.190000000000001</v>
      </c>
      <c r="EC105">
        <v>5.2413999999999996</v>
      </c>
      <c r="ED105">
        <v>12.039899999999999</v>
      </c>
      <c r="EE105">
        <v>5.0169499999999996</v>
      </c>
      <c r="EF105">
        <v>3.2879999999999998</v>
      </c>
      <c r="EG105">
        <v>9999</v>
      </c>
      <c r="EH105">
        <v>9999</v>
      </c>
      <c r="EI105">
        <v>9999</v>
      </c>
      <c r="EJ105">
        <v>999.9</v>
      </c>
      <c r="EK105">
        <v>1.8689</v>
      </c>
      <c r="EL105">
        <v>1.8646199999999999</v>
      </c>
      <c r="EM105">
        <v>1.86917</v>
      </c>
      <c r="EN105">
        <v>1.8672200000000001</v>
      </c>
      <c r="EO105">
        <v>1.86338</v>
      </c>
      <c r="EP105">
        <v>1.8644700000000001</v>
      </c>
      <c r="EQ105">
        <v>1.8701300000000001</v>
      </c>
      <c r="ER105">
        <v>1.86937</v>
      </c>
      <c r="ES105">
        <v>0</v>
      </c>
      <c r="ET105">
        <v>0</v>
      </c>
      <c r="EU105">
        <v>0</v>
      </c>
      <c r="EV105">
        <v>0</v>
      </c>
      <c r="EW105" t="s">
        <v>334</v>
      </c>
      <c r="EX105" t="s">
        <v>335</v>
      </c>
      <c r="EY105" t="s">
        <v>336</v>
      </c>
      <c r="EZ105" t="s">
        <v>336</v>
      </c>
      <c r="FA105" t="s">
        <v>336</v>
      </c>
      <c r="FB105" t="s">
        <v>336</v>
      </c>
      <c r="FC105">
        <v>0</v>
      </c>
      <c r="FD105">
        <v>100</v>
      </c>
      <c r="FE105">
        <v>100</v>
      </c>
      <c r="FF105">
        <v>-0.251</v>
      </c>
      <c r="FG105">
        <v>0.17199999999999999</v>
      </c>
      <c r="FH105">
        <v>0.2126736300064915</v>
      </c>
      <c r="FI105">
        <v>-6.1462078757559423E-4</v>
      </c>
      <c r="FJ105">
        <v>-1.8861989874597051E-7</v>
      </c>
      <c r="FK105">
        <v>1.1980462299894961E-10</v>
      </c>
      <c r="FL105">
        <v>0.1719881465068297</v>
      </c>
      <c r="FM105">
        <v>0</v>
      </c>
      <c r="FN105">
        <v>0</v>
      </c>
      <c r="FO105">
        <v>0</v>
      </c>
      <c r="FP105">
        <v>3</v>
      </c>
      <c r="FQ105">
        <v>2158</v>
      </c>
      <c r="FR105">
        <v>1</v>
      </c>
      <c r="FS105">
        <v>19</v>
      </c>
      <c r="FT105">
        <v>24.1</v>
      </c>
      <c r="FU105">
        <v>24.3</v>
      </c>
      <c r="FV105">
        <v>1.78833</v>
      </c>
      <c r="FW105">
        <v>2.5927699999999998</v>
      </c>
      <c r="FX105">
        <v>1.5490699999999999</v>
      </c>
      <c r="FY105">
        <v>2.3303199999999999</v>
      </c>
      <c r="FZ105">
        <v>1.50146</v>
      </c>
      <c r="GA105">
        <v>2.3278799999999999</v>
      </c>
      <c r="GB105">
        <v>33.580399999999997</v>
      </c>
      <c r="GC105">
        <v>23.982399999999998</v>
      </c>
      <c r="GD105">
        <v>19</v>
      </c>
      <c r="GE105">
        <v>283.07100000000003</v>
      </c>
      <c r="GF105">
        <v>600.10699999999997</v>
      </c>
      <c r="GG105">
        <v>25.335699999999999</v>
      </c>
      <c r="GH105">
        <v>25.982800000000001</v>
      </c>
      <c r="GI105">
        <v>30</v>
      </c>
      <c r="GJ105">
        <v>26.1082</v>
      </c>
      <c r="GK105">
        <v>26.0916</v>
      </c>
      <c r="GL105">
        <v>35.746200000000002</v>
      </c>
      <c r="GM105">
        <v>32.115600000000001</v>
      </c>
      <c r="GN105">
        <v>99.254900000000006</v>
      </c>
      <c r="GO105">
        <v>25.3384</v>
      </c>
      <c r="GP105">
        <v>800</v>
      </c>
      <c r="GQ105">
        <v>17.381599999999999</v>
      </c>
      <c r="GR105">
        <v>99.816699999999997</v>
      </c>
      <c r="GS105">
        <v>99.689599999999999</v>
      </c>
    </row>
    <row r="106" spans="1:201" x14ac:dyDescent="0.25">
      <c r="A106">
        <v>90</v>
      </c>
      <c r="B106">
        <v>1690233464.5999999</v>
      </c>
      <c r="C106">
        <v>958.5</v>
      </c>
      <c r="D106" t="s">
        <v>511</v>
      </c>
      <c r="E106" t="s">
        <v>512</v>
      </c>
      <c r="F106" t="s">
        <v>330</v>
      </c>
      <c r="H106">
        <v>1690233464.5999999</v>
      </c>
      <c r="I106">
        <f t="shared" si="30"/>
        <v>6.853823064186628E-4</v>
      </c>
      <c r="J106">
        <f t="shared" si="31"/>
        <v>0.68538230641866282</v>
      </c>
      <c r="K106">
        <f t="shared" si="32"/>
        <v>11.482658902746081</v>
      </c>
      <c r="L106">
        <f t="shared" si="33"/>
        <v>671.048</v>
      </c>
      <c r="M106">
        <f t="shared" si="34"/>
        <v>210.00820477701203</v>
      </c>
      <c r="N106">
        <f t="shared" si="35"/>
        <v>20.812173047464878</v>
      </c>
      <c r="O106">
        <f t="shared" si="36"/>
        <v>66.502006976272</v>
      </c>
      <c r="P106">
        <f t="shared" si="37"/>
        <v>4.1275013890102949E-2</v>
      </c>
      <c r="Q106">
        <f t="shared" si="38"/>
        <v>2.125095715876812</v>
      </c>
      <c r="R106">
        <f t="shared" si="39"/>
        <v>4.0834768839397739E-2</v>
      </c>
      <c r="S106">
        <f t="shared" si="40"/>
        <v>2.5560893423318434E-2</v>
      </c>
      <c r="T106">
        <f t="shared" si="41"/>
        <v>276.11556134400001</v>
      </c>
      <c r="U106">
        <f t="shared" si="42"/>
        <v>29.094307790180242</v>
      </c>
      <c r="V106">
        <f t="shared" si="43"/>
        <v>29.094307790180242</v>
      </c>
      <c r="W106">
        <f t="shared" si="44"/>
        <v>4.0437725439204613</v>
      </c>
      <c r="X106">
        <f t="shared" si="45"/>
        <v>67.445562623421907</v>
      </c>
      <c r="Y106">
        <f t="shared" si="46"/>
        <v>2.4347903705804002</v>
      </c>
      <c r="Z106">
        <f t="shared" si="47"/>
        <v>3.6100082434998733</v>
      </c>
      <c r="AA106">
        <f t="shared" si="48"/>
        <v>1.6089821733400611</v>
      </c>
      <c r="AB106">
        <f t="shared" si="49"/>
        <v>-30.225359713063028</v>
      </c>
      <c r="AC106">
        <f t="shared" si="50"/>
        <v>-223.19112545915675</v>
      </c>
      <c r="AD106">
        <f t="shared" si="51"/>
        <v>-22.92102750489266</v>
      </c>
      <c r="AE106">
        <f t="shared" si="52"/>
        <v>-0.22195133311242898</v>
      </c>
      <c r="AF106">
        <v>0</v>
      </c>
      <c r="AG106">
        <v>0</v>
      </c>
      <c r="AH106">
        <f t="shared" si="53"/>
        <v>1</v>
      </c>
      <c r="AI106">
        <f t="shared" si="54"/>
        <v>0</v>
      </c>
      <c r="AJ106">
        <f t="shared" si="55"/>
        <v>52113.495372816287</v>
      </c>
      <c r="AK106">
        <f t="shared" si="56"/>
        <v>1800</v>
      </c>
      <c r="AL106">
        <f t="shared" si="57"/>
        <v>1499.1127703999998</v>
      </c>
      <c r="AM106">
        <f t="shared" si="58"/>
        <v>0.83284042799999991</v>
      </c>
      <c r="AN106">
        <f t="shared" si="59"/>
        <v>0.15339753408000001</v>
      </c>
      <c r="AO106">
        <v>32.4</v>
      </c>
      <c r="AP106">
        <v>0.5</v>
      </c>
      <c r="AQ106" t="s">
        <v>331</v>
      </c>
      <c r="AR106">
        <v>2</v>
      </c>
      <c r="AS106">
        <v>1690233464.5999999</v>
      </c>
      <c r="AT106">
        <v>671.048</v>
      </c>
      <c r="AU106">
        <v>799.95699999999999</v>
      </c>
      <c r="AV106">
        <v>24.5686</v>
      </c>
      <c r="AW106">
        <v>17.3523</v>
      </c>
      <c r="AX106">
        <v>671.29700000000003</v>
      </c>
      <c r="AY106">
        <v>24.396699999999999</v>
      </c>
      <c r="AZ106">
        <v>300.16500000000002</v>
      </c>
      <c r="BA106">
        <v>99.0017</v>
      </c>
      <c r="BB106">
        <v>0.10001400000000001</v>
      </c>
      <c r="BC106">
        <v>27.1462</v>
      </c>
      <c r="BD106">
        <v>26.9985</v>
      </c>
      <c r="BE106">
        <v>29.215900000000001</v>
      </c>
      <c r="BF106">
        <v>0</v>
      </c>
      <c r="BG106">
        <v>0</v>
      </c>
      <c r="BH106">
        <v>9958.1200000000008</v>
      </c>
      <c r="BI106">
        <v>1080.72</v>
      </c>
      <c r="BJ106">
        <v>1.48295</v>
      </c>
      <c r="BK106">
        <v>-128.90899999999999</v>
      </c>
      <c r="BL106">
        <v>687.95</v>
      </c>
      <c r="BM106">
        <v>814.08299999999997</v>
      </c>
      <c r="BN106">
        <v>7.21631</v>
      </c>
      <c r="BO106">
        <v>799.95699999999999</v>
      </c>
      <c r="BP106">
        <v>17.3523</v>
      </c>
      <c r="BQ106">
        <v>2.4323399999999999</v>
      </c>
      <c r="BR106">
        <v>1.71791</v>
      </c>
      <c r="BS106">
        <v>20.5807</v>
      </c>
      <c r="BT106">
        <v>15.059200000000001</v>
      </c>
      <c r="BU106">
        <v>1800</v>
      </c>
      <c r="BV106">
        <v>0.91</v>
      </c>
      <c r="BW106">
        <v>3.3995699999999997E-2</v>
      </c>
      <c r="BX106">
        <v>2.2002399999999998E-2</v>
      </c>
      <c r="BY106">
        <v>3.4001799999999999E-2</v>
      </c>
      <c r="BZ106">
        <v>25</v>
      </c>
      <c r="CA106">
        <v>33528.300000000003</v>
      </c>
      <c r="CB106">
        <v>1690232006</v>
      </c>
      <c r="CC106" t="s">
        <v>332</v>
      </c>
      <c r="CD106">
        <v>1690232006</v>
      </c>
      <c r="CE106">
        <v>1690231998.5</v>
      </c>
      <c r="CF106">
        <v>14</v>
      </c>
      <c r="CG106">
        <v>-0.13200000000000001</v>
      </c>
      <c r="CH106">
        <v>-7.0000000000000001E-3</v>
      </c>
      <c r="CI106">
        <v>-0.33800000000000002</v>
      </c>
      <c r="CJ106">
        <v>0.14299999999999999</v>
      </c>
      <c r="CK106">
        <v>799</v>
      </c>
      <c r="CL106">
        <v>19</v>
      </c>
      <c r="CM106">
        <v>7.0000000000000007E-2</v>
      </c>
      <c r="CN106">
        <v>0.14000000000000001</v>
      </c>
      <c r="CO106">
        <v>-125.4832926829268</v>
      </c>
      <c r="CP106">
        <v>-19.226864111498369</v>
      </c>
      <c r="CQ106">
        <v>1.8964260384245819</v>
      </c>
      <c r="CR106">
        <v>-1</v>
      </c>
      <c r="CS106">
        <v>7.0203587804878058</v>
      </c>
      <c r="CT106">
        <v>0.97152062717771237</v>
      </c>
      <c r="CU106">
        <v>9.627495196862762E-2</v>
      </c>
      <c r="CV106">
        <v>-1</v>
      </c>
      <c r="CW106">
        <v>0</v>
      </c>
      <c r="CX106">
        <v>0</v>
      </c>
      <c r="CY106" t="s">
        <v>333</v>
      </c>
      <c r="CZ106">
        <v>2.3646600000000002</v>
      </c>
      <c r="DA106">
        <v>2.7137699999999998</v>
      </c>
      <c r="DB106">
        <v>0.130276</v>
      </c>
      <c r="DC106">
        <v>0.14628099999999999</v>
      </c>
      <c r="DD106">
        <v>0.115832</v>
      </c>
      <c r="DE106">
        <v>8.9148699999999997E-2</v>
      </c>
      <c r="DF106">
        <v>31782.3</v>
      </c>
      <c r="DG106">
        <v>27546.2</v>
      </c>
      <c r="DH106">
        <v>31195.599999999999</v>
      </c>
      <c r="DI106">
        <v>28114.1</v>
      </c>
      <c r="DJ106">
        <v>37447.9</v>
      </c>
      <c r="DK106">
        <v>36416.300000000003</v>
      </c>
      <c r="DL106">
        <v>44399.4</v>
      </c>
      <c r="DM106">
        <v>42616.1</v>
      </c>
      <c r="DN106">
        <v>1.4794</v>
      </c>
      <c r="DO106">
        <v>2.0601500000000001</v>
      </c>
      <c r="DP106">
        <v>7.4245000000000005E-2</v>
      </c>
      <c r="DQ106">
        <v>0.22128200000000001</v>
      </c>
      <c r="DR106">
        <v>25.783100000000001</v>
      </c>
      <c r="DS106">
        <v>25.599399999999999</v>
      </c>
      <c r="DT106">
        <v>56.5</v>
      </c>
      <c r="DU106">
        <v>28.8</v>
      </c>
      <c r="DV106">
        <v>22.688099999999999</v>
      </c>
      <c r="DW106">
        <v>61.878</v>
      </c>
      <c r="DX106">
        <v>36.101799999999997</v>
      </c>
      <c r="DY106">
        <v>1</v>
      </c>
      <c r="DZ106">
        <v>-0.11434999999999999</v>
      </c>
      <c r="EA106">
        <v>-0.30007899999999998</v>
      </c>
      <c r="EB106">
        <v>20.189499999999999</v>
      </c>
      <c r="EC106">
        <v>5.2409499999999998</v>
      </c>
      <c r="ED106">
        <v>12.039899999999999</v>
      </c>
      <c r="EE106">
        <v>5.0167999999999999</v>
      </c>
      <c r="EF106">
        <v>3.2879999999999998</v>
      </c>
      <c r="EG106">
        <v>9999</v>
      </c>
      <c r="EH106">
        <v>9999</v>
      </c>
      <c r="EI106">
        <v>9999</v>
      </c>
      <c r="EJ106">
        <v>999.9</v>
      </c>
      <c r="EK106">
        <v>1.8689</v>
      </c>
      <c r="EL106">
        <v>1.8646199999999999</v>
      </c>
      <c r="EM106">
        <v>1.8691899999999999</v>
      </c>
      <c r="EN106">
        <v>1.8672200000000001</v>
      </c>
      <c r="EO106">
        <v>1.86338</v>
      </c>
      <c r="EP106">
        <v>1.8644700000000001</v>
      </c>
      <c r="EQ106">
        <v>1.87012</v>
      </c>
      <c r="ER106">
        <v>1.8693599999999999</v>
      </c>
      <c r="ES106">
        <v>0</v>
      </c>
      <c r="ET106">
        <v>0</v>
      </c>
      <c r="EU106">
        <v>0</v>
      </c>
      <c r="EV106">
        <v>0</v>
      </c>
      <c r="EW106" t="s">
        <v>334</v>
      </c>
      <c r="EX106" t="s">
        <v>335</v>
      </c>
      <c r="EY106" t="s">
        <v>336</v>
      </c>
      <c r="EZ106" t="s">
        <v>336</v>
      </c>
      <c r="FA106" t="s">
        <v>336</v>
      </c>
      <c r="FB106" t="s">
        <v>336</v>
      </c>
      <c r="FC106">
        <v>0</v>
      </c>
      <c r="FD106">
        <v>100</v>
      </c>
      <c r="FE106">
        <v>100</v>
      </c>
      <c r="FF106">
        <v>-0.249</v>
      </c>
      <c r="FG106">
        <v>0.1719</v>
      </c>
      <c r="FH106">
        <v>0.2126736300064915</v>
      </c>
      <c r="FI106">
        <v>-6.1462078757559423E-4</v>
      </c>
      <c r="FJ106">
        <v>-1.8861989874597051E-7</v>
      </c>
      <c r="FK106">
        <v>1.1980462299894961E-10</v>
      </c>
      <c r="FL106">
        <v>0.1719881465068297</v>
      </c>
      <c r="FM106">
        <v>0</v>
      </c>
      <c r="FN106">
        <v>0</v>
      </c>
      <c r="FO106">
        <v>0</v>
      </c>
      <c r="FP106">
        <v>3</v>
      </c>
      <c r="FQ106">
        <v>2158</v>
      </c>
      <c r="FR106">
        <v>1</v>
      </c>
      <c r="FS106">
        <v>19</v>
      </c>
      <c r="FT106">
        <v>24.3</v>
      </c>
      <c r="FU106">
        <v>24.4</v>
      </c>
      <c r="FV106">
        <v>1.78833</v>
      </c>
      <c r="FW106">
        <v>2.5854499999999998</v>
      </c>
      <c r="FX106">
        <v>1.5490699999999999</v>
      </c>
      <c r="FY106">
        <v>2.3303199999999999</v>
      </c>
      <c r="FZ106">
        <v>1.50146</v>
      </c>
      <c r="GA106">
        <v>2.3925800000000002</v>
      </c>
      <c r="GB106">
        <v>33.580399999999997</v>
      </c>
      <c r="GC106">
        <v>23.991199999999999</v>
      </c>
      <c r="GD106">
        <v>19</v>
      </c>
      <c r="GE106">
        <v>283.16300000000001</v>
      </c>
      <c r="GF106">
        <v>600.14499999999998</v>
      </c>
      <c r="GG106">
        <v>25.349</v>
      </c>
      <c r="GH106">
        <v>25.982299999999999</v>
      </c>
      <c r="GI106">
        <v>30.0001</v>
      </c>
      <c r="GJ106">
        <v>26.107199999999999</v>
      </c>
      <c r="GK106">
        <v>26.089400000000001</v>
      </c>
      <c r="GL106">
        <v>35.747399999999999</v>
      </c>
      <c r="GM106">
        <v>32.674700000000001</v>
      </c>
      <c r="GN106">
        <v>99.254900000000006</v>
      </c>
      <c r="GO106">
        <v>25.351600000000001</v>
      </c>
      <c r="GP106">
        <v>800</v>
      </c>
      <c r="GQ106">
        <v>17.2287</v>
      </c>
      <c r="GR106">
        <v>99.819299999999998</v>
      </c>
      <c r="GS106">
        <v>99.689400000000006</v>
      </c>
    </row>
    <row r="107" spans="1:201" x14ac:dyDescent="0.25">
      <c r="A107">
        <v>91</v>
      </c>
      <c r="B107">
        <v>1690233474.5999999</v>
      </c>
      <c r="C107">
        <v>968.5</v>
      </c>
      <c r="D107" t="s">
        <v>513</v>
      </c>
      <c r="E107" t="s">
        <v>514</v>
      </c>
      <c r="F107" t="s">
        <v>330</v>
      </c>
      <c r="H107">
        <v>1690233474.5999999</v>
      </c>
      <c r="I107">
        <f t="shared" si="30"/>
        <v>6.997412998248309E-4</v>
      </c>
      <c r="J107">
        <f t="shared" si="31"/>
        <v>0.69974129982483091</v>
      </c>
      <c r="K107">
        <f t="shared" si="32"/>
        <v>11.781156536800873</v>
      </c>
      <c r="L107">
        <f t="shared" si="33"/>
        <v>667.85</v>
      </c>
      <c r="M107">
        <f t="shared" si="34"/>
        <v>205.69928507965378</v>
      </c>
      <c r="N107">
        <f t="shared" si="35"/>
        <v>20.38462704280186</v>
      </c>
      <c r="O107">
        <f t="shared" si="36"/>
        <v>66.183376209905006</v>
      </c>
      <c r="P107">
        <f t="shared" si="37"/>
        <v>4.2240078152481292E-2</v>
      </c>
      <c r="Q107">
        <f t="shared" si="38"/>
        <v>2.128499161436177</v>
      </c>
      <c r="R107">
        <f t="shared" si="39"/>
        <v>4.1779857803823602E-2</v>
      </c>
      <c r="S107">
        <f t="shared" si="40"/>
        <v>2.6153342194840983E-2</v>
      </c>
      <c r="T107">
        <f t="shared" si="41"/>
        <v>276.11536413599993</v>
      </c>
      <c r="U107">
        <f t="shared" si="42"/>
        <v>29.084771802848788</v>
      </c>
      <c r="V107">
        <f t="shared" si="43"/>
        <v>29.084771802848788</v>
      </c>
      <c r="W107">
        <f t="shared" si="44"/>
        <v>4.041543265779838</v>
      </c>
      <c r="X107">
        <f t="shared" si="45"/>
        <v>67.487067451307325</v>
      </c>
      <c r="Y107">
        <f t="shared" si="46"/>
        <v>2.4360457223242702</v>
      </c>
      <c r="Z107">
        <f t="shared" si="47"/>
        <v>3.6096482101284137</v>
      </c>
      <c r="AA107">
        <f t="shared" si="48"/>
        <v>1.6054975434555678</v>
      </c>
      <c r="AB107">
        <f t="shared" si="49"/>
        <v>-30.858591322275043</v>
      </c>
      <c r="AC107">
        <f t="shared" si="50"/>
        <v>-222.64938459971449</v>
      </c>
      <c r="AD107">
        <f t="shared" si="51"/>
        <v>-22.827551286178249</v>
      </c>
      <c r="AE107">
        <f t="shared" si="52"/>
        <v>-0.2201630721678498</v>
      </c>
      <c r="AF107">
        <v>0</v>
      </c>
      <c r="AG107">
        <v>0</v>
      </c>
      <c r="AH107">
        <f t="shared" si="53"/>
        <v>1</v>
      </c>
      <c r="AI107">
        <f t="shared" si="54"/>
        <v>0</v>
      </c>
      <c r="AJ107">
        <f t="shared" si="55"/>
        <v>52260.032841228378</v>
      </c>
      <c r="AK107">
        <f t="shared" si="56"/>
        <v>1800</v>
      </c>
      <c r="AL107">
        <f t="shared" si="57"/>
        <v>1499.1129215999999</v>
      </c>
      <c r="AM107">
        <f t="shared" si="58"/>
        <v>0.83284051199999998</v>
      </c>
      <c r="AN107">
        <f t="shared" si="59"/>
        <v>0.15339742451999996</v>
      </c>
      <c r="AO107">
        <v>32.4</v>
      </c>
      <c r="AP107">
        <v>0.5</v>
      </c>
      <c r="AQ107" t="s">
        <v>331</v>
      </c>
      <c r="AR107">
        <v>2</v>
      </c>
      <c r="AS107">
        <v>1690233474.5999999</v>
      </c>
      <c r="AT107">
        <v>667.85</v>
      </c>
      <c r="AU107">
        <v>800.04499999999996</v>
      </c>
      <c r="AV107">
        <v>24.581900000000001</v>
      </c>
      <c r="AW107">
        <v>17.215399999999999</v>
      </c>
      <c r="AX107">
        <v>668.096</v>
      </c>
      <c r="AY107">
        <v>24.4099</v>
      </c>
      <c r="AZ107">
        <v>300.20100000000002</v>
      </c>
      <c r="BA107">
        <v>98.999200000000002</v>
      </c>
      <c r="BB107">
        <v>9.9963300000000005E-2</v>
      </c>
      <c r="BC107">
        <v>27.144500000000001</v>
      </c>
      <c r="BD107">
        <v>26.9849</v>
      </c>
      <c r="BE107">
        <v>29.221599999999999</v>
      </c>
      <c r="BF107">
        <v>0</v>
      </c>
      <c r="BG107">
        <v>0</v>
      </c>
      <c r="BH107">
        <v>9987.5</v>
      </c>
      <c r="BI107">
        <v>1080.81</v>
      </c>
      <c r="BJ107">
        <v>1.47174</v>
      </c>
      <c r="BK107">
        <v>-132.19499999999999</v>
      </c>
      <c r="BL107">
        <v>684.68</v>
      </c>
      <c r="BM107">
        <v>814.05899999999997</v>
      </c>
      <c r="BN107">
        <v>7.36653</v>
      </c>
      <c r="BO107">
        <v>800.04499999999996</v>
      </c>
      <c r="BP107">
        <v>17.215399999999999</v>
      </c>
      <c r="BQ107">
        <v>2.4335900000000001</v>
      </c>
      <c r="BR107">
        <v>1.70431</v>
      </c>
      <c r="BS107">
        <v>20.588999999999999</v>
      </c>
      <c r="BT107">
        <v>14.935700000000001</v>
      </c>
      <c r="BU107">
        <v>1800</v>
      </c>
      <c r="BV107">
        <v>0.91000300000000001</v>
      </c>
      <c r="BW107">
        <v>3.3994499999999997E-2</v>
      </c>
      <c r="BX107">
        <v>2.20016E-2</v>
      </c>
      <c r="BY107">
        <v>3.4000599999999999E-2</v>
      </c>
      <c r="BZ107">
        <v>25</v>
      </c>
      <c r="CA107">
        <v>33528.400000000001</v>
      </c>
      <c r="CB107">
        <v>1690232006</v>
      </c>
      <c r="CC107" t="s">
        <v>332</v>
      </c>
      <c r="CD107">
        <v>1690232006</v>
      </c>
      <c r="CE107">
        <v>1690231998.5</v>
      </c>
      <c r="CF107">
        <v>14</v>
      </c>
      <c r="CG107">
        <v>-0.13200000000000001</v>
      </c>
      <c r="CH107">
        <v>-7.0000000000000001E-3</v>
      </c>
      <c r="CI107">
        <v>-0.33800000000000002</v>
      </c>
      <c r="CJ107">
        <v>0.14299999999999999</v>
      </c>
      <c r="CK107">
        <v>799</v>
      </c>
      <c r="CL107">
        <v>19</v>
      </c>
      <c r="CM107">
        <v>7.0000000000000007E-2</v>
      </c>
      <c r="CN107">
        <v>0.14000000000000001</v>
      </c>
      <c r="CO107">
        <v>-128.57827499999999</v>
      </c>
      <c r="CP107">
        <v>-18.714337711069302</v>
      </c>
      <c r="CQ107">
        <v>1.8005023741653321</v>
      </c>
      <c r="CR107">
        <v>-1</v>
      </c>
      <c r="CS107">
        <v>7.1830410000000002</v>
      </c>
      <c r="CT107">
        <v>0.97205335834893669</v>
      </c>
      <c r="CU107">
        <v>9.386657897782362E-2</v>
      </c>
      <c r="CV107">
        <v>-1</v>
      </c>
      <c r="CW107">
        <v>0</v>
      </c>
      <c r="CX107">
        <v>0</v>
      </c>
      <c r="CY107" t="s">
        <v>333</v>
      </c>
      <c r="CZ107">
        <v>2.3647900000000002</v>
      </c>
      <c r="DA107">
        <v>2.71374</v>
      </c>
      <c r="DB107">
        <v>0.12984499999999999</v>
      </c>
      <c r="DC107">
        <v>0.146287</v>
      </c>
      <c r="DD107">
        <v>0.115873</v>
      </c>
      <c r="DE107">
        <v>8.8638999999999996E-2</v>
      </c>
      <c r="DF107">
        <v>31798.400000000001</v>
      </c>
      <c r="DG107">
        <v>27546.1</v>
      </c>
      <c r="DH107">
        <v>31195.9</v>
      </c>
      <c r="DI107">
        <v>28114.1</v>
      </c>
      <c r="DJ107">
        <v>37446.6</v>
      </c>
      <c r="DK107">
        <v>36436.800000000003</v>
      </c>
      <c r="DL107">
        <v>44400</v>
      </c>
      <c r="DM107">
        <v>42616.2</v>
      </c>
      <c r="DN107">
        <v>1.4791700000000001</v>
      </c>
      <c r="DO107">
        <v>2.0598999999999998</v>
      </c>
      <c r="DP107">
        <v>7.3388200000000001E-2</v>
      </c>
      <c r="DQ107">
        <v>0.22176699999999999</v>
      </c>
      <c r="DR107">
        <v>25.7836</v>
      </c>
      <c r="DS107">
        <v>25.597200000000001</v>
      </c>
      <c r="DT107">
        <v>56.5</v>
      </c>
      <c r="DU107">
        <v>28.8</v>
      </c>
      <c r="DV107">
        <v>22.693300000000001</v>
      </c>
      <c r="DW107">
        <v>61.688000000000002</v>
      </c>
      <c r="DX107">
        <v>36.225999999999999</v>
      </c>
      <c r="DY107">
        <v>1</v>
      </c>
      <c r="DZ107">
        <v>-0.114426</v>
      </c>
      <c r="EA107">
        <v>-0.27884500000000001</v>
      </c>
      <c r="EB107">
        <v>20.189599999999999</v>
      </c>
      <c r="EC107">
        <v>5.2411000000000003</v>
      </c>
      <c r="ED107">
        <v>12.039899999999999</v>
      </c>
      <c r="EE107">
        <v>5.0167999999999999</v>
      </c>
      <c r="EF107">
        <v>3.2879999999999998</v>
      </c>
      <c r="EG107">
        <v>9999</v>
      </c>
      <c r="EH107">
        <v>9999</v>
      </c>
      <c r="EI107">
        <v>9999</v>
      </c>
      <c r="EJ107">
        <v>999.9</v>
      </c>
      <c r="EK107">
        <v>1.8689</v>
      </c>
      <c r="EL107">
        <v>1.8646199999999999</v>
      </c>
      <c r="EM107">
        <v>1.8691899999999999</v>
      </c>
      <c r="EN107">
        <v>1.8672200000000001</v>
      </c>
      <c r="EO107">
        <v>1.86338</v>
      </c>
      <c r="EP107">
        <v>1.8644700000000001</v>
      </c>
      <c r="EQ107">
        <v>1.8701300000000001</v>
      </c>
      <c r="ER107">
        <v>1.8693599999999999</v>
      </c>
      <c r="ES107">
        <v>0</v>
      </c>
      <c r="ET107">
        <v>0</v>
      </c>
      <c r="EU107">
        <v>0</v>
      </c>
      <c r="EV107">
        <v>0</v>
      </c>
      <c r="EW107" t="s">
        <v>334</v>
      </c>
      <c r="EX107" t="s">
        <v>335</v>
      </c>
      <c r="EY107" t="s">
        <v>336</v>
      </c>
      <c r="EZ107" t="s">
        <v>336</v>
      </c>
      <c r="FA107" t="s">
        <v>336</v>
      </c>
      <c r="FB107" t="s">
        <v>336</v>
      </c>
      <c r="FC107">
        <v>0</v>
      </c>
      <c r="FD107">
        <v>100</v>
      </c>
      <c r="FE107">
        <v>100</v>
      </c>
      <c r="FF107">
        <v>-0.246</v>
      </c>
      <c r="FG107">
        <v>0.17199999999999999</v>
      </c>
      <c r="FH107">
        <v>0.2126736300064915</v>
      </c>
      <c r="FI107">
        <v>-6.1462078757559423E-4</v>
      </c>
      <c r="FJ107">
        <v>-1.8861989874597051E-7</v>
      </c>
      <c r="FK107">
        <v>1.1980462299894961E-10</v>
      </c>
      <c r="FL107">
        <v>0.1719881465068297</v>
      </c>
      <c r="FM107">
        <v>0</v>
      </c>
      <c r="FN107">
        <v>0</v>
      </c>
      <c r="FO107">
        <v>0</v>
      </c>
      <c r="FP107">
        <v>3</v>
      </c>
      <c r="FQ107">
        <v>2158</v>
      </c>
      <c r="FR107">
        <v>1</v>
      </c>
      <c r="FS107">
        <v>19</v>
      </c>
      <c r="FT107">
        <v>24.5</v>
      </c>
      <c r="FU107">
        <v>24.6</v>
      </c>
      <c r="FV107">
        <v>1.78833</v>
      </c>
      <c r="FW107">
        <v>2.5903299999999998</v>
      </c>
      <c r="FX107">
        <v>1.5490699999999999</v>
      </c>
      <c r="FY107">
        <v>2.3303199999999999</v>
      </c>
      <c r="FZ107">
        <v>1.50146</v>
      </c>
      <c r="GA107">
        <v>2.3083499999999999</v>
      </c>
      <c r="GB107">
        <v>33.580399999999997</v>
      </c>
      <c r="GC107">
        <v>23.982399999999998</v>
      </c>
      <c r="GD107">
        <v>19</v>
      </c>
      <c r="GE107">
        <v>283.06200000000001</v>
      </c>
      <c r="GF107">
        <v>599.90800000000002</v>
      </c>
      <c r="GG107">
        <v>25.3567</v>
      </c>
      <c r="GH107">
        <v>25.9801</v>
      </c>
      <c r="GI107">
        <v>30.0001</v>
      </c>
      <c r="GJ107">
        <v>26.106100000000001</v>
      </c>
      <c r="GK107">
        <v>26.087199999999999</v>
      </c>
      <c r="GL107">
        <v>35.745399999999997</v>
      </c>
      <c r="GM107">
        <v>33.554299999999998</v>
      </c>
      <c r="GN107">
        <v>98.876999999999995</v>
      </c>
      <c r="GO107">
        <v>25.355399999999999</v>
      </c>
      <c r="GP107">
        <v>800</v>
      </c>
      <c r="GQ107">
        <v>17.0671</v>
      </c>
      <c r="GR107">
        <v>99.820599999999999</v>
      </c>
      <c r="GS107">
        <v>99.689499999999995</v>
      </c>
    </row>
    <row r="108" spans="1:201" x14ac:dyDescent="0.25">
      <c r="A108">
        <v>92</v>
      </c>
      <c r="B108">
        <v>1690233484.5999999</v>
      </c>
      <c r="C108">
        <v>978.5</v>
      </c>
      <c r="D108" t="s">
        <v>515</v>
      </c>
      <c r="E108" t="s">
        <v>516</v>
      </c>
      <c r="F108" t="s">
        <v>330</v>
      </c>
      <c r="H108">
        <v>1690233484.5999999</v>
      </c>
      <c r="I108">
        <f t="shared" si="30"/>
        <v>7.1612292223147871E-4</v>
      </c>
      <c r="J108">
        <f t="shared" si="31"/>
        <v>0.71612292223147866</v>
      </c>
      <c r="K108">
        <f t="shared" si="32"/>
        <v>12.061794965121898</v>
      </c>
      <c r="L108">
        <f t="shared" si="33"/>
        <v>664.74300000000005</v>
      </c>
      <c r="M108">
        <f t="shared" si="34"/>
        <v>203.41120216035492</v>
      </c>
      <c r="N108">
        <f t="shared" si="35"/>
        <v>20.158149968309193</v>
      </c>
      <c r="O108">
        <f t="shared" si="36"/>
        <v>65.876357555864402</v>
      </c>
      <c r="P108">
        <f t="shared" si="37"/>
        <v>4.3326010975609355E-2</v>
      </c>
      <c r="Q108">
        <f t="shared" si="38"/>
        <v>2.1296807983375046</v>
      </c>
      <c r="R108">
        <f t="shared" si="39"/>
        <v>4.2842234808919195E-2</v>
      </c>
      <c r="S108">
        <f t="shared" si="40"/>
        <v>2.6819411939867685E-2</v>
      </c>
      <c r="T108">
        <f t="shared" si="41"/>
        <v>276.11535340799998</v>
      </c>
      <c r="U108">
        <f t="shared" si="42"/>
        <v>29.075187125965382</v>
      </c>
      <c r="V108">
        <f t="shared" si="43"/>
        <v>29.075187125965382</v>
      </c>
      <c r="W108">
        <f t="shared" si="44"/>
        <v>4.039303685104886</v>
      </c>
      <c r="X108">
        <f t="shared" si="45"/>
        <v>67.523069779006633</v>
      </c>
      <c r="Y108">
        <f t="shared" si="46"/>
        <v>2.4369306190173998</v>
      </c>
      <c r="Z108">
        <f t="shared" si="47"/>
        <v>3.6090341078880539</v>
      </c>
      <c r="AA108">
        <f t="shared" si="48"/>
        <v>1.6023730660874862</v>
      </c>
      <c r="AB108">
        <f t="shared" si="49"/>
        <v>-31.58102087040821</v>
      </c>
      <c r="AC108">
        <f t="shared" si="50"/>
        <v>-222.00548494345892</v>
      </c>
      <c r="AD108">
        <f t="shared" si="51"/>
        <v>-22.747488797077512</v>
      </c>
      <c r="AE108">
        <f t="shared" si="52"/>
        <v>-0.21864120294466716</v>
      </c>
      <c r="AF108">
        <v>0</v>
      </c>
      <c r="AG108">
        <v>0</v>
      </c>
      <c r="AH108">
        <f t="shared" si="53"/>
        <v>1</v>
      </c>
      <c r="AI108">
        <f t="shared" si="54"/>
        <v>0</v>
      </c>
      <c r="AJ108">
        <f t="shared" si="55"/>
        <v>52311.420371983397</v>
      </c>
      <c r="AK108">
        <f t="shared" si="56"/>
        <v>1800</v>
      </c>
      <c r="AL108">
        <f t="shared" si="57"/>
        <v>1499.1141888</v>
      </c>
      <c r="AM108">
        <f t="shared" si="58"/>
        <v>0.83284121599999994</v>
      </c>
      <c r="AN108">
        <f t="shared" si="59"/>
        <v>0.15339741856</v>
      </c>
      <c r="AO108">
        <v>32.4</v>
      </c>
      <c r="AP108">
        <v>0.5</v>
      </c>
      <c r="AQ108" t="s">
        <v>331</v>
      </c>
      <c r="AR108">
        <v>2</v>
      </c>
      <c r="AS108">
        <v>1690233484.5999999</v>
      </c>
      <c r="AT108">
        <v>664.74300000000005</v>
      </c>
      <c r="AU108">
        <v>800.09699999999998</v>
      </c>
      <c r="AV108">
        <v>24.590499999999999</v>
      </c>
      <c r="AW108">
        <v>17.049600000000002</v>
      </c>
      <c r="AX108">
        <v>664.98699999999997</v>
      </c>
      <c r="AY108">
        <v>24.418500000000002</v>
      </c>
      <c r="AZ108">
        <v>300.12099999999998</v>
      </c>
      <c r="BA108">
        <v>99.000500000000002</v>
      </c>
      <c r="BB108">
        <v>9.9990800000000005E-2</v>
      </c>
      <c r="BC108">
        <v>27.1416</v>
      </c>
      <c r="BD108">
        <v>26.996099999999998</v>
      </c>
      <c r="BE108">
        <v>29.204999999999998</v>
      </c>
      <c r="BF108">
        <v>0</v>
      </c>
      <c r="BG108">
        <v>0</v>
      </c>
      <c r="BH108">
        <v>9997.5</v>
      </c>
      <c r="BI108">
        <v>1080.71</v>
      </c>
      <c r="BJ108">
        <v>1.4577199999999999</v>
      </c>
      <c r="BK108">
        <v>-135.35400000000001</v>
      </c>
      <c r="BL108">
        <v>681.50099999999998</v>
      </c>
      <c r="BM108">
        <v>813.97400000000005</v>
      </c>
      <c r="BN108">
        <v>7.5408299999999997</v>
      </c>
      <c r="BO108">
        <v>800.09699999999998</v>
      </c>
      <c r="BP108">
        <v>17.049600000000002</v>
      </c>
      <c r="BQ108">
        <v>2.4344700000000001</v>
      </c>
      <c r="BR108">
        <v>1.6879200000000001</v>
      </c>
      <c r="BS108">
        <v>20.594899999999999</v>
      </c>
      <c r="BT108">
        <v>14.7858</v>
      </c>
      <c r="BU108">
        <v>1800</v>
      </c>
      <c r="BV108">
        <v>0.91000700000000001</v>
      </c>
      <c r="BW108">
        <v>3.3993200000000001E-2</v>
      </c>
      <c r="BX108">
        <v>2.2000800000000001E-2</v>
      </c>
      <c r="BY108">
        <v>3.39992E-2</v>
      </c>
      <c r="BZ108">
        <v>25</v>
      </c>
      <c r="CA108">
        <v>33528.400000000001</v>
      </c>
      <c r="CB108">
        <v>1690232006</v>
      </c>
      <c r="CC108" t="s">
        <v>332</v>
      </c>
      <c r="CD108">
        <v>1690232006</v>
      </c>
      <c r="CE108">
        <v>1690231998.5</v>
      </c>
      <c r="CF108">
        <v>14</v>
      </c>
      <c r="CG108">
        <v>-0.13200000000000001</v>
      </c>
      <c r="CH108">
        <v>-7.0000000000000001E-3</v>
      </c>
      <c r="CI108">
        <v>-0.33800000000000002</v>
      </c>
      <c r="CJ108">
        <v>0.14299999999999999</v>
      </c>
      <c r="CK108">
        <v>799</v>
      </c>
      <c r="CL108">
        <v>19</v>
      </c>
      <c r="CM108">
        <v>7.0000000000000007E-2</v>
      </c>
      <c r="CN108">
        <v>0.14000000000000001</v>
      </c>
      <c r="CO108">
        <v>-131.82004878048781</v>
      </c>
      <c r="CP108">
        <v>-19.11495470383246</v>
      </c>
      <c r="CQ108">
        <v>1.885048863327595</v>
      </c>
      <c r="CR108">
        <v>-1</v>
      </c>
      <c r="CS108">
        <v>7.3511917073170734</v>
      </c>
      <c r="CT108">
        <v>0.94477818815332026</v>
      </c>
      <c r="CU108">
        <v>9.3448961129107555E-2</v>
      </c>
      <c r="CV108">
        <v>-1</v>
      </c>
      <c r="CW108">
        <v>0</v>
      </c>
      <c r="CX108">
        <v>0</v>
      </c>
      <c r="CY108" t="s">
        <v>333</v>
      </c>
      <c r="CZ108">
        <v>2.3645299999999998</v>
      </c>
      <c r="DA108">
        <v>2.7137799999999999</v>
      </c>
      <c r="DB108">
        <v>0.12942999999999999</v>
      </c>
      <c r="DC108">
        <v>0.14629200000000001</v>
      </c>
      <c r="DD108">
        <v>0.11590399999999999</v>
      </c>
      <c r="DE108">
        <v>8.8023799999999999E-2</v>
      </c>
      <c r="DF108">
        <v>31813.4</v>
      </c>
      <c r="DG108">
        <v>27546.5</v>
      </c>
      <c r="DH108">
        <v>31195.8</v>
      </c>
      <c r="DI108">
        <v>28114.799999999999</v>
      </c>
      <c r="DJ108">
        <v>37445.1</v>
      </c>
      <c r="DK108">
        <v>36462.1</v>
      </c>
      <c r="DL108">
        <v>44399.8</v>
      </c>
      <c r="DM108">
        <v>42616.9</v>
      </c>
      <c r="DN108">
        <v>1.47922</v>
      </c>
      <c r="DO108">
        <v>2.0595500000000002</v>
      </c>
      <c r="DP108">
        <v>7.41705E-2</v>
      </c>
      <c r="DQ108">
        <v>0.220612</v>
      </c>
      <c r="DR108">
        <v>25.7819</v>
      </c>
      <c r="DS108">
        <v>25.599399999999999</v>
      </c>
      <c r="DT108">
        <v>56.5</v>
      </c>
      <c r="DU108">
        <v>28.8</v>
      </c>
      <c r="DV108">
        <v>22.688199999999998</v>
      </c>
      <c r="DW108">
        <v>61.558</v>
      </c>
      <c r="DX108">
        <v>36.330100000000002</v>
      </c>
      <c r="DY108">
        <v>1</v>
      </c>
      <c r="DZ108">
        <v>-0.114553</v>
      </c>
      <c r="EA108">
        <v>-0.31473899999999999</v>
      </c>
      <c r="EB108">
        <v>20.189499999999999</v>
      </c>
      <c r="EC108">
        <v>5.2403500000000003</v>
      </c>
      <c r="ED108">
        <v>12.039899999999999</v>
      </c>
      <c r="EE108">
        <v>5.01715</v>
      </c>
      <c r="EF108">
        <v>3.2879999999999998</v>
      </c>
      <c r="EG108">
        <v>9999</v>
      </c>
      <c r="EH108">
        <v>9999</v>
      </c>
      <c r="EI108">
        <v>9999</v>
      </c>
      <c r="EJ108">
        <v>999.9</v>
      </c>
      <c r="EK108">
        <v>1.8689</v>
      </c>
      <c r="EL108">
        <v>1.8646199999999999</v>
      </c>
      <c r="EM108">
        <v>1.86917</v>
      </c>
      <c r="EN108">
        <v>1.8672200000000001</v>
      </c>
      <c r="EO108">
        <v>1.8633999999999999</v>
      </c>
      <c r="EP108">
        <v>1.8644700000000001</v>
      </c>
      <c r="EQ108">
        <v>1.8701300000000001</v>
      </c>
      <c r="ER108">
        <v>1.8693900000000001</v>
      </c>
      <c r="ES108">
        <v>0</v>
      </c>
      <c r="ET108">
        <v>0</v>
      </c>
      <c r="EU108">
        <v>0</v>
      </c>
      <c r="EV108">
        <v>0</v>
      </c>
      <c r="EW108" t="s">
        <v>334</v>
      </c>
      <c r="EX108" t="s">
        <v>335</v>
      </c>
      <c r="EY108" t="s">
        <v>336</v>
      </c>
      <c r="EZ108" t="s">
        <v>336</v>
      </c>
      <c r="FA108" t="s">
        <v>336</v>
      </c>
      <c r="FB108" t="s">
        <v>336</v>
      </c>
      <c r="FC108">
        <v>0</v>
      </c>
      <c r="FD108">
        <v>100</v>
      </c>
      <c r="FE108">
        <v>100</v>
      </c>
      <c r="FF108">
        <v>-0.24399999999999999</v>
      </c>
      <c r="FG108">
        <v>0.17199999999999999</v>
      </c>
      <c r="FH108">
        <v>0.2126736300064915</v>
      </c>
      <c r="FI108">
        <v>-6.1462078757559423E-4</v>
      </c>
      <c r="FJ108">
        <v>-1.8861989874597051E-7</v>
      </c>
      <c r="FK108">
        <v>1.1980462299894961E-10</v>
      </c>
      <c r="FL108">
        <v>0.1719881465068297</v>
      </c>
      <c r="FM108">
        <v>0</v>
      </c>
      <c r="FN108">
        <v>0</v>
      </c>
      <c r="FO108">
        <v>0</v>
      </c>
      <c r="FP108">
        <v>3</v>
      </c>
      <c r="FQ108">
        <v>2158</v>
      </c>
      <c r="FR108">
        <v>1</v>
      </c>
      <c r="FS108">
        <v>19</v>
      </c>
      <c r="FT108">
        <v>24.6</v>
      </c>
      <c r="FU108">
        <v>24.8</v>
      </c>
      <c r="FV108">
        <v>1.78711</v>
      </c>
      <c r="FW108">
        <v>2.5842299999999998</v>
      </c>
      <c r="FX108">
        <v>1.5490699999999999</v>
      </c>
      <c r="FY108">
        <v>2.3303199999999999</v>
      </c>
      <c r="FZ108">
        <v>1.50146</v>
      </c>
      <c r="GA108">
        <v>2.4157700000000002</v>
      </c>
      <c r="GB108">
        <v>33.580399999999997</v>
      </c>
      <c r="GC108">
        <v>23.991199999999999</v>
      </c>
      <c r="GD108">
        <v>19</v>
      </c>
      <c r="GE108">
        <v>283.07400000000001</v>
      </c>
      <c r="GF108">
        <v>599.58799999999997</v>
      </c>
      <c r="GG108">
        <v>25.369199999999999</v>
      </c>
      <c r="GH108">
        <v>25.977900000000002</v>
      </c>
      <c r="GI108">
        <v>30</v>
      </c>
      <c r="GJ108">
        <v>26.103899999999999</v>
      </c>
      <c r="GK108">
        <v>26.085100000000001</v>
      </c>
      <c r="GL108">
        <v>35.742899999999999</v>
      </c>
      <c r="GM108">
        <v>34.176900000000003</v>
      </c>
      <c r="GN108">
        <v>98.506200000000007</v>
      </c>
      <c r="GO108">
        <v>25.372900000000001</v>
      </c>
      <c r="GP108">
        <v>800</v>
      </c>
      <c r="GQ108">
        <v>16.908300000000001</v>
      </c>
      <c r="GR108">
        <v>99.820099999999996</v>
      </c>
      <c r="GS108">
        <v>99.691500000000005</v>
      </c>
    </row>
    <row r="109" spans="1:201" x14ac:dyDescent="0.25">
      <c r="A109">
        <v>93</v>
      </c>
      <c r="B109">
        <v>1690233494.5999999</v>
      </c>
      <c r="C109">
        <v>988.5</v>
      </c>
      <c r="D109" t="s">
        <v>517</v>
      </c>
      <c r="E109" t="s">
        <v>518</v>
      </c>
      <c r="F109" t="s">
        <v>330</v>
      </c>
      <c r="H109">
        <v>1690233494.5999999</v>
      </c>
      <c r="I109">
        <f t="shared" si="30"/>
        <v>7.3182200700020394E-4</v>
      </c>
      <c r="J109">
        <f t="shared" si="31"/>
        <v>0.73182200700020394</v>
      </c>
      <c r="K109">
        <f t="shared" si="32"/>
        <v>12.344265603717774</v>
      </c>
      <c r="L109">
        <f t="shared" si="33"/>
        <v>661.57</v>
      </c>
      <c r="M109">
        <f t="shared" si="34"/>
        <v>199.62900953797549</v>
      </c>
      <c r="N109">
        <f t="shared" si="35"/>
        <v>19.783735714398304</v>
      </c>
      <c r="O109">
        <f t="shared" si="36"/>
        <v>65.563246879130006</v>
      </c>
      <c r="P109">
        <f t="shared" si="37"/>
        <v>4.4281038313811354E-2</v>
      </c>
      <c r="Q109">
        <f t="shared" si="38"/>
        <v>2.1294128599422031</v>
      </c>
      <c r="R109">
        <f t="shared" si="39"/>
        <v>4.3775770853332528E-2</v>
      </c>
      <c r="S109">
        <f t="shared" si="40"/>
        <v>2.7404772598442571E-2</v>
      </c>
      <c r="T109">
        <f t="shared" si="41"/>
        <v>276.11528259599999</v>
      </c>
      <c r="U109">
        <f t="shared" si="42"/>
        <v>29.079715012950274</v>
      </c>
      <c r="V109">
        <f t="shared" si="43"/>
        <v>29.079715012950274</v>
      </c>
      <c r="W109">
        <f t="shared" si="44"/>
        <v>4.0403615481344275</v>
      </c>
      <c r="X109">
        <f t="shared" si="45"/>
        <v>67.507313504185262</v>
      </c>
      <c r="Y109">
        <f t="shared" si="46"/>
        <v>2.4377631573856</v>
      </c>
      <c r="Z109">
        <f t="shared" si="47"/>
        <v>3.6111097166301334</v>
      </c>
      <c r="AA109">
        <f t="shared" si="48"/>
        <v>1.6025983907488275</v>
      </c>
      <c r="AB109">
        <f t="shared" si="49"/>
        <v>-32.273350508708994</v>
      </c>
      <c r="AC109">
        <f t="shared" si="50"/>
        <v>-221.37231074295988</v>
      </c>
      <c r="AD109">
        <f t="shared" si="51"/>
        <v>-22.687083505892591</v>
      </c>
      <c r="AE109">
        <f t="shared" si="52"/>
        <v>-0.21746216156148535</v>
      </c>
      <c r="AF109">
        <v>0</v>
      </c>
      <c r="AG109">
        <v>0</v>
      </c>
      <c r="AH109">
        <f t="shared" si="53"/>
        <v>1</v>
      </c>
      <c r="AI109">
        <f t="shared" si="54"/>
        <v>0</v>
      </c>
      <c r="AJ109">
        <f t="shared" si="55"/>
        <v>52298.221597322728</v>
      </c>
      <c r="AK109">
        <f t="shared" si="56"/>
        <v>1800</v>
      </c>
      <c r="AL109">
        <f t="shared" si="57"/>
        <v>1499.1148926000001</v>
      </c>
      <c r="AM109">
        <f t="shared" si="58"/>
        <v>0.83284160699999998</v>
      </c>
      <c r="AN109">
        <f t="shared" si="59"/>
        <v>0.15339737921999999</v>
      </c>
      <c r="AO109">
        <v>32.4</v>
      </c>
      <c r="AP109">
        <v>0.5</v>
      </c>
      <c r="AQ109" t="s">
        <v>331</v>
      </c>
      <c r="AR109">
        <v>2</v>
      </c>
      <c r="AS109">
        <v>1690233494.5999999</v>
      </c>
      <c r="AT109">
        <v>661.57</v>
      </c>
      <c r="AU109">
        <v>800.00800000000004</v>
      </c>
      <c r="AV109">
        <v>24.598400000000002</v>
      </c>
      <c r="AW109">
        <v>16.895199999999999</v>
      </c>
      <c r="AX109">
        <v>661.81200000000001</v>
      </c>
      <c r="AY109">
        <v>24.426400000000001</v>
      </c>
      <c r="AZ109">
        <v>300.23599999999999</v>
      </c>
      <c r="BA109">
        <v>99.002499999999998</v>
      </c>
      <c r="BB109">
        <v>0.100009</v>
      </c>
      <c r="BC109">
        <v>27.151399999999999</v>
      </c>
      <c r="BD109">
        <v>26.9939</v>
      </c>
      <c r="BE109">
        <v>29.1904</v>
      </c>
      <c r="BF109">
        <v>0</v>
      </c>
      <c r="BG109">
        <v>0</v>
      </c>
      <c r="BH109">
        <v>9995</v>
      </c>
      <c r="BI109">
        <v>1080.69</v>
      </c>
      <c r="BJ109">
        <v>1.47174</v>
      </c>
      <c r="BK109">
        <v>-138.43799999999999</v>
      </c>
      <c r="BL109">
        <v>678.25400000000002</v>
      </c>
      <c r="BM109">
        <v>813.75699999999995</v>
      </c>
      <c r="BN109">
        <v>7.7031700000000001</v>
      </c>
      <c r="BO109">
        <v>800.00800000000004</v>
      </c>
      <c r="BP109">
        <v>16.895199999999999</v>
      </c>
      <c r="BQ109">
        <v>2.4352999999999998</v>
      </c>
      <c r="BR109">
        <v>1.6726700000000001</v>
      </c>
      <c r="BS109">
        <v>20.6004</v>
      </c>
      <c r="BT109">
        <v>14.645099999999999</v>
      </c>
      <c r="BU109">
        <v>1800</v>
      </c>
      <c r="BV109">
        <v>0.91000999999999999</v>
      </c>
      <c r="BW109">
        <v>3.3992099999999997E-2</v>
      </c>
      <c r="BX109">
        <v>2.2000100000000002E-2</v>
      </c>
      <c r="BY109">
        <v>3.3998199999999999E-2</v>
      </c>
      <c r="BZ109">
        <v>25</v>
      </c>
      <c r="CA109">
        <v>33528.400000000001</v>
      </c>
      <c r="CB109">
        <v>1690232006</v>
      </c>
      <c r="CC109" t="s">
        <v>332</v>
      </c>
      <c r="CD109">
        <v>1690232006</v>
      </c>
      <c r="CE109">
        <v>1690231998.5</v>
      </c>
      <c r="CF109">
        <v>14</v>
      </c>
      <c r="CG109">
        <v>-0.13200000000000001</v>
      </c>
      <c r="CH109">
        <v>-7.0000000000000001E-3</v>
      </c>
      <c r="CI109">
        <v>-0.33800000000000002</v>
      </c>
      <c r="CJ109">
        <v>0.14299999999999999</v>
      </c>
      <c r="CK109">
        <v>799</v>
      </c>
      <c r="CL109">
        <v>19</v>
      </c>
      <c r="CM109">
        <v>7.0000000000000007E-2</v>
      </c>
      <c r="CN109">
        <v>0.14000000000000001</v>
      </c>
      <c r="CO109">
        <v>-135.00478048780491</v>
      </c>
      <c r="CP109">
        <v>-18.951407665505201</v>
      </c>
      <c r="CQ109">
        <v>1.869027469975151</v>
      </c>
      <c r="CR109">
        <v>-1</v>
      </c>
      <c r="CS109">
        <v>7.5159570731707319</v>
      </c>
      <c r="CT109">
        <v>0.99496850174217599</v>
      </c>
      <c r="CU109">
        <v>9.8235931165340254E-2</v>
      </c>
      <c r="CV109">
        <v>-1</v>
      </c>
      <c r="CW109">
        <v>0</v>
      </c>
      <c r="CX109">
        <v>0</v>
      </c>
      <c r="CY109" t="s">
        <v>333</v>
      </c>
      <c r="CZ109">
        <v>2.3649100000000001</v>
      </c>
      <c r="DA109">
        <v>2.7138</v>
      </c>
      <c r="DB109">
        <v>0.12900600000000001</v>
      </c>
      <c r="DC109">
        <v>0.146282</v>
      </c>
      <c r="DD109">
        <v>0.11593299999999999</v>
      </c>
      <c r="DE109">
        <v>8.7449200000000005E-2</v>
      </c>
      <c r="DF109">
        <v>31829.7</v>
      </c>
      <c r="DG109">
        <v>27546.7</v>
      </c>
      <c r="DH109">
        <v>31196.6</v>
      </c>
      <c r="DI109">
        <v>28114.7</v>
      </c>
      <c r="DJ109">
        <v>37444.699999999997</v>
      </c>
      <c r="DK109">
        <v>36485</v>
      </c>
      <c r="DL109">
        <v>44400.9</v>
      </c>
      <c r="DM109">
        <v>42616.800000000003</v>
      </c>
      <c r="DN109">
        <v>1.4793000000000001</v>
      </c>
      <c r="DO109">
        <v>2.05925</v>
      </c>
      <c r="DP109">
        <v>7.4095999999999995E-2</v>
      </c>
      <c r="DQ109">
        <v>0.219718</v>
      </c>
      <c r="DR109">
        <v>25.780999999999999</v>
      </c>
      <c r="DS109">
        <v>25.599399999999999</v>
      </c>
      <c r="DT109">
        <v>56.5</v>
      </c>
      <c r="DU109">
        <v>28.8</v>
      </c>
      <c r="DV109">
        <v>22.6904</v>
      </c>
      <c r="DW109">
        <v>61.637999999999998</v>
      </c>
      <c r="DX109">
        <v>36.053699999999999</v>
      </c>
      <c r="DY109">
        <v>1</v>
      </c>
      <c r="DZ109">
        <v>-0.115109</v>
      </c>
      <c r="EA109">
        <v>-0.30095300000000003</v>
      </c>
      <c r="EB109">
        <v>20.189599999999999</v>
      </c>
      <c r="EC109">
        <v>5.24125</v>
      </c>
      <c r="ED109">
        <v>12.039899999999999</v>
      </c>
      <c r="EE109">
        <v>5.0171000000000001</v>
      </c>
      <c r="EF109">
        <v>3.2879999999999998</v>
      </c>
      <c r="EG109">
        <v>9999</v>
      </c>
      <c r="EH109">
        <v>9999</v>
      </c>
      <c r="EI109">
        <v>9999</v>
      </c>
      <c r="EJ109">
        <v>999.9</v>
      </c>
      <c r="EK109">
        <v>1.8689</v>
      </c>
      <c r="EL109">
        <v>1.8646199999999999</v>
      </c>
      <c r="EM109">
        <v>1.86917</v>
      </c>
      <c r="EN109">
        <v>1.8672200000000001</v>
      </c>
      <c r="EO109">
        <v>1.8633999999999999</v>
      </c>
      <c r="EP109">
        <v>1.8644700000000001</v>
      </c>
      <c r="EQ109">
        <v>1.8701300000000001</v>
      </c>
      <c r="ER109">
        <v>1.8694</v>
      </c>
      <c r="ES109">
        <v>0</v>
      </c>
      <c r="ET109">
        <v>0</v>
      </c>
      <c r="EU109">
        <v>0</v>
      </c>
      <c r="EV109">
        <v>0</v>
      </c>
      <c r="EW109" t="s">
        <v>334</v>
      </c>
      <c r="EX109" t="s">
        <v>335</v>
      </c>
      <c r="EY109" t="s">
        <v>336</v>
      </c>
      <c r="EZ109" t="s">
        <v>336</v>
      </c>
      <c r="FA109" t="s">
        <v>336</v>
      </c>
      <c r="FB109" t="s">
        <v>336</v>
      </c>
      <c r="FC109">
        <v>0</v>
      </c>
      <c r="FD109">
        <v>100</v>
      </c>
      <c r="FE109">
        <v>100</v>
      </c>
      <c r="FF109">
        <v>-0.24199999999999999</v>
      </c>
      <c r="FG109">
        <v>0.17199999999999999</v>
      </c>
      <c r="FH109">
        <v>0.2126736300064915</v>
      </c>
      <c r="FI109">
        <v>-6.1462078757559423E-4</v>
      </c>
      <c r="FJ109">
        <v>-1.8861989874597051E-7</v>
      </c>
      <c r="FK109">
        <v>1.1980462299894961E-10</v>
      </c>
      <c r="FL109">
        <v>0.1719881465068297</v>
      </c>
      <c r="FM109">
        <v>0</v>
      </c>
      <c r="FN109">
        <v>0</v>
      </c>
      <c r="FO109">
        <v>0</v>
      </c>
      <c r="FP109">
        <v>3</v>
      </c>
      <c r="FQ109">
        <v>2158</v>
      </c>
      <c r="FR109">
        <v>1</v>
      </c>
      <c r="FS109">
        <v>19</v>
      </c>
      <c r="FT109">
        <v>24.8</v>
      </c>
      <c r="FU109">
        <v>24.9</v>
      </c>
      <c r="FV109">
        <v>1.78711</v>
      </c>
      <c r="FW109">
        <v>2.5927699999999998</v>
      </c>
      <c r="FX109">
        <v>1.5490699999999999</v>
      </c>
      <c r="FY109">
        <v>2.3303199999999999</v>
      </c>
      <c r="FZ109">
        <v>1.50146</v>
      </c>
      <c r="GA109">
        <v>2.3046899999999999</v>
      </c>
      <c r="GB109">
        <v>33.580399999999997</v>
      </c>
      <c r="GC109">
        <v>23.982399999999998</v>
      </c>
      <c r="GD109">
        <v>19</v>
      </c>
      <c r="GE109">
        <v>283.096</v>
      </c>
      <c r="GF109">
        <v>599.30899999999997</v>
      </c>
      <c r="GG109">
        <v>25.3812</v>
      </c>
      <c r="GH109">
        <v>25.9757</v>
      </c>
      <c r="GI109">
        <v>30</v>
      </c>
      <c r="GJ109">
        <v>26.101700000000001</v>
      </c>
      <c r="GK109">
        <v>26.082899999999999</v>
      </c>
      <c r="GL109">
        <v>35.739199999999997</v>
      </c>
      <c r="GM109">
        <v>34.741999999999997</v>
      </c>
      <c r="GN109">
        <v>98.506200000000007</v>
      </c>
      <c r="GO109">
        <v>25.380800000000001</v>
      </c>
      <c r="GP109">
        <v>800</v>
      </c>
      <c r="GQ109">
        <v>16.748699999999999</v>
      </c>
      <c r="GR109">
        <v>99.822599999999994</v>
      </c>
      <c r="GS109">
        <v>99.691199999999995</v>
      </c>
    </row>
    <row r="110" spans="1:201" x14ac:dyDescent="0.25">
      <c r="A110">
        <v>94</v>
      </c>
      <c r="B110">
        <v>1690233504.5999999</v>
      </c>
      <c r="C110">
        <v>998.5</v>
      </c>
      <c r="D110" t="s">
        <v>519</v>
      </c>
      <c r="E110" t="s">
        <v>520</v>
      </c>
      <c r="F110" t="s">
        <v>330</v>
      </c>
      <c r="H110">
        <v>1690233504.5999999</v>
      </c>
      <c r="I110">
        <f t="shared" si="30"/>
        <v>7.4803769995704969E-4</v>
      </c>
      <c r="J110">
        <f t="shared" si="31"/>
        <v>0.74803769995704972</v>
      </c>
      <c r="K110">
        <f t="shared" si="32"/>
        <v>12.615781239919562</v>
      </c>
      <c r="L110">
        <f t="shared" si="33"/>
        <v>658.48800000000006</v>
      </c>
      <c r="M110">
        <f t="shared" si="34"/>
        <v>197.81664709234491</v>
      </c>
      <c r="N110">
        <f t="shared" si="35"/>
        <v>19.603651288865912</v>
      </c>
      <c r="O110">
        <f t="shared" si="36"/>
        <v>65.256232575192001</v>
      </c>
      <c r="P110">
        <f t="shared" si="37"/>
        <v>4.5384844627697714E-2</v>
      </c>
      <c r="Q110">
        <f t="shared" si="38"/>
        <v>2.1280721056028096</v>
      </c>
      <c r="R110">
        <f t="shared" si="39"/>
        <v>4.4853906024481499E-2</v>
      </c>
      <c r="S110">
        <f t="shared" si="40"/>
        <v>2.8080876393999331E-2</v>
      </c>
      <c r="T110">
        <f t="shared" si="41"/>
        <v>276.11363889481737</v>
      </c>
      <c r="U110">
        <f t="shared" si="42"/>
        <v>29.06656176002728</v>
      </c>
      <c r="V110">
        <f t="shared" si="43"/>
        <v>29.06656176002728</v>
      </c>
      <c r="W110">
        <f t="shared" si="44"/>
        <v>4.0372891846862746</v>
      </c>
      <c r="X110">
        <f t="shared" si="45"/>
        <v>67.563909047576686</v>
      </c>
      <c r="Y110">
        <f t="shared" si="46"/>
        <v>2.4385762021847999</v>
      </c>
      <c r="Z110">
        <f t="shared" si="47"/>
        <v>3.6092882080988242</v>
      </c>
      <c r="AA110">
        <f t="shared" si="48"/>
        <v>1.5987129825014748</v>
      </c>
      <c r="AB110">
        <f t="shared" si="49"/>
        <v>-32.988462568105888</v>
      </c>
      <c r="AC110">
        <f t="shared" si="50"/>
        <v>-220.71053839526675</v>
      </c>
      <c r="AD110">
        <f t="shared" si="51"/>
        <v>-22.631059773605923</v>
      </c>
      <c r="AE110">
        <f t="shared" si="52"/>
        <v>-0.21642184216119631</v>
      </c>
      <c r="AF110">
        <v>0</v>
      </c>
      <c r="AG110">
        <v>0</v>
      </c>
      <c r="AH110">
        <f t="shared" si="53"/>
        <v>1</v>
      </c>
      <c r="AI110">
        <f t="shared" si="54"/>
        <v>0</v>
      </c>
      <c r="AJ110">
        <f t="shared" si="55"/>
        <v>52241.976685845199</v>
      </c>
      <c r="AK110">
        <f t="shared" si="56"/>
        <v>1799.99</v>
      </c>
      <c r="AL110">
        <f t="shared" si="57"/>
        <v>1499.1044743955399</v>
      </c>
      <c r="AM110">
        <f t="shared" si="58"/>
        <v>0.83284044599999996</v>
      </c>
      <c r="AN110">
        <f t="shared" si="59"/>
        <v>0.15339731825999997</v>
      </c>
      <c r="AO110">
        <v>32.4</v>
      </c>
      <c r="AP110">
        <v>0.5</v>
      </c>
      <c r="AQ110" t="s">
        <v>331</v>
      </c>
      <c r="AR110">
        <v>2</v>
      </c>
      <c r="AS110">
        <v>1690233504.5999999</v>
      </c>
      <c r="AT110">
        <v>658.48800000000006</v>
      </c>
      <c r="AU110">
        <v>799.97900000000004</v>
      </c>
      <c r="AV110">
        <v>24.607199999999999</v>
      </c>
      <c r="AW110">
        <v>16.7316</v>
      </c>
      <c r="AX110">
        <v>658.72699999999998</v>
      </c>
      <c r="AY110">
        <v>24.435300000000002</v>
      </c>
      <c r="AZ110">
        <v>300.16800000000001</v>
      </c>
      <c r="BA110">
        <v>99.000100000000003</v>
      </c>
      <c r="BB110">
        <v>0.100009</v>
      </c>
      <c r="BC110">
        <v>27.142800000000001</v>
      </c>
      <c r="BD110">
        <v>26.992799999999999</v>
      </c>
      <c r="BE110">
        <v>29.212900000000001</v>
      </c>
      <c r="BF110">
        <v>0</v>
      </c>
      <c r="BG110">
        <v>0</v>
      </c>
      <c r="BH110">
        <v>9983.75</v>
      </c>
      <c r="BI110">
        <v>1080.68</v>
      </c>
      <c r="BJ110">
        <v>1.47174</v>
      </c>
      <c r="BK110">
        <v>-141.49100000000001</v>
      </c>
      <c r="BL110">
        <v>675.1</v>
      </c>
      <c r="BM110">
        <v>813.59100000000001</v>
      </c>
      <c r="BN110">
        <v>7.8756599999999999</v>
      </c>
      <c r="BO110">
        <v>799.97900000000004</v>
      </c>
      <c r="BP110">
        <v>16.7316</v>
      </c>
      <c r="BQ110">
        <v>2.4361199999999998</v>
      </c>
      <c r="BR110">
        <v>1.6564300000000001</v>
      </c>
      <c r="BS110">
        <v>20.605899999999998</v>
      </c>
      <c r="BT110">
        <v>14.494</v>
      </c>
      <c r="BU110">
        <v>1799.99</v>
      </c>
      <c r="BV110">
        <v>0.91000499999999995</v>
      </c>
      <c r="BW110">
        <v>3.4000200000000001E-2</v>
      </c>
      <c r="BX110">
        <v>2.1998799999999999E-2</v>
      </c>
      <c r="BY110">
        <v>3.3996199999999997E-2</v>
      </c>
      <c r="BZ110">
        <v>25</v>
      </c>
      <c r="CA110">
        <v>33528.300000000003</v>
      </c>
      <c r="CB110">
        <v>1690232006</v>
      </c>
      <c r="CC110" t="s">
        <v>332</v>
      </c>
      <c r="CD110">
        <v>1690232006</v>
      </c>
      <c r="CE110">
        <v>1690231998.5</v>
      </c>
      <c r="CF110">
        <v>14</v>
      </c>
      <c r="CG110">
        <v>-0.13200000000000001</v>
      </c>
      <c r="CH110">
        <v>-7.0000000000000001E-3</v>
      </c>
      <c r="CI110">
        <v>-0.33800000000000002</v>
      </c>
      <c r="CJ110">
        <v>0.14299999999999999</v>
      </c>
      <c r="CK110">
        <v>799</v>
      </c>
      <c r="CL110">
        <v>19</v>
      </c>
      <c r="CM110">
        <v>7.0000000000000007E-2</v>
      </c>
      <c r="CN110">
        <v>0.14000000000000001</v>
      </c>
      <c r="CO110">
        <v>-138.06752499999999</v>
      </c>
      <c r="CP110">
        <v>-18.77021763602237</v>
      </c>
      <c r="CQ110">
        <v>1.80603316674279</v>
      </c>
      <c r="CR110">
        <v>-1</v>
      </c>
      <c r="CS110">
        <v>7.6813507500000018</v>
      </c>
      <c r="CT110">
        <v>1.0236735084427671</v>
      </c>
      <c r="CU110">
        <v>9.8615505763229291E-2</v>
      </c>
      <c r="CV110">
        <v>-1</v>
      </c>
      <c r="CW110">
        <v>0</v>
      </c>
      <c r="CX110">
        <v>0</v>
      </c>
      <c r="CY110" t="s">
        <v>333</v>
      </c>
      <c r="CZ110">
        <v>2.3647100000000001</v>
      </c>
      <c r="DA110">
        <v>2.7137899999999999</v>
      </c>
      <c r="DB110">
        <v>0.12858800000000001</v>
      </c>
      <c r="DC110">
        <v>0.14627200000000001</v>
      </c>
      <c r="DD110">
        <v>0.11595999999999999</v>
      </c>
      <c r="DE110">
        <v>8.68342E-2</v>
      </c>
      <c r="DF110">
        <v>31845</v>
      </c>
      <c r="DG110">
        <v>27547.1</v>
      </c>
      <c r="DH110">
        <v>31196.5</v>
      </c>
      <c r="DI110">
        <v>28114.7</v>
      </c>
      <c r="DJ110">
        <v>37443.1</v>
      </c>
      <c r="DK110">
        <v>36509.699999999997</v>
      </c>
      <c r="DL110">
        <v>44400.4</v>
      </c>
      <c r="DM110">
        <v>42616.9</v>
      </c>
      <c r="DN110">
        <v>1.47997</v>
      </c>
      <c r="DO110">
        <v>2.0589</v>
      </c>
      <c r="DP110">
        <v>7.4133299999999999E-2</v>
      </c>
      <c r="DQ110">
        <v>0.22109599999999999</v>
      </c>
      <c r="DR110">
        <v>25.779199999999999</v>
      </c>
      <c r="DS110">
        <v>25.599399999999999</v>
      </c>
      <c r="DT110">
        <v>56.5</v>
      </c>
      <c r="DU110">
        <v>28.8</v>
      </c>
      <c r="DV110">
        <v>22.684899999999999</v>
      </c>
      <c r="DW110">
        <v>61.567999999999998</v>
      </c>
      <c r="DX110">
        <v>36.406199999999998</v>
      </c>
      <c r="DY110">
        <v>1</v>
      </c>
      <c r="DZ110">
        <v>-0.11519799999999999</v>
      </c>
      <c r="EA110">
        <v>-0.30715399999999998</v>
      </c>
      <c r="EB110">
        <v>20.189399999999999</v>
      </c>
      <c r="EC110">
        <v>5.2411000000000003</v>
      </c>
      <c r="ED110">
        <v>12.039899999999999</v>
      </c>
      <c r="EE110">
        <v>5.0172499999999998</v>
      </c>
      <c r="EF110">
        <v>3.2879999999999998</v>
      </c>
      <c r="EG110">
        <v>9999</v>
      </c>
      <c r="EH110">
        <v>9999</v>
      </c>
      <c r="EI110">
        <v>9999</v>
      </c>
      <c r="EJ110">
        <v>999.9</v>
      </c>
      <c r="EK110">
        <v>1.8689</v>
      </c>
      <c r="EL110">
        <v>1.8646199999999999</v>
      </c>
      <c r="EM110">
        <v>1.8691899999999999</v>
      </c>
      <c r="EN110">
        <v>1.8672200000000001</v>
      </c>
      <c r="EO110">
        <v>1.8633999999999999</v>
      </c>
      <c r="EP110">
        <v>1.8644700000000001</v>
      </c>
      <c r="EQ110">
        <v>1.8701300000000001</v>
      </c>
      <c r="ER110">
        <v>1.86937</v>
      </c>
      <c r="ES110">
        <v>0</v>
      </c>
      <c r="ET110">
        <v>0</v>
      </c>
      <c r="EU110">
        <v>0</v>
      </c>
      <c r="EV110">
        <v>0</v>
      </c>
      <c r="EW110" t="s">
        <v>334</v>
      </c>
      <c r="EX110" t="s">
        <v>335</v>
      </c>
      <c r="EY110" t="s">
        <v>336</v>
      </c>
      <c r="EZ110" t="s">
        <v>336</v>
      </c>
      <c r="FA110" t="s">
        <v>336</v>
      </c>
      <c r="FB110" t="s">
        <v>336</v>
      </c>
      <c r="FC110">
        <v>0</v>
      </c>
      <c r="FD110">
        <v>100</v>
      </c>
      <c r="FE110">
        <v>100</v>
      </c>
      <c r="FF110">
        <v>-0.23899999999999999</v>
      </c>
      <c r="FG110">
        <v>0.1719</v>
      </c>
      <c r="FH110">
        <v>0.2126736300064915</v>
      </c>
      <c r="FI110">
        <v>-6.1462078757559423E-4</v>
      </c>
      <c r="FJ110">
        <v>-1.8861989874597051E-7</v>
      </c>
      <c r="FK110">
        <v>1.1980462299894961E-10</v>
      </c>
      <c r="FL110">
        <v>0.1719881465068297</v>
      </c>
      <c r="FM110">
        <v>0</v>
      </c>
      <c r="FN110">
        <v>0</v>
      </c>
      <c r="FO110">
        <v>0</v>
      </c>
      <c r="FP110">
        <v>3</v>
      </c>
      <c r="FQ110">
        <v>2158</v>
      </c>
      <c r="FR110">
        <v>1</v>
      </c>
      <c r="FS110">
        <v>19</v>
      </c>
      <c r="FT110">
        <v>25</v>
      </c>
      <c r="FU110">
        <v>25.1</v>
      </c>
      <c r="FV110">
        <v>1.78711</v>
      </c>
      <c r="FW110">
        <v>2.5854499999999998</v>
      </c>
      <c r="FX110">
        <v>1.5490699999999999</v>
      </c>
      <c r="FY110">
        <v>2.3303199999999999</v>
      </c>
      <c r="FZ110">
        <v>1.50146</v>
      </c>
      <c r="GA110">
        <v>2.4157700000000002</v>
      </c>
      <c r="GB110">
        <v>33.580399999999997</v>
      </c>
      <c r="GC110">
        <v>23.991199999999999</v>
      </c>
      <c r="GD110">
        <v>19</v>
      </c>
      <c r="GE110">
        <v>283.37299999999999</v>
      </c>
      <c r="GF110">
        <v>598.98900000000003</v>
      </c>
      <c r="GG110">
        <v>25.388500000000001</v>
      </c>
      <c r="GH110">
        <v>25.975200000000001</v>
      </c>
      <c r="GI110">
        <v>30</v>
      </c>
      <c r="GJ110">
        <v>26.099499999999999</v>
      </c>
      <c r="GK110">
        <v>26.0807</v>
      </c>
      <c r="GL110">
        <v>35.738599999999998</v>
      </c>
      <c r="GM110">
        <v>35.299700000000001</v>
      </c>
      <c r="GN110">
        <v>98.131500000000003</v>
      </c>
      <c r="GO110">
        <v>25.3901</v>
      </c>
      <c r="GP110">
        <v>800</v>
      </c>
      <c r="GQ110">
        <v>16.5901</v>
      </c>
      <c r="GR110">
        <v>99.822000000000003</v>
      </c>
      <c r="GS110">
        <v>99.691400000000002</v>
      </c>
    </row>
    <row r="111" spans="1:201" x14ac:dyDescent="0.25">
      <c r="A111">
        <v>95</v>
      </c>
      <c r="B111">
        <v>1690233514.5999999</v>
      </c>
      <c r="C111">
        <v>1008.5</v>
      </c>
      <c r="D111" t="s">
        <v>521</v>
      </c>
      <c r="E111" t="s">
        <v>522</v>
      </c>
      <c r="F111" t="s">
        <v>330</v>
      </c>
      <c r="H111">
        <v>1690233514.5999999</v>
      </c>
      <c r="I111">
        <f t="shared" si="30"/>
        <v>7.6327070823963342E-4</v>
      </c>
      <c r="J111">
        <f t="shared" si="31"/>
        <v>0.76327070823963339</v>
      </c>
      <c r="K111">
        <f t="shared" si="32"/>
        <v>12.907478223457511</v>
      </c>
      <c r="L111">
        <f t="shared" si="33"/>
        <v>655.35400000000004</v>
      </c>
      <c r="M111">
        <f t="shared" si="34"/>
        <v>193.99973950302754</v>
      </c>
      <c r="N111">
        <f t="shared" si="35"/>
        <v>19.226315607285915</v>
      </c>
      <c r="O111">
        <f t="shared" si="36"/>
        <v>64.948761636355812</v>
      </c>
      <c r="P111">
        <f t="shared" si="37"/>
        <v>4.6362003657783118E-2</v>
      </c>
      <c r="Q111">
        <f t="shared" si="38"/>
        <v>2.1330042845672952</v>
      </c>
      <c r="R111">
        <f t="shared" si="39"/>
        <v>4.580937097124714E-2</v>
      </c>
      <c r="S111">
        <f t="shared" si="40"/>
        <v>2.8679959786981457E-2</v>
      </c>
      <c r="T111">
        <f t="shared" si="41"/>
        <v>276.1135172154934</v>
      </c>
      <c r="U111">
        <f t="shared" si="42"/>
        <v>29.062907311217302</v>
      </c>
      <c r="V111">
        <f t="shared" si="43"/>
        <v>29.062907311217302</v>
      </c>
      <c r="W111">
        <f t="shared" si="44"/>
        <v>4.0364359328337907</v>
      </c>
      <c r="X111">
        <f t="shared" si="45"/>
        <v>67.556080351789802</v>
      </c>
      <c r="Y111">
        <f t="shared" si="46"/>
        <v>2.4391091717407805</v>
      </c>
      <c r="Z111">
        <f t="shared" si="47"/>
        <v>3.6104953973638283</v>
      </c>
      <c r="AA111">
        <f t="shared" si="48"/>
        <v>1.5973267610930102</v>
      </c>
      <c r="AB111">
        <f t="shared" si="49"/>
        <v>-33.660238233367835</v>
      </c>
      <c r="AC111">
        <f t="shared" si="50"/>
        <v>-220.14636321885047</v>
      </c>
      <c r="AD111">
        <f t="shared" si="51"/>
        <v>-22.521241659521923</v>
      </c>
      <c r="AE111">
        <f t="shared" si="52"/>
        <v>-0.21432589624683374</v>
      </c>
      <c r="AF111">
        <v>0</v>
      </c>
      <c r="AG111">
        <v>0</v>
      </c>
      <c r="AH111">
        <f t="shared" si="53"/>
        <v>1</v>
      </c>
      <c r="AI111">
        <f t="shared" si="54"/>
        <v>0</v>
      </c>
      <c r="AJ111">
        <f t="shared" si="55"/>
        <v>52453.519005211616</v>
      </c>
      <c r="AK111">
        <f t="shared" si="56"/>
        <v>1799.99</v>
      </c>
      <c r="AL111">
        <f t="shared" si="57"/>
        <v>1499.10198140939</v>
      </c>
      <c r="AM111">
        <f t="shared" si="58"/>
        <v>0.83283906099999994</v>
      </c>
      <c r="AN111">
        <f t="shared" si="59"/>
        <v>0.15339725066000001</v>
      </c>
      <c r="AO111">
        <v>32.4</v>
      </c>
      <c r="AP111">
        <v>0.5</v>
      </c>
      <c r="AQ111" t="s">
        <v>331</v>
      </c>
      <c r="AR111">
        <v>2</v>
      </c>
      <c r="AS111">
        <v>1690233514.5999999</v>
      </c>
      <c r="AT111">
        <v>655.35400000000004</v>
      </c>
      <c r="AU111">
        <v>800.02300000000002</v>
      </c>
      <c r="AV111">
        <v>24.6114</v>
      </c>
      <c r="AW111">
        <v>16.578399999999998</v>
      </c>
      <c r="AX111">
        <v>655.59100000000001</v>
      </c>
      <c r="AY111">
        <v>24.439399999999999</v>
      </c>
      <c r="AZ111">
        <v>300.27800000000002</v>
      </c>
      <c r="BA111">
        <v>99.004900000000006</v>
      </c>
      <c r="BB111">
        <v>9.9952700000000005E-2</v>
      </c>
      <c r="BC111">
        <v>27.148499999999999</v>
      </c>
      <c r="BD111">
        <v>26.997</v>
      </c>
      <c r="BE111">
        <v>29.209499999999998</v>
      </c>
      <c r="BF111">
        <v>0</v>
      </c>
      <c r="BG111">
        <v>0</v>
      </c>
      <c r="BH111">
        <v>10025.6</v>
      </c>
      <c r="BI111">
        <v>1080.79</v>
      </c>
      <c r="BJ111">
        <v>1.4577199999999999</v>
      </c>
      <c r="BK111">
        <v>-144.66900000000001</v>
      </c>
      <c r="BL111">
        <v>671.89</v>
      </c>
      <c r="BM111">
        <v>813.51</v>
      </c>
      <c r="BN111">
        <v>8.0330100000000009</v>
      </c>
      <c r="BO111">
        <v>800.02300000000002</v>
      </c>
      <c r="BP111">
        <v>16.578399999999998</v>
      </c>
      <c r="BQ111">
        <v>2.4366500000000002</v>
      </c>
      <c r="BR111">
        <v>1.64134</v>
      </c>
      <c r="BS111">
        <v>20.609400000000001</v>
      </c>
      <c r="BT111">
        <v>14.352499999999999</v>
      </c>
      <c r="BU111">
        <v>1799.99</v>
      </c>
      <c r="BV111">
        <v>0.909999</v>
      </c>
      <c r="BW111">
        <v>3.40069E-2</v>
      </c>
      <c r="BX111">
        <v>2.1998299999999998E-2</v>
      </c>
      <c r="BY111">
        <v>3.3995400000000002E-2</v>
      </c>
      <c r="BZ111">
        <v>25</v>
      </c>
      <c r="CA111">
        <v>33528.199999999997</v>
      </c>
      <c r="CB111">
        <v>1690232006</v>
      </c>
      <c r="CC111" t="s">
        <v>332</v>
      </c>
      <c r="CD111">
        <v>1690232006</v>
      </c>
      <c r="CE111">
        <v>1690231998.5</v>
      </c>
      <c r="CF111">
        <v>14</v>
      </c>
      <c r="CG111">
        <v>-0.13200000000000001</v>
      </c>
      <c r="CH111">
        <v>-7.0000000000000001E-3</v>
      </c>
      <c r="CI111">
        <v>-0.33800000000000002</v>
      </c>
      <c r="CJ111">
        <v>0.14299999999999999</v>
      </c>
      <c r="CK111">
        <v>799</v>
      </c>
      <c r="CL111">
        <v>19</v>
      </c>
      <c r="CM111">
        <v>7.0000000000000007E-2</v>
      </c>
      <c r="CN111">
        <v>0.14000000000000001</v>
      </c>
      <c r="CO111">
        <v>-141.23858536585371</v>
      </c>
      <c r="CP111">
        <v>-18.636418118467009</v>
      </c>
      <c r="CQ111">
        <v>1.838027242766467</v>
      </c>
      <c r="CR111">
        <v>-1</v>
      </c>
      <c r="CS111">
        <v>7.8555775609756102</v>
      </c>
      <c r="CT111">
        <v>1.019702299651573</v>
      </c>
      <c r="CU111">
        <v>0.10065839835753811</v>
      </c>
      <c r="CV111">
        <v>-1</v>
      </c>
      <c r="CW111">
        <v>0</v>
      </c>
      <c r="CX111">
        <v>0</v>
      </c>
      <c r="CY111" t="s">
        <v>333</v>
      </c>
      <c r="CZ111">
        <v>2.36504</v>
      </c>
      <c r="DA111">
        <v>2.7137699999999998</v>
      </c>
      <c r="DB111">
        <v>0.12817000000000001</v>
      </c>
      <c r="DC111">
        <v>0.146282</v>
      </c>
      <c r="DD111">
        <v>0.11598</v>
      </c>
      <c r="DE111">
        <v>8.62623E-2</v>
      </c>
      <c r="DF111">
        <v>31859.5</v>
      </c>
      <c r="DG111">
        <v>27546.7</v>
      </c>
      <c r="DH111">
        <v>31195.9</v>
      </c>
      <c r="DI111">
        <v>28114.6</v>
      </c>
      <c r="DJ111">
        <v>37441.599999999999</v>
      </c>
      <c r="DK111">
        <v>36532.5</v>
      </c>
      <c r="DL111">
        <v>44399.7</v>
      </c>
      <c r="DM111">
        <v>42616.7</v>
      </c>
      <c r="DN111">
        <v>1.4801500000000001</v>
      </c>
      <c r="DO111">
        <v>2.0585499999999999</v>
      </c>
      <c r="DP111">
        <v>7.4394000000000002E-2</v>
      </c>
      <c r="DQ111">
        <v>0.22076100000000001</v>
      </c>
      <c r="DR111">
        <v>25.779199999999999</v>
      </c>
      <c r="DS111">
        <v>25.601500000000001</v>
      </c>
      <c r="DT111">
        <v>56.5</v>
      </c>
      <c r="DU111">
        <v>28.8</v>
      </c>
      <c r="DV111">
        <v>22.686</v>
      </c>
      <c r="DW111">
        <v>61.588000000000001</v>
      </c>
      <c r="DX111">
        <v>35.841299999999997</v>
      </c>
      <c r="DY111">
        <v>1</v>
      </c>
      <c r="DZ111">
        <v>-0.11548</v>
      </c>
      <c r="EA111">
        <v>-0.31495899999999999</v>
      </c>
      <c r="EB111">
        <v>20.189399999999999</v>
      </c>
      <c r="EC111">
        <v>5.2406499999999996</v>
      </c>
      <c r="ED111">
        <v>12.039899999999999</v>
      </c>
      <c r="EE111">
        <v>5.0171000000000001</v>
      </c>
      <c r="EF111">
        <v>3.2879999999999998</v>
      </c>
      <c r="EG111">
        <v>9999</v>
      </c>
      <c r="EH111">
        <v>9999</v>
      </c>
      <c r="EI111">
        <v>9999</v>
      </c>
      <c r="EJ111">
        <v>999.9</v>
      </c>
      <c r="EK111">
        <v>1.8689</v>
      </c>
      <c r="EL111">
        <v>1.8646199999999999</v>
      </c>
      <c r="EM111">
        <v>1.8692</v>
      </c>
      <c r="EN111">
        <v>1.8672200000000001</v>
      </c>
      <c r="EO111">
        <v>1.86338</v>
      </c>
      <c r="EP111">
        <v>1.8644700000000001</v>
      </c>
      <c r="EQ111">
        <v>1.87012</v>
      </c>
      <c r="ER111">
        <v>1.8693599999999999</v>
      </c>
      <c r="ES111">
        <v>0</v>
      </c>
      <c r="ET111">
        <v>0</v>
      </c>
      <c r="EU111">
        <v>0</v>
      </c>
      <c r="EV111">
        <v>0</v>
      </c>
      <c r="EW111" t="s">
        <v>334</v>
      </c>
      <c r="EX111" t="s">
        <v>335</v>
      </c>
      <c r="EY111" t="s">
        <v>336</v>
      </c>
      <c r="EZ111" t="s">
        <v>336</v>
      </c>
      <c r="FA111" t="s">
        <v>336</v>
      </c>
      <c r="FB111" t="s">
        <v>336</v>
      </c>
      <c r="FC111">
        <v>0</v>
      </c>
      <c r="FD111">
        <v>100</v>
      </c>
      <c r="FE111">
        <v>100</v>
      </c>
      <c r="FF111">
        <v>-0.23699999999999999</v>
      </c>
      <c r="FG111">
        <v>0.17199999999999999</v>
      </c>
      <c r="FH111">
        <v>0.2126736300064915</v>
      </c>
      <c r="FI111">
        <v>-6.1462078757559423E-4</v>
      </c>
      <c r="FJ111">
        <v>-1.8861989874597051E-7</v>
      </c>
      <c r="FK111">
        <v>1.1980462299894961E-10</v>
      </c>
      <c r="FL111">
        <v>0.1719881465068297</v>
      </c>
      <c r="FM111">
        <v>0</v>
      </c>
      <c r="FN111">
        <v>0</v>
      </c>
      <c r="FO111">
        <v>0</v>
      </c>
      <c r="FP111">
        <v>3</v>
      </c>
      <c r="FQ111">
        <v>2158</v>
      </c>
      <c r="FR111">
        <v>1</v>
      </c>
      <c r="FS111">
        <v>19</v>
      </c>
      <c r="FT111">
        <v>25.1</v>
      </c>
      <c r="FU111">
        <v>25.3</v>
      </c>
      <c r="FV111">
        <v>1.78711</v>
      </c>
      <c r="FW111">
        <v>2.5927699999999998</v>
      </c>
      <c r="FX111">
        <v>1.5490699999999999</v>
      </c>
      <c r="FY111">
        <v>2.3303199999999999</v>
      </c>
      <c r="FZ111">
        <v>1.50146</v>
      </c>
      <c r="GA111">
        <v>2.2875999999999999</v>
      </c>
      <c r="GB111">
        <v>33.580399999999997</v>
      </c>
      <c r="GC111">
        <v>23.982399999999998</v>
      </c>
      <c r="GD111">
        <v>19</v>
      </c>
      <c r="GE111">
        <v>283.43900000000002</v>
      </c>
      <c r="GF111">
        <v>598.66800000000001</v>
      </c>
      <c r="GG111">
        <v>25.398099999999999</v>
      </c>
      <c r="GH111">
        <v>25.973500000000001</v>
      </c>
      <c r="GI111">
        <v>30</v>
      </c>
      <c r="GJ111">
        <v>26.097300000000001</v>
      </c>
      <c r="GK111">
        <v>26.078499999999998</v>
      </c>
      <c r="GL111">
        <v>35.735300000000002</v>
      </c>
      <c r="GM111">
        <v>36.171300000000002</v>
      </c>
      <c r="GN111">
        <v>98.131500000000003</v>
      </c>
      <c r="GO111">
        <v>25.399100000000001</v>
      </c>
      <c r="GP111">
        <v>800</v>
      </c>
      <c r="GQ111">
        <v>16.4314</v>
      </c>
      <c r="GR111">
        <v>99.8202</v>
      </c>
      <c r="GS111">
        <v>99.690899999999999</v>
      </c>
    </row>
    <row r="112" spans="1:201" x14ac:dyDescent="0.25">
      <c r="A112">
        <v>96</v>
      </c>
      <c r="B112">
        <v>1690233524.5999999</v>
      </c>
      <c r="C112">
        <v>1018.5</v>
      </c>
      <c r="D112" t="s">
        <v>523</v>
      </c>
      <c r="E112" t="s">
        <v>524</v>
      </c>
      <c r="F112" t="s">
        <v>330</v>
      </c>
      <c r="H112">
        <v>1690233524.5999999</v>
      </c>
      <c r="I112">
        <f t="shared" si="30"/>
        <v>7.7866771349250057E-4</v>
      </c>
      <c r="J112">
        <f t="shared" si="31"/>
        <v>0.77866771349250052</v>
      </c>
      <c r="K112">
        <f t="shared" si="32"/>
        <v>13.174125881811085</v>
      </c>
      <c r="L112">
        <f t="shared" si="33"/>
        <v>652.28700000000003</v>
      </c>
      <c r="M112">
        <f t="shared" si="34"/>
        <v>190.94863890008043</v>
      </c>
      <c r="N112">
        <f t="shared" si="35"/>
        <v>18.923822849689721</v>
      </c>
      <c r="O112">
        <f t="shared" si="36"/>
        <v>64.644418029158103</v>
      </c>
      <c r="P112">
        <f t="shared" si="37"/>
        <v>4.7322992907216893E-2</v>
      </c>
      <c r="Q112">
        <f t="shared" si="38"/>
        <v>2.1309606844269249</v>
      </c>
      <c r="R112">
        <f t="shared" si="39"/>
        <v>4.6746821524120602E-2</v>
      </c>
      <c r="S112">
        <f t="shared" si="40"/>
        <v>2.9267945620341546E-2</v>
      </c>
      <c r="T112">
        <f t="shared" si="41"/>
        <v>276.11515094399999</v>
      </c>
      <c r="U112">
        <f t="shared" si="42"/>
        <v>29.064411836427144</v>
      </c>
      <c r="V112">
        <f t="shared" si="43"/>
        <v>29.064411836427144</v>
      </c>
      <c r="W112">
        <f t="shared" si="44"/>
        <v>4.036787194924405</v>
      </c>
      <c r="X112">
        <f t="shared" si="45"/>
        <v>67.55839257605237</v>
      </c>
      <c r="Y112">
        <f t="shared" si="46"/>
        <v>2.4399368796803702</v>
      </c>
      <c r="Z112">
        <f t="shared" si="47"/>
        <v>3.6115970002300823</v>
      </c>
      <c r="AA112">
        <f t="shared" si="48"/>
        <v>1.5968503152440348</v>
      </c>
      <c r="AB112">
        <f t="shared" si="49"/>
        <v>-34.339246165019276</v>
      </c>
      <c r="AC112">
        <f t="shared" si="50"/>
        <v>-219.51089198691511</v>
      </c>
      <c r="AD112">
        <f t="shared" si="51"/>
        <v>-22.478517670677824</v>
      </c>
      <c r="AE112">
        <f t="shared" si="52"/>
        <v>-0.2135048786122411</v>
      </c>
      <c r="AF112">
        <v>0</v>
      </c>
      <c r="AG112">
        <v>0</v>
      </c>
      <c r="AH112">
        <f t="shared" si="53"/>
        <v>1</v>
      </c>
      <c r="AI112">
        <f t="shared" si="54"/>
        <v>0</v>
      </c>
      <c r="AJ112">
        <f t="shared" si="55"/>
        <v>52364.511395365764</v>
      </c>
      <c r="AK112">
        <f t="shared" si="56"/>
        <v>1800</v>
      </c>
      <c r="AL112">
        <f t="shared" si="57"/>
        <v>1499.1114203999998</v>
      </c>
      <c r="AM112">
        <f t="shared" si="58"/>
        <v>0.83283967799999992</v>
      </c>
      <c r="AN112">
        <f t="shared" si="59"/>
        <v>0.15339730607999999</v>
      </c>
      <c r="AO112">
        <v>32.4</v>
      </c>
      <c r="AP112">
        <v>0.5</v>
      </c>
      <c r="AQ112" t="s">
        <v>331</v>
      </c>
      <c r="AR112">
        <v>2</v>
      </c>
      <c r="AS112">
        <v>1690233524.5999999</v>
      </c>
      <c r="AT112">
        <v>652.28700000000003</v>
      </c>
      <c r="AU112">
        <v>800.02300000000002</v>
      </c>
      <c r="AV112">
        <v>24.619900000000001</v>
      </c>
      <c r="AW112">
        <v>16.419</v>
      </c>
      <c r="AX112">
        <v>652.52200000000005</v>
      </c>
      <c r="AY112">
        <v>24.447900000000001</v>
      </c>
      <c r="AZ112">
        <v>300.06099999999998</v>
      </c>
      <c r="BA112">
        <v>99.004300000000001</v>
      </c>
      <c r="BB112">
        <v>9.9956299999999998E-2</v>
      </c>
      <c r="BC112">
        <v>27.153700000000001</v>
      </c>
      <c r="BD112">
        <v>26.989100000000001</v>
      </c>
      <c r="BE112">
        <v>29.165199999999999</v>
      </c>
      <c r="BF112">
        <v>0</v>
      </c>
      <c r="BG112">
        <v>0</v>
      </c>
      <c r="BH112">
        <v>10008.1</v>
      </c>
      <c r="BI112">
        <v>1080.73</v>
      </c>
      <c r="BJ112">
        <v>1.4577199999999999</v>
      </c>
      <c r="BK112">
        <v>-147.73599999999999</v>
      </c>
      <c r="BL112">
        <v>668.75099999999998</v>
      </c>
      <c r="BM112">
        <v>813.37800000000004</v>
      </c>
      <c r="BN112">
        <v>8.2008899999999993</v>
      </c>
      <c r="BO112">
        <v>800.02300000000002</v>
      </c>
      <c r="BP112">
        <v>16.419</v>
      </c>
      <c r="BQ112">
        <v>2.4374799999999999</v>
      </c>
      <c r="BR112">
        <v>1.6255599999999999</v>
      </c>
      <c r="BS112">
        <v>20.614899999999999</v>
      </c>
      <c r="BT112">
        <v>14.203200000000001</v>
      </c>
      <c r="BU112">
        <v>1800</v>
      </c>
      <c r="BV112">
        <v>0.91000099999999995</v>
      </c>
      <c r="BW112">
        <v>3.4007999999999997E-2</v>
      </c>
      <c r="BX112">
        <v>2.19974E-2</v>
      </c>
      <c r="BY112">
        <v>3.3994000000000003E-2</v>
      </c>
      <c r="BZ112">
        <v>25</v>
      </c>
      <c r="CA112">
        <v>33528.400000000001</v>
      </c>
      <c r="CB112">
        <v>1690232006</v>
      </c>
      <c r="CC112" t="s">
        <v>332</v>
      </c>
      <c r="CD112">
        <v>1690232006</v>
      </c>
      <c r="CE112">
        <v>1690231998.5</v>
      </c>
      <c r="CF112">
        <v>14</v>
      </c>
      <c r="CG112">
        <v>-0.13200000000000001</v>
      </c>
      <c r="CH112">
        <v>-7.0000000000000001E-3</v>
      </c>
      <c r="CI112">
        <v>-0.33800000000000002</v>
      </c>
      <c r="CJ112">
        <v>0.14299999999999999</v>
      </c>
      <c r="CK112">
        <v>799</v>
      </c>
      <c r="CL112">
        <v>19</v>
      </c>
      <c r="CM112">
        <v>7.0000000000000007E-2</v>
      </c>
      <c r="CN112">
        <v>0.14000000000000001</v>
      </c>
      <c r="CO112">
        <v>-144.3243170731707</v>
      </c>
      <c r="CP112">
        <v>-18.62147038327506</v>
      </c>
      <c r="CQ112">
        <v>1.836451980062197</v>
      </c>
      <c r="CR112">
        <v>-1</v>
      </c>
      <c r="CS112">
        <v>8.0222578048780484</v>
      </c>
      <c r="CT112">
        <v>1.0057392334494879</v>
      </c>
      <c r="CU112">
        <v>9.9363555607608511E-2</v>
      </c>
      <c r="CV112">
        <v>-1</v>
      </c>
      <c r="CW112">
        <v>0</v>
      </c>
      <c r="CX112">
        <v>0</v>
      </c>
      <c r="CY112" t="s">
        <v>333</v>
      </c>
      <c r="CZ112">
        <v>2.3643399999999999</v>
      </c>
      <c r="DA112">
        <v>2.7137500000000001</v>
      </c>
      <c r="DB112">
        <v>0.12775400000000001</v>
      </c>
      <c r="DC112">
        <v>0.14627899999999999</v>
      </c>
      <c r="DD112">
        <v>0.116008</v>
      </c>
      <c r="DE112">
        <v>8.5660399999999998E-2</v>
      </c>
      <c r="DF112">
        <v>31874.7</v>
      </c>
      <c r="DG112">
        <v>27546.6</v>
      </c>
      <c r="DH112">
        <v>31195.8</v>
      </c>
      <c r="DI112">
        <v>28114.400000000001</v>
      </c>
      <c r="DJ112">
        <v>37440.300000000003</v>
      </c>
      <c r="DK112">
        <v>36556.6</v>
      </c>
      <c r="DL112">
        <v>44399.7</v>
      </c>
      <c r="DM112">
        <v>42616.6</v>
      </c>
      <c r="DN112">
        <v>1.4799199999999999</v>
      </c>
      <c r="DO112">
        <v>2.0588500000000001</v>
      </c>
      <c r="DP112">
        <v>7.3909799999999998E-2</v>
      </c>
      <c r="DQ112">
        <v>0.21804100000000001</v>
      </c>
      <c r="DR112">
        <v>25.779199999999999</v>
      </c>
      <c r="DS112">
        <v>25.601500000000001</v>
      </c>
      <c r="DT112">
        <v>56.5</v>
      </c>
      <c r="DU112">
        <v>28.8</v>
      </c>
      <c r="DV112">
        <v>22.688500000000001</v>
      </c>
      <c r="DW112">
        <v>61.698</v>
      </c>
      <c r="DX112">
        <v>36.782899999999998</v>
      </c>
      <c r="DY112">
        <v>1</v>
      </c>
      <c r="DZ112">
        <v>-0.11565499999999999</v>
      </c>
      <c r="EA112">
        <v>-0.30385600000000001</v>
      </c>
      <c r="EB112">
        <v>20.189299999999999</v>
      </c>
      <c r="EC112">
        <v>5.24125</v>
      </c>
      <c r="ED112">
        <v>12.039899999999999</v>
      </c>
      <c r="EE112">
        <v>5.01715</v>
      </c>
      <c r="EF112">
        <v>3.2879999999999998</v>
      </c>
      <c r="EG112">
        <v>9999</v>
      </c>
      <c r="EH112">
        <v>9999</v>
      </c>
      <c r="EI112">
        <v>9999</v>
      </c>
      <c r="EJ112">
        <v>999.9</v>
      </c>
      <c r="EK112">
        <v>1.8689</v>
      </c>
      <c r="EL112">
        <v>1.8646199999999999</v>
      </c>
      <c r="EM112">
        <v>1.8691800000000001</v>
      </c>
      <c r="EN112">
        <v>1.8672200000000001</v>
      </c>
      <c r="EO112">
        <v>1.86338</v>
      </c>
      <c r="EP112">
        <v>1.8644700000000001</v>
      </c>
      <c r="EQ112">
        <v>1.8701399999999999</v>
      </c>
      <c r="ER112">
        <v>1.86937</v>
      </c>
      <c r="ES112">
        <v>0</v>
      </c>
      <c r="ET112">
        <v>0</v>
      </c>
      <c r="EU112">
        <v>0</v>
      </c>
      <c r="EV112">
        <v>0</v>
      </c>
      <c r="EW112" t="s">
        <v>334</v>
      </c>
      <c r="EX112" t="s">
        <v>335</v>
      </c>
      <c r="EY112" t="s">
        <v>336</v>
      </c>
      <c r="EZ112" t="s">
        <v>336</v>
      </c>
      <c r="FA112" t="s">
        <v>336</v>
      </c>
      <c r="FB112" t="s">
        <v>336</v>
      </c>
      <c r="FC112">
        <v>0</v>
      </c>
      <c r="FD112">
        <v>100</v>
      </c>
      <c r="FE112">
        <v>100</v>
      </c>
      <c r="FF112">
        <v>-0.23499999999999999</v>
      </c>
      <c r="FG112">
        <v>0.17199999999999999</v>
      </c>
      <c r="FH112">
        <v>0.2126736300064915</v>
      </c>
      <c r="FI112">
        <v>-6.1462078757559423E-4</v>
      </c>
      <c r="FJ112">
        <v>-1.8861989874597051E-7</v>
      </c>
      <c r="FK112">
        <v>1.1980462299894961E-10</v>
      </c>
      <c r="FL112">
        <v>0.1719881465068297</v>
      </c>
      <c r="FM112">
        <v>0</v>
      </c>
      <c r="FN112">
        <v>0</v>
      </c>
      <c r="FO112">
        <v>0</v>
      </c>
      <c r="FP112">
        <v>3</v>
      </c>
      <c r="FQ112">
        <v>2158</v>
      </c>
      <c r="FR112">
        <v>1</v>
      </c>
      <c r="FS112">
        <v>19</v>
      </c>
      <c r="FT112">
        <v>25.3</v>
      </c>
      <c r="FU112">
        <v>25.4</v>
      </c>
      <c r="FV112">
        <v>1.78711</v>
      </c>
      <c r="FW112">
        <v>2.5830099999999998</v>
      </c>
      <c r="FX112">
        <v>1.5490699999999999</v>
      </c>
      <c r="FY112">
        <v>2.3303199999999999</v>
      </c>
      <c r="FZ112">
        <v>1.50146</v>
      </c>
      <c r="GA112">
        <v>2.3999000000000001</v>
      </c>
      <c r="GB112">
        <v>33.580399999999997</v>
      </c>
      <c r="GC112">
        <v>23.991199999999999</v>
      </c>
      <c r="GD112">
        <v>19</v>
      </c>
      <c r="GE112">
        <v>283.33600000000001</v>
      </c>
      <c r="GF112">
        <v>598.89800000000002</v>
      </c>
      <c r="GG112">
        <v>25.402699999999999</v>
      </c>
      <c r="GH112">
        <v>25.971299999999999</v>
      </c>
      <c r="GI112">
        <v>30</v>
      </c>
      <c r="GJ112">
        <v>26.095700000000001</v>
      </c>
      <c r="GK112">
        <v>26.076499999999999</v>
      </c>
      <c r="GL112">
        <v>35.7348</v>
      </c>
      <c r="GM112">
        <v>36.763800000000003</v>
      </c>
      <c r="GN112">
        <v>97.754800000000003</v>
      </c>
      <c r="GO112">
        <v>25.402799999999999</v>
      </c>
      <c r="GP112">
        <v>800</v>
      </c>
      <c r="GQ112">
        <v>16.264800000000001</v>
      </c>
      <c r="GR112">
        <v>99.82</v>
      </c>
      <c r="GS112">
        <v>99.690600000000003</v>
      </c>
    </row>
    <row r="113" spans="1:201" x14ac:dyDescent="0.25">
      <c r="A113">
        <v>97</v>
      </c>
      <c r="B113">
        <v>1690233534.5999999</v>
      </c>
      <c r="C113">
        <v>1028.5</v>
      </c>
      <c r="D113" t="s">
        <v>525</v>
      </c>
      <c r="E113" t="s">
        <v>526</v>
      </c>
      <c r="F113" t="s">
        <v>330</v>
      </c>
      <c r="H113">
        <v>1690233534.5999999</v>
      </c>
      <c r="I113">
        <f t="shared" si="30"/>
        <v>7.9469946428353767E-4</v>
      </c>
      <c r="J113">
        <f t="shared" si="31"/>
        <v>0.79469946428353766</v>
      </c>
      <c r="K113">
        <f t="shared" si="32"/>
        <v>13.446824466977157</v>
      </c>
      <c r="L113">
        <f t="shared" si="33"/>
        <v>649.23900000000003</v>
      </c>
      <c r="M113">
        <f t="shared" si="34"/>
        <v>189.09817137098781</v>
      </c>
      <c r="N113">
        <f t="shared" si="35"/>
        <v>18.740605645108378</v>
      </c>
      <c r="O113">
        <f t="shared" si="36"/>
        <v>64.342938803750101</v>
      </c>
      <c r="P113">
        <f t="shared" si="37"/>
        <v>4.8432828754061498E-2</v>
      </c>
      <c r="Q113">
        <f t="shared" si="38"/>
        <v>2.1322878531024565</v>
      </c>
      <c r="R113">
        <f t="shared" si="39"/>
        <v>4.7829871601571046E-2</v>
      </c>
      <c r="S113">
        <f t="shared" si="40"/>
        <v>2.9947217591021376E-2</v>
      </c>
      <c r="T113">
        <f t="shared" si="41"/>
        <v>276.11658575450997</v>
      </c>
      <c r="U113">
        <f t="shared" si="42"/>
        <v>29.047377445488344</v>
      </c>
      <c r="V113">
        <f t="shared" si="43"/>
        <v>29.047377445488344</v>
      </c>
      <c r="W113">
        <f t="shared" si="44"/>
        <v>4.0328117260335841</v>
      </c>
      <c r="X113">
        <f t="shared" si="45"/>
        <v>67.599696612750904</v>
      </c>
      <c r="Y113">
        <f t="shared" si="46"/>
        <v>2.4399394529082303</v>
      </c>
      <c r="Z113">
        <f t="shared" si="47"/>
        <v>3.6093940877953585</v>
      </c>
      <c r="AA113">
        <f t="shared" si="48"/>
        <v>1.5928722731253537</v>
      </c>
      <c r="AB113">
        <f t="shared" si="49"/>
        <v>-35.046246374904008</v>
      </c>
      <c r="AC113">
        <f t="shared" si="50"/>
        <v>-218.88494162624463</v>
      </c>
      <c r="AD113">
        <f t="shared" si="51"/>
        <v>-22.397404756579636</v>
      </c>
      <c r="AE113">
        <f t="shared" si="52"/>
        <v>-0.21200700321830368</v>
      </c>
      <c r="AF113">
        <v>0</v>
      </c>
      <c r="AG113">
        <v>0</v>
      </c>
      <c r="AH113">
        <f t="shared" si="53"/>
        <v>1</v>
      </c>
      <c r="AI113">
        <f t="shared" si="54"/>
        <v>0</v>
      </c>
      <c r="AJ113">
        <f t="shared" si="55"/>
        <v>52423.543873281102</v>
      </c>
      <c r="AK113">
        <f t="shared" si="56"/>
        <v>1800.01</v>
      </c>
      <c r="AL113">
        <f t="shared" si="57"/>
        <v>1499.1203175999399</v>
      </c>
      <c r="AM113">
        <f t="shared" si="58"/>
        <v>0.83283999399999997</v>
      </c>
      <c r="AN113">
        <f t="shared" si="59"/>
        <v>0.15339725099000004</v>
      </c>
      <c r="AO113">
        <v>32.4</v>
      </c>
      <c r="AP113">
        <v>0.5</v>
      </c>
      <c r="AQ113" t="s">
        <v>331</v>
      </c>
      <c r="AR113">
        <v>2</v>
      </c>
      <c r="AS113">
        <v>1690233534.5999999</v>
      </c>
      <c r="AT113">
        <v>649.23900000000003</v>
      </c>
      <c r="AU113">
        <v>799.93700000000001</v>
      </c>
      <c r="AV113">
        <v>24.619700000000002</v>
      </c>
      <c r="AW113">
        <v>16.253799999999998</v>
      </c>
      <c r="AX113">
        <v>649.47199999999998</v>
      </c>
      <c r="AY113">
        <v>24.447700000000001</v>
      </c>
      <c r="AZ113">
        <v>300.19900000000001</v>
      </c>
      <c r="BA113">
        <v>99.005300000000005</v>
      </c>
      <c r="BB113">
        <v>9.9865899999999994E-2</v>
      </c>
      <c r="BC113">
        <v>27.1433</v>
      </c>
      <c r="BD113">
        <v>27.000900000000001</v>
      </c>
      <c r="BE113">
        <v>29.177299999999999</v>
      </c>
      <c r="BF113">
        <v>0</v>
      </c>
      <c r="BG113">
        <v>0</v>
      </c>
      <c r="BH113">
        <v>10019.4</v>
      </c>
      <c r="BI113">
        <v>1080.82</v>
      </c>
      <c r="BJ113">
        <v>1.47174</v>
      </c>
      <c r="BK113">
        <v>-150.69800000000001</v>
      </c>
      <c r="BL113">
        <v>665.62599999999998</v>
      </c>
      <c r="BM113">
        <v>813.154</v>
      </c>
      <c r="BN113">
        <v>8.36585</v>
      </c>
      <c r="BO113">
        <v>799.93700000000001</v>
      </c>
      <c r="BP113">
        <v>16.253799999999998</v>
      </c>
      <c r="BQ113">
        <v>2.4374799999999999</v>
      </c>
      <c r="BR113">
        <v>1.6092200000000001</v>
      </c>
      <c r="BS113">
        <v>20.614899999999999</v>
      </c>
      <c r="BT113">
        <v>14.0473</v>
      </c>
      <c r="BU113">
        <v>1800.01</v>
      </c>
      <c r="BV113">
        <v>0.91000400000000004</v>
      </c>
      <c r="BW113">
        <v>3.40069E-2</v>
      </c>
      <c r="BX113">
        <v>2.1996700000000001E-2</v>
      </c>
      <c r="BY113">
        <v>3.39929E-2</v>
      </c>
      <c r="BZ113">
        <v>25</v>
      </c>
      <c r="CA113">
        <v>33528.5</v>
      </c>
      <c r="CB113">
        <v>1690232006</v>
      </c>
      <c r="CC113" t="s">
        <v>332</v>
      </c>
      <c r="CD113">
        <v>1690232006</v>
      </c>
      <c r="CE113">
        <v>1690231998.5</v>
      </c>
      <c r="CF113">
        <v>14</v>
      </c>
      <c r="CG113">
        <v>-0.13200000000000001</v>
      </c>
      <c r="CH113">
        <v>-7.0000000000000001E-3</v>
      </c>
      <c r="CI113">
        <v>-0.33800000000000002</v>
      </c>
      <c r="CJ113">
        <v>0.14299999999999999</v>
      </c>
      <c r="CK113">
        <v>799</v>
      </c>
      <c r="CL113">
        <v>19</v>
      </c>
      <c r="CM113">
        <v>7.0000000000000007E-2</v>
      </c>
      <c r="CN113">
        <v>0.14000000000000001</v>
      </c>
      <c r="CO113">
        <v>-147.41792682926831</v>
      </c>
      <c r="CP113">
        <v>-18.507804878048741</v>
      </c>
      <c r="CQ113">
        <v>1.825131500644827</v>
      </c>
      <c r="CR113">
        <v>-1</v>
      </c>
      <c r="CS113">
        <v>8.1879163414634153</v>
      </c>
      <c r="CT113">
        <v>1.020670871080132</v>
      </c>
      <c r="CU113">
        <v>0.1008141071418589</v>
      </c>
      <c r="CV113">
        <v>-1</v>
      </c>
      <c r="CW113">
        <v>0</v>
      </c>
      <c r="CX113">
        <v>0</v>
      </c>
      <c r="CY113" t="s">
        <v>333</v>
      </c>
      <c r="CZ113">
        <v>2.3647999999999998</v>
      </c>
      <c r="DA113">
        <v>2.7136800000000001</v>
      </c>
      <c r="DB113">
        <v>0.12734100000000001</v>
      </c>
      <c r="DC113">
        <v>0.14626700000000001</v>
      </c>
      <c r="DD113">
        <v>0.116009</v>
      </c>
      <c r="DE113">
        <v>8.5034899999999997E-2</v>
      </c>
      <c r="DF113">
        <v>31890</v>
      </c>
      <c r="DG113">
        <v>27546.9</v>
      </c>
      <c r="DH113">
        <v>31196</v>
      </c>
      <c r="DI113">
        <v>28114.400000000001</v>
      </c>
      <c r="DJ113">
        <v>37440.400000000001</v>
      </c>
      <c r="DK113">
        <v>36581.699999999997</v>
      </c>
      <c r="DL113">
        <v>44399.8</v>
      </c>
      <c r="DM113">
        <v>42616.7</v>
      </c>
      <c r="DN113">
        <v>1.4799</v>
      </c>
      <c r="DO113">
        <v>2.0585</v>
      </c>
      <c r="DP113">
        <v>7.4505799999999997E-2</v>
      </c>
      <c r="DQ113">
        <v>0.21878600000000001</v>
      </c>
      <c r="DR113">
        <v>25.781300000000002</v>
      </c>
      <c r="DS113">
        <v>25.601500000000001</v>
      </c>
      <c r="DT113">
        <v>56.5</v>
      </c>
      <c r="DU113">
        <v>28.8</v>
      </c>
      <c r="DV113">
        <v>22.690200000000001</v>
      </c>
      <c r="DW113">
        <v>61.808</v>
      </c>
      <c r="DX113">
        <v>35.825299999999999</v>
      </c>
      <c r="DY113">
        <v>1</v>
      </c>
      <c r="DZ113">
        <v>-0.115635</v>
      </c>
      <c r="EA113">
        <v>-0.32690399999999997</v>
      </c>
      <c r="EB113">
        <v>20.189399999999999</v>
      </c>
      <c r="EC113">
        <v>5.24125</v>
      </c>
      <c r="ED113">
        <v>12.039899999999999</v>
      </c>
      <c r="EE113">
        <v>5.01715</v>
      </c>
      <c r="EF113">
        <v>3.2879999999999998</v>
      </c>
      <c r="EG113">
        <v>9999</v>
      </c>
      <c r="EH113">
        <v>9999</v>
      </c>
      <c r="EI113">
        <v>9999</v>
      </c>
      <c r="EJ113">
        <v>999.9</v>
      </c>
      <c r="EK113">
        <v>1.8689</v>
      </c>
      <c r="EL113">
        <v>1.8646199999999999</v>
      </c>
      <c r="EM113">
        <v>1.8691899999999999</v>
      </c>
      <c r="EN113">
        <v>1.8672200000000001</v>
      </c>
      <c r="EO113">
        <v>1.86337</v>
      </c>
      <c r="EP113">
        <v>1.8644700000000001</v>
      </c>
      <c r="EQ113">
        <v>1.8701399999999999</v>
      </c>
      <c r="ER113">
        <v>1.86938</v>
      </c>
      <c r="ES113">
        <v>0</v>
      </c>
      <c r="ET113">
        <v>0</v>
      </c>
      <c r="EU113">
        <v>0</v>
      </c>
      <c r="EV113">
        <v>0</v>
      </c>
      <c r="EW113" t="s">
        <v>334</v>
      </c>
      <c r="EX113" t="s">
        <v>335</v>
      </c>
      <c r="EY113" t="s">
        <v>336</v>
      </c>
      <c r="EZ113" t="s">
        <v>336</v>
      </c>
      <c r="FA113" t="s">
        <v>336</v>
      </c>
      <c r="FB113" t="s">
        <v>336</v>
      </c>
      <c r="FC113">
        <v>0</v>
      </c>
      <c r="FD113">
        <v>100</v>
      </c>
      <c r="FE113">
        <v>100</v>
      </c>
      <c r="FF113">
        <v>-0.23300000000000001</v>
      </c>
      <c r="FG113">
        <v>0.17199999999999999</v>
      </c>
      <c r="FH113">
        <v>0.2126736300064915</v>
      </c>
      <c r="FI113">
        <v>-6.1462078757559423E-4</v>
      </c>
      <c r="FJ113">
        <v>-1.8861989874597051E-7</v>
      </c>
      <c r="FK113">
        <v>1.1980462299894961E-10</v>
      </c>
      <c r="FL113">
        <v>0.1719881465068297</v>
      </c>
      <c r="FM113">
        <v>0</v>
      </c>
      <c r="FN113">
        <v>0</v>
      </c>
      <c r="FO113">
        <v>0</v>
      </c>
      <c r="FP113">
        <v>3</v>
      </c>
      <c r="FQ113">
        <v>2158</v>
      </c>
      <c r="FR113">
        <v>1</v>
      </c>
      <c r="FS113">
        <v>19</v>
      </c>
      <c r="FT113">
        <v>25.5</v>
      </c>
      <c r="FU113">
        <v>25.6</v>
      </c>
      <c r="FV113">
        <v>1.78711</v>
      </c>
      <c r="FW113">
        <v>2.5903299999999998</v>
      </c>
      <c r="FX113">
        <v>1.5490699999999999</v>
      </c>
      <c r="FY113">
        <v>2.3303199999999999</v>
      </c>
      <c r="FZ113">
        <v>1.50146</v>
      </c>
      <c r="GA113">
        <v>2.2766099999999998</v>
      </c>
      <c r="GB113">
        <v>33.580399999999997</v>
      </c>
      <c r="GC113">
        <v>23.982399999999998</v>
      </c>
      <c r="GD113">
        <v>19</v>
      </c>
      <c r="GE113">
        <v>283.32</v>
      </c>
      <c r="GF113">
        <v>598.59699999999998</v>
      </c>
      <c r="GG113">
        <v>25.412400000000002</v>
      </c>
      <c r="GH113">
        <v>25.969100000000001</v>
      </c>
      <c r="GI113">
        <v>30.0001</v>
      </c>
      <c r="GJ113">
        <v>26.0946</v>
      </c>
      <c r="GK113">
        <v>26.075900000000001</v>
      </c>
      <c r="GL113">
        <v>35.731499999999997</v>
      </c>
      <c r="GM113">
        <v>37.321100000000001</v>
      </c>
      <c r="GN113">
        <v>97.384600000000006</v>
      </c>
      <c r="GO113">
        <v>25.415199999999999</v>
      </c>
      <c r="GP113">
        <v>800</v>
      </c>
      <c r="GQ113">
        <v>16.109000000000002</v>
      </c>
      <c r="GR113">
        <v>99.820400000000006</v>
      </c>
      <c r="GS113">
        <v>99.690600000000003</v>
      </c>
    </row>
    <row r="114" spans="1:201" x14ac:dyDescent="0.25">
      <c r="A114">
        <v>98</v>
      </c>
      <c r="B114">
        <v>1690233544.5999999</v>
      </c>
      <c r="C114">
        <v>1038.5</v>
      </c>
      <c r="D114" t="s">
        <v>527</v>
      </c>
      <c r="E114" t="s">
        <v>528</v>
      </c>
      <c r="F114" t="s">
        <v>330</v>
      </c>
      <c r="H114">
        <v>1690233544.5999999</v>
      </c>
      <c r="I114">
        <f t="shared" si="30"/>
        <v>8.0961008947312693E-4</v>
      </c>
      <c r="J114">
        <f t="shared" si="31"/>
        <v>0.80961008947312696</v>
      </c>
      <c r="K114">
        <f t="shared" si="32"/>
        <v>13.714151424788588</v>
      </c>
      <c r="L114">
        <f t="shared" si="33"/>
        <v>646.322</v>
      </c>
      <c r="M114">
        <f t="shared" si="34"/>
        <v>185.72280517443389</v>
      </c>
      <c r="N114">
        <f t="shared" si="35"/>
        <v>18.405278942476148</v>
      </c>
      <c r="O114">
        <f t="shared" si="36"/>
        <v>64.051028550243998</v>
      </c>
      <c r="P114">
        <f t="shared" si="37"/>
        <v>4.934707701205733E-2</v>
      </c>
      <c r="Q114">
        <f t="shared" si="38"/>
        <v>2.1288820072033761</v>
      </c>
      <c r="R114">
        <f t="shared" si="39"/>
        <v>4.8720312608680282E-2</v>
      </c>
      <c r="S114">
        <f t="shared" si="40"/>
        <v>3.0505844381016133E-2</v>
      </c>
      <c r="T114">
        <f t="shared" si="41"/>
        <v>276.11322579711236</v>
      </c>
      <c r="U114">
        <f t="shared" si="42"/>
        <v>29.049507038593731</v>
      </c>
      <c r="V114">
        <f t="shared" si="43"/>
        <v>29.049507038593731</v>
      </c>
      <c r="W114">
        <f t="shared" si="44"/>
        <v>4.0333085415272629</v>
      </c>
      <c r="X114">
        <f t="shared" si="45"/>
        <v>67.591106235218518</v>
      </c>
      <c r="Y114">
        <f t="shared" si="46"/>
        <v>2.4402878786886002</v>
      </c>
      <c r="Z114">
        <f t="shared" si="47"/>
        <v>3.6103683082155005</v>
      </c>
      <c r="AA114">
        <f t="shared" si="48"/>
        <v>1.5930206628386627</v>
      </c>
      <c r="AB114">
        <f t="shared" si="49"/>
        <v>-35.703804945764901</v>
      </c>
      <c r="AC114">
        <f t="shared" si="50"/>
        <v>-218.25178836179595</v>
      </c>
      <c r="AD114">
        <f t="shared" si="51"/>
        <v>-22.369095030084694</v>
      </c>
      <c r="AE114">
        <f t="shared" si="52"/>
        <v>-0.21146254053314806</v>
      </c>
      <c r="AF114">
        <v>0</v>
      </c>
      <c r="AG114">
        <v>0</v>
      </c>
      <c r="AH114">
        <f t="shared" si="53"/>
        <v>1</v>
      </c>
      <c r="AI114">
        <f t="shared" si="54"/>
        <v>0</v>
      </c>
      <c r="AJ114">
        <f t="shared" si="55"/>
        <v>52275.948004270685</v>
      </c>
      <c r="AK114">
        <f t="shared" si="56"/>
        <v>1799.99</v>
      </c>
      <c r="AL114">
        <f t="shared" si="57"/>
        <v>1499.1027194052899</v>
      </c>
      <c r="AM114">
        <f t="shared" si="58"/>
        <v>0.832839471</v>
      </c>
      <c r="AN114">
        <f t="shared" si="59"/>
        <v>0.15339708875999997</v>
      </c>
      <c r="AO114">
        <v>32.4</v>
      </c>
      <c r="AP114">
        <v>0.5</v>
      </c>
      <c r="AQ114" t="s">
        <v>331</v>
      </c>
      <c r="AR114">
        <v>2</v>
      </c>
      <c r="AS114">
        <v>1690233544.5999999</v>
      </c>
      <c r="AT114">
        <v>646.322</v>
      </c>
      <c r="AU114">
        <v>800.01800000000003</v>
      </c>
      <c r="AV114">
        <v>24.624300000000002</v>
      </c>
      <c r="AW114">
        <v>16.099599999999999</v>
      </c>
      <c r="AX114">
        <v>646.553</v>
      </c>
      <c r="AY114">
        <v>24.452300000000001</v>
      </c>
      <c r="AZ114">
        <v>300.13299999999998</v>
      </c>
      <c r="BA114">
        <v>99.000799999999998</v>
      </c>
      <c r="BB114">
        <v>0.10000199999999999</v>
      </c>
      <c r="BC114">
        <v>27.1479</v>
      </c>
      <c r="BD114">
        <v>27.013200000000001</v>
      </c>
      <c r="BE114">
        <v>29.189800000000002</v>
      </c>
      <c r="BF114">
        <v>0</v>
      </c>
      <c r="BG114">
        <v>0</v>
      </c>
      <c r="BH114">
        <v>9990.6200000000008</v>
      </c>
      <c r="BI114">
        <v>1080.8399999999999</v>
      </c>
      <c r="BJ114">
        <v>1.4577199999999999</v>
      </c>
      <c r="BK114">
        <v>-153.696</v>
      </c>
      <c r="BL114">
        <v>662.63900000000001</v>
      </c>
      <c r="BM114">
        <v>813.10900000000004</v>
      </c>
      <c r="BN114">
        <v>8.5246600000000008</v>
      </c>
      <c r="BO114">
        <v>800.01800000000003</v>
      </c>
      <c r="BP114">
        <v>16.099599999999999</v>
      </c>
      <c r="BQ114">
        <v>2.4378199999999999</v>
      </c>
      <c r="BR114">
        <v>1.5938699999999999</v>
      </c>
      <c r="BS114">
        <v>20.6172</v>
      </c>
      <c r="BT114">
        <v>13.899699999999999</v>
      </c>
      <c r="BU114">
        <v>1799.99</v>
      </c>
      <c r="BV114">
        <v>0.91000499999999995</v>
      </c>
      <c r="BW114">
        <v>3.40062E-2</v>
      </c>
      <c r="BX114">
        <v>2.19963E-2</v>
      </c>
      <c r="BY114">
        <v>3.39922E-2</v>
      </c>
      <c r="BZ114">
        <v>25</v>
      </c>
      <c r="CA114">
        <v>33528.300000000003</v>
      </c>
      <c r="CB114">
        <v>1690232006</v>
      </c>
      <c r="CC114" t="s">
        <v>332</v>
      </c>
      <c r="CD114">
        <v>1690232006</v>
      </c>
      <c r="CE114">
        <v>1690231998.5</v>
      </c>
      <c r="CF114">
        <v>14</v>
      </c>
      <c r="CG114">
        <v>-0.13200000000000001</v>
      </c>
      <c r="CH114">
        <v>-7.0000000000000001E-3</v>
      </c>
      <c r="CI114">
        <v>-0.33800000000000002</v>
      </c>
      <c r="CJ114">
        <v>0.14299999999999999</v>
      </c>
      <c r="CK114">
        <v>799</v>
      </c>
      <c r="CL114">
        <v>19</v>
      </c>
      <c r="CM114">
        <v>7.0000000000000007E-2</v>
      </c>
      <c r="CN114">
        <v>0.14000000000000001</v>
      </c>
      <c r="CO114">
        <v>-150.47336585365849</v>
      </c>
      <c r="CP114">
        <v>-18.099867595819038</v>
      </c>
      <c r="CQ114">
        <v>1.7855125895984361</v>
      </c>
      <c r="CR114">
        <v>-1</v>
      </c>
      <c r="CS114">
        <v>8.3543060975609755</v>
      </c>
      <c r="CT114">
        <v>0.99437937282230138</v>
      </c>
      <c r="CU114">
        <v>9.8249790935743528E-2</v>
      </c>
      <c r="CV114">
        <v>-1</v>
      </c>
      <c r="CW114">
        <v>0</v>
      </c>
      <c r="CX114">
        <v>0</v>
      </c>
      <c r="CY114" t="s">
        <v>333</v>
      </c>
      <c r="CZ114">
        <v>2.3645900000000002</v>
      </c>
      <c r="DA114">
        <v>2.7137799999999999</v>
      </c>
      <c r="DB114">
        <v>0.126939</v>
      </c>
      <c r="DC114">
        <v>0.14626800000000001</v>
      </c>
      <c r="DD114">
        <v>0.116019</v>
      </c>
      <c r="DE114">
        <v>8.4444500000000006E-2</v>
      </c>
      <c r="DF114">
        <v>31904.799999999999</v>
      </c>
      <c r="DG114">
        <v>27547.5</v>
      </c>
      <c r="DH114">
        <v>31196.1</v>
      </c>
      <c r="DI114">
        <v>28115</v>
      </c>
      <c r="DJ114">
        <v>37440.1</v>
      </c>
      <c r="DK114">
        <v>36606.1</v>
      </c>
      <c r="DL114">
        <v>44400.1</v>
      </c>
      <c r="DM114">
        <v>42617.599999999999</v>
      </c>
      <c r="DN114">
        <v>1.4801800000000001</v>
      </c>
      <c r="DO114">
        <v>2.0581999999999998</v>
      </c>
      <c r="DP114">
        <v>7.5250899999999996E-2</v>
      </c>
      <c r="DQ114">
        <v>0.21942</v>
      </c>
      <c r="DR114">
        <v>25.781400000000001</v>
      </c>
      <c r="DS114">
        <v>25.6037</v>
      </c>
      <c r="DT114">
        <v>56.5</v>
      </c>
      <c r="DU114">
        <v>28.8</v>
      </c>
      <c r="DV114">
        <v>22.6873</v>
      </c>
      <c r="DW114">
        <v>61.618000000000002</v>
      </c>
      <c r="DX114">
        <v>36.818899999999999</v>
      </c>
      <c r="DY114">
        <v>1</v>
      </c>
      <c r="DZ114">
        <v>-0.11571099999999999</v>
      </c>
      <c r="EA114">
        <v>-0.322214</v>
      </c>
      <c r="EB114">
        <v>20.1892</v>
      </c>
      <c r="EC114">
        <v>5.2411000000000003</v>
      </c>
      <c r="ED114">
        <v>12.039899999999999</v>
      </c>
      <c r="EE114">
        <v>5.0172999999999996</v>
      </c>
      <c r="EF114">
        <v>3.2879999999999998</v>
      </c>
      <c r="EG114">
        <v>9999</v>
      </c>
      <c r="EH114">
        <v>9999</v>
      </c>
      <c r="EI114">
        <v>9999</v>
      </c>
      <c r="EJ114">
        <v>999.9</v>
      </c>
      <c r="EK114">
        <v>1.8689</v>
      </c>
      <c r="EL114">
        <v>1.8646199999999999</v>
      </c>
      <c r="EM114">
        <v>1.8691899999999999</v>
      </c>
      <c r="EN114">
        <v>1.8672200000000001</v>
      </c>
      <c r="EO114">
        <v>1.8633999999999999</v>
      </c>
      <c r="EP114">
        <v>1.8644799999999999</v>
      </c>
      <c r="EQ114">
        <v>1.87016</v>
      </c>
      <c r="ER114">
        <v>1.8694</v>
      </c>
      <c r="ES114">
        <v>0</v>
      </c>
      <c r="ET114">
        <v>0</v>
      </c>
      <c r="EU114">
        <v>0</v>
      </c>
      <c r="EV114">
        <v>0</v>
      </c>
      <c r="EW114" t="s">
        <v>334</v>
      </c>
      <c r="EX114" t="s">
        <v>335</v>
      </c>
      <c r="EY114" t="s">
        <v>336</v>
      </c>
      <c r="EZ114" t="s">
        <v>336</v>
      </c>
      <c r="FA114" t="s">
        <v>336</v>
      </c>
      <c r="FB114" t="s">
        <v>336</v>
      </c>
      <c r="FC114">
        <v>0</v>
      </c>
      <c r="FD114">
        <v>100</v>
      </c>
      <c r="FE114">
        <v>100</v>
      </c>
      <c r="FF114">
        <v>-0.23100000000000001</v>
      </c>
      <c r="FG114">
        <v>0.17199999999999999</v>
      </c>
      <c r="FH114">
        <v>0.2126736300064915</v>
      </c>
      <c r="FI114">
        <v>-6.1462078757559423E-4</v>
      </c>
      <c r="FJ114">
        <v>-1.8861989874597051E-7</v>
      </c>
      <c r="FK114">
        <v>1.1980462299894961E-10</v>
      </c>
      <c r="FL114">
        <v>0.1719881465068297</v>
      </c>
      <c r="FM114">
        <v>0</v>
      </c>
      <c r="FN114">
        <v>0</v>
      </c>
      <c r="FO114">
        <v>0</v>
      </c>
      <c r="FP114">
        <v>3</v>
      </c>
      <c r="FQ114">
        <v>2158</v>
      </c>
      <c r="FR114">
        <v>1</v>
      </c>
      <c r="FS114">
        <v>19</v>
      </c>
      <c r="FT114">
        <v>25.6</v>
      </c>
      <c r="FU114">
        <v>25.8</v>
      </c>
      <c r="FV114">
        <v>1.78711</v>
      </c>
      <c r="FW114">
        <v>2.5866699999999998</v>
      </c>
      <c r="FX114">
        <v>1.5490699999999999</v>
      </c>
      <c r="FY114">
        <v>2.3303199999999999</v>
      </c>
      <c r="FZ114">
        <v>1.50146</v>
      </c>
      <c r="GA114">
        <v>2.3925800000000002</v>
      </c>
      <c r="GB114">
        <v>33.580399999999997</v>
      </c>
      <c r="GC114">
        <v>23.991199999999999</v>
      </c>
      <c r="GD114">
        <v>19</v>
      </c>
      <c r="GE114">
        <v>283.43</v>
      </c>
      <c r="GF114">
        <v>598.32299999999998</v>
      </c>
      <c r="GG114">
        <v>25.42</v>
      </c>
      <c r="GH114">
        <v>25.966999999999999</v>
      </c>
      <c r="GI114">
        <v>30</v>
      </c>
      <c r="GJ114">
        <v>26.093</v>
      </c>
      <c r="GK114">
        <v>26.074200000000001</v>
      </c>
      <c r="GL114">
        <v>35.724600000000002</v>
      </c>
      <c r="GM114">
        <v>37.927399999999999</v>
      </c>
      <c r="GN114">
        <v>97.001400000000004</v>
      </c>
      <c r="GO114">
        <v>25.421199999999999</v>
      </c>
      <c r="GP114">
        <v>800</v>
      </c>
      <c r="GQ114">
        <v>15.943899999999999</v>
      </c>
      <c r="GR114">
        <v>99.820999999999998</v>
      </c>
      <c r="GS114">
        <v>99.692700000000002</v>
      </c>
    </row>
    <row r="115" spans="1:201" x14ac:dyDescent="0.25">
      <c r="A115">
        <v>99</v>
      </c>
      <c r="B115">
        <v>1690233554.5999999</v>
      </c>
      <c r="C115">
        <v>1048.5</v>
      </c>
      <c r="D115" t="s">
        <v>529</v>
      </c>
      <c r="E115" t="s">
        <v>530</v>
      </c>
      <c r="F115" t="s">
        <v>330</v>
      </c>
      <c r="H115">
        <v>1690233554.5999999</v>
      </c>
      <c r="I115">
        <f t="shared" si="30"/>
        <v>8.2647369153994389E-4</v>
      </c>
      <c r="J115">
        <f t="shared" si="31"/>
        <v>0.82647369153994388</v>
      </c>
      <c r="K115">
        <f t="shared" si="32"/>
        <v>14.002770791162797</v>
      </c>
      <c r="L115">
        <f t="shared" si="33"/>
        <v>643.21500000000003</v>
      </c>
      <c r="M115">
        <f t="shared" si="34"/>
        <v>183.75319256251206</v>
      </c>
      <c r="N115">
        <f t="shared" si="35"/>
        <v>18.210610281316512</v>
      </c>
      <c r="O115">
        <f t="shared" si="36"/>
        <v>63.744947931243004</v>
      </c>
      <c r="P115">
        <f t="shared" si="37"/>
        <v>5.0514866603826709E-2</v>
      </c>
      <c r="Q115">
        <f t="shared" si="38"/>
        <v>2.132047937125801</v>
      </c>
      <c r="R115">
        <f t="shared" si="39"/>
        <v>4.9859260812400434E-2</v>
      </c>
      <c r="S115">
        <f t="shared" si="40"/>
        <v>3.1220232642646943E-2</v>
      </c>
      <c r="T115">
        <f t="shared" si="41"/>
        <v>276.11479400399998</v>
      </c>
      <c r="U115">
        <f t="shared" si="42"/>
        <v>29.033594129866422</v>
      </c>
      <c r="V115">
        <f t="shared" si="43"/>
        <v>29.033594129866422</v>
      </c>
      <c r="W115">
        <f t="shared" si="44"/>
        <v>4.0295974888797144</v>
      </c>
      <c r="X115">
        <f t="shared" si="45"/>
        <v>67.625811649079509</v>
      </c>
      <c r="Y115">
        <f t="shared" si="46"/>
        <v>2.4404667813810796</v>
      </c>
      <c r="Z115">
        <f t="shared" si="47"/>
        <v>3.6087800232920362</v>
      </c>
      <c r="AA115">
        <f t="shared" si="48"/>
        <v>1.5891307074986347</v>
      </c>
      <c r="AB115">
        <f t="shared" si="49"/>
        <v>-36.447489796911526</v>
      </c>
      <c r="AC115">
        <f t="shared" si="50"/>
        <v>-217.60935301841457</v>
      </c>
      <c r="AD115">
        <f t="shared" si="51"/>
        <v>-22.267532438587946</v>
      </c>
      <c r="AE115">
        <f t="shared" si="52"/>
        <v>-0.20958124991406635</v>
      </c>
      <c r="AF115">
        <v>0</v>
      </c>
      <c r="AG115">
        <v>0</v>
      </c>
      <c r="AH115">
        <f t="shared" si="53"/>
        <v>1</v>
      </c>
      <c r="AI115">
        <f t="shared" si="54"/>
        <v>0</v>
      </c>
      <c r="AJ115">
        <f t="shared" si="55"/>
        <v>52413.672756931999</v>
      </c>
      <c r="AK115">
        <f t="shared" si="56"/>
        <v>1800</v>
      </c>
      <c r="AL115">
        <f t="shared" si="57"/>
        <v>1499.1125543999999</v>
      </c>
      <c r="AM115">
        <f t="shared" si="58"/>
        <v>0.83284030799999997</v>
      </c>
      <c r="AN115">
        <f t="shared" si="59"/>
        <v>0.15339710777999999</v>
      </c>
      <c r="AO115">
        <v>32.4</v>
      </c>
      <c r="AP115">
        <v>0.5</v>
      </c>
      <c r="AQ115" t="s">
        <v>331</v>
      </c>
      <c r="AR115">
        <v>2</v>
      </c>
      <c r="AS115">
        <v>1690233554.5999999</v>
      </c>
      <c r="AT115">
        <v>643.21500000000003</v>
      </c>
      <c r="AU115">
        <v>800.06700000000001</v>
      </c>
      <c r="AV115">
        <v>24.625399999999999</v>
      </c>
      <c r="AW115">
        <v>15.9259</v>
      </c>
      <c r="AX115">
        <v>643.44399999999996</v>
      </c>
      <c r="AY115">
        <v>24.453399999999998</v>
      </c>
      <c r="AZ115">
        <v>300.22800000000001</v>
      </c>
      <c r="BA115">
        <v>99.003699999999995</v>
      </c>
      <c r="BB115">
        <v>9.9940200000000007E-2</v>
      </c>
      <c r="BC115">
        <v>27.1404</v>
      </c>
      <c r="BD115">
        <v>26.992799999999999</v>
      </c>
      <c r="BE115">
        <v>29.1601</v>
      </c>
      <c r="BF115">
        <v>0</v>
      </c>
      <c r="BG115">
        <v>0</v>
      </c>
      <c r="BH115">
        <v>10017.5</v>
      </c>
      <c r="BI115">
        <v>1080.82</v>
      </c>
      <c r="BJ115">
        <v>1.4577199999999999</v>
      </c>
      <c r="BK115">
        <v>-156.852</v>
      </c>
      <c r="BL115">
        <v>659.45399999999995</v>
      </c>
      <c r="BM115">
        <v>813.01499999999999</v>
      </c>
      <c r="BN115">
        <v>8.6994900000000008</v>
      </c>
      <c r="BO115">
        <v>800.06700000000001</v>
      </c>
      <c r="BP115">
        <v>15.9259</v>
      </c>
      <c r="BQ115">
        <v>2.4380000000000002</v>
      </c>
      <c r="BR115">
        <v>1.5767199999999999</v>
      </c>
      <c r="BS115">
        <v>20.618400000000001</v>
      </c>
      <c r="BT115">
        <v>13.7332</v>
      </c>
      <c r="BU115">
        <v>1800</v>
      </c>
      <c r="BV115">
        <v>0.91000899999999996</v>
      </c>
      <c r="BW115">
        <v>3.4005000000000001E-2</v>
      </c>
      <c r="BX115">
        <v>2.1995399999999998E-2</v>
      </c>
      <c r="BY115">
        <v>3.3991E-2</v>
      </c>
      <c r="BZ115">
        <v>25</v>
      </c>
      <c r="CA115">
        <v>33528.400000000001</v>
      </c>
      <c r="CB115">
        <v>1690232006</v>
      </c>
      <c r="CC115" t="s">
        <v>332</v>
      </c>
      <c r="CD115">
        <v>1690232006</v>
      </c>
      <c r="CE115">
        <v>1690231998.5</v>
      </c>
      <c r="CF115">
        <v>14</v>
      </c>
      <c r="CG115">
        <v>-0.13200000000000001</v>
      </c>
      <c r="CH115">
        <v>-7.0000000000000001E-3</v>
      </c>
      <c r="CI115">
        <v>-0.33800000000000002</v>
      </c>
      <c r="CJ115">
        <v>0.14299999999999999</v>
      </c>
      <c r="CK115">
        <v>799</v>
      </c>
      <c r="CL115">
        <v>19</v>
      </c>
      <c r="CM115">
        <v>7.0000000000000007E-2</v>
      </c>
      <c r="CN115">
        <v>0.14000000000000001</v>
      </c>
      <c r="CO115">
        <v>-153.47280487804881</v>
      </c>
      <c r="CP115">
        <v>-18.048188153310139</v>
      </c>
      <c r="CQ115">
        <v>1.7806273794273879</v>
      </c>
      <c r="CR115">
        <v>-1</v>
      </c>
      <c r="CS115">
        <v>8.5189341463414632</v>
      </c>
      <c r="CT115">
        <v>0.97910111498258334</v>
      </c>
      <c r="CU115">
        <v>9.679700557189716E-2</v>
      </c>
      <c r="CV115">
        <v>-1</v>
      </c>
      <c r="CW115">
        <v>0</v>
      </c>
      <c r="CX115">
        <v>0</v>
      </c>
      <c r="CY115" t="s">
        <v>333</v>
      </c>
      <c r="CZ115">
        <v>2.3648799999999999</v>
      </c>
      <c r="DA115">
        <v>2.7137500000000001</v>
      </c>
      <c r="DB115">
        <v>0.12651799999999999</v>
      </c>
      <c r="DC115">
        <v>0.14627499999999999</v>
      </c>
      <c r="DD115">
        <v>0.11602700000000001</v>
      </c>
      <c r="DE115">
        <v>8.3783499999999997E-2</v>
      </c>
      <c r="DF115">
        <v>31920.3</v>
      </c>
      <c r="DG115">
        <v>27547.200000000001</v>
      </c>
      <c r="DH115">
        <v>31196.3</v>
      </c>
      <c r="DI115">
        <v>28114.9</v>
      </c>
      <c r="DJ115">
        <v>37440.1</v>
      </c>
      <c r="DK115">
        <v>36632.300000000003</v>
      </c>
      <c r="DL115">
        <v>44400.5</v>
      </c>
      <c r="DM115">
        <v>42617.2</v>
      </c>
      <c r="DN115">
        <v>1.48027</v>
      </c>
      <c r="DO115">
        <v>2.0579999999999998</v>
      </c>
      <c r="DP115">
        <v>7.4133299999999999E-2</v>
      </c>
      <c r="DQ115">
        <v>0.21759400000000001</v>
      </c>
      <c r="DR115">
        <v>25.779199999999999</v>
      </c>
      <c r="DS115">
        <v>25.6037</v>
      </c>
      <c r="DT115">
        <v>56.5</v>
      </c>
      <c r="DU115">
        <v>28.8</v>
      </c>
      <c r="DV115">
        <v>22.687999999999999</v>
      </c>
      <c r="DW115">
        <v>61.607999999999997</v>
      </c>
      <c r="DX115">
        <v>35.741199999999999</v>
      </c>
      <c r="DY115">
        <v>1</v>
      </c>
      <c r="DZ115">
        <v>-0.115462</v>
      </c>
      <c r="EA115">
        <v>-0.172546</v>
      </c>
      <c r="EB115">
        <v>20.189499999999999</v>
      </c>
      <c r="EC115">
        <v>5.2409499999999998</v>
      </c>
      <c r="ED115">
        <v>12.039899999999999</v>
      </c>
      <c r="EE115">
        <v>5.0171999999999999</v>
      </c>
      <c r="EF115">
        <v>3.2879999999999998</v>
      </c>
      <c r="EG115">
        <v>9999</v>
      </c>
      <c r="EH115">
        <v>9999</v>
      </c>
      <c r="EI115">
        <v>9999</v>
      </c>
      <c r="EJ115">
        <v>999.9</v>
      </c>
      <c r="EK115">
        <v>1.8689</v>
      </c>
      <c r="EL115">
        <v>1.8646199999999999</v>
      </c>
      <c r="EM115">
        <v>1.86917</v>
      </c>
      <c r="EN115">
        <v>1.8672200000000001</v>
      </c>
      <c r="EO115">
        <v>1.86338</v>
      </c>
      <c r="EP115">
        <v>1.8644700000000001</v>
      </c>
      <c r="EQ115">
        <v>1.8701399999999999</v>
      </c>
      <c r="ER115">
        <v>1.8693900000000001</v>
      </c>
      <c r="ES115">
        <v>0</v>
      </c>
      <c r="ET115">
        <v>0</v>
      </c>
      <c r="EU115">
        <v>0</v>
      </c>
      <c r="EV115">
        <v>0</v>
      </c>
      <c r="EW115" t="s">
        <v>334</v>
      </c>
      <c r="EX115" t="s">
        <v>335</v>
      </c>
      <c r="EY115" t="s">
        <v>336</v>
      </c>
      <c r="EZ115" t="s">
        <v>336</v>
      </c>
      <c r="FA115" t="s">
        <v>336</v>
      </c>
      <c r="FB115" t="s">
        <v>336</v>
      </c>
      <c r="FC115">
        <v>0</v>
      </c>
      <c r="FD115">
        <v>100</v>
      </c>
      <c r="FE115">
        <v>100</v>
      </c>
      <c r="FF115">
        <v>-0.22900000000000001</v>
      </c>
      <c r="FG115">
        <v>0.17199999999999999</v>
      </c>
      <c r="FH115">
        <v>0.2126736300064915</v>
      </c>
      <c r="FI115">
        <v>-6.1462078757559423E-4</v>
      </c>
      <c r="FJ115">
        <v>-1.8861989874597051E-7</v>
      </c>
      <c r="FK115">
        <v>1.1980462299894961E-10</v>
      </c>
      <c r="FL115">
        <v>0.1719881465068297</v>
      </c>
      <c r="FM115">
        <v>0</v>
      </c>
      <c r="FN115">
        <v>0</v>
      </c>
      <c r="FO115">
        <v>0</v>
      </c>
      <c r="FP115">
        <v>3</v>
      </c>
      <c r="FQ115">
        <v>2158</v>
      </c>
      <c r="FR115">
        <v>1</v>
      </c>
      <c r="FS115">
        <v>19</v>
      </c>
      <c r="FT115">
        <v>25.8</v>
      </c>
      <c r="FU115">
        <v>25.9</v>
      </c>
      <c r="FV115">
        <v>1.78711</v>
      </c>
      <c r="FW115">
        <v>2.5903299999999998</v>
      </c>
      <c r="FX115">
        <v>1.5490699999999999</v>
      </c>
      <c r="FY115">
        <v>2.3303199999999999</v>
      </c>
      <c r="FZ115">
        <v>1.50146</v>
      </c>
      <c r="GA115">
        <v>2.3120099999999999</v>
      </c>
      <c r="GB115">
        <v>33.580399999999997</v>
      </c>
      <c r="GC115">
        <v>23.982399999999998</v>
      </c>
      <c r="GD115">
        <v>19</v>
      </c>
      <c r="GE115">
        <v>283.46199999999999</v>
      </c>
      <c r="GF115">
        <v>598.13</v>
      </c>
      <c r="GG115">
        <v>25.365600000000001</v>
      </c>
      <c r="GH115">
        <v>25.965299999999999</v>
      </c>
      <c r="GI115">
        <v>30.0002</v>
      </c>
      <c r="GJ115">
        <v>26.090800000000002</v>
      </c>
      <c r="GK115">
        <v>26.071999999999999</v>
      </c>
      <c r="GL115">
        <v>35.721899999999998</v>
      </c>
      <c r="GM115">
        <v>38.509599999999999</v>
      </c>
      <c r="GN115">
        <v>96.626599999999996</v>
      </c>
      <c r="GO115">
        <v>25.3613</v>
      </c>
      <c r="GP115">
        <v>800</v>
      </c>
      <c r="GQ115">
        <v>15.784800000000001</v>
      </c>
      <c r="GR115">
        <v>99.821700000000007</v>
      </c>
      <c r="GS115">
        <v>99.692099999999996</v>
      </c>
    </row>
    <row r="116" spans="1:201" x14ac:dyDescent="0.25">
      <c r="A116">
        <v>100</v>
      </c>
      <c r="B116">
        <v>1690233564.5999999</v>
      </c>
      <c r="C116">
        <v>1058.5</v>
      </c>
      <c r="D116" t="s">
        <v>531</v>
      </c>
      <c r="E116" t="s">
        <v>532</v>
      </c>
      <c r="F116" t="s">
        <v>330</v>
      </c>
      <c r="H116">
        <v>1690233564.5999999</v>
      </c>
      <c r="I116">
        <f t="shared" si="30"/>
        <v>8.3977567596597565E-4</v>
      </c>
      <c r="J116">
        <f t="shared" si="31"/>
        <v>0.83977567596597569</v>
      </c>
      <c r="K116">
        <f t="shared" si="32"/>
        <v>14.259505870542943</v>
      </c>
      <c r="L116">
        <f t="shared" si="33"/>
        <v>640.34100000000001</v>
      </c>
      <c r="M116">
        <f t="shared" si="34"/>
        <v>179.88166458554534</v>
      </c>
      <c r="N116">
        <f t="shared" si="35"/>
        <v>17.826504036413869</v>
      </c>
      <c r="O116">
        <f t="shared" si="36"/>
        <v>63.458615682048602</v>
      </c>
      <c r="P116">
        <f t="shared" si="37"/>
        <v>5.1326851813955049E-2</v>
      </c>
      <c r="Q116">
        <f t="shared" si="38"/>
        <v>2.1293987331265507</v>
      </c>
      <c r="R116">
        <f t="shared" si="39"/>
        <v>5.0649322322876916E-2</v>
      </c>
      <c r="S116">
        <f t="shared" si="40"/>
        <v>3.1715954631901619E-2</v>
      </c>
      <c r="T116">
        <f t="shared" si="41"/>
        <v>276.114637512</v>
      </c>
      <c r="U116">
        <f t="shared" si="42"/>
        <v>29.032290044763815</v>
      </c>
      <c r="V116">
        <f t="shared" si="43"/>
        <v>29.032290044763815</v>
      </c>
      <c r="W116">
        <f t="shared" si="44"/>
        <v>4.0292934949699699</v>
      </c>
      <c r="X116">
        <f t="shared" si="45"/>
        <v>67.602693214238201</v>
      </c>
      <c r="Y116">
        <f t="shared" si="46"/>
        <v>2.4398042559527799</v>
      </c>
      <c r="Z116">
        <f t="shared" si="47"/>
        <v>3.6090341078880539</v>
      </c>
      <c r="AA116">
        <f t="shared" si="48"/>
        <v>1.58948923901719</v>
      </c>
      <c r="AB116">
        <f t="shared" si="49"/>
        <v>-37.034107310099529</v>
      </c>
      <c r="AC116">
        <f t="shared" si="50"/>
        <v>-217.05149034419983</v>
      </c>
      <c r="AD116">
        <f t="shared" si="51"/>
        <v>-22.238067564039252</v>
      </c>
      <c r="AE116">
        <f t="shared" si="52"/>
        <v>-0.20902770633861678</v>
      </c>
      <c r="AF116">
        <v>0</v>
      </c>
      <c r="AG116">
        <v>0</v>
      </c>
      <c r="AH116">
        <f t="shared" si="53"/>
        <v>1</v>
      </c>
      <c r="AI116">
        <f t="shared" si="54"/>
        <v>0</v>
      </c>
      <c r="AJ116">
        <f t="shared" si="55"/>
        <v>52299.295277378886</v>
      </c>
      <c r="AK116">
        <f t="shared" si="56"/>
        <v>1800</v>
      </c>
      <c r="AL116">
        <f t="shared" si="57"/>
        <v>1499.1128622000001</v>
      </c>
      <c r="AM116">
        <f t="shared" si="58"/>
        <v>0.83284047900000002</v>
      </c>
      <c r="AN116">
        <f t="shared" si="59"/>
        <v>0.15339702084000001</v>
      </c>
      <c r="AO116">
        <v>32.4</v>
      </c>
      <c r="AP116">
        <v>0.5</v>
      </c>
      <c r="AQ116" t="s">
        <v>331</v>
      </c>
      <c r="AR116">
        <v>2</v>
      </c>
      <c r="AS116">
        <v>1690233564.5999999</v>
      </c>
      <c r="AT116">
        <v>640.34100000000001</v>
      </c>
      <c r="AU116">
        <v>800.08100000000002</v>
      </c>
      <c r="AV116">
        <v>24.619299999999999</v>
      </c>
      <c r="AW116">
        <v>15.776899999999999</v>
      </c>
      <c r="AX116">
        <v>640.56799999999998</v>
      </c>
      <c r="AY116">
        <v>24.447299999999998</v>
      </c>
      <c r="AZ116">
        <v>300.13200000000001</v>
      </c>
      <c r="BA116">
        <v>99.001300000000001</v>
      </c>
      <c r="BB116">
        <v>9.9984600000000007E-2</v>
      </c>
      <c r="BC116">
        <v>27.1416</v>
      </c>
      <c r="BD116">
        <v>26.990100000000002</v>
      </c>
      <c r="BE116">
        <v>29.1328</v>
      </c>
      <c r="BF116">
        <v>0</v>
      </c>
      <c r="BG116">
        <v>0</v>
      </c>
      <c r="BH116">
        <v>9995</v>
      </c>
      <c r="BI116">
        <v>1080.92</v>
      </c>
      <c r="BJ116">
        <v>1.4577199999999999</v>
      </c>
      <c r="BK116">
        <v>-159.74</v>
      </c>
      <c r="BL116">
        <v>656.50400000000002</v>
      </c>
      <c r="BM116">
        <v>812.90700000000004</v>
      </c>
      <c r="BN116">
        <v>8.8423499999999997</v>
      </c>
      <c r="BO116">
        <v>800.08100000000002</v>
      </c>
      <c r="BP116">
        <v>15.776899999999999</v>
      </c>
      <c r="BQ116">
        <v>2.4373399999999998</v>
      </c>
      <c r="BR116">
        <v>1.56193</v>
      </c>
      <c r="BS116">
        <v>20.614000000000001</v>
      </c>
      <c r="BT116">
        <v>13.5883</v>
      </c>
      <c r="BU116">
        <v>1800</v>
      </c>
      <c r="BV116">
        <v>0.91001200000000004</v>
      </c>
      <c r="BW116">
        <v>3.4003800000000001E-2</v>
      </c>
      <c r="BX116">
        <v>2.1994699999999999E-2</v>
      </c>
      <c r="BY116">
        <v>3.3989800000000001E-2</v>
      </c>
      <c r="BZ116">
        <v>25</v>
      </c>
      <c r="CA116">
        <v>33528.400000000001</v>
      </c>
      <c r="CB116">
        <v>1690232006</v>
      </c>
      <c r="CC116" t="s">
        <v>332</v>
      </c>
      <c r="CD116">
        <v>1690232006</v>
      </c>
      <c r="CE116">
        <v>1690231998.5</v>
      </c>
      <c r="CF116">
        <v>14</v>
      </c>
      <c r="CG116">
        <v>-0.13200000000000001</v>
      </c>
      <c r="CH116">
        <v>-7.0000000000000001E-3</v>
      </c>
      <c r="CI116">
        <v>-0.33800000000000002</v>
      </c>
      <c r="CJ116">
        <v>0.14299999999999999</v>
      </c>
      <c r="CK116">
        <v>799</v>
      </c>
      <c r="CL116">
        <v>19</v>
      </c>
      <c r="CM116">
        <v>7.0000000000000007E-2</v>
      </c>
      <c r="CN116">
        <v>0.14000000000000001</v>
      </c>
      <c r="CO116">
        <v>-156.40822499999999</v>
      </c>
      <c r="CP116">
        <v>-18.266600375234429</v>
      </c>
      <c r="CQ116">
        <v>1.7576704396373639</v>
      </c>
      <c r="CR116">
        <v>-1</v>
      </c>
      <c r="CS116">
        <v>8.6805520000000005</v>
      </c>
      <c r="CT116">
        <v>0.99535609756098498</v>
      </c>
      <c r="CU116">
        <v>9.6253957482277067E-2</v>
      </c>
      <c r="CV116">
        <v>-1</v>
      </c>
      <c r="CW116">
        <v>0</v>
      </c>
      <c r="CX116">
        <v>0</v>
      </c>
      <c r="CY116" t="s">
        <v>333</v>
      </c>
      <c r="CZ116">
        <v>2.3645700000000001</v>
      </c>
      <c r="DA116">
        <v>2.7137699999999998</v>
      </c>
      <c r="DB116">
        <v>0.12612300000000001</v>
      </c>
      <c r="DC116">
        <v>0.14627100000000001</v>
      </c>
      <c r="DD116">
        <v>0.116004</v>
      </c>
      <c r="DE116">
        <v>8.3210500000000007E-2</v>
      </c>
      <c r="DF116">
        <v>31935.200000000001</v>
      </c>
      <c r="DG116">
        <v>27547.9</v>
      </c>
      <c r="DH116">
        <v>31196.7</v>
      </c>
      <c r="DI116">
        <v>28115.5</v>
      </c>
      <c r="DJ116">
        <v>37441.4</v>
      </c>
      <c r="DK116">
        <v>36656.199999999997</v>
      </c>
      <c r="DL116">
        <v>44401</v>
      </c>
      <c r="DM116">
        <v>42618.400000000001</v>
      </c>
      <c r="DN116">
        <v>1.4804999999999999</v>
      </c>
      <c r="DO116">
        <v>2.0576699999999999</v>
      </c>
      <c r="DP116">
        <v>7.3835300000000006E-2</v>
      </c>
      <c r="DQ116">
        <v>0.215918</v>
      </c>
      <c r="DR116">
        <v>25.781400000000001</v>
      </c>
      <c r="DS116">
        <v>25.6037</v>
      </c>
      <c r="DT116">
        <v>56.4</v>
      </c>
      <c r="DU116">
        <v>28.8</v>
      </c>
      <c r="DV116">
        <v>22.648</v>
      </c>
      <c r="DW116">
        <v>61.478000000000002</v>
      </c>
      <c r="DX116">
        <v>37.067300000000003</v>
      </c>
      <c r="DY116">
        <v>1</v>
      </c>
      <c r="DZ116">
        <v>-0.11568299999999999</v>
      </c>
      <c r="EA116">
        <v>-0.27841199999999999</v>
      </c>
      <c r="EB116">
        <v>20.189299999999999</v>
      </c>
      <c r="EC116">
        <v>5.24125</v>
      </c>
      <c r="ED116">
        <v>12.039899999999999</v>
      </c>
      <c r="EE116">
        <v>5.0168999999999997</v>
      </c>
      <c r="EF116">
        <v>3.2879999999999998</v>
      </c>
      <c r="EG116">
        <v>9999</v>
      </c>
      <c r="EH116">
        <v>9999</v>
      </c>
      <c r="EI116">
        <v>9999</v>
      </c>
      <c r="EJ116">
        <v>999.9</v>
      </c>
      <c r="EK116">
        <v>1.8688899999999999</v>
      </c>
      <c r="EL116">
        <v>1.8646199999999999</v>
      </c>
      <c r="EM116">
        <v>1.8691899999999999</v>
      </c>
      <c r="EN116">
        <v>1.8672200000000001</v>
      </c>
      <c r="EO116">
        <v>1.8633900000000001</v>
      </c>
      <c r="EP116">
        <v>1.8644700000000001</v>
      </c>
      <c r="EQ116">
        <v>1.8701399999999999</v>
      </c>
      <c r="ER116">
        <v>1.86938</v>
      </c>
      <c r="ES116">
        <v>0</v>
      </c>
      <c r="ET116">
        <v>0</v>
      </c>
      <c r="EU116">
        <v>0</v>
      </c>
      <c r="EV116">
        <v>0</v>
      </c>
      <c r="EW116" t="s">
        <v>334</v>
      </c>
      <c r="EX116" t="s">
        <v>335</v>
      </c>
      <c r="EY116" t="s">
        <v>336</v>
      </c>
      <c r="EZ116" t="s">
        <v>336</v>
      </c>
      <c r="FA116" t="s">
        <v>336</v>
      </c>
      <c r="FB116" t="s">
        <v>336</v>
      </c>
      <c r="FC116">
        <v>0</v>
      </c>
      <c r="FD116">
        <v>100</v>
      </c>
      <c r="FE116">
        <v>100</v>
      </c>
      <c r="FF116">
        <v>-0.22700000000000001</v>
      </c>
      <c r="FG116">
        <v>0.17199999999999999</v>
      </c>
      <c r="FH116">
        <v>0.2126736300064915</v>
      </c>
      <c r="FI116">
        <v>-6.1462078757559423E-4</v>
      </c>
      <c r="FJ116">
        <v>-1.8861989874597051E-7</v>
      </c>
      <c r="FK116">
        <v>1.1980462299894961E-10</v>
      </c>
      <c r="FL116">
        <v>0.1719881465068297</v>
      </c>
      <c r="FM116">
        <v>0</v>
      </c>
      <c r="FN116">
        <v>0</v>
      </c>
      <c r="FO116">
        <v>0</v>
      </c>
      <c r="FP116">
        <v>3</v>
      </c>
      <c r="FQ116">
        <v>2158</v>
      </c>
      <c r="FR116">
        <v>1</v>
      </c>
      <c r="FS116">
        <v>19</v>
      </c>
      <c r="FT116">
        <v>26</v>
      </c>
      <c r="FU116">
        <v>26.1</v>
      </c>
      <c r="FV116">
        <v>1.78711</v>
      </c>
      <c r="FW116">
        <v>2.5854499999999998</v>
      </c>
      <c r="FX116">
        <v>1.5490699999999999</v>
      </c>
      <c r="FY116">
        <v>2.3303199999999999</v>
      </c>
      <c r="FZ116">
        <v>1.50146</v>
      </c>
      <c r="GA116">
        <v>2.3925800000000002</v>
      </c>
      <c r="GB116">
        <v>33.580399999999997</v>
      </c>
      <c r="GC116">
        <v>23.982399999999998</v>
      </c>
      <c r="GD116">
        <v>19</v>
      </c>
      <c r="GE116">
        <v>283.54899999999998</v>
      </c>
      <c r="GF116">
        <v>597.83100000000002</v>
      </c>
      <c r="GG116">
        <v>25.359500000000001</v>
      </c>
      <c r="GH116">
        <v>25.9648</v>
      </c>
      <c r="GI116">
        <v>30</v>
      </c>
      <c r="GJ116">
        <v>26.0886</v>
      </c>
      <c r="GK116">
        <v>26.069800000000001</v>
      </c>
      <c r="GL116">
        <v>35.717700000000001</v>
      </c>
      <c r="GM116">
        <v>39.101900000000001</v>
      </c>
      <c r="GN116">
        <v>96.626599999999996</v>
      </c>
      <c r="GO116">
        <v>25.3674</v>
      </c>
      <c r="GP116">
        <v>800</v>
      </c>
      <c r="GQ116">
        <v>15.631500000000001</v>
      </c>
      <c r="GR116">
        <v>99.822900000000004</v>
      </c>
      <c r="GS116">
        <v>99.694599999999994</v>
      </c>
    </row>
    <row r="117" spans="1:201" x14ac:dyDescent="0.25">
      <c r="A117">
        <v>101</v>
      </c>
      <c r="B117">
        <v>1690233574.5999999</v>
      </c>
      <c r="C117">
        <v>1068.5</v>
      </c>
      <c r="D117" t="s">
        <v>533</v>
      </c>
      <c r="E117" t="s">
        <v>534</v>
      </c>
      <c r="F117" t="s">
        <v>330</v>
      </c>
      <c r="H117">
        <v>1690233574.5999999</v>
      </c>
      <c r="I117">
        <f t="shared" si="30"/>
        <v>8.5656820892939477E-4</v>
      </c>
      <c r="J117">
        <f t="shared" si="31"/>
        <v>0.85656820892939478</v>
      </c>
      <c r="K117">
        <f t="shared" si="32"/>
        <v>14.527813209229347</v>
      </c>
      <c r="L117">
        <f t="shared" si="33"/>
        <v>637.41300000000001</v>
      </c>
      <c r="M117">
        <f t="shared" si="34"/>
        <v>178.53276391807034</v>
      </c>
      <c r="N117">
        <f t="shared" si="35"/>
        <v>17.692972894281581</v>
      </c>
      <c r="O117">
        <f t="shared" si="36"/>
        <v>63.168970691778</v>
      </c>
      <c r="P117">
        <f t="shared" si="37"/>
        <v>5.2480636793000232E-2</v>
      </c>
      <c r="Q117">
        <f t="shared" si="38"/>
        <v>2.1302824013061485</v>
      </c>
      <c r="R117">
        <f t="shared" si="39"/>
        <v>5.1772820400146836E-2</v>
      </c>
      <c r="S117">
        <f t="shared" si="40"/>
        <v>3.2420811881217156E-2</v>
      </c>
      <c r="T117">
        <f t="shared" si="41"/>
        <v>276.11446015800004</v>
      </c>
      <c r="U117">
        <f t="shared" si="42"/>
        <v>29.019433328156232</v>
      </c>
      <c r="V117">
        <f t="shared" si="43"/>
        <v>29.019433328156232</v>
      </c>
      <c r="W117">
        <f t="shared" si="44"/>
        <v>4.0262975494750997</v>
      </c>
      <c r="X117">
        <f t="shared" si="45"/>
        <v>67.637860881999671</v>
      </c>
      <c r="Y117">
        <f t="shared" si="46"/>
        <v>2.4401713356167996</v>
      </c>
      <c r="Z117">
        <f t="shared" si="47"/>
        <v>3.6077003379422323</v>
      </c>
      <c r="AA117">
        <f t="shared" si="48"/>
        <v>1.5861262138583001</v>
      </c>
      <c r="AB117">
        <f t="shared" si="49"/>
        <v>-37.774658013786308</v>
      </c>
      <c r="AC117">
        <f t="shared" si="50"/>
        <v>-216.38853904280222</v>
      </c>
      <c r="AD117">
        <f t="shared" si="51"/>
        <v>-22.158831833094531</v>
      </c>
      <c r="AE117">
        <f t="shared" si="52"/>
        <v>-0.20756873168301126</v>
      </c>
      <c r="AF117">
        <v>0</v>
      </c>
      <c r="AG117">
        <v>0</v>
      </c>
      <c r="AH117">
        <f t="shared" si="53"/>
        <v>1</v>
      </c>
      <c r="AI117">
        <f t="shared" si="54"/>
        <v>0</v>
      </c>
      <c r="AJ117">
        <f t="shared" si="55"/>
        <v>52338.457471643305</v>
      </c>
      <c r="AK117">
        <f t="shared" si="56"/>
        <v>1800</v>
      </c>
      <c r="AL117">
        <f t="shared" si="57"/>
        <v>1499.1124427999998</v>
      </c>
      <c r="AM117">
        <f t="shared" si="58"/>
        <v>0.83284024599999995</v>
      </c>
      <c r="AN117">
        <f t="shared" si="59"/>
        <v>0.15339692231000002</v>
      </c>
      <c r="AO117">
        <v>32.4</v>
      </c>
      <c r="AP117">
        <v>0.5</v>
      </c>
      <c r="AQ117" t="s">
        <v>331</v>
      </c>
      <c r="AR117">
        <v>2</v>
      </c>
      <c r="AS117">
        <v>1690233574.5999999</v>
      </c>
      <c r="AT117">
        <v>637.41300000000001</v>
      </c>
      <c r="AU117">
        <v>800.08100000000002</v>
      </c>
      <c r="AV117">
        <v>24.622800000000002</v>
      </c>
      <c r="AW117">
        <v>15.6068</v>
      </c>
      <c r="AX117">
        <v>637.63800000000003</v>
      </c>
      <c r="AY117">
        <v>24.450900000000001</v>
      </c>
      <c r="AZ117">
        <v>300.238</v>
      </c>
      <c r="BA117">
        <v>99.002099999999999</v>
      </c>
      <c r="BB117">
        <v>0.100006</v>
      </c>
      <c r="BC117">
        <v>27.135300000000001</v>
      </c>
      <c r="BD117">
        <v>26.997</v>
      </c>
      <c r="BE117">
        <v>29.153400000000001</v>
      </c>
      <c r="BF117">
        <v>0</v>
      </c>
      <c r="BG117">
        <v>0</v>
      </c>
      <c r="BH117">
        <v>10002.5</v>
      </c>
      <c r="BI117">
        <v>1080.83</v>
      </c>
      <c r="BJ117">
        <v>1.4577199999999999</v>
      </c>
      <c r="BK117">
        <v>-162.66800000000001</v>
      </c>
      <c r="BL117">
        <v>653.50400000000002</v>
      </c>
      <c r="BM117">
        <v>812.76599999999996</v>
      </c>
      <c r="BN117">
        <v>9.0160400000000003</v>
      </c>
      <c r="BO117">
        <v>800.08100000000002</v>
      </c>
      <c r="BP117">
        <v>15.6068</v>
      </c>
      <c r="BQ117">
        <v>2.43771</v>
      </c>
      <c r="BR117">
        <v>1.54511</v>
      </c>
      <c r="BS117">
        <v>20.616499999999998</v>
      </c>
      <c r="BT117">
        <v>13.422000000000001</v>
      </c>
      <c r="BU117">
        <v>1800</v>
      </c>
      <c r="BV117">
        <v>0.91001299999999996</v>
      </c>
      <c r="BW117">
        <v>3.40033E-2</v>
      </c>
      <c r="BX117">
        <v>2.1994300000000001E-2</v>
      </c>
      <c r="BY117">
        <v>3.39893E-2</v>
      </c>
      <c r="BZ117">
        <v>25</v>
      </c>
      <c r="CA117">
        <v>33528.400000000001</v>
      </c>
      <c r="CB117">
        <v>1690232006</v>
      </c>
      <c r="CC117" t="s">
        <v>332</v>
      </c>
      <c r="CD117">
        <v>1690232006</v>
      </c>
      <c r="CE117">
        <v>1690231998.5</v>
      </c>
      <c r="CF117">
        <v>14</v>
      </c>
      <c r="CG117">
        <v>-0.13200000000000001</v>
      </c>
      <c r="CH117">
        <v>-7.0000000000000001E-3</v>
      </c>
      <c r="CI117">
        <v>-0.33800000000000002</v>
      </c>
      <c r="CJ117">
        <v>0.14299999999999999</v>
      </c>
      <c r="CK117">
        <v>799</v>
      </c>
      <c r="CL117">
        <v>19</v>
      </c>
      <c r="CM117">
        <v>7.0000000000000007E-2</v>
      </c>
      <c r="CN117">
        <v>0.14000000000000001</v>
      </c>
      <c r="CO117">
        <v>-159.42734146341459</v>
      </c>
      <c r="CP117">
        <v>-17.154083623693161</v>
      </c>
      <c r="CQ117">
        <v>1.691827884484653</v>
      </c>
      <c r="CR117">
        <v>-1</v>
      </c>
      <c r="CS117">
        <v>8.8431551219512201</v>
      </c>
      <c r="CT117">
        <v>0.91367644599301834</v>
      </c>
      <c r="CU117">
        <v>9.0649505322583021E-2</v>
      </c>
      <c r="CV117">
        <v>-1</v>
      </c>
      <c r="CW117">
        <v>0</v>
      </c>
      <c r="CX117">
        <v>0</v>
      </c>
      <c r="CY117" t="s">
        <v>333</v>
      </c>
      <c r="CZ117">
        <v>2.3649200000000001</v>
      </c>
      <c r="DA117">
        <v>2.7138</v>
      </c>
      <c r="DB117">
        <v>0.125722</v>
      </c>
      <c r="DC117">
        <v>0.14626900000000001</v>
      </c>
      <c r="DD117">
        <v>0.116018</v>
      </c>
      <c r="DE117">
        <v>8.2556299999999999E-2</v>
      </c>
      <c r="DF117">
        <v>31949.7</v>
      </c>
      <c r="DG117">
        <v>27547.9</v>
      </c>
      <c r="DH117">
        <v>31196.6</v>
      </c>
      <c r="DI117">
        <v>28115.4</v>
      </c>
      <c r="DJ117">
        <v>37440.699999999997</v>
      </c>
      <c r="DK117">
        <v>36682.400000000001</v>
      </c>
      <c r="DL117">
        <v>44400.9</v>
      </c>
      <c r="DM117">
        <v>42618.3</v>
      </c>
      <c r="DN117">
        <v>1.4810000000000001</v>
      </c>
      <c r="DO117">
        <v>2.0573700000000001</v>
      </c>
      <c r="DP117">
        <v>7.4133299999999999E-2</v>
      </c>
      <c r="DQ117">
        <v>0.21718399999999999</v>
      </c>
      <c r="DR117">
        <v>25.7835</v>
      </c>
      <c r="DS117">
        <v>25.6037</v>
      </c>
      <c r="DT117">
        <v>56.4</v>
      </c>
      <c r="DU117">
        <v>28.8</v>
      </c>
      <c r="DV117">
        <v>22.649899999999999</v>
      </c>
      <c r="DW117">
        <v>61.347999999999999</v>
      </c>
      <c r="DX117">
        <v>35.681100000000001</v>
      </c>
      <c r="DY117">
        <v>1</v>
      </c>
      <c r="DZ117">
        <v>-0.115777</v>
      </c>
      <c r="EA117">
        <v>-0.32739400000000002</v>
      </c>
      <c r="EB117">
        <v>20.1891</v>
      </c>
      <c r="EC117">
        <v>5.24125</v>
      </c>
      <c r="ED117">
        <v>12.039899999999999</v>
      </c>
      <c r="EE117">
        <v>5.0170000000000003</v>
      </c>
      <c r="EF117">
        <v>3.2879999999999998</v>
      </c>
      <c r="EG117">
        <v>9999</v>
      </c>
      <c r="EH117">
        <v>9999</v>
      </c>
      <c r="EI117">
        <v>9999</v>
      </c>
      <c r="EJ117">
        <v>999.9</v>
      </c>
      <c r="EK117">
        <v>1.8688899999999999</v>
      </c>
      <c r="EL117">
        <v>1.8646199999999999</v>
      </c>
      <c r="EM117">
        <v>1.86917</v>
      </c>
      <c r="EN117">
        <v>1.8672200000000001</v>
      </c>
      <c r="EO117">
        <v>1.86338</v>
      </c>
      <c r="EP117">
        <v>1.8644700000000001</v>
      </c>
      <c r="EQ117">
        <v>1.8701300000000001</v>
      </c>
      <c r="ER117">
        <v>1.86938</v>
      </c>
      <c r="ES117">
        <v>0</v>
      </c>
      <c r="ET117">
        <v>0</v>
      </c>
      <c r="EU117">
        <v>0</v>
      </c>
      <c r="EV117">
        <v>0</v>
      </c>
      <c r="EW117" t="s">
        <v>334</v>
      </c>
      <c r="EX117" t="s">
        <v>335</v>
      </c>
      <c r="EY117" t="s">
        <v>336</v>
      </c>
      <c r="EZ117" t="s">
        <v>336</v>
      </c>
      <c r="FA117" t="s">
        <v>336</v>
      </c>
      <c r="FB117" t="s">
        <v>336</v>
      </c>
      <c r="FC117">
        <v>0</v>
      </c>
      <c r="FD117">
        <v>100</v>
      </c>
      <c r="FE117">
        <v>100</v>
      </c>
      <c r="FF117">
        <v>-0.22500000000000001</v>
      </c>
      <c r="FG117">
        <v>0.1719</v>
      </c>
      <c r="FH117">
        <v>0.2126736300064915</v>
      </c>
      <c r="FI117">
        <v>-6.1462078757559423E-4</v>
      </c>
      <c r="FJ117">
        <v>-1.8861989874597051E-7</v>
      </c>
      <c r="FK117">
        <v>1.1980462299894961E-10</v>
      </c>
      <c r="FL117">
        <v>0.1719881465068297</v>
      </c>
      <c r="FM117">
        <v>0</v>
      </c>
      <c r="FN117">
        <v>0</v>
      </c>
      <c r="FO117">
        <v>0</v>
      </c>
      <c r="FP117">
        <v>3</v>
      </c>
      <c r="FQ117">
        <v>2158</v>
      </c>
      <c r="FR117">
        <v>1</v>
      </c>
      <c r="FS117">
        <v>19</v>
      </c>
      <c r="FT117">
        <v>26.1</v>
      </c>
      <c r="FU117">
        <v>26.3</v>
      </c>
      <c r="FV117">
        <v>1.78589</v>
      </c>
      <c r="FW117">
        <v>2.5842299999999998</v>
      </c>
      <c r="FX117">
        <v>1.5490699999999999</v>
      </c>
      <c r="FY117">
        <v>2.3303199999999999</v>
      </c>
      <c r="FZ117">
        <v>1.50146</v>
      </c>
      <c r="GA117">
        <v>2.34741</v>
      </c>
      <c r="GB117">
        <v>33.580399999999997</v>
      </c>
      <c r="GC117">
        <v>23.991199999999999</v>
      </c>
      <c r="GD117">
        <v>19</v>
      </c>
      <c r="GE117">
        <v>283.75400000000002</v>
      </c>
      <c r="GF117">
        <v>597.56799999999998</v>
      </c>
      <c r="GG117">
        <v>25.377400000000002</v>
      </c>
      <c r="GH117">
        <v>25.962599999999998</v>
      </c>
      <c r="GI117">
        <v>30</v>
      </c>
      <c r="GJ117">
        <v>26.0869</v>
      </c>
      <c r="GK117">
        <v>26.0688</v>
      </c>
      <c r="GL117">
        <v>35.714500000000001</v>
      </c>
      <c r="GM117">
        <v>39.690899999999999</v>
      </c>
      <c r="GN117">
        <v>96.241299999999995</v>
      </c>
      <c r="GO117">
        <v>25.3841</v>
      </c>
      <c r="GP117">
        <v>800</v>
      </c>
      <c r="GQ117">
        <v>15.4703</v>
      </c>
      <c r="GR117">
        <v>99.822599999999994</v>
      </c>
      <c r="GS117">
        <v>99.694299999999998</v>
      </c>
    </row>
    <row r="118" spans="1:201" x14ac:dyDescent="0.25">
      <c r="A118">
        <v>102</v>
      </c>
      <c r="B118">
        <v>1690233584.5999999</v>
      </c>
      <c r="C118">
        <v>1078.5</v>
      </c>
      <c r="D118" t="s">
        <v>535</v>
      </c>
      <c r="E118" t="s">
        <v>536</v>
      </c>
      <c r="F118" t="s">
        <v>330</v>
      </c>
      <c r="H118">
        <v>1690233584.5999999</v>
      </c>
      <c r="I118">
        <f t="shared" si="30"/>
        <v>8.7111015836649128E-4</v>
      </c>
      <c r="J118">
        <f t="shared" si="31"/>
        <v>0.87111015836649131</v>
      </c>
      <c r="K118">
        <f t="shared" si="32"/>
        <v>14.788498424730987</v>
      </c>
      <c r="L118">
        <f t="shared" si="33"/>
        <v>634.46600000000001</v>
      </c>
      <c r="M118">
        <f t="shared" si="34"/>
        <v>175.82097264131156</v>
      </c>
      <c r="N118">
        <f t="shared" si="35"/>
        <v>17.424332841648649</v>
      </c>
      <c r="O118">
        <f t="shared" si="36"/>
        <v>62.877292706501002</v>
      </c>
      <c r="P118">
        <f t="shared" si="37"/>
        <v>5.3452255487953904E-2</v>
      </c>
      <c r="Q118">
        <f t="shared" si="38"/>
        <v>2.1270085087284607</v>
      </c>
      <c r="R118">
        <f t="shared" si="39"/>
        <v>5.2717072218949876E-2</v>
      </c>
      <c r="S118">
        <f t="shared" si="40"/>
        <v>3.3013380998502373E-2</v>
      </c>
      <c r="T118">
        <f t="shared" si="41"/>
        <v>276.11433201599999</v>
      </c>
      <c r="U118">
        <f t="shared" si="42"/>
        <v>29.011797208670828</v>
      </c>
      <c r="V118">
        <f t="shared" si="43"/>
        <v>29.011797208670828</v>
      </c>
      <c r="W118">
        <f t="shared" si="44"/>
        <v>4.0245190569174625</v>
      </c>
      <c r="X118">
        <f t="shared" si="45"/>
        <v>67.66302702094022</v>
      </c>
      <c r="Y118">
        <f t="shared" si="46"/>
        <v>2.4403345786735504</v>
      </c>
      <c r="Z118">
        <f t="shared" si="47"/>
        <v>3.6065997726030212</v>
      </c>
      <c r="AA118">
        <f t="shared" si="48"/>
        <v>1.5841844782439121</v>
      </c>
      <c r="AB118">
        <f t="shared" si="49"/>
        <v>-38.415957983962265</v>
      </c>
      <c r="AC118">
        <f t="shared" si="50"/>
        <v>-215.77663261376114</v>
      </c>
      <c r="AD118">
        <f t="shared" si="51"/>
        <v>-22.128765460610961</v>
      </c>
      <c r="AE118">
        <f t="shared" si="52"/>
        <v>-0.20702404233438187</v>
      </c>
      <c r="AF118">
        <v>0</v>
      </c>
      <c r="AG118">
        <v>0</v>
      </c>
      <c r="AH118">
        <f t="shared" si="53"/>
        <v>1</v>
      </c>
      <c r="AI118">
        <f t="shared" si="54"/>
        <v>0</v>
      </c>
      <c r="AJ118">
        <f t="shared" si="55"/>
        <v>52198.504105727232</v>
      </c>
      <c r="AK118">
        <f t="shared" si="56"/>
        <v>1800</v>
      </c>
      <c r="AL118">
        <f t="shared" si="57"/>
        <v>1499.1128856</v>
      </c>
      <c r="AM118">
        <f t="shared" si="58"/>
        <v>0.83284049199999999</v>
      </c>
      <c r="AN118">
        <f t="shared" si="59"/>
        <v>0.15339685112000001</v>
      </c>
      <c r="AO118">
        <v>32.4</v>
      </c>
      <c r="AP118">
        <v>0.5</v>
      </c>
      <c r="AQ118" t="s">
        <v>331</v>
      </c>
      <c r="AR118">
        <v>2</v>
      </c>
      <c r="AS118">
        <v>1690233584.5999999</v>
      </c>
      <c r="AT118">
        <v>634.46600000000001</v>
      </c>
      <c r="AU118">
        <v>800.08900000000006</v>
      </c>
      <c r="AV118">
        <v>24.624300000000002</v>
      </c>
      <c r="AW118">
        <v>15.4514</v>
      </c>
      <c r="AX118">
        <v>634.68899999999996</v>
      </c>
      <c r="AY118">
        <v>24.452300000000001</v>
      </c>
      <c r="AZ118">
        <v>300.11200000000002</v>
      </c>
      <c r="BA118">
        <v>99.002700000000004</v>
      </c>
      <c r="BB118">
        <v>9.9998500000000004E-2</v>
      </c>
      <c r="BC118">
        <v>27.130099999999999</v>
      </c>
      <c r="BD118">
        <v>26.991299999999999</v>
      </c>
      <c r="BE118">
        <v>29.1556</v>
      </c>
      <c r="BF118">
        <v>0</v>
      </c>
      <c r="BG118">
        <v>0</v>
      </c>
      <c r="BH118">
        <v>9974.3799999999992</v>
      </c>
      <c r="BI118">
        <v>1080.81</v>
      </c>
      <c r="BJ118">
        <v>1.4577199999999999</v>
      </c>
      <c r="BK118">
        <v>-165.62299999999999</v>
      </c>
      <c r="BL118">
        <v>650.48400000000004</v>
      </c>
      <c r="BM118">
        <v>812.64499999999998</v>
      </c>
      <c r="BN118">
        <v>9.1729199999999995</v>
      </c>
      <c r="BO118">
        <v>800.08900000000006</v>
      </c>
      <c r="BP118">
        <v>15.4514</v>
      </c>
      <c r="BQ118">
        <v>2.4378700000000002</v>
      </c>
      <c r="BR118">
        <v>1.52973</v>
      </c>
      <c r="BS118">
        <v>20.617599999999999</v>
      </c>
      <c r="BT118">
        <v>13.268599999999999</v>
      </c>
      <c r="BU118">
        <v>1800</v>
      </c>
      <c r="BV118">
        <v>0.91001600000000005</v>
      </c>
      <c r="BW118">
        <v>3.40021E-2</v>
      </c>
      <c r="BX118">
        <v>2.1993599999999999E-2</v>
      </c>
      <c r="BY118">
        <v>3.3988200000000003E-2</v>
      </c>
      <c r="BZ118">
        <v>25</v>
      </c>
      <c r="CA118">
        <v>33528.5</v>
      </c>
      <c r="CB118">
        <v>1690232006</v>
      </c>
      <c r="CC118" t="s">
        <v>332</v>
      </c>
      <c r="CD118">
        <v>1690232006</v>
      </c>
      <c r="CE118">
        <v>1690231998.5</v>
      </c>
      <c r="CF118">
        <v>14</v>
      </c>
      <c r="CG118">
        <v>-0.13200000000000001</v>
      </c>
      <c r="CH118">
        <v>-7.0000000000000001E-3</v>
      </c>
      <c r="CI118">
        <v>-0.33800000000000002</v>
      </c>
      <c r="CJ118">
        <v>0.14299999999999999</v>
      </c>
      <c r="CK118">
        <v>799</v>
      </c>
      <c r="CL118">
        <v>19</v>
      </c>
      <c r="CM118">
        <v>7.0000000000000007E-2</v>
      </c>
      <c r="CN118">
        <v>0.14000000000000001</v>
      </c>
      <c r="CO118">
        <v>-162.3190487804878</v>
      </c>
      <c r="CP118">
        <v>-17.4448850174218</v>
      </c>
      <c r="CQ118">
        <v>1.720689792924371</v>
      </c>
      <c r="CR118">
        <v>-1</v>
      </c>
      <c r="CS118">
        <v>9.0030414634146343</v>
      </c>
      <c r="CT118">
        <v>1.0311401393728079</v>
      </c>
      <c r="CU118">
        <v>0.1019932211894013</v>
      </c>
      <c r="CV118">
        <v>-1</v>
      </c>
      <c r="CW118">
        <v>0</v>
      </c>
      <c r="CX118">
        <v>0</v>
      </c>
      <c r="CY118" t="s">
        <v>333</v>
      </c>
      <c r="CZ118">
        <v>2.3644799999999999</v>
      </c>
      <c r="DA118">
        <v>2.7137699999999998</v>
      </c>
      <c r="DB118">
        <v>0.12531800000000001</v>
      </c>
      <c r="DC118">
        <v>0.14626800000000001</v>
      </c>
      <c r="DD118">
        <v>0.116023</v>
      </c>
      <c r="DE118">
        <v>8.1956100000000004E-2</v>
      </c>
      <c r="DF118">
        <v>31964.6</v>
      </c>
      <c r="DG118">
        <v>27547.9</v>
      </c>
      <c r="DH118">
        <v>31196.7</v>
      </c>
      <c r="DI118">
        <v>28115.4</v>
      </c>
      <c r="DJ118">
        <v>37440.6</v>
      </c>
      <c r="DK118">
        <v>36706.300000000003</v>
      </c>
      <c r="DL118">
        <v>44401.1</v>
      </c>
      <c r="DM118">
        <v>42618.2</v>
      </c>
      <c r="DN118">
        <v>1.48065</v>
      </c>
      <c r="DO118">
        <v>2.0573000000000001</v>
      </c>
      <c r="DP118">
        <v>7.3872499999999994E-2</v>
      </c>
      <c r="DQ118">
        <v>0.217445</v>
      </c>
      <c r="DR118">
        <v>25.7821</v>
      </c>
      <c r="DS118">
        <v>25.601600000000001</v>
      </c>
      <c r="DT118">
        <v>56.4</v>
      </c>
      <c r="DU118">
        <v>28.8</v>
      </c>
      <c r="DV118">
        <v>22.649100000000001</v>
      </c>
      <c r="DW118">
        <v>61.847999999999999</v>
      </c>
      <c r="DX118">
        <v>37.079300000000003</v>
      </c>
      <c r="DY118">
        <v>1</v>
      </c>
      <c r="DZ118">
        <v>-0.116062</v>
      </c>
      <c r="EA118">
        <v>-0.314058</v>
      </c>
      <c r="EB118">
        <v>20.189299999999999</v>
      </c>
      <c r="EC118">
        <v>5.2413999999999996</v>
      </c>
      <c r="ED118">
        <v>12.039899999999999</v>
      </c>
      <c r="EE118">
        <v>5.0171000000000001</v>
      </c>
      <c r="EF118">
        <v>3.2879999999999998</v>
      </c>
      <c r="EG118">
        <v>9999</v>
      </c>
      <c r="EH118">
        <v>9999</v>
      </c>
      <c r="EI118">
        <v>9999</v>
      </c>
      <c r="EJ118">
        <v>999.9</v>
      </c>
      <c r="EK118">
        <v>1.8689</v>
      </c>
      <c r="EL118">
        <v>1.8646199999999999</v>
      </c>
      <c r="EM118">
        <v>1.8691599999999999</v>
      </c>
      <c r="EN118">
        <v>1.8672200000000001</v>
      </c>
      <c r="EO118">
        <v>1.8633900000000001</v>
      </c>
      <c r="EP118">
        <v>1.8644700000000001</v>
      </c>
      <c r="EQ118">
        <v>1.8701300000000001</v>
      </c>
      <c r="ER118">
        <v>1.86937</v>
      </c>
      <c r="ES118">
        <v>0</v>
      </c>
      <c r="ET118">
        <v>0</v>
      </c>
      <c r="EU118">
        <v>0</v>
      </c>
      <c r="EV118">
        <v>0</v>
      </c>
      <c r="EW118" t="s">
        <v>334</v>
      </c>
      <c r="EX118" t="s">
        <v>335</v>
      </c>
      <c r="EY118" t="s">
        <v>336</v>
      </c>
      <c r="EZ118" t="s">
        <v>336</v>
      </c>
      <c r="FA118" t="s">
        <v>336</v>
      </c>
      <c r="FB118" t="s">
        <v>336</v>
      </c>
      <c r="FC118">
        <v>0</v>
      </c>
      <c r="FD118">
        <v>100</v>
      </c>
      <c r="FE118">
        <v>100</v>
      </c>
      <c r="FF118">
        <v>-0.223</v>
      </c>
      <c r="FG118">
        <v>0.17199999999999999</v>
      </c>
      <c r="FH118">
        <v>0.2126736300064915</v>
      </c>
      <c r="FI118">
        <v>-6.1462078757559423E-4</v>
      </c>
      <c r="FJ118">
        <v>-1.8861989874597051E-7</v>
      </c>
      <c r="FK118">
        <v>1.1980462299894961E-10</v>
      </c>
      <c r="FL118">
        <v>0.1719881465068297</v>
      </c>
      <c r="FM118">
        <v>0</v>
      </c>
      <c r="FN118">
        <v>0</v>
      </c>
      <c r="FO118">
        <v>0</v>
      </c>
      <c r="FP118">
        <v>3</v>
      </c>
      <c r="FQ118">
        <v>2158</v>
      </c>
      <c r="FR118">
        <v>1</v>
      </c>
      <c r="FS118">
        <v>19</v>
      </c>
      <c r="FT118">
        <v>26.3</v>
      </c>
      <c r="FU118">
        <v>26.4</v>
      </c>
      <c r="FV118">
        <v>1.78589</v>
      </c>
      <c r="FW118">
        <v>2.5903299999999998</v>
      </c>
      <c r="FX118">
        <v>1.5490699999999999</v>
      </c>
      <c r="FY118">
        <v>2.3303199999999999</v>
      </c>
      <c r="FZ118">
        <v>1.50146</v>
      </c>
      <c r="GA118">
        <v>2.3889200000000002</v>
      </c>
      <c r="GB118">
        <v>33.580399999999997</v>
      </c>
      <c r="GC118">
        <v>23.982399999999998</v>
      </c>
      <c r="GD118">
        <v>19</v>
      </c>
      <c r="GE118">
        <v>283.60199999999998</v>
      </c>
      <c r="GF118">
        <v>597.49</v>
      </c>
      <c r="GG118">
        <v>25.392499999999998</v>
      </c>
      <c r="GH118">
        <v>25.962599999999998</v>
      </c>
      <c r="GI118">
        <v>30.0002</v>
      </c>
      <c r="GJ118">
        <v>26.086400000000001</v>
      </c>
      <c r="GK118">
        <v>26.067599999999999</v>
      </c>
      <c r="GL118">
        <v>35.709200000000003</v>
      </c>
      <c r="GM118">
        <v>39.995699999999999</v>
      </c>
      <c r="GN118">
        <v>95.860799999999998</v>
      </c>
      <c r="GO118">
        <v>25.3935</v>
      </c>
      <c r="GP118">
        <v>800</v>
      </c>
      <c r="GQ118">
        <v>15.310600000000001</v>
      </c>
      <c r="GR118">
        <v>99.823099999999997</v>
      </c>
      <c r="GS118">
        <v>99.694199999999995</v>
      </c>
    </row>
    <row r="119" spans="1:201" x14ac:dyDescent="0.25">
      <c r="A119">
        <v>103</v>
      </c>
      <c r="B119">
        <v>1690233594.5999999</v>
      </c>
      <c r="C119">
        <v>1088.5</v>
      </c>
      <c r="D119" t="s">
        <v>537</v>
      </c>
      <c r="E119" t="s">
        <v>538</v>
      </c>
      <c r="F119" t="s">
        <v>330</v>
      </c>
      <c r="H119">
        <v>1690233594.5999999</v>
      </c>
      <c r="I119">
        <f t="shared" si="30"/>
        <v>8.8752903014040012E-4</v>
      </c>
      <c r="J119">
        <f t="shared" si="31"/>
        <v>0.88752903014040008</v>
      </c>
      <c r="K119">
        <f t="shared" si="32"/>
        <v>15.051796372835559</v>
      </c>
      <c r="L119">
        <f t="shared" si="33"/>
        <v>631.63400000000001</v>
      </c>
      <c r="M119">
        <f t="shared" si="34"/>
        <v>173.84152734183468</v>
      </c>
      <c r="N119">
        <f t="shared" si="35"/>
        <v>17.227840864934201</v>
      </c>
      <c r="O119">
        <f t="shared" si="36"/>
        <v>62.595458077657995</v>
      </c>
      <c r="P119">
        <f t="shared" si="37"/>
        <v>5.4511017633753912E-2</v>
      </c>
      <c r="Q119">
        <f t="shared" si="38"/>
        <v>2.1293205487230207</v>
      </c>
      <c r="R119">
        <f t="shared" si="39"/>
        <v>5.3747463448517795E-2</v>
      </c>
      <c r="S119">
        <f t="shared" si="40"/>
        <v>3.3659875926211301E-2</v>
      </c>
      <c r="T119">
        <f t="shared" si="41"/>
        <v>276.1126801481438</v>
      </c>
      <c r="U119">
        <f t="shared" si="42"/>
        <v>29.008195979028098</v>
      </c>
      <c r="V119">
        <f t="shared" si="43"/>
        <v>29.008195979028098</v>
      </c>
      <c r="W119">
        <f t="shared" si="44"/>
        <v>4.023680549246361</v>
      </c>
      <c r="X119">
        <f t="shared" si="45"/>
        <v>67.654668603892361</v>
      </c>
      <c r="Y119">
        <f t="shared" si="46"/>
        <v>2.4406058632174998</v>
      </c>
      <c r="Z119">
        <f t="shared" si="47"/>
        <v>3.6074463353103843</v>
      </c>
      <c r="AA119">
        <f t="shared" si="48"/>
        <v>1.5830746860288611</v>
      </c>
      <c r="AB119">
        <f t="shared" si="49"/>
        <v>-39.140030229191645</v>
      </c>
      <c r="AC119">
        <f t="shared" si="50"/>
        <v>-215.13858973997941</v>
      </c>
      <c r="AD119">
        <f t="shared" si="51"/>
        <v>-22.039417025961374</v>
      </c>
      <c r="AE119">
        <f t="shared" si="52"/>
        <v>-0.20535684698862156</v>
      </c>
      <c r="AF119">
        <v>0</v>
      </c>
      <c r="AG119">
        <v>0</v>
      </c>
      <c r="AH119">
        <f t="shared" si="53"/>
        <v>1</v>
      </c>
      <c r="AI119">
        <f t="shared" si="54"/>
        <v>0</v>
      </c>
      <c r="AJ119">
        <f t="shared" si="55"/>
        <v>52297.225973689754</v>
      </c>
      <c r="AK119">
        <f t="shared" si="56"/>
        <v>1799.99</v>
      </c>
      <c r="AL119">
        <f t="shared" si="57"/>
        <v>1499.1047101942299</v>
      </c>
      <c r="AM119">
        <f t="shared" si="58"/>
        <v>0.83284057699999992</v>
      </c>
      <c r="AN119">
        <f t="shared" si="59"/>
        <v>0.15339678562</v>
      </c>
      <c r="AO119">
        <v>32.4</v>
      </c>
      <c r="AP119">
        <v>0.5</v>
      </c>
      <c r="AQ119" t="s">
        <v>331</v>
      </c>
      <c r="AR119">
        <v>2</v>
      </c>
      <c r="AS119">
        <v>1690233594.5999999</v>
      </c>
      <c r="AT119">
        <v>631.63400000000001</v>
      </c>
      <c r="AU119">
        <v>800.09900000000005</v>
      </c>
      <c r="AV119">
        <v>24.627500000000001</v>
      </c>
      <c r="AW119">
        <v>15.2865</v>
      </c>
      <c r="AX119">
        <v>631.85400000000004</v>
      </c>
      <c r="AY119">
        <v>24.455500000000001</v>
      </c>
      <c r="AZ119">
        <v>300.26499999999999</v>
      </c>
      <c r="BA119">
        <v>99.000799999999998</v>
      </c>
      <c r="BB119">
        <v>0.100037</v>
      </c>
      <c r="BC119">
        <v>27.1341</v>
      </c>
      <c r="BD119">
        <v>26.9819</v>
      </c>
      <c r="BE119">
        <v>29.137599999999999</v>
      </c>
      <c r="BF119">
        <v>0</v>
      </c>
      <c r="BG119">
        <v>0</v>
      </c>
      <c r="BH119">
        <v>9994.3799999999992</v>
      </c>
      <c r="BI119">
        <v>1080.8599999999999</v>
      </c>
      <c r="BJ119">
        <v>1.4577199999999999</v>
      </c>
      <c r="BK119">
        <v>-168.46600000000001</v>
      </c>
      <c r="BL119">
        <v>647.58199999999999</v>
      </c>
      <c r="BM119">
        <v>812.52</v>
      </c>
      <c r="BN119">
        <v>9.3409999999999993</v>
      </c>
      <c r="BO119">
        <v>800.09900000000005</v>
      </c>
      <c r="BP119">
        <v>15.2865</v>
      </c>
      <c r="BQ119">
        <v>2.4381400000000002</v>
      </c>
      <c r="BR119">
        <v>1.5133799999999999</v>
      </c>
      <c r="BS119">
        <v>20.619399999999999</v>
      </c>
      <c r="BT119">
        <v>13.103999999999999</v>
      </c>
      <c r="BU119">
        <v>1799.99</v>
      </c>
      <c r="BV119">
        <v>0.91001799999999999</v>
      </c>
      <c r="BW119">
        <v>3.4001299999999998E-2</v>
      </c>
      <c r="BX119">
        <v>2.1993100000000002E-2</v>
      </c>
      <c r="BY119">
        <v>3.3987400000000001E-2</v>
      </c>
      <c r="BZ119">
        <v>25</v>
      </c>
      <c r="CA119">
        <v>33528.300000000003</v>
      </c>
      <c r="CB119">
        <v>1690232006</v>
      </c>
      <c r="CC119" t="s">
        <v>332</v>
      </c>
      <c r="CD119">
        <v>1690232006</v>
      </c>
      <c r="CE119">
        <v>1690231998.5</v>
      </c>
      <c r="CF119">
        <v>14</v>
      </c>
      <c r="CG119">
        <v>-0.13200000000000001</v>
      </c>
      <c r="CH119">
        <v>-7.0000000000000001E-3</v>
      </c>
      <c r="CI119">
        <v>-0.33800000000000002</v>
      </c>
      <c r="CJ119">
        <v>0.14299999999999999</v>
      </c>
      <c r="CK119">
        <v>799</v>
      </c>
      <c r="CL119">
        <v>19</v>
      </c>
      <c r="CM119">
        <v>7.0000000000000007E-2</v>
      </c>
      <c r="CN119">
        <v>0.14000000000000001</v>
      </c>
      <c r="CO119">
        <v>-165.17275000000001</v>
      </c>
      <c r="CP119">
        <v>-17.262956848030079</v>
      </c>
      <c r="CQ119">
        <v>1.6614693308935891</v>
      </c>
      <c r="CR119">
        <v>-1</v>
      </c>
      <c r="CS119">
        <v>9.162401749999999</v>
      </c>
      <c r="CT119">
        <v>0.98410908067541669</v>
      </c>
      <c r="CU119">
        <v>9.5364573372073047E-2</v>
      </c>
      <c r="CV119">
        <v>-1</v>
      </c>
      <c r="CW119">
        <v>0</v>
      </c>
      <c r="CX119">
        <v>0</v>
      </c>
      <c r="CY119" t="s">
        <v>333</v>
      </c>
      <c r="CZ119">
        <v>2.3650000000000002</v>
      </c>
      <c r="DA119">
        <v>2.7138200000000001</v>
      </c>
      <c r="DB119">
        <v>0.124926</v>
      </c>
      <c r="DC119">
        <v>0.14626400000000001</v>
      </c>
      <c r="DD119">
        <v>0.116032</v>
      </c>
      <c r="DE119">
        <v>8.1314800000000007E-2</v>
      </c>
      <c r="DF119">
        <v>31978.9</v>
      </c>
      <c r="DG119">
        <v>27548.1</v>
      </c>
      <c r="DH119">
        <v>31196.7</v>
      </c>
      <c r="DI119">
        <v>28115.5</v>
      </c>
      <c r="DJ119">
        <v>37440.1</v>
      </c>
      <c r="DK119">
        <v>36732</v>
      </c>
      <c r="DL119">
        <v>44401</v>
      </c>
      <c r="DM119">
        <v>42618.2</v>
      </c>
      <c r="DN119">
        <v>1.4810000000000001</v>
      </c>
      <c r="DO119">
        <v>2.0569299999999999</v>
      </c>
      <c r="DP119">
        <v>7.3425500000000005E-2</v>
      </c>
      <c r="DQ119">
        <v>0.216477</v>
      </c>
      <c r="DR119">
        <v>25.779900000000001</v>
      </c>
      <c r="DS119">
        <v>25.599399999999999</v>
      </c>
      <c r="DT119">
        <v>56.4</v>
      </c>
      <c r="DU119">
        <v>28.8</v>
      </c>
      <c r="DV119">
        <v>22.647400000000001</v>
      </c>
      <c r="DW119">
        <v>61.808</v>
      </c>
      <c r="DX119">
        <v>35.773200000000003</v>
      </c>
      <c r="DY119">
        <v>1</v>
      </c>
      <c r="DZ119">
        <v>-0.116227</v>
      </c>
      <c r="EA119">
        <v>-0.33177000000000001</v>
      </c>
      <c r="EB119">
        <v>20.1892</v>
      </c>
      <c r="EC119">
        <v>5.2415500000000002</v>
      </c>
      <c r="ED119">
        <v>12.039899999999999</v>
      </c>
      <c r="EE119">
        <v>5.01715</v>
      </c>
      <c r="EF119">
        <v>3.2879999999999998</v>
      </c>
      <c r="EG119">
        <v>9999</v>
      </c>
      <c r="EH119">
        <v>9999</v>
      </c>
      <c r="EI119">
        <v>9999</v>
      </c>
      <c r="EJ119">
        <v>999.9</v>
      </c>
      <c r="EK119">
        <v>1.8689</v>
      </c>
      <c r="EL119">
        <v>1.8646100000000001</v>
      </c>
      <c r="EM119">
        <v>1.8691599999999999</v>
      </c>
      <c r="EN119">
        <v>1.8672200000000001</v>
      </c>
      <c r="EO119">
        <v>1.86338</v>
      </c>
      <c r="EP119">
        <v>1.8644700000000001</v>
      </c>
      <c r="EQ119">
        <v>1.8701399999999999</v>
      </c>
      <c r="ER119">
        <v>1.86938</v>
      </c>
      <c r="ES119">
        <v>0</v>
      </c>
      <c r="ET119">
        <v>0</v>
      </c>
      <c r="EU119">
        <v>0</v>
      </c>
      <c r="EV119">
        <v>0</v>
      </c>
      <c r="EW119" t="s">
        <v>334</v>
      </c>
      <c r="EX119" t="s">
        <v>335</v>
      </c>
      <c r="EY119" t="s">
        <v>336</v>
      </c>
      <c r="EZ119" t="s">
        <v>336</v>
      </c>
      <c r="FA119" t="s">
        <v>336</v>
      </c>
      <c r="FB119" t="s">
        <v>336</v>
      </c>
      <c r="FC119">
        <v>0</v>
      </c>
      <c r="FD119">
        <v>100</v>
      </c>
      <c r="FE119">
        <v>100</v>
      </c>
      <c r="FF119">
        <v>-0.22</v>
      </c>
      <c r="FG119">
        <v>0.17199999999999999</v>
      </c>
      <c r="FH119">
        <v>0.2126736300064915</v>
      </c>
      <c r="FI119">
        <v>-6.1462078757559423E-4</v>
      </c>
      <c r="FJ119">
        <v>-1.8861989874597051E-7</v>
      </c>
      <c r="FK119">
        <v>1.1980462299894961E-10</v>
      </c>
      <c r="FL119">
        <v>0.1719881465068297</v>
      </c>
      <c r="FM119">
        <v>0</v>
      </c>
      <c r="FN119">
        <v>0</v>
      </c>
      <c r="FO119">
        <v>0</v>
      </c>
      <c r="FP119">
        <v>3</v>
      </c>
      <c r="FQ119">
        <v>2158</v>
      </c>
      <c r="FR119">
        <v>1</v>
      </c>
      <c r="FS119">
        <v>19</v>
      </c>
      <c r="FT119">
        <v>26.5</v>
      </c>
      <c r="FU119">
        <v>26.6</v>
      </c>
      <c r="FV119">
        <v>1.78589</v>
      </c>
      <c r="FW119">
        <v>2.5854499999999998</v>
      </c>
      <c r="FX119">
        <v>1.5490699999999999</v>
      </c>
      <c r="FY119">
        <v>2.3303199999999999</v>
      </c>
      <c r="FZ119">
        <v>1.50146</v>
      </c>
      <c r="GA119">
        <v>2.3571800000000001</v>
      </c>
      <c r="GB119">
        <v>33.558</v>
      </c>
      <c r="GC119">
        <v>23.991199999999999</v>
      </c>
      <c r="GD119">
        <v>19</v>
      </c>
      <c r="GE119">
        <v>283.74200000000002</v>
      </c>
      <c r="GF119">
        <v>597.15</v>
      </c>
      <c r="GG119">
        <v>25.4024</v>
      </c>
      <c r="GH119">
        <v>25.9604</v>
      </c>
      <c r="GI119">
        <v>30.0001</v>
      </c>
      <c r="GJ119">
        <v>26.084199999999999</v>
      </c>
      <c r="GK119">
        <v>26.0655</v>
      </c>
      <c r="GL119">
        <v>35.7044</v>
      </c>
      <c r="GM119">
        <v>40.601999999999997</v>
      </c>
      <c r="GN119">
        <v>95.48</v>
      </c>
      <c r="GO119">
        <v>25.406199999999998</v>
      </c>
      <c r="GP119">
        <v>800</v>
      </c>
      <c r="GQ119">
        <v>15.148999999999999</v>
      </c>
      <c r="GR119">
        <v>99.822999999999993</v>
      </c>
      <c r="GS119">
        <v>99.694199999999995</v>
      </c>
    </row>
    <row r="120" spans="1:201" x14ac:dyDescent="0.25">
      <c r="A120">
        <v>104</v>
      </c>
      <c r="B120">
        <v>1690233604.5999999</v>
      </c>
      <c r="C120">
        <v>1098.5</v>
      </c>
      <c r="D120" t="s">
        <v>539</v>
      </c>
      <c r="E120" t="s">
        <v>540</v>
      </c>
      <c r="F120" t="s">
        <v>330</v>
      </c>
      <c r="H120">
        <v>1690233604.5999999</v>
      </c>
      <c r="I120">
        <f t="shared" si="30"/>
        <v>9.0433661955064359E-4</v>
      </c>
      <c r="J120">
        <f t="shared" si="31"/>
        <v>0.90433661955064359</v>
      </c>
      <c r="K120">
        <f t="shared" si="32"/>
        <v>15.300312454629843</v>
      </c>
      <c r="L120">
        <f t="shared" si="33"/>
        <v>628.79899999999998</v>
      </c>
      <c r="M120">
        <f t="shared" si="34"/>
        <v>172.32279669713657</v>
      </c>
      <c r="N120">
        <f t="shared" si="35"/>
        <v>17.077481756795027</v>
      </c>
      <c r="O120">
        <f t="shared" si="36"/>
        <v>62.315048600701992</v>
      </c>
      <c r="P120">
        <f t="shared" si="37"/>
        <v>5.5578508169570245E-2</v>
      </c>
      <c r="Q120">
        <f t="shared" si="38"/>
        <v>2.1339197380903925</v>
      </c>
      <c r="R120">
        <f t="shared" si="39"/>
        <v>5.4786674467099825E-2</v>
      </c>
      <c r="S120">
        <f t="shared" si="40"/>
        <v>3.4311874814150482E-2</v>
      </c>
      <c r="T120">
        <f t="shared" si="41"/>
        <v>276.11250167913528</v>
      </c>
      <c r="U120">
        <f t="shared" si="42"/>
        <v>29.006762506714448</v>
      </c>
      <c r="V120">
        <f t="shared" si="43"/>
        <v>29.006762506714448</v>
      </c>
      <c r="W120">
        <f t="shared" si="44"/>
        <v>4.0233468229927958</v>
      </c>
      <c r="X120">
        <f t="shared" si="45"/>
        <v>67.629975947571765</v>
      </c>
      <c r="Y120">
        <f t="shared" si="46"/>
        <v>2.4408748217399996</v>
      </c>
      <c r="Z120">
        <f t="shared" si="47"/>
        <v>3.6091611560415449</v>
      </c>
      <c r="AA120">
        <f t="shared" si="48"/>
        <v>1.5824720012527962</v>
      </c>
      <c r="AB120">
        <f t="shared" si="49"/>
        <v>-39.881244922183384</v>
      </c>
      <c r="AC120">
        <f t="shared" si="50"/>
        <v>-214.50650699022191</v>
      </c>
      <c r="AD120">
        <f t="shared" si="51"/>
        <v>-21.928029288112945</v>
      </c>
      <c r="AE120">
        <f t="shared" si="52"/>
        <v>-0.20327952138296723</v>
      </c>
      <c r="AF120">
        <v>0</v>
      </c>
      <c r="AG120">
        <v>0</v>
      </c>
      <c r="AH120">
        <f t="shared" si="53"/>
        <v>1</v>
      </c>
      <c r="AI120">
        <f t="shared" si="54"/>
        <v>0</v>
      </c>
      <c r="AJ120">
        <f t="shared" si="55"/>
        <v>52494.041332274464</v>
      </c>
      <c r="AK120">
        <f t="shared" si="56"/>
        <v>1799.99</v>
      </c>
      <c r="AL120">
        <f t="shared" si="57"/>
        <v>1499.1052771910799</v>
      </c>
      <c r="AM120">
        <f t="shared" si="58"/>
        <v>0.832840892</v>
      </c>
      <c r="AN120">
        <f t="shared" si="59"/>
        <v>0.15339668646999999</v>
      </c>
      <c r="AO120">
        <v>32.4</v>
      </c>
      <c r="AP120">
        <v>0.5</v>
      </c>
      <c r="AQ120" t="s">
        <v>331</v>
      </c>
      <c r="AR120">
        <v>2</v>
      </c>
      <c r="AS120">
        <v>1690233604.5999999</v>
      </c>
      <c r="AT120">
        <v>628.79899999999998</v>
      </c>
      <c r="AU120">
        <v>800.06899999999996</v>
      </c>
      <c r="AV120">
        <v>24.63</v>
      </c>
      <c r="AW120">
        <v>15.110099999999999</v>
      </c>
      <c r="AX120">
        <v>629.01800000000003</v>
      </c>
      <c r="AY120">
        <v>24.457999999999998</v>
      </c>
      <c r="AZ120">
        <v>300.20100000000002</v>
      </c>
      <c r="BA120">
        <v>99.0017</v>
      </c>
      <c r="BB120">
        <v>9.9998000000000004E-2</v>
      </c>
      <c r="BC120">
        <v>27.142199999999999</v>
      </c>
      <c r="BD120">
        <v>26.999500000000001</v>
      </c>
      <c r="BE120">
        <v>29.135200000000001</v>
      </c>
      <c r="BF120">
        <v>0</v>
      </c>
      <c r="BG120">
        <v>0</v>
      </c>
      <c r="BH120">
        <v>10033.799999999999</v>
      </c>
      <c r="BI120">
        <v>1080.8599999999999</v>
      </c>
      <c r="BJ120">
        <v>1.4577199999999999</v>
      </c>
      <c r="BK120">
        <v>-171.27</v>
      </c>
      <c r="BL120">
        <v>644.67700000000002</v>
      </c>
      <c r="BM120">
        <v>812.34299999999996</v>
      </c>
      <c r="BN120">
        <v>9.5199300000000004</v>
      </c>
      <c r="BO120">
        <v>800.06899999999996</v>
      </c>
      <c r="BP120">
        <v>15.110099999999999</v>
      </c>
      <c r="BQ120">
        <v>2.4384100000000002</v>
      </c>
      <c r="BR120">
        <v>1.4959199999999999</v>
      </c>
      <c r="BS120">
        <v>20.621099999999998</v>
      </c>
      <c r="BT120">
        <v>12.926500000000001</v>
      </c>
      <c r="BU120">
        <v>1799.99</v>
      </c>
      <c r="BV120">
        <v>0.910022</v>
      </c>
      <c r="BW120">
        <v>3.3999799999999997E-2</v>
      </c>
      <c r="BX120">
        <v>2.1992100000000001E-2</v>
      </c>
      <c r="BY120">
        <v>3.3985899999999999E-2</v>
      </c>
      <c r="BZ120">
        <v>25</v>
      </c>
      <c r="CA120">
        <v>33528.400000000001</v>
      </c>
      <c r="CB120">
        <v>1690232006</v>
      </c>
      <c r="CC120" t="s">
        <v>332</v>
      </c>
      <c r="CD120">
        <v>1690232006</v>
      </c>
      <c r="CE120">
        <v>1690231998.5</v>
      </c>
      <c r="CF120">
        <v>14</v>
      </c>
      <c r="CG120">
        <v>-0.13200000000000001</v>
      </c>
      <c r="CH120">
        <v>-7.0000000000000001E-3</v>
      </c>
      <c r="CI120">
        <v>-0.33800000000000002</v>
      </c>
      <c r="CJ120">
        <v>0.14299999999999999</v>
      </c>
      <c r="CK120">
        <v>799</v>
      </c>
      <c r="CL120">
        <v>19</v>
      </c>
      <c r="CM120">
        <v>7.0000000000000007E-2</v>
      </c>
      <c r="CN120">
        <v>0.14000000000000001</v>
      </c>
      <c r="CO120">
        <v>-168.06117499999999</v>
      </c>
      <c r="CP120">
        <v>-16.99660412757942</v>
      </c>
      <c r="CQ120">
        <v>1.635476931777091</v>
      </c>
      <c r="CR120">
        <v>-1</v>
      </c>
      <c r="CS120">
        <v>9.32307475</v>
      </c>
      <c r="CT120">
        <v>1.03158427767352</v>
      </c>
      <c r="CU120">
        <v>9.9759534706901562E-2</v>
      </c>
      <c r="CV120">
        <v>-1</v>
      </c>
      <c r="CW120">
        <v>0</v>
      </c>
      <c r="CX120">
        <v>0</v>
      </c>
      <c r="CY120" t="s">
        <v>333</v>
      </c>
      <c r="CZ120">
        <v>2.3647900000000002</v>
      </c>
      <c r="DA120">
        <v>2.7138200000000001</v>
      </c>
      <c r="DB120">
        <v>0.12453500000000001</v>
      </c>
      <c r="DC120">
        <v>0.146259</v>
      </c>
      <c r="DD120">
        <v>0.11604200000000001</v>
      </c>
      <c r="DE120">
        <v>8.0627900000000002E-2</v>
      </c>
      <c r="DF120">
        <v>31993.3</v>
      </c>
      <c r="DG120">
        <v>27548.6</v>
      </c>
      <c r="DH120">
        <v>31196.799999999999</v>
      </c>
      <c r="DI120">
        <v>28115.9</v>
      </c>
      <c r="DJ120">
        <v>37439.9</v>
      </c>
      <c r="DK120">
        <v>36759.9</v>
      </c>
      <c r="DL120">
        <v>44401.3</v>
      </c>
      <c r="DM120">
        <v>42618.6</v>
      </c>
      <c r="DN120">
        <v>1.4813000000000001</v>
      </c>
      <c r="DO120">
        <v>2.0568</v>
      </c>
      <c r="DP120">
        <v>7.4543100000000001E-2</v>
      </c>
      <c r="DQ120">
        <v>0.216365</v>
      </c>
      <c r="DR120">
        <v>25.779199999999999</v>
      </c>
      <c r="DS120">
        <v>25.598800000000001</v>
      </c>
      <c r="DT120">
        <v>56.4</v>
      </c>
      <c r="DU120">
        <v>28.8</v>
      </c>
      <c r="DV120">
        <v>22.650099999999998</v>
      </c>
      <c r="DW120">
        <v>61.527999999999999</v>
      </c>
      <c r="DX120">
        <v>36.850999999999999</v>
      </c>
      <c r="DY120">
        <v>1</v>
      </c>
      <c r="DZ120">
        <v>-0.11619400000000001</v>
      </c>
      <c r="EA120">
        <v>-0.35550900000000002</v>
      </c>
      <c r="EB120">
        <v>20.189299999999999</v>
      </c>
      <c r="EC120">
        <v>5.2418500000000003</v>
      </c>
      <c r="ED120">
        <v>12.039899999999999</v>
      </c>
      <c r="EE120">
        <v>5.0172499999999998</v>
      </c>
      <c r="EF120">
        <v>3.2879999999999998</v>
      </c>
      <c r="EG120">
        <v>9999</v>
      </c>
      <c r="EH120">
        <v>9999</v>
      </c>
      <c r="EI120">
        <v>9999</v>
      </c>
      <c r="EJ120">
        <v>999.9</v>
      </c>
      <c r="EK120">
        <v>1.8689</v>
      </c>
      <c r="EL120">
        <v>1.8646199999999999</v>
      </c>
      <c r="EM120">
        <v>1.86917</v>
      </c>
      <c r="EN120">
        <v>1.8672200000000001</v>
      </c>
      <c r="EO120">
        <v>1.8633900000000001</v>
      </c>
      <c r="EP120">
        <v>1.8644700000000001</v>
      </c>
      <c r="EQ120">
        <v>1.87012</v>
      </c>
      <c r="ER120">
        <v>1.86938</v>
      </c>
      <c r="ES120">
        <v>0</v>
      </c>
      <c r="ET120">
        <v>0</v>
      </c>
      <c r="EU120">
        <v>0</v>
      </c>
      <c r="EV120">
        <v>0</v>
      </c>
      <c r="EW120" t="s">
        <v>334</v>
      </c>
      <c r="EX120" t="s">
        <v>335</v>
      </c>
      <c r="EY120" t="s">
        <v>336</v>
      </c>
      <c r="EZ120" t="s">
        <v>336</v>
      </c>
      <c r="FA120" t="s">
        <v>336</v>
      </c>
      <c r="FB120" t="s">
        <v>336</v>
      </c>
      <c r="FC120">
        <v>0</v>
      </c>
      <c r="FD120">
        <v>100</v>
      </c>
      <c r="FE120">
        <v>100</v>
      </c>
      <c r="FF120">
        <v>-0.219</v>
      </c>
      <c r="FG120">
        <v>0.17199999999999999</v>
      </c>
      <c r="FH120">
        <v>0.2126736300064915</v>
      </c>
      <c r="FI120">
        <v>-6.1462078757559423E-4</v>
      </c>
      <c r="FJ120">
        <v>-1.8861989874597051E-7</v>
      </c>
      <c r="FK120">
        <v>1.1980462299894961E-10</v>
      </c>
      <c r="FL120">
        <v>0.1719881465068297</v>
      </c>
      <c r="FM120">
        <v>0</v>
      </c>
      <c r="FN120">
        <v>0</v>
      </c>
      <c r="FO120">
        <v>0</v>
      </c>
      <c r="FP120">
        <v>3</v>
      </c>
      <c r="FQ120">
        <v>2158</v>
      </c>
      <c r="FR120">
        <v>1</v>
      </c>
      <c r="FS120">
        <v>19</v>
      </c>
      <c r="FT120">
        <v>26.6</v>
      </c>
      <c r="FU120">
        <v>26.8</v>
      </c>
      <c r="FV120">
        <v>1.78589</v>
      </c>
      <c r="FW120">
        <v>2.5891099999999998</v>
      </c>
      <c r="FX120">
        <v>1.5490699999999999</v>
      </c>
      <c r="FY120">
        <v>2.3303199999999999</v>
      </c>
      <c r="FZ120">
        <v>1.50146</v>
      </c>
      <c r="GA120">
        <v>2.33643</v>
      </c>
      <c r="GB120">
        <v>33.580399999999997</v>
      </c>
      <c r="GC120">
        <v>23.982399999999998</v>
      </c>
      <c r="GD120">
        <v>19</v>
      </c>
      <c r="GE120">
        <v>283.86799999999999</v>
      </c>
      <c r="GF120">
        <v>597.02099999999996</v>
      </c>
      <c r="GG120">
        <v>25.422799999999999</v>
      </c>
      <c r="GH120">
        <v>25.959299999999999</v>
      </c>
      <c r="GI120">
        <v>30.0001</v>
      </c>
      <c r="GJ120">
        <v>26.083600000000001</v>
      </c>
      <c r="GK120">
        <v>26.063400000000001</v>
      </c>
      <c r="GL120">
        <v>35.700499999999998</v>
      </c>
      <c r="GM120">
        <v>41.1721</v>
      </c>
      <c r="GN120">
        <v>95.100899999999996</v>
      </c>
      <c r="GO120">
        <v>25.4268</v>
      </c>
      <c r="GP120">
        <v>800</v>
      </c>
      <c r="GQ120">
        <v>14.987299999999999</v>
      </c>
      <c r="GR120">
        <v>99.823499999999996</v>
      </c>
      <c r="GS120">
        <v>99.695400000000006</v>
      </c>
    </row>
    <row r="121" spans="1:201" x14ac:dyDescent="0.25">
      <c r="A121">
        <v>105</v>
      </c>
      <c r="B121">
        <v>1690233614.5999999</v>
      </c>
      <c r="C121">
        <v>1108.5</v>
      </c>
      <c r="D121" t="s">
        <v>541</v>
      </c>
      <c r="E121" t="s">
        <v>542</v>
      </c>
      <c r="F121" t="s">
        <v>330</v>
      </c>
      <c r="H121">
        <v>1690233614.5999999</v>
      </c>
      <c r="I121">
        <f t="shared" si="30"/>
        <v>9.2141701154427531E-4</v>
      </c>
      <c r="J121">
        <f t="shared" si="31"/>
        <v>0.92141701154427536</v>
      </c>
      <c r="K121">
        <f t="shared" si="32"/>
        <v>15.561446299267219</v>
      </c>
      <c r="L121">
        <f t="shared" si="33"/>
        <v>625.94600000000003</v>
      </c>
      <c r="M121">
        <f t="shared" si="34"/>
        <v>171.33246720444248</v>
      </c>
      <c r="N121">
        <f t="shared" si="35"/>
        <v>16.979283835965511</v>
      </c>
      <c r="O121">
        <f t="shared" si="36"/>
        <v>62.032112029912405</v>
      </c>
      <c r="P121">
        <f t="shared" si="37"/>
        <v>5.6770489922135861E-2</v>
      </c>
      <c r="Q121">
        <f t="shared" si="38"/>
        <v>2.1312176745602827</v>
      </c>
      <c r="R121">
        <f t="shared" si="39"/>
        <v>5.5943568855014052E-2</v>
      </c>
      <c r="S121">
        <f t="shared" si="40"/>
        <v>3.5038022675274248E-2</v>
      </c>
      <c r="T121">
        <f t="shared" si="41"/>
        <v>276.11412415200004</v>
      </c>
      <c r="U121">
        <f t="shared" si="42"/>
        <v>28.993785240184302</v>
      </c>
      <c r="V121">
        <f t="shared" si="43"/>
        <v>28.993785240184302</v>
      </c>
      <c r="W121">
        <f t="shared" si="44"/>
        <v>4.0203266876479393</v>
      </c>
      <c r="X121">
        <f t="shared" si="45"/>
        <v>67.678087298343925</v>
      </c>
      <c r="Y121">
        <f t="shared" si="46"/>
        <v>2.4412931105534197</v>
      </c>
      <c r="Z121">
        <f t="shared" si="47"/>
        <v>3.6072135132772258</v>
      </c>
      <c r="AA121">
        <f t="shared" si="48"/>
        <v>1.5790335770945196</v>
      </c>
      <c r="AB121">
        <f t="shared" si="49"/>
        <v>-40.634490209102538</v>
      </c>
      <c r="AC121">
        <f t="shared" si="50"/>
        <v>-213.8008882133162</v>
      </c>
      <c r="AD121">
        <f t="shared" si="51"/>
        <v>-21.881188387714367</v>
      </c>
      <c r="AE121">
        <f t="shared" si="52"/>
        <v>-0.20244265813303741</v>
      </c>
      <c r="AF121">
        <v>0</v>
      </c>
      <c r="AG121">
        <v>0</v>
      </c>
      <c r="AH121">
        <f t="shared" si="53"/>
        <v>1</v>
      </c>
      <c r="AI121">
        <f t="shared" si="54"/>
        <v>0</v>
      </c>
      <c r="AJ121">
        <f t="shared" si="55"/>
        <v>52379.132382297736</v>
      </c>
      <c r="AK121">
        <f t="shared" si="56"/>
        <v>1800</v>
      </c>
      <c r="AL121">
        <f t="shared" si="57"/>
        <v>1499.1120882</v>
      </c>
      <c r="AM121">
        <f t="shared" si="58"/>
        <v>0.83284004899999997</v>
      </c>
      <c r="AN121">
        <f t="shared" si="59"/>
        <v>0.15339673564000003</v>
      </c>
      <c r="AO121">
        <v>32.4</v>
      </c>
      <c r="AP121">
        <v>0.5</v>
      </c>
      <c r="AQ121" t="s">
        <v>331</v>
      </c>
      <c r="AR121">
        <v>2</v>
      </c>
      <c r="AS121">
        <v>1690233614.5999999</v>
      </c>
      <c r="AT121">
        <v>625.94600000000003</v>
      </c>
      <c r="AU121">
        <v>800.11900000000003</v>
      </c>
      <c r="AV121">
        <v>24.6343</v>
      </c>
      <c r="AW121">
        <v>14.934799999999999</v>
      </c>
      <c r="AX121">
        <v>626.16200000000003</v>
      </c>
      <c r="AY121">
        <v>24.462299999999999</v>
      </c>
      <c r="AZ121">
        <v>300.20600000000002</v>
      </c>
      <c r="BA121">
        <v>99.001400000000004</v>
      </c>
      <c r="BB121">
        <v>9.9979399999999996E-2</v>
      </c>
      <c r="BC121">
        <v>27.132999999999999</v>
      </c>
      <c r="BD121">
        <v>26.985700000000001</v>
      </c>
      <c r="BE121">
        <v>29.1479</v>
      </c>
      <c r="BF121">
        <v>0</v>
      </c>
      <c r="BG121">
        <v>0</v>
      </c>
      <c r="BH121">
        <v>10010.6</v>
      </c>
      <c r="BI121">
        <v>1080.8900000000001</v>
      </c>
      <c r="BJ121">
        <v>1.4577199999999999</v>
      </c>
      <c r="BK121">
        <v>-174.173</v>
      </c>
      <c r="BL121">
        <v>641.755</v>
      </c>
      <c r="BM121">
        <v>812.25</v>
      </c>
      <c r="BN121">
        <v>9.6994500000000006</v>
      </c>
      <c r="BO121">
        <v>800.11900000000003</v>
      </c>
      <c r="BP121">
        <v>14.934799999999999</v>
      </c>
      <c r="BQ121">
        <v>2.4388299999999998</v>
      </c>
      <c r="BR121">
        <v>1.4785699999999999</v>
      </c>
      <c r="BS121">
        <v>20.623899999999999</v>
      </c>
      <c r="BT121">
        <v>12.7483</v>
      </c>
      <c r="BU121">
        <v>1800</v>
      </c>
      <c r="BV121">
        <v>0.91001200000000004</v>
      </c>
      <c r="BW121">
        <v>3.39992E-2</v>
      </c>
      <c r="BX121">
        <v>2.1991699999999999E-2</v>
      </c>
      <c r="BY121">
        <v>3.3996999999999999E-2</v>
      </c>
      <c r="BZ121">
        <v>25</v>
      </c>
      <c r="CA121">
        <v>33528.5</v>
      </c>
      <c r="CB121">
        <v>1690232006</v>
      </c>
      <c r="CC121" t="s">
        <v>332</v>
      </c>
      <c r="CD121">
        <v>1690232006</v>
      </c>
      <c r="CE121">
        <v>1690231998.5</v>
      </c>
      <c r="CF121">
        <v>14</v>
      </c>
      <c r="CG121">
        <v>-0.13200000000000001</v>
      </c>
      <c r="CH121">
        <v>-7.0000000000000001E-3</v>
      </c>
      <c r="CI121">
        <v>-0.33800000000000002</v>
      </c>
      <c r="CJ121">
        <v>0.14299999999999999</v>
      </c>
      <c r="CK121">
        <v>799</v>
      </c>
      <c r="CL121">
        <v>19</v>
      </c>
      <c r="CM121">
        <v>7.0000000000000007E-2</v>
      </c>
      <c r="CN121">
        <v>0.14000000000000001</v>
      </c>
      <c r="CO121">
        <v>-170.9831463414634</v>
      </c>
      <c r="CP121">
        <v>-17.089212543554339</v>
      </c>
      <c r="CQ121">
        <v>1.685920846462073</v>
      </c>
      <c r="CR121">
        <v>-1</v>
      </c>
      <c r="CS121">
        <v>9.4949051219512182</v>
      </c>
      <c r="CT121">
        <v>1.0264611846689891</v>
      </c>
      <c r="CU121">
        <v>0.1016655447335072</v>
      </c>
      <c r="CV121">
        <v>-1</v>
      </c>
      <c r="CW121">
        <v>0</v>
      </c>
      <c r="CX121">
        <v>0</v>
      </c>
      <c r="CY121" t="s">
        <v>333</v>
      </c>
      <c r="CZ121">
        <v>2.3647999999999998</v>
      </c>
      <c r="DA121">
        <v>2.7137799999999999</v>
      </c>
      <c r="DB121">
        <v>0.124141</v>
      </c>
      <c r="DC121">
        <v>0.146261</v>
      </c>
      <c r="DD121">
        <v>0.11605600000000001</v>
      </c>
      <c r="DE121">
        <v>7.9941300000000007E-2</v>
      </c>
      <c r="DF121">
        <v>32007.7</v>
      </c>
      <c r="DG121">
        <v>27548.5</v>
      </c>
      <c r="DH121">
        <v>31196.799999999999</v>
      </c>
      <c r="DI121">
        <v>28115.8</v>
      </c>
      <c r="DJ121">
        <v>37439.199999999997</v>
      </c>
      <c r="DK121">
        <v>36787.300000000003</v>
      </c>
      <c r="DL121">
        <v>44401.3</v>
      </c>
      <c r="DM121">
        <v>42618.5</v>
      </c>
      <c r="DN121">
        <v>1.48105</v>
      </c>
      <c r="DO121">
        <v>2.05627</v>
      </c>
      <c r="DP121">
        <v>7.3835300000000006E-2</v>
      </c>
      <c r="DQ121">
        <v>0.21711</v>
      </c>
      <c r="DR121">
        <v>25.777000000000001</v>
      </c>
      <c r="DS121">
        <v>25.599399999999999</v>
      </c>
      <c r="DT121">
        <v>56.3</v>
      </c>
      <c r="DU121">
        <v>28.8</v>
      </c>
      <c r="DV121">
        <v>22.604900000000001</v>
      </c>
      <c r="DW121">
        <v>61.637999999999998</v>
      </c>
      <c r="DX121">
        <v>36.013599999999997</v>
      </c>
      <c r="DY121">
        <v>1</v>
      </c>
      <c r="DZ121">
        <v>-0.116179</v>
      </c>
      <c r="EA121">
        <v>-0.348001</v>
      </c>
      <c r="EB121">
        <v>20.1891</v>
      </c>
      <c r="EC121">
        <v>5.2416999999999998</v>
      </c>
      <c r="ED121">
        <v>12.039899999999999</v>
      </c>
      <c r="EE121">
        <v>5.0164</v>
      </c>
      <c r="EF121">
        <v>3.2879999999999998</v>
      </c>
      <c r="EG121">
        <v>9999</v>
      </c>
      <c r="EH121">
        <v>9999</v>
      </c>
      <c r="EI121">
        <v>9999</v>
      </c>
      <c r="EJ121">
        <v>999.9</v>
      </c>
      <c r="EK121">
        <v>1.8689</v>
      </c>
      <c r="EL121">
        <v>1.8646199999999999</v>
      </c>
      <c r="EM121">
        <v>1.8691899999999999</v>
      </c>
      <c r="EN121">
        <v>1.8672200000000001</v>
      </c>
      <c r="EO121">
        <v>1.8633900000000001</v>
      </c>
      <c r="EP121">
        <v>1.8644700000000001</v>
      </c>
      <c r="EQ121">
        <v>1.87012</v>
      </c>
      <c r="ER121">
        <v>1.86938</v>
      </c>
      <c r="ES121">
        <v>0</v>
      </c>
      <c r="ET121">
        <v>0</v>
      </c>
      <c r="EU121">
        <v>0</v>
      </c>
      <c r="EV121">
        <v>0</v>
      </c>
      <c r="EW121" t="s">
        <v>334</v>
      </c>
      <c r="EX121" t="s">
        <v>335</v>
      </c>
      <c r="EY121" t="s">
        <v>336</v>
      </c>
      <c r="EZ121" t="s">
        <v>336</v>
      </c>
      <c r="FA121" t="s">
        <v>336</v>
      </c>
      <c r="FB121" t="s">
        <v>336</v>
      </c>
      <c r="FC121">
        <v>0</v>
      </c>
      <c r="FD121">
        <v>100</v>
      </c>
      <c r="FE121">
        <v>100</v>
      </c>
      <c r="FF121">
        <v>-0.216</v>
      </c>
      <c r="FG121">
        <v>0.17199999999999999</v>
      </c>
      <c r="FH121">
        <v>0.2126736300064915</v>
      </c>
      <c r="FI121">
        <v>-6.1462078757559423E-4</v>
      </c>
      <c r="FJ121">
        <v>-1.8861989874597051E-7</v>
      </c>
      <c r="FK121">
        <v>1.1980462299894961E-10</v>
      </c>
      <c r="FL121">
        <v>0.1719881465068297</v>
      </c>
      <c r="FM121">
        <v>0</v>
      </c>
      <c r="FN121">
        <v>0</v>
      </c>
      <c r="FO121">
        <v>0</v>
      </c>
      <c r="FP121">
        <v>3</v>
      </c>
      <c r="FQ121">
        <v>2158</v>
      </c>
      <c r="FR121">
        <v>1</v>
      </c>
      <c r="FS121">
        <v>19</v>
      </c>
      <c r="FT121">
        <v>26.8</v>
      </c>
      <c r="FU121">
        <v>26.9</v>
      </c>
      <c r="FV121">
        <v>1.78589</v>
      </c>
      <c r="FW121">
        <v>2.5866699999999998</v>
      </c>
      <c r="FX121">
        <v>1.5490699999999999</v>
      </c>
      <c r="FY121">
        <v>2.3303199999999999</v>
      </c>
      <c r="FZ121">
        <v>1.50146</v>
      </c>
      <c r="GA121">
        <v>2.3938000000000001</v>
      </c>
      <c r="GB121">
        <v>33.558</v>
      </c>
      <c r="GC121">
        <v>23.991199999999999</v>
      </c>
      <c r="GD121">
        <v>19</v>
      </c>
      <c r="GE121">
        <v>283.75400000000002</v>
      </c>
      <c r="GF121">
        <v>596.57799999999997</v>
      </c>
      <c r="GG121">
        <v>25.435700000000001</v>
      </c>
      <c r="GH121">
        <v>25.958200000000001</v>
      </c>
      <c r="GI121">
        <v>30.0001</v>
      </c>
      <c r="GJ121">
        <v>26.082000000000001</v>
      </c>
      <c r="GK121">
        <v>26.063300000000002</v>
      </c>
      <c r="GL121">
        <v>35.697800000000001</v>
      </c>
      <c r="GM121">
        <v>41.755200000000002</v>
      </c>
      <c r="GN121">
        <v>94.729799999999997</v>
      </c>
      <c r="GO121">
        <v>25.438199999999998</v>
      </c>
      <c r="GP121">
        <v>800</v>
      </c>
      <c r="GQ121">
        <v>14.822100000000001</v>
      </c>
      <c r="GR121">
        <v>99.823400000000007</v>
      </c>
      <c r="GS121">
        <v>99.695099999999996</v>
      </c>
    </row>
    <row r="122" spans="1:201" x14ac:dyDescent="0.25">
      <c r="A122">
        <v>106</v>
      </c>
      <c r="B122">
        <v>1690233624.5999999</v>
      </c>
      <c r="C122">
        <v>1118.5</v>
      </c>
      <c r="D122" t="s">
        <v>543</v>
      </c>
      <c r="E122" t="s">
        <v>544</v>
      </c>
      <c r="F122" t="s">
        <v>330</v>
      </c>
      <c r="H122">
        <v>1690233624.5999999</v>
      </c>
      <c r="I122">
        <f t="shared" si="30"/>
        <v>9.3656430794076086E-4</v>
      </c>
      <c r="J122">
        <f t="shared" si="31"/>
        <v>0.93656430794076084</v>
      </c>
      <c r="K122">
        <f t="shared" si="32"/>
        <v>15.816947733753985</v>
      </c>
      <c r="L122">
        <f t="shared" si="33"/>
        <v>623.10199999999998</v>
      </c>
      <c r="M122">
        <f t="shared" si="34"/>
        <v>168.99344329708771</v>
      </c>
      <c r="N122">
        <f t="shared" si="35"/>
        <v>16.748005496238175</v>
      </c>
      <c r="O122">
        <f t="shared" si="36"/>
        <v>61.752192967458399</v>
      </c>
      <c r="P122">
        <f t="shared" si="37"/>
        <v>5.777087577984355E-2</v>
      </c>
      <c r="Q122">
        <f t="shared" si="38"/>
        <v>2.1311144371520161</v>
      </c>
      <c r="R122">
        <f t="shared" si="39"/>
        <v>5.691475075717578E-2</v>
      </c>
      <c r="S122">
        <f t="shared" si="40"/>
        <v>3.5647581740420112E-2</v>
      </c>
      <c r="T122">
        <f t="shared" si="41"/>
        <v>276.11423879400007</v>
      </c>
      <c r="U122">
        <f t="shared" si="42"/>
        <v>28.987391231965706</v>
      </c>
      <c r="V122">
        <f t="shared" si="43"/>
        <v>28.987391231965706</v>
      </c>
      <c r="W122">
        <f t="shared" si="44"/>
        <v>4.0188393686864403</v>
      </c>
      <c r="X122">
        <f t="shared" si="45"/>
        <v>67.679467685239374</v>
      </c>
      <c r="Y122">
        <f t="shared" si="46"/>
        <v>2.4411710166751601</v>
      </c>
      <c r="Z122">
        <f t="shared" si="47"/>
        <v>3.6069595405632455</v>
      </c>
      <c r="AA122">
        <f t="shared" si="48"/>
        <v>1.5776683520112802</v>
      </c>
      <c r="AB122">
        <f t="shared" si="49"/>
        <v>-41.302485980187555</v>
      </c>
      <c r="AC122">
        <f t="shared" si="50"/>
        <v>-213.19377825109729</v>
      </c>
      <c r="AD122">
        <f t="shared" si="51"/>
        <v>-21.819284715485679</v>
      </c>
      <c r="AE122">
        <f t="shared" si="52"/>
        <v>-0.20131015277044639</v>
      </c>
      <c r="AF122">
        <v>0</v>
      </c>
      <c r="AG122">
        <v>0</v>
      </c>
      <c r="AH122">
        <f t="shared" si="53"/>
        <v>1</v>
      </c>
      <c r="AI122">
        <f t="shared" si="54"/>
        <v>0</v>
      </c>
      <c r="AJ122">
        <f t="shared" si="55"/>
        <v>52374.96102124772</v>
      </c>
      <c r="AK122">
        <f t="shared" si="56"/>
        <v>1800</v>
      </c>
      <c r="AL122">
        <f t="shared" si="57"/>
        <v>1499.1104843999999</v>
      </c>
      <c r="AM122">
        <f t="shared" si="58"/>
        <v>0.83283915799999997</v>
      </c>
      <c r="AN122">
        <f t="shared" si="59"/>
        <v>0.15339679933000003</v>
      </c>
      <c r="AO122">
        <v>32.4</v>
      </c>
      <c r="AP122">
        <v>0.5</v>
      </c>
      <c r="AQ122" t="s">
        <v>331</v>
      </c>
      <c r="AR122">
        <v>2</v>
      </c>
      <c r="AS122">
        <v>1690233624.5999999</v>
      </c>
      <c r="AT122">
        <v>623.10199999999998</v>
      </c>
      <c r="AU122">
        <v>800.11199999999997</v>
      </c>
      <c r="AV122">
        <v>24.632300000000001</v>
      </c>
      <c r="AW122">
        <v>14.773</v>
      </c>
      <c r="AX122">
        <v>623.31600000000003</v>
      </c>
      <c r="AY122">
        <v>24.4603</v>
      </c>
      <c r="AZ122">
        <v>300.19600000000003</v>
      </c>
      <c r="BA122">
        <v>99.004499999999993</v>
      </c>
      <c r="BB122">
        <v>9.9969199999999994E-2</v>
      </c>
      <c r="BC122">
        <v>27.131799999999998</v>
      </c>
      <c r="BD122">
        <v>26.982700000000001</v>
      </c>
      <c r="BE122">
        <v>29.142099999999999</v>
      </c>
      <c r="BF122">
        <v>0</v>
      </c>
      <c r="BG122">
        <v>0</v>
      </c>
      <c r="BH122">
        <v>10009.4</v>
      </c>
      <c r="BI122">
        <v>1080.8900000000001</v>
      </c>
      <c r="BJ122">
        <v>1.4577199999999999</v>
      </c>
      <c r="BK122">
        <v>-177.011</v>
      </c>
      <c r="BL122">
        <v>638.83799999999997</v>
      </c>
      <c r="BM122">
        <v>812.11</v>
      </c>
      <c r="BN122">
        <v>9.8592499999999994</v>
      </c>
      <c r="BO122">
        <v>800.11199999999997</v>
      </c>
      <c r="BP122">
        <v>14.773</v>
      </c>
      <c r="BQ122">
        <v>2.4387099999999999</v>
      </c>
      <c r="BR122">
        <v>1.4625999999999999</v>
      </c>
      <c r="BS122">
        <v>20.623100000000001</v>
      </c>
      <c r="BT122">
        <v>12.582700000000001</v>
      </c>
      <c r="BU122">
        <v>1800</v>
      </c>
      <c r="BV122">
        <v>0.91</v>
      </c>
      <c r="BW122">
        <v>3.3998E-2</v>
      </c>
      <c r="BX122">
        <v>2.1990900000000001E-2</v>
      </c>
      <c r="BY122">
        <v>3.4011300000000001E-2</v>
      </c>
      <c r="BZ122">
        <v>25</v>
      </c>
      <c r="CA122">
        <v>33528.5</v>
      </c>
      <c r="CB122">
        <v>1690232006</v>
      </c>
      <c r="CC122" t="s">
        <v>332</v>
      </c>
      <c r="CD122">
        <v>1690232006</v>
      </c>
      <c r="CE122">
        <v>1690231998.5</v>
      </c>
      <c r="CF122">
        <v>14</v>
      </c>
      <c r="CG122">
        <v>-0.13200000000000001</v>
      </c>
      <c r="CH122">
        <v>-7.0000000000000001E-3</v>
      </c>
      <c r="CI122">
        <v>-0.33800000000000002</v>
      </c>
      <c r="CJ122">
        <v>0.14299999999999999</v>
      </c>
      <c r="CK122">
        <v>799</v>
      </c>
      <c r="CL122">
        <v>19</v>
      </c>
      <c r="CM122">
        <v>7.0000000000000007E-2</v>
      </c>
      <c r="CN122">
        <v>0.14000000000000001</v>
      </c>
      <c r="CO122">
        <v>-173.75020000000001</v>
      </c>
      <c r="CP122">
        <v>-17.127827392119531</v>
      </c>
      <c r="CQ122">
        <v>1.648729938467788</v>
      </c>
      <c r="CR122">
        <v>-1</v>
      </c>
      <c r="CS122">
        <v>9.6575744999999991</v>
      </c>
      <c r="CT122">
        <v>0.96513005628517501</v>
      </c>
      <c r="CU122">
        <v>9.3349588321266885E-2</v>
      </c>
      <c r="CV122">
        <v>-1</v>
      </c>
      <c r="CW122">
        <v>0</v>
      </c>
      <c r="CX122">
        <v>0</v>
      </c>
      <c r="CY122" t="s">
        <v>333</v>
      </c>
      <c r="CZ122">
        <v>2.3647999999999998</v>
      </c>
      <c r="DA122">
        <v>2.7137699999999998</v>
      </c>
      <c r="DB122">
        <v>0.12375</v>
      </c>
      <c r="DC122">
        <v>0.146262</v>
      </c>
      <c r="DD122">
        <v>0.116054</v>
      </c>
      <c r="DE122">
        <v>7.9307799999999998E-2</v>
      </c>
      <c r="DF122">
        <v>32022.3</v>
      </c>
      <c r="DG122">
        <v>27548.3</v>
      </c>
      <c r="DH122">
        <v>31197.1</v>
      </c>
      <c r="DI122">
        <v>28115.7</v>
      </c>
      <c r="DJ122">
        <v>37439.800000000003</v>
      </c>
      <c r="DK122">
        <v>36812.699999999997</v>
      </c>
      <c r="DL122">
        <v>44401.9</v>
      </c>
      <c r="DM122">
        <v>42618.5</v>
      </c>
      <c r="DN122">
        <v>1.4811000000000001</v>
      </c>
      <c r="DO122">
        <v>2.0565000000000002</v>
      </c>
      <c r="DP122">
        <v>7.3649000000000006E-2</v>
      </c>
      <c r="DQ122">
        <v>0.216886</v>
      </c>
      <c r="DR122">
        <v>25.777000000000001</v>
      </c>
      <c r="DS122">
        <v>25.597200000000001</v>
      </c>
      <c r="DT122">
        <v>56.3</v>
      </c>
      <c r="DU122">
        <v>28.8</v>
      </c>
      <c r="DV122">
        <v>22.606999999999999</v>
      </c>
      <c r="DW122">
        <v>61.387999999999998</v>
      </c>
      <c r="DX122">
        <v>36.358199999999997</v>
      </c>
      <c r="DY122">
        <v>1</v>
      </c>
      <c r="DZ122">
        <v>-0.11626300000000001</v>
      </c>
      <c r="EA122">
        <v>-0.36067500000000002</v>
      </c>
      <c r="EB122">
        <v>20.189599999999999</v>
      </c>
      <c r="EC122">
        <v>5.2418500000000003</v>
      </c>
      <c r="ED122">
        <v>12.039899999999999</v>
      </c>
      <c r="EE122">
        <v>5.0173500000000004</v>
      </c>
      <c r="EF122">
        <v>3.2879999999999998</v>
      </c>
      <c r="EG122">
        <v>9999</v>
      </c>
      <c r="EH122">
        <v>9999</v>
      </c>
      <c r="EI122">
        <v>9999</v>
      </c>
      <c r="EJ122">
        <v>999.9</v>
      </c>
      <c r="EK122">
        <v>1.8689</v>
      </c>
      <c r="EL122">
        <v>1.8646199999999999</v>
      </c>
      <c r="EM122">
        <v>1.86917</v>
      </c>
      <c r="EN122">
        <v>1.8672200000000001</v>
      </c>
      <c r="EO122">
        <v>1.8633999999999999</v>
      </c>
      <c r="EP122">
        <v>1.8644700000000001</v>
      </c>
      <c r="EQ122">
        <v>1.87012</v>
      </c>
      <c r="ER122">
        <v>1.86938</v>
      </c>
      <c r="ES122">
        <v>0</v>
      </c>
      <c r="ET122">
        <v>0</v>
      </c>
      <c r="EU122">
        <v>0</v>
      </c>
      <c r="EV122">
        <v>0</v>
      </c>
      <c r="EW122" t="s">
        <v>334</v>
      </c>
      <c r="EX122" t="s">
        <v>335</v>
      </c>
      <c r="EY122" t="s">
        <v>336</v>
      </c>
      <c r="EZ122" t="s">
        <v>336</v>
      </c>
      <c r="FA122" t="s">
        <v>336</v>
      </c>
      <c r="FB122" t="s">
        <v>336</v>
      </c>
      <c r="FC122">
        <v>0</v>
      </c>
      <c r="FD122">
        <v>100</v>
      </c>
      <c r="FE122">
        <v>100</v>
      </c>
      <c r="FF122">
        <v>-0.214</v>
      </c>
      <c r="FG122">
        <v>0.17199999999999999</v>
      </c>
      <c r="FH122">
        <v>0.2126736300064915</v>
      </c>
      <c r="FI122">
        <v>-6.1462078757559423E-4</v>
      </c>
      <c r="FJ122">
        <v>-1.8861989874597051E-7</v>
      </c>
      <c r="FK122">
        <v>1.1980462299894961E-10</v>
      </c>
      <c r="FL122">
        <v>0.1719881465068297</v>
      </c>
      <c r="FM122">
        <v>0</v>
      </c>
      <c r="FN122">
        <v>0</v>
      </c>
      <c r="FO122">
        <v>0</v>
      </c>
      <c r="FP122">
        <v>3</v>
      </c>
      <c r="FQ122">
        <v>2158</v>
      </c>
      <c r="FR122">
        <v>1</v>
      </c>
      <c r="FS122">
        <v>19</v>
      </c>
      <c r="FT122">
        <v>27</v>
      </c>
      <c r="FU122">
        <v>27.1</v>
      </c>
      <c r="FV122">
        <v>1.78467</v>
      </c>
      <c r="FW122">
        <v>2.5952099999999998</v>
      </c>
      <c r="FX122">
        <v>1.5490699999999999</v>
      </c>
      <c r="FY122">
        <v>2.3303199999999999</v>
      </c>
      <c r="FZ122">
        <v>1.50146</v>
      </c>
      <c r="GA122">
        <v>2.3071299999999999</v>
      </c>
      <c r="GB122">
        <v>33.558</v>
      </c>
      <c r="GC122">
        <v>23.982399999999998</v>
      </c>
      <c r="GD122">
        <v>19</v>
      </c>
      <c r="GE122">
        <v>283.76499999999999</v>
      </c>
      <c r="GF122">
        <v>596.74199999999996</v>
      </c>
      <c r="GG122">
        <v>25.4512</v>
      </c>
      <c r="GH122">
        <v>25.956</v>
      </c>
      <c r="GI122">
        <v>30</v>
      </c>
      <c r="GJ122">
        <v>26.079799999999999</v>
      </c>
      <c r="GK122">
        <v>26.0611</v>
      </c>
      <c r="GL122">
        <v>35.691200000000002</v>
      </c>
      <c r="GM122">
        <v>42.051000000000002</v>
      </c>
      <c r="GN122">
        <v>94.34</v>
      </c>
      <c r="GO122">
        <v>25.453099999999999</v>
      </c>
      <c r="GP122">
        <v>800</v>
      </c>
      <c r="GQ122">
        <v>14.6646</v>
      </c>
      <c r="GR122">
        <v>99.824600000000004</v>
      </c>
      <c r="GS122">
        <v>99.694999999999993</v>
      </c>
    </row>
    <row r="123" spans="1:201" x14ac:dyDescent="0.25">
      <c r="A123">
        <v>107</v>
      </c>
      <c r="B123">
        <v>1690233634.5999999</v>
      </c>
      <c r="C123">
        <v>1128.5</v>
      </c>
      <c r="D123" t="s">
        <v>545</v>
      </c>
      <c r="E123" t="s">
        <v>546</v>
      </c>
      <c r="F123" t="s">
        <v>330</v>
      </c>
      <c r="H123">
        <v>1690233634.5999999</v>
      </c>
      <c r="I123">
        <f t="shared" si="30"/>
        <v>9.489881262717616E-4</v>
      </c>
      <c r="J123">
        <f t="shared" si="31"/>
        <v>0.94898812627176166</v>
      </c>
      <c r="K123">
        <f t="shared" si="32"/>
        <v>16.059076542852072</v>
      </c>
      <c r="L123">
        <f t="shared" si="33"/>
        <v>620.33000000000004</v>
      </c>
      <c r="M123">
        <f t="shared" si="34"/>
        <v>165.40941046520138</v>
      </c>
      <c r="N123">
        <f t="shared" si="35"/>
        <v>16.392724290178691</v>
      </c>
      <c r="O123">
        <f t="shared" si="36"/>
        <v>61.477147100200014</v>
      </c>
      <c r="P123">
        <f t="shared" si="37"/>
        <v>5.8547095722092768E-2</v>
      </c>
      <c r="Q123">
        <f t="shared" si="38"/>
        <v>2.1311073730558432</v>
      </c>
      <c r="R123">
        <f t="shared" si="39"/>
        <v>5.7667995918006483E-2</v>
      </c>
      <c r="S123">
        <f t="shared" si="40"/>
        <v>3.6120381460625788E-2</v>
      </c>
      <c r="T123">
        <f t="shared" si="41"/>
        <v>276.11410892400005</v>
      </c>
      <c r="U123">
        <f t="shared" si="42"/>
        <v>28.988257234592552</v>
      </c>
      <c r="V123">
        <f t="shared" si="43"/>
        <v>28.988257234592552</v>
      </c>
      <c r="W123">
        <f t="shared" si="44"/>
        <v>4.019040782642028</v>
      </c>
      <c r="X123">
        <f t="shared" si="45"/>
        <v>67.66340448493321</v>
      </c>
      <c r="Y123">
        <f t="shared" si="46"/>
        <v>2.4413363683539999</v>
      </c>
      <c r="Z123">
        <f t="shared" si="47"/>
        <v>3.6080602017263539</v>
      </c>
      <c r="AA123">
        <f t="shared" si="48"/>
        <v>1.5777044142880281</v>
      </c>
      <c r="AB123">
        <f t="shared" si="49"/>
        <v>-41.850376368584683</v>
      </c>
      <c r="AC123">
        <f t="shared" si="50"/>
        <v>-212.69512881250901</v>
      </c>
      <c r="AD123">
        <f t="shared" si="51"/>
        <v>-21.768979618778072</v>
      </c>
      <c r="AE123">
        <f t="shared" si="52"/>
        <v>-0.20037587587171402</v>
      </c>
      <c r="AF123">
        <v>0</v>
      </c>
      <c r="AG123">
        <v>0</v>
      </c>
      <c r="AH123">
        <f t="shared" si="53"/>
        <v>1</v>
      </c>
      <c r="AI123">
        <f t="shared" si="54"/>
        <v>0</v>
      </c>
      <c r="AJ123">
        <f t="shared" si="55"/>
        <v>52373.73619889847</v>
      </c>
      <c r="AK123">
        <f t="shared" si="56"/>
        <v>1800</v>
      </c>
      <c r="AL123">
        <f t="shared" si="57"/>
        <v>1499.1097284</v>
      </c>
      <c r="AM123">
        <f t="shared" si="58"/>
        <v>0.83283873799999997</v>
      </c>
      <c r="AN123">
        <f t="shared" si="59"/>
        <v>0.15339672718000003</v>
      </c>
      <c r="AO123">
        <v>32.4</v>
      </c>
      <c r="AP123">
        <v>0.5</v>
      </c>
      <c r="AQ123" t="s">
        <v>331</v>
      </c>
      <c r="AR123">
        <v>2</v>
      </c>
      <c r="AS123">
        <v>1690233634.5999999</v>
      </c>
      <c r="AT123">
        <v>620.33000000000004</v>
      </c>
      <c r="AU123">
        <v>800.02700000000004</v>
      </c>
      <c r="AV123">
        <v>24.6341</v>
      </c>
      <c r="AW123">
        <v>14.643000000000001</v>
      </c>
      <c r="AX123">
        <v>620.54200000000003</v>
      </c>
      <c r="AY123">
        <v>24.4621</v>
      </c>
      <c r="AZ123">
        <v>300.16500000000002</v>
      </c>
      <c r="BA123">
        <v>99.003900000000002</v>
      </c>
      <c r="BB123">
        <v>0.10004</v>
      </c>
      <c r="BC123">
        <v>27.137</v>
      </c>
      <c r="BD123">
        <v>26.988499999999998</v>
      </c>
      <c r="BE123">
        <v>29.137499999999999</v>
      </c>
      <c r="BF123">
        <v>0</v>
      </c>
      <c r="BG123">
        <v>0</v>
      </c>
      <c r="BH123">
        <v>10009.4</v>
      </c>
      <c r="BI123">
        <v>1080.8399999999999</v>
      </c>
      <c r="BJ123">
        <v>1.4577199999999999</v>
      </c>
      <c r="BK123">
        <v>-179.69800000000001</v>
      </c>
      <c r="BL123">
        <v>635.99699999999996</v>
      </c>
      <c r="BM123">
        <v>811.91600000000005</v>
      </c>
      <c r="BN123">
        <v>9.9911300000000001</v>
      </c>
      <c r="BO123">
        <v>800.02700000000004</v>
      </c>
      <c r="BP123">
        <v>14.643000000000001</v>
      </c>
      <c r="BQ123">
        <v>2.4388700000000001</v>
      </c>
      <c r="BR123">
        <v>1.4497100000000001</v>
      </c>
      <c r="BS123">
        <v>20.624199999999998</v>
      </c>
      <c r="BT123">
        <v>12.447900000000001</v>
      </c>
      <c r="BU123">
        <v>1800</v>
      </c>
      <c r="BV123">
        <v>0.90999799999999997</v>
      </c>
      <c r="BW123">
        <v>3.3997100000000002E-2</v>
      </c>
      <c r="BX123">
        <v>2.19904E-2</v>
      </c>
      <c r="BY123">
        <v>3.40144E-2</v>
      </c>
      <c r="BZ123">
        <v>25</v>
      </c>
      <c r="CA123">
        <v>33528.5</v>
      </c>
      <c r="CB123">
        <v>1690232006</v>
      </c>
      <c r="CC123" t="s">
        <v>332</v>
      </c>
      <c r="CD123">
        <v>1690232006</v>
      </c>
      <c r="CE123">
        <v>1690231998.5</v>
      </c>
      <c r="CF123">
        <v>14</v>
      </c>
      <c r="CG123">
        <v>-0.13200000000000001</v>
      </c>
      <c r="CH123">
        <v>-7.0000000000000001E-3</v>
      </c>
      <c r="CI123">
        <v>-0.33800000000000002</v>
      </c>
      <c r="CJ123">
        <v>0.14299999999999999</v>
      </c>
      <c r="CK123">
        <v>799</v>
      </c>
      <c r="CL123">
        <v>19</v>
      </c>
      <c r="CM123">
        <v>7.0000000000000007E-2</v>
      </c>
      <c r="CN123">
        <v>0.14000000000000001</v>
      </c>
      <c r="CO123">
        <v>-176.64117073170729</v>
      </c>
      <c r="CP123">
        <v>-16.698313588850041</v>
      </c>
      <c r="CQ123">
        <v>1.6471688334753789</v>
      </c>
      <c r="CR123">
        <v>-1</v>
      </c>
      <c r="CS123">
        <v>9.8257075609756104</v>
      </c>
      <c r="CT123">
        <v>0.91812815331013176</v>
      </c>
      <c r="CU123">
        <v>9.1258678111380484E-2</v>
      </c>
      <c r="CV123">
        <v>-1</v>
      </c>
      <c r="CW123">
        <v>0</v>
      </c>
      <c r="CX123">
        <v>0</v>
      </c>
      <c r="CY123" t="s">
        <v>333</v>
      </c>
      <c r="CZ123">
        <v>2.3646699999999998</v>
      </c>
      <c r="DA123">
        <v>2.7138399999999998</v>
      </c>
      <c r="DB123">
        <v>0.123364</v>
      </c>
      <c r="DC123">
        <v>0.14624899999999999</v>
      </c>
      <c r="DD123">
        <v>0.116059</v>
      </c>
      <c r="DE123">
        <v>7.8794000000000003E-2</v>
      </c>
      <c r="DF123">
        <v>32035.9</v>
      </c>
      <c r="DG123">
        <v>27549.3</v>
      </c>
      <c r="DH123">
        <v>31196.6</v>
      </c>
      <c r="DI123">
        <v>28116.2</v>
      </c>
      <c r="DJ123">
        <v>37438.6</v>
      </c>
      <c r="DK123">
        <v>36833.800000000003</v>
      </c>
      <c r="DL123">
        <v>44400.800000000003</v>
      </c>
      <c r="DM123">
        <v>42619.1</v>
      </c>
      <c r="DN123">
        <v>1.4813700000000001</v>
      </c>
      <c r="DO123">
        <v>2.0561699999999998</v>
      </c>
      <c r="DP123">
        <v>7.3872499999999994E-2</v>
      </c>
      <c r="DQ123">
        <v>0.21673700000000001</v>
      </c>
      <c r="DR123">
        <v>25.779199999999999</v>
      </c>
      <c r="DS123">
        <v>25.595099999999999</v>
      </c>
      <c r="DT123">
        <v>56.3</v>
      </c>
      <c r="DU123">
        <v>28.8</v>
      </c>
      <c r="DV123">
        <v>22.607800000000001</v>
      </c>
      <c r="DW123">
        <v>61.618000000000002</v>
      </c>
      <c r="DX123">
        <v>36.5304</v>
      </c>
      <c r="DY123">
        <v>1</v>
      </c>
      <c r="DZ123">
        <v>-0.116268</v>
      </c>
      <c r="EA123">
        <v>-0.36894900000000003</v>
      </c>
      <c r="EB123">
        <v>20.1892</v>
      </c>
      <c r="EC123">
        <v>5.242</v>
      </c>
      <c r="ED123">
        <v>12.039899999999999</v>
      </c>
      <c r="EE123">
        <v>5.0172999999999996</v>
      </c>
      <c r="EF123">
        <v>3.2879999999999998</v>
      </c>
      <c r="EG123">
        <v>9999</v>
      </c>
      <c r="EH123">
        <v>9999</v>
      </c>
      <c r="EI123">
        <v>9999</v>
      </c>
      <c r="EJ123">
        <v>999.9</v>
      </c>
      <c r="EK123">
        <v>1.8689</v>
      </c>
      <c r="EL123">
        <v>1.8646100000000001</v>
      </c>
      <c r="EM123">
        <v>1.8691599999999999</v>
      </c>
      <c r="EN123">
        <v>1.8672200000000001</v>
      </c>
      <c r="EO123">
        <v>1.86338</v>
      </c>
      <c r="EP123">
        <v>1.8644700000000001</v>
      </c>
      <c r="EQ123">
        <v>1.8701300000000001</v>
      </c>
      <c r="ER123">
        <v>1.86937</v>
      </c>
      <c r="ES123">
        <v>0</v>
      </c>
      <c r="ET123">
        <v>0</v>
      </c>
      <c r="EU123">
        <v>0</v>
      </c>
      <c r="EV123">
        <v>0</v>
      </c>
      <c r="EW123" t="s">
        <v>334</v>
      </c>
      <c r="EX123" t="s">
        <v>335</v>
      </c>
      <c r="EY123" t="s">
        <v>336</v>
      </c>
      <c r="EZ123" t="s">
        <v>336</v>
      </c>
      <c r="FA123" t="s">
        <v>336</v>
      </c>
      <c r="FB123" t="s">
        <v>336</v>
      </c>
      <c r="FC123">
        <v>0</v>
      </c>
      <c r="FD123">
        <v>100</v>
      </c>
      <c r="FE123">
        <v>100</v>
      </c>
      <c r="FF123">
        <v>-0.21199999999999999</v>
      </c>
      <c r="FG123">
        <v>0.17199999999999999</v>
      </c>
      <c r="FH123">
        <v>0.2126736300064915</v>
      </c>
      <c r="FI123">
        <v>-6.1462078757559423E-4</v>
      </c>
      <c r="FJ123">
        <v>-1.8861989874597051E-7</v>
      </c>
      <c r="FK123">
        <v>1.1980462299894961E-10</v>
      </c>
      <c r="FL123">
        <v>0.1719881465068297</v>
      </c>
      <c r="FM123">
        <v>0</v>
      </c>
      <c r="FN123">
        <v>0</v>
      </c>
      <c r="FO123">
        <v>0</v>
      </c>
      <c r="FP123">
        <v>3</v>
      </c>
      <c r="FQ123">
        <v>2158</v>
      </c>
      <c r="FR123">
        <v>1</v>
      </c>
      <c r="FS123">
        <v>19</v>
      </c>
      <c r="FT123">
        <v>27.1</v>
      </c>
      <c r="FU123">
        <v>27.3</v>
      </c>
      <c r="FV123">
        <v>1.78467</v>
      </c>
      <c r="FW123">
        <v>2.5866699999999998</v>
      </c>
      <c r="FX123">
        <v>1.5490699999999999</v>
      </c>
      <c r="FY123">
        <v>2.3303199999999999</v>
      </c>
      <c r="FZ123">
        <v>1.50146</v>
      </c>
      <c r="GA123">
        <v>2.4133300000000002</v>
      </c>
      <c r="GB123">
        <v>33.558</v>
      </c>
      <c r="GC123">
        <v>23.991199999999999</v>
      </c>
      <c r="GD123">
        <v>19</v>
      </c>
      <c r="GE123">
        <v>283.88200000000001</v>
      </c>
      <c r="GF123">
        <v>596.45799999999997</v>
      </c>
      <c r="GG123">
        <v>25.467700000000001</v>
      </c>
      <c r="GH123">
        <v>25.956</v>
      </c>
      <c r="GI123">
        <v>30.0001</v>
      </c>
      <c r="GJ123">
        <v>26.079799999999999</v>
      </c>
      <c r="GK123">
        <v>26.060099999999998</v>
      </c>
      <c r="GL123">
        <v>35.686900000000001</v>
      </c>
      <c r="GM123">
        <v>42.641399999999997</v>
      </c>
      <c r="GN123">
        <v>93.951499999999996</v>
      </c>
      <c r="GO123">
        <v>25.468900000000001</v>
      </c>
      <c r="GP123">
        <v>800</v>
      </c>
      <c r="GQ123">
        <v>14.4999</v>
      </c>
      <c r="GR123">
        <v>99.822599999999994</v>
      </c>
      <c r="GS123">
        <v>99.696600000000004</v>
      </c>
    </row>
    <row r="124" spans="1:201" x14ac:dyDescent="0.25">
      <c r="A124">
        <v>108</v>
      </c>
      <c r="B124">
        <v>1690233644.5999999</v>
      </c>
      <c r="C124">
        <v>1138.5</v>
      </c>
      <c r="D124" t="s">
        <v>547</v>
      </c>
      <c r="E124" t="s">
        <v>548</v>
      </c>
      <c r="F124" t="s">
        <v>330</v>
      </c>
      <c r="H124">
        <v>1690233644.5999999</v>
      </c>
      <c r="I124">
        <f t="shared" si="30"/>
        <v>9.6776566225492959E-4</v>
      </c>
      <c r="J124">
        <f t="shared" si="31"/>
        <v>0.96776566225492955</v>
      </c>
      <c r="K124">
        <f t="shared" si="32"/>
        <v>16.313811106785398</v>
      </c>
      <c r="L124">
        <f t="shared" si="33"/>
        <v>617.58299999999997</v>
      </c>
      <c r="M124">
        <f t="shared" si="34"/>
        <v>164.65228601339612</v>
      </c>
      <c r="N124">
        <f t="shared" si="35"/>
        <v>16.317567904355485</v>
      </c>
      <c r="O124">
        <f t="shared" si="36"/>
        <v>61.204449589334402</v>
      </c>
      <c r="P124">
        <f t="shared" si="37"/>
        <v>5.9754188092616685E-2</v>
      </c>
      <c r="Q124">
        <f t="shared" si="38"/>
        <v>2.1254795297792306</v>
      </c>
      <c r="R124">
        <f t="shared" si="39"/>
        <v>5.8836386859866648E-2</v>
      </c>
      <c r="S124">
        <f t="shared" si="40"/>
        <v>3.6854028256699464E-2</v>
      </c>
      <c r="T124">
        <f t="shared" si="41"/>
        <v>276.114852504</v>
      </c>
      <c r="U124">
        <f t="shared" si="42"/>
        <v>28.98735078542963</v>
      </c>
      <c r="V124">
        <f t="shared" si="43"/>
        <v>28.98735078542963</v>
      </c>
      <c r="W124">
        <f t="shared" si="44"/>
        <v>4.0188299618899084</v>
      </c>
      <c r="X124">
        <f t="shared" si="45"/>
        <v>67.673513845124248</v>
      </c>
      <c r="Y124">
        <f t="shared" si="46"/>
        <v>2.4418730381929605</v>
      </c>
      <c r="Z124">
        <f t="shared" si="47"/>
        <v>3.6083142420849676</v>
      </c>
      <c r="AA124">
        <f t="shared" si="48"/>
        <v>1.5769569236969478</v>
      </c>
      <c r="AB124">
        <f t="shared" si="49"/>
        <v>-42.678465705442392</v>
      </c>
      <c r="AC124">
        <f t="shared" si="50"/>
        <v>-211.89206643442884</v>
      </c>
      <c r="AD124">
        <f t="shared" si="51"/>
        <v>-21.744241165799682</v>
      </c>
      <c r="AE124">
        <f t="shared" si="52"/>
        <v>-0.19992080167091331</v>
      </c>
      <c r="AF124">
        <v>0</v>
      </c>
      <c r="AG124">
        <v>0</v>
      </c>
      <c r="AH124">
        <f t="shared" si="53"/>
        <v>1</v>
      </c>
      <c r="AI124">
        <f t="shared" si="54"/>
        <v>0</v>
      </c>
      <c r="AJ124">
        <f t="shared" si="55"/>
        <v>52131.401154107145</v>
      </c>
      <c r="AK124">
        <f t="shared" si="56"/>
        <v>1800</v>
      </c>
      <c r="AL124">
        <f t="shared" si="57"/>
        <v>1499.1112673999999</v>
      </c>
      <c r="AM124">
        <f t="shared" si="58"/>
        <v>0.83283959299999988</v>
      </c>
      <c r="AN124">
        <f t="shared" si="59"/>
        <v>0.15339714028000001</v>
      </c>
      <c r="AO124">
        <v>32.4</v>
      </c>
      <c r="AP124">
        <v>0.5</v>
      </c>
      <c r="AQ124" t="s">
        <v>331</v>
      </c>
      <c r="AR124">
        <v>2</v>
      </c>
      <c r="AS124">
        <v>1690233644.5999999</v>
      </c>
      <c r="AT124">
        <v>617.58299999999997</v>
      </c>
      <c r="AU124">
        <v>800.09199999999998</v>
      </c>
      <c r="AV124">
        <v>24.639700000000001</v>
      </c>
      <c r="AW124">
        <v>14.4529</v>
      </c>
      <c r="AX124">
        <v>617.79399999999998</v>
      </c>
      <c r="AY124">
        <v>24.467700000000001</v>
      </c>
      <c r="AZ124">
        <v>300.22199999999998</v>
      </c>
      <c r="BA124">
        <v>99.003200000000007</v>
      </c>
      <c r="BB124">
        <v>9.9996799999999997E-2</v>
      </c>
      <c r="BC124">
        <v>27.138200000000001</v>
      </c>
      <c r="BD124">
        <v>26.982199999999999</v>
      </c>
      <c r="BE124">
        <v>29.136600000000001</v>
      </c>
      <c r="BF124">
        <v>0</v>
      </c>
      <c r="BG124">
        <v>0</v>
      </c>
      <c r="BH124">
        <v>9961.25</v>
      </c>
      <c r="BI124">
        <v>1080.8599999999999</v>
      </c>
      <c r="BJ124">
        <v>1.4577199999999999</v>
      </c>
      <c r="BK124">
        <v>-182.50899999999999</v>
      </c>
      <c r="BL124">
        <v>633.18399999999997</v>
      </c>
      <c r="BM124">
        <v>811.82500000000005</v>
      </c>
      <c r="BN124">
        <v>10.1868</v>
      </c>
      <c r="BO124">
        <v>800.09199999999998</v>
      </c>
      <c r="BP124">
        <v>14.4529</v>
      </c>
      <c r="BQ124">
        <v>2.4394</v>
      </c>
      <c r="BR124">
        <v>1.4308799999999999</v>
      </c>
      <c r="BS124">
        <v>20.627800000000001</v>
      </c>
      <c r="BT124">
        <v>12.248900000000001</v>
      </c>
      <c r="BU124">
        <v>1800</v>
      </c>
      <c r="BV124">
        <v>0.90999600000000003</v>
      </c>
      <c r="BW124">
        <v>3.3996199999999997E-2</v>
      </c>
      <c r="BX124">
        <v>2.1994900000000001E-2</v>
      </c>
      <c r="BY124">
        <v>3.4013399999999999E-2</v>
      </c>
      <c r="BZ124">
        <v>25</v>
      </c>
      <c r="CA124">
        <v>33528.400000000001</v>
      </c>
      <c r="CB124">
        <v>1690232006</v>
      </c>
      <c r="CC124" t="s">
        <v>332</v>
      </c>
      <c r="CD124">
        <v>1690232006</v>
      </c>
      <c r="CE124">
        <v>1690231998.5</v>
      </c>
      <c r="CF124">
        <v>14</v>
      </c>
      <c r="CG124">
        <v>-0.13200000000000001</v>
      </c>
      <c r="CH124">
        <v>-7.0000000000000001E-3</v>
      </c>
      <c r="CI124">
        <v>-0.33800000000000002</v>
      </c>
      <c r="CJ124">
        <v>0.14299999999999999</v>
      </c>
      <c r="CK124">
        <v>799</v>
      </c>
      <c r="CL124">
        <v>19</v>
      </c>
      <c r="CM124">
        <v>7.0000000000000007E-2</v>
      </c>
      <c r="CN124">
        <v>0.14000000000000001</v>
      </c>
      <c r="CO124">
        <v>-179.45492682926829</v>
      </c>
      <c r="CP124">
        <v>-16.86993031358891</v>
      </c>
      <c r="CQ124">
        <v>1.6640060739547311</v>
      </c>
      <c r="CR124">
        <v>-1</v>
      </c>
      <c r="CS124">
        <v>9.9906539024390248</v>
      </c>
      <c r="CT124">
        <v>0.98906132404180536</v>
      </c>
      <c r="CU124">
        <v>9.8410846662695284E-2</v>
      </c>
      <c r="CV124">
        <v>-1</v>
      </c>
      <c r="CW124">
        <v>0</v>
      </c>
      <c r="CX124">
        <v>0</v>
      </c>
      <c r="CY124" t="s">
        <v>333</v>
      </c>
      <c r="CZ124">
        <v>2.3648699999999998</v>
      </c>
      <c r="DA124">
        <v>2.7137500000000001</v>
      </c>
      <c r="DB124">
        <v>0.12298099999999999</v>
      </c>
      <c r="DC124">
        <v>0.14625199999999999</v>
      </c>
      <c r="DD124">
        <v>0.116077</v>
      </c>
      <c r="DE124">
        <v>7.8039899999999995E-2</v>
      </c>
      <c r="DF124">
        <v>32050.1</v>
      </c>
      <c r="DG124">
        <v>27549.5</v>
      </c>
      <c r="DH124">
        <v>31196.7</v>
      </c>
      <c r="DI124">
        <v>28116.6</v>
      </c>
      <c r="DJ124">
        <v>37438</v>
      </c>
      <c r="DK124">
        <v>36864.400000000001</v>
      </c>
      <c r="DL124">
        <v>44401</v>
      </c>
      <c r="DM124">
        <v>42619.5</v>
      </c>
      <c r="DN124">
        <v>1.48153</v>
      </c>
      <c r="DO124">
        <v>2.0560299999999998</v>
      </c>
      <c r="DP124">
        <v>7.3425500000000005E-2</v>
      </c>
      <c r="DQ124">
        <v>0.216812</v>
      </c>
      <c r="DR124">
        <v>25.780200000000001</v>
      </c>
      <c r="DS124">
        <v>25.5929</v>
      </c>
      <c r="DT124">
        <v>56.3</v>
      </c>
      <c r="DU124">
        <v>28.8</v>
      </c>
      <c r="DV124">
        <v>22.6069</v>
      </c>
      <c r="DW124">
        <v>61.787999999999997</v>
      </c>
      <c r="DX124">
        <v>36.025599999999997</v>
      </c>
      <c r="DY124">
        <v>1</v>
      </c>
      <c r="DZ124">
        <v>-0.116354</v>
      </c>
      <c r="EA124">
        <v>-0.142345</v>
      </c>
      <c r="EB124">
        <v>20.189699999999998</v>
      </c>
      <c r="EC124">
        <v>5.242</v>
      </c>
      <c r="ED124">
        <v>12.039899999999999</v>
      </c>
      <c r="EE124">
        <v>5.0170000000000003</v>
      </c>
      <c r="EF124">
        <v>3.2879999999999998</v>
      </c>
      <c r="EG124">
        <v>9999</v>
      </c>
      <c r="EH124">
        <v>9999</v>
      </c>
      <c r="EI124">
        <v>9999</v>
      </c>
      <c r="EJ124">
        <v>999.9</v>
      </c>
      <c r="EK124">
        <v>1.8689</v>
      </c>
      <c r="EL124">
        <v>1.8646100000000001</v>
      </c>
      <c r="EM124">
        <v>1.8691899999999999</v>
      </c>
      <c r="EN124">
        <v>1.8672200000000001</v>
      </c>
      <c r="EO124">
        <v>1.86338</v>
      </c>
      <c r="EP124">
        <v>1.8644799999999999</v>
      </c>
      <c r="EQ124">
        <v>1.8701399999999999</v>
      </c>
      <c r="ER124">
        <v>1.8693599999999999</v>
      </c>
      <c r="ES124">
        <v>0</v>
      </c>
      <c r="ET124">
        <v>0</v>
      </c>
      <c r="EU124">
        <v>0</v>
      </c>
      <c r="EV124">
        <v>0</v>
      </c>
      <c r="EW124" t="s">
        <v>334</v>
      </c>
      <c r="EX124" t="s">
        <v>335</v>
      </c>
      <c r="EY124" t="s">
        <v>336</v>
      </c>
      <c r="EZ124" t="s">
        <v>336</v>
      </c>
      <c r="FA124" t="s">
        <v>336</v>
      </c>
      <c r="FB124" t="s">
        <v>336</v>
      </c>
      <c r="FC124">
        <v>0</v>
      </c>
      <c r="FD124">
        <v>100</v>
      </c>
      <c r="FE124">
        <v>100</v>
      </c>
      <c r="FF124">
        <v>-0.21099999999999999</v>
      </c>
      <c r="FG124">
        <v>0.17199999999999999</v>
      </c>
      <c r="FH124">
        <v>0.2126736300064915</v>
      </c>
      <c r="FI124">
        <v>-6.1462078757559423E-4</v>
      </c>
      <c r="FJ124">
        <v>-1.8861989874597051E-7</v>
      </c>
      <c r="FK124">
        <v>1.1980462299894961E-10</v>
      </c>
      <c r="FL124">
        <v>0.1719881465068297</v>
      </c>
      <c r="FM124">
        <v>0</v>
      </c>
      <c r="FN124">
        <v>0</v>
      </c>
      <c r="FO124">
        <v>0</v>
      </c>
      <c r="FP124">
        <v>3</v>
      </c>
      <c r="FQ124">
        <v>2158</v>
      </c>
      <c r="FR124">
        <v>1</v>
      </c>
      <c r="FS124">
        <v>19</v>
      </c>
      <c r="FT124">
        <v>27.3</v>
      </c>
      <c r="FU124">
        <v>27.4</v>
      </c>
      <c r="FV124">
        <v>1.78467</v>
      </c>
      <c r="FW124">
        <v>2.5854499999999998</v>
      </c>
      <c r="FX124">
        <v>1.5490699999999999</v>
      </c>
      <c r="FY124">
        <v>2.3303199999999999</v>
      </c>
      <c r="FZ124">
        <v>1.50146</v>
      </c>
      <c r="GA124">
        <v>2.32422</v>
      </c>
      <c r="GB124">
        <v>33.558</v>
      </c>
      <c r="GC124">
        <v>23.982399999999998</v>
      </c>
      <c r="GD124">
        <v>19</v>
      </c>
      <c r="GE124">
        <v>283.93700000000001</v>
      </c>
      <c r="GF124">
        <v>596.31700000000001</v>
      </c>
      <c r="GG124">
        <v>25.461600000000001</v>
      </c>
      <c r="GH124">
        <v>25.953800000000001</v>
      </c>
      <c r="GI124">
        <v>30</v>
      </c>
      <c r="GJ124">
        <v>26.0776</v>
      </c>
      <c r="GK124">
        <v>26.058900000000001</v>
      </c>
      <c r="GL124">
        <v>35.680199999999999</v>
      </c>
      <c r="GM124">
        <v>43.226900000000001</v>
      </c>
      <c r="GN124">
        <v>93.571700000000007</v>
      </c>
      <c r="GO124">
        <v>25.4206</v>
      </c>
      <c r="GP124">
        <v>800</v>
      </c>
      <c r="GQ124">
        <v>14.3338</v>
      </c>
      <c r="GR124">
        <v>99.822999999999993</v>
      </c>
      <c r="GS124">
        <v>99.697699999999998</v>
      </c>
    </row>
    <row r="125" spans="1:201" x14ac:dyDescent="0.25">
      <c r="A125">
        <v>109</v>
      </c>
      <c r="B125">
        <v>1690233654.5999999</v>
      </c>
      <c r="C125">
        <v>1148.5</v>
      </c>
      <c r="D125" t="s">
        <v>549</v>
      </c>
      <c r="E125" t="s">
        <v>550</v>
      </c>
      <c r="F125" t="s">
        <v>330</v>
      </c>
      <c r="H125">
        <v>1690233654.5999999</v>
      </c>
      <c r="I125">
        <f t="shared" si="30"/>
        <v>9.8182285805976086E-4</v>
      </c>
      <c r="J125">
        <f t="shared" si="31"/>
        <v>0.98182285805976088</v>
      </c>
      <c r="K125">
        <f t="shared" si="32"/>
        <v>16.572146855560142</v>
      </c>
      <c r="L125">
        <f t="shared" si="33"/>
        <v>614.82100000000003</v>
      </c>
      <c r="M125">
        <f t="shared" si="34"/>
        <v>162.59732703802877</v>
      </c>
      <c r="N125">
        <f t="shared" si="35"/>
        <v>16.113445839834686</v>
      </c>
      <c r="O125">
        <f t="shared" si="36"/>
        <v>60.928952924152007</v>
      </c>
      <c r="P125">
        <f t="shared" si="37"/>
        <v>6.0796734678208599E-2</v>
      </c>
      <c r="Q125">
        <f t="shared" si="38"/>
        <v>2.1314957894528708</v>
      </c>
      <c r="R125">
        <f t="shared" si="39"/>
        <v>5.9849538200629035E-2</v>
      </c>
      <c r="S125">
        <f t="shared" si="40"/>
        <v>3.7489833927526584E-2</v>
      </c>
      <c r="T125">
        <f t="shared" si="41"/>
        <v>276.11543955600001</v>
      </c>
      <c r="U125">
        <f t="shared" si="42"/>
        <v>28.967935063907753</v>
      </c>
      <c r="V125">
        <f t="shared" si="43"/>
        <v>28.967935063907753</v>
      </c>
      <c r="W125">
        <f t="shared" si="44"/>
        <v>4.0143165937232155</v>
      </c>
      <c r="X125">
        <f t="shared" si="45"/>
        <v>67.703321809574106</v>
      </c>
      <c r="Y125">
        <f t="shared" si="46"/>
        <v>2.4415442967751999</v>
      </c>
      <c r="Z125">
        <f t="shared" si="47"/>
        <v>3.6062400359651696</v>
      </c>
      <c r="AA125">
        <f t="shared" si="48"/>
        <v>1.5727722969480156</v>
      </c>
      <c r="AB125">
        <f t="shared" si="49"/>
        <v>-43.298388040435455</v>
      </c>
      <c r="AC125">
        <f t="shared" si="50"/>
        <v>-211.38686254718812</v>
      </c>
      <c r="AD125">
        <f t="shared" si="51"/>
        <v>-21.628018855486356</v>
      </c>
      <c r="AE125">
        <f t="shared" si="52"/>
        <v>-0.19782988710989002</v>
      </c>
      <c r="AF125">
        <v>0</v>
      </c>
      <c r="AG125">
        <v>0</v>
      </c>
      <c r="AH125">
        <f t="shared" si="53"/>
        <v>1</v>
      </c>
      <c r="AI125">
        <f t="shared" si="54"/>
        <v>0</v>
      </c>
      <c r="AJ125">
        <f t="shared" si="55"/>
        <v>52391.895717865489</v>
      </c>
      <c r="AK125">
        <f t="shared" si="56"/>
        <v>1800</v>
      </c>
      <c r="AL125">
        <f t="shared" si="57"/>
        <v>1499.1109415999999</v>
      </c>
      <c r="AM125">
        <f t="shared" si="58"/>
        <v>0.832839412</v>
      </c>
      <c r="AN125">
        <f t="shared" si="59"/>
        <v>0.15339746642000002</v>
      </c>
      <c r="AO125">
        <v>32.4</v>
      </c>
      <c r="AP125">
        <v>0.5</v>
      </c>
      <c r="AQ125" t="s">
        <v>331</v>
      </c>
      <c r="AR125">
        <v>2</v>
      </c>
      <c r="AS125">
        <v>1690233654.5999999</v>
      </c>
      <c r="AT125">
        <v>614.82100000000003</v>
      </c>
      <c r="AU125">
        <v>800.20399999999995</v>
      </c>
      <c r="AV125">
        <v>24.6371</v>
      </c>
      <c r="AW125">
        <v>14.3011</v>
      </c>
      <c r="AX125">
        <v>615.03</v>
      </c>
      <c r="AY125">
        <v>24.465199999999999</v>
      </c>
      <c r="AZ125">
        <v>300.18700000000001</v>
      </c>
      <c r="BA125">
        <v>99.000299999999996</v>
      </c>
      <c r="BB125">
        <v>0.100012</v>
      </c>
      <c r="BC125">
        <v>27.128399999999999</v>
      </c>
      <c r="BD125">
        <v>26.983599999999999</v>
      </c>
      <c r="BE125">
        <v>29.086500000000001</v>
      </c>
      <c r="BF125">
        <v>0</v>
      </c>
      <c r="BG125">
        <v>0</v>
      </c>
      <c r="BH125">
        <v>10013.1</v>
      </c>
      <c r="BI125">
        <v>1080.8399999999999</v>
      </c>
      <c r="BJ125">
        <v>1.4577199999999999</v>
      </c>
      <c r="BK125">
        <v>-185.38300000000001</v>
      </c>
      <c r="BL125">
        <v>630.351</v>
      </c>
      <c r="BM125">
        <v>811.81399999999996</v>
      </c>
      <c r="BN125">
        <v>10.3361</v>
      </c>
      <c r="BO125">
        <v>800.20399999999995</v>
      </c>
      <c r="BP125">
        <v>14.3011</v>
      </c>
      <c r="BQ125">
        <v>2.4390900000000002</v>
      </c>
      <c r="BR125">
        <v>1.41581</v>
      </c>
      <c r="BS125">
        <v>20.625599999999999</v>
      </c>
      <c r="BT125">
        <v>12.087999999999999</v>
      </c>
      <c r="BU125">
        <v>1800</v>
      </c>
      <c r="BV125">
        <v>0.90999099999999999</v>
      </c>
      <c r="BW125">
        <v>3.3995499999999998E-2</v>
      </c>
      <c r="BX125">
        <v>2.2000599999999999E-2</v>
      </c>
      <c r="BY125">
        <v>3.4012800000000003E-2</v>
      </c>
      <c r="BZ125">
        <v>25</v>
      </c>
      <c r="CA125">
        <v>33528.400000000001</v>
      </c>
      <c r="CB125">
        <v>1690232006</v>
      </c>
      <c r="CC125" t="s">
        <v>332</v>
      </c>
      <c r="CD125">
        <v>1690232006</v>
      </c>
      <c r="CE125">
        <v>1690231998.5</v>
      </c>
      <c r="CF125">
        <v>14</v>
      </c>
      <c r="CG125">
        <v>-0.13200000000000001</v>
      </c>
      <c r="CH125">
        <v>-7.0000000000000001E-3</v>
      </c>
      <c r="CI125">
        <v>-0.33800000000000002</v>
      </c>
      <c r="CJ125">
        <v>0.14299999999999999</v>
      </c>
      <c r="CK125">
        <v>799</v>
      </c>
      <c r="CL125">
        <v>19</v>
      </c>
      <c r="CM125">
        <v>7.0000000000000007E-2</v>
      </c>
      <c r="CN125">
        <v>0.14000000000000001</v>
      </c>
      <c r="CO125">
        <v>-182.143575</v>
      </c>
      <c r="CP125">
        <v>-16.2822326454028</v>
      </c>
      <c r="CQ125">
        <v>1.5674365678951729</v>
      </c>
      <c r="CR125">
        <v>-1</v>
      </c>
      <c r="CS125">
        <v>10.147959500000001</v>
      </c>
      <c r="CT125">
        <v>0.95583512195121423</v>
      </c>
      <c r="CU125">
        <v>9.2707773000703639E-2</v>
      </c>
      <c r="CV125">
        <v>-1</v>
      </c>
      <c r="CW125">
        <v>0</v>
      </c>
      <c r="CX125">
        <v>0</v>
      </c>
      <c r="CY125" t="s">
        <v>333</v>
      </c>
      <c r="CZ125">
        <v>2.3647499999999999</v>
      </c>
      <c r="DA125">
        <v>2.7138200000000001</v>
      </c>
      <c r="DB125">
        <v>0.12259200000000001</v>
      </c>
      <c r="DC125">
        <v>0.146259</v>
      </c>
      <c r="DD125">
        <v>0.116066</v>
      </c>
      <c r="DE125">
        <v>7.7433399999999999E-2</v>
      </c>
      <c r="DF125">
        <v>32064.6</v>
      </c>
      <c r="DG125">
        <v>27549.1</v>
      </c>
      <c r="DH125">
        <v>31197.1</v>
      </c>
      <c r="DI125">
        <v>28116.400000000001</v>
      </c>
      <c r="DJ125">
        <v>37438.9</v>
      </c>
      <c r="DK125">
        <v>36888.6</v>
      </c>
      <c r="DL125">
        <v>44401.599999999999</v>
      </c>
      <c r="DM125">
        <v>42619.4</v>
      </c>
      <c r="DN125">
        <v>1.4818199999999999</v>
      </c>
      <c r="DO125">
        <v>2.0557799999999999</v>
      </c>
      <c r="DP125">
        <v>7.3462700000000006E-2</v>
      </c>
      <c r="DQ125">
        <v>0.213869</v>
      </c>
      <c r="DR125">
        <v>25.780999999999999</v>
      </c>
      <c r="DS125">
        <v>25.590800000000002</v>
      </c>
      <c r="DT125">
        <v>56.2</v>
      </c>
      <c r="DU125">
        <v>28.8</v>
      </c>
      <c r="DV125">
        <v>22.568300000000001</v>
      </c>
      <c r="DW125">
        <v>61.808</v>
      </c>
      <c r="DX125">
        <v>36.878999999999998</v>
      </c>
      <c r="DY125">
        <v>1</v>
      </c>
      <c r="DZ125">
        <v>-0.116428</v>
      </c>
      <c r="EA125">
        <v>-0.32140000000000002</v>
      </c>
      <c r="EB125">
        <v>20.189399999999999</v>
      </c>
      <c r="EC125">
        <v>5.24125</v>
      </c>
      <c r="ED125">
        <v>12.039899999999999</v>
      </c>
      <c r="EE125">
        <v>5.0174000000000003</v>
      </c>
      <c r="EF125">
        <v>3.2879999999999998</v>
      </c>
      <c r="EG125">
        <v>9999</v>
      </c>
      <c r="EH125">
        <v>9999</v>
      </c>
      <c r="EI125">
        <v>9999</v>
      </c>
      <c r="EJ125">
        <v>999.9</v>
      </c>
      <c r="EK125">
        <v>1.8689</v>
      </c>
      <c r="EL125">
        <v>1.8646199999999999</v>
      </c>
      <c r="EM125">
        <v>1.86917</v>
      </c>
      <c r="EN125">
        <v>1.8672200000000001</v>
      </c>
      <c r="EO125">
        <v>1.8633900000000001</v>
      </c>
      <c r="EP125">
        <v>1.8644700000000001</v>
      </c>
      <c r="EQ125">
        <v>1.8701399999999999</v>
      </c>
      <c r="ER125">
        <v>1.86937</v>
      </c>
      <c r="ES125">
        <v>0</v>
      </c>
      <c r="ET125">
        <v>0</v>
      </c>
      <c r="EU125">
        <v>0</v>
      </c>
      <c r="EV125">
        <v>0</v>
      </c>
      <c r="EW125" t="s">
        <v>334</v>
      </c>
      <c r="EX125" t="s">
        <v>335</v>
      </c>
      <c r="EY125" t="s">
        <v>336</v>
      </c>
      <c r="EZ125" t="s">
        <v>336</v>
      </c>
      <c r="FA125" t="s">
        <v>336</v>
      </c>
      <c r="FB125" t="s">
        <v>336</v>
      </c>
      <c r="FC125">
        <v>0</v>
      </c>
      <c r="FD125">
        <v>100</v>
      </c>
      <c r="FE125">
        <v>100</v>
      </c>
      <c r="FF125">
        <v>-0.20899999999999999</v>
      </c>
      <c r="FG125">
        <v>0.1719</v>
      </c>
      <c r="FH125">
        <v>0.2126736300064915</v>
      </c>
      <c r="FI125">
        <v>-6.1462078757559423E-4</v>
      </c>
      <c r="FJ125">
        <v>-1.8861989874597051E-7</v>
      </c>
      <c r="FK125">
        <v>1.1980462299894961E-10</v>
      </c>
      <c r="FL125">
        <v>0.1719881465068297</v>
      </c>
      <c r="FM125">
        <v>0</v>
      </c>
      <c r="FN125">
        <v>0</v>
      </c>
      <c r="FO125">
        <v>0</v>
      </c>
      <c r="FP125">
        <v>3</v>
      </c>
      <c r="FQ125">
        <v>2158</v>
      </c>
      <c r="FR125">
        <v>1</v>
      </c>
      <c r="FS125">
        <v>19</v>
      </c>
      <c r="FT125">
        <v>27.5</v>
      </c>
      <c r="FU125">
        <v>27.6</v>
      </c>
      <c r="FV125">
        <v>1.78467</v>
      </c>
      <c r="FW125">
        <v>2.5878899999999998</v>
      </c>
      <c r="FX125">
        <v>1.5490699999999999</v>
      </c>
      <c r="FY125">
        <v>2.3290999999999999</v>
      </c>
      <c r="FZ125">
        <v>1.50146</v>
      </c>
      <c r="GA125">
        <v>2.3913600000000002</v>
      </c>
      <c r="GB125">
        <v>33.558</v>
      </c>
      <c r="GC125">
        <v>23.991199999999999</v>
      </c>
      <c r="GD125">
        <v>19</v>
      </c>
      <c r="GE125">
        <v>284.06</v>
      </c>
      <c r="GF125">
        <v>596.08199999999999</v>
      </c>
      <c r="GG125">
        <v>25.428100000000001</v>
      </c>
      <c r="GH125">
        <v>25.953800000000001</v>
      </c>
      <c r="GI125">
        <v>30</v>
      </c>
      <c r="GJ125">
        <v>26.076499999999999</v>
      </c>
      <c r="GK125">
        <v>26.056799999999999</v>
      </c>
      <c r="GL125">
        <v>35.6723</v>
      </c>
      <c r="GM125">
        <v>43.810600000000001</v>
      </c>
      <c r="GN125">
        <v>92.7898</v>
      </c>
      <c r="GO125">
        <v>25.4377</v>
      </c>
      <c r="GP125">
        <v>800</v>
      </c>
      <c r="GQ125">
        <v>14.1731</v>
      </c>
      <c r="GR125">
        <v>99.824100000000001</v>
      </c>
      <c r="GS125">
        <v>99.697299999999998</v>
      </c>
    </row>
    <row r="126" spans="1:201" x14ac:dyDescent="0.25">
      <c r="A126">
        <v>110</v>
      </c>
      <c r="B126">
        <v>1690233664.5999999</v>
      </c>
      <c r="C126">
        <v>1158.5</v>
      </c>
      <c r="D126" t="s">
        <v>551</v>
      </c>
      <c r="E126" t="s">
        <v>552</v>
      </c>
      <c r="F126" t="s">
        <v>330</v>
      </c>
      <c r="H126">
        <v>1690233664.5999999</v>
      </c>
      <c r="I126">
        <f t="shared" si="30"/>
        <v>9.9476614509870606E-4</v>
      </c>
      <c r="J126">
        <f t="shared" si="31"/>
        <v>0.99476614509870609</v>
      </c>
      <c r="K126">
        <f t="shared" si="32"/>
        <v>16.808725974466618</v>
      </c>
      <c r="L126">
        <f t="shared" si="33"/>
        <v>612.09299999999996</v>
      </c>
      <c r="M126">
        <f t="shared" si="34"/>
        <v>159.83449621651718</v>
      </c>
      <c r="N126">
        <f t="shared" si="35"/>
        <v>15.839819114694732</v>
      </c>
      <c r="O126">
        <f t="shared" si="36"/>
        <v>60.659260865921404</v>
      </c>
      <c r="P126">
        <f t="shared" si="37"/>
        <v>6.1659553321779415E-2</v>
      </c>
      <c r="Q126">
        <f t="shared" si="38"/>
        <v>2.1334048570642272</v>
      </c>
      <c r="R126">
        <f t="shared" si="39"/>
        <v>6.0686370102342527E-2</v>
      </c>
      <c r="S126">
        <f t="shared" si="40"/>
        <v>3.8015138467249368E-2</v>
      </c>
      <c r="T126">
        <f t="shared" si="41"/>
        <v>276.11611291799994</v>
      </c>
      <c r="U126">
        <f t="shared" si="42"/>
        <v>28.963037487600118</v>
      </c>
      <c r="V126">
        <f t="shared" si="43"/>
        <v>28.963037487600118</v>
      </c>
      <c r="W126">
        <f t="shared" si="44"/>
        <v>4.0131788040909226</v>
      </c>
      <c r="X126">
        <f t="shared" si="45"/>
        <v>67.701055525081159</v>
      </c>
      <c r="Y126">
        <f t="shared" si="46"/>
        <v>2.4416201549604799</v>
      </c>
      <c r="Z126">
        <f t="shared" si="47"/>
        <v>3.6064728031543538</v>
      </c>
      <c r="AA126">
        <f t="shared" si="48"/>
        <v>1.5715586491304427</v>
      </c>
      <c r="AB126">
        <f t="shared" si="49"/>
        <v>-43.869186998852939</v>
      </c>
      <c r="AC126">
        <f t="shared" si="50"/>
        <v>-210.88637256460768</v>
      </c>
      <c r="AD126">
        <f t="shared" si="51"/>
        <v>-21.557094166943845</v>
      </c>
      <c r="AE126">
        <f t="shared" si="52"/>
        <v>-0.19654081240452115</v>
      </c>
      <c r="AF126">
        <v>0</v>
      </c>
      <c r="AG126">
        <v>0</v>
      </c>
      <c r="AH126">
        <f t="shared" si="53"/>
        <v>1</v>
      </c>
      <c r="AI126">
        <f t="shared" si="54"/>
        <v>0</v>
      </c>
      <c r="AJ126">
        <f t="shared" si="55"/>
        <v>52474.041257664125</v>
      </c>
      <c r="AK126">
        <f t="shared" si="56"/>
        <v>1800</v>
      </c>
      <c r="AL126">
        <f t="shared" si="57"/>
        <v>1499.1110027999998</v>
      </c>
      <c r="AM126">
        <f t="shared" si="58"/>
        <v>0.83283944599999993</v>
      </c>
      <c r="AN126">
        <f t="shared" si="59"/>
        <v>0.15339784050999997</v>
      </c>
      <c r="AO126">
        <v>32.4</v>
      </c>
      <c r="AP126">
        <v>0.5</v>
      </c>
      <c r="AQ126" t="s">
        <v>331</v>
      </c>
      <c r="AR126">
        <v>2</v>
      </c>
      <c r="AS126">
        <v>1690233664.5999999</v>
      </c>
      <c r="AT126">
        <v>612.09299999999996</v>
      </c>
      <c r="AU126">
        <v>800.05100000000004</v>
      </c>
      <c r="AV126">
        <v>24.637599999999999</v>
      </c>
      <c r="AW126">
        <v>14.167299999999999</v>
      </c>
      <c r="AX126">
        <v>612.29999999999995</v>
      </c>
      <c r="AY126">
        <v>24.465599999999998</v>
      </c>
      <c r="AZ126">
        <v>300.24299999999999</v>
      </c>
      <c r="BA126">
        <v>99.001400000000004</v>
      </c>
      <c r="BB126">
        <v>9.9979799999999994E-2</v>
      </c>
      <c r="BC126">
        <v>27.1295</v>
      </c>
      <c r="BD126">
        <v>26.9848</v>
      </c>
      <c r="BE126">
        <v>29.127500000000001</v>
      </c>
      <c r="BF126">
        <v>0</v>
      </c>
      <c r="BG126">
        <v>0</v>
      </c>
      <c r="BH126">
        <v>10029.4</v>
      </c>
      <c r="BI126">
        <v>1080.78</v>
      </c>
      <c r="BJ126">
        <v>1.4577199999999999</v>
      </c>
      <c r="BK126">
        <v>-187.958</v>
      </c>
      <c r="BL126">
        <v>627.55499999999995</v>
      </c>
      <c r="BM126">
        <v>811.548</v>
      </c>
      <c r="BN126">
        <v>10.4703</v>
      </c>
      <c r="BO126">
        <v>800.05100000000004</v>
      </c>
      <c r="BP126">
        <v>14.167299999999999</v>
      </c>
      <c r="BQ126">
        <v>2.4391500000000002</v>
      </c>
      <c r="BR126">
        <v>1.4025799999999999</v>
      </c>
      <c r="BS126">
        <v>20.626100000000001</v>
      </c>
      <c r="BT126">
        <v>11.945600000000001</v>
      </c>
      <c r="BU126">
        <v>1800</v>
      </c>
      <c r="BV126">
        <v>0.90998599999999996</v>
      </c>
      <c r="BW126">
        <v>3.3994999999999997E-2</v>
      </c>
      <c r="BX126">
        <v>2.2006299999999999E-2</v>
      </c>
      <c r="BY126">
        <v>3.4012300000000002E-2</v>
      </c>
      <c r="BZ126">
        <v>25</v>
      </c>
      <c r="CA126">
        <v>33528.300000000003</v>
      </c>
      <c r="CB126">
        <v>1690232006</v>
      </c>
      <c r="CC126" t="s">
        <v>332</v>
      </c>
      <c r="CD126">
        <v>1690232006</v>
      </c>
      <c r="CE126">
        <v>1690231998.5</v>
      </c>
      <c r="CF126">
        <v>14</v>
      </c>
      <c r="CG126">
        <v>-0.13200000000000001</v>
      </c>
      <c r="CH126">
        <v>-7.0000000000000001E-3</v>
      </c>
      <c r="CI126">
        <v>-0.33800000000000002</v>
      </c>
      <c r="CJ126">
        <v>0.14299999999999999</v>
      </c>
      <c r="CK126">
        <v>799</v>
      </c>
      <c r="CL126">
        <v>19</v>
      </c>
      <c r="CM126">
        <v>7.0000000000000007E-2</v>
      </c>
      <c r="CN126">
        <v>0.14000000000000001</v>
      </c>
      <c r="CO126">
        <v>-184.94053658536589</v>
      </c>
      <c r="CP126">
        <v>-16.3998188153314</v>
      </c>
      <c r="CQ126">
        <v>1.6185912136652041</v>
      </c>
      <c r="CR126">
        <v>-1</v>
      </c>
      <c r="CS126">
        <v>10.30921707317073</v>
      </c>
      <c r="CT126">
        <v>0.89516027874564275</v>
      </c>
      <c r="CU126">
        <v>8.863621707180154E-2</v>
      </c>
      <c r="CV126">
        <v>-1</v>
      </c>
      <c r="CW126">
        <v>0</v>
      </c>
      <c r="CX126">
        <v>0</v>
      </c>
      <c r="CY126" t="s">
        <v>333</v>
      </c>
      <c r="CZ126">
        <v>2.3649399999999998</v>
      </c>
      <c r="DA126">
        <v>2.7138</v>
      </c>
      <c r="DB126">
        <v>0.122212</v>
      </c>
      <c r="DC126">
        <v>0.14624000000000001</v>
      </c>
      <c r="DD126">
        <v>0.11606900000000001</v>
      </c>
      <c r="DE126">
        <v>7.6899400000000007E-2</v>
      </c>
      <c r="DF126">
        <v>32078.6</v>
      </c>
      <c r="DG126">
        <v>27549.599999999999</v>
      </c>
      <c r="DH126">
        <v>31197.1</v>
      </c>
      <c r="DI126">
        <v>28116.2</v>
      </c>
      <c r="DJ126">
        <v>37438.9</v>
      </c>
      <c r="DK126">
        <v>36909.800000000003</v>
      </c>
      <c r="DL126">
        <v>44401.8</v>
      </c>
      <c r="DM126">
        <v>42619.1</v>
      </c>
      <c r="DN126">
        <v>1.4818199999999999</v>
      </c>
      <c r="DO126">
        <v>2.05545</v>
      </c>
      <c r="DP126">
        <v>7.3649000000000006E-2</v>
      </c>
      <c r="DQ126">
        <v>0.216477</v>
      </c>
      <c r="DR126">
        <v>25.779199999999999</v>
      </c>
      <c r="DS126">
        <v>25.589200000000002</v>
      </c>
      <c r="DT126">
        <v>56.2</v>
      </c>
      <c r="DU126">
        <v>28.8</v>
      </c>
      <c r="DV126">
        <v>22.5687</v>
      </c>
      <c r="DW126">
        <v>61.677999999999997</v>
      </c>
      <c r="DX126">
        <v>35.785299999999999</v>
      </c>
      <c r="DY126">
        <v>1</v>
      </c>
      <c r="DZ126">
        <v>-0.116941</v>
      </c>
      <c r="EA126">
        <v>-0.37002499999999999</v>
      </c>
      <c r="EB126">
        <v>20.189</v>
      </c>
      <c r="EC126">
        <v>5.2415500000000002</v>
      </c>
      <c r="ED126">
        <v>12.039899999999999</v>
      </c>
      <c r="EE126">
        <v>5.0172499999999998</v>
      </c>
      <c r="EF126">
        <v>3.2879999999999998</v>
      </c>
      <c r="EG126">
        <v>9999</v>
      </c>
      <c r="EH126">
        <v>9999</v>
      </c>
      <c r="EI126">
        <v>9999</v>
      </c>
      <c r="EJ126">
        <v>999.9</v>
      </c>
      <c r="EK126">
        <v>1.8689</v>
      </c>
      <c r="EL126">
        <v>1.8646199999999999</v>
      </c>
      <c r="EM126">
        <v>1.8691800000000001</v>
      </c>
      <c r="EN126">
        <v>1.8672200000000001</v>
      </c>
      <c r="EO126">
        <v>1.86338</v>
      </c>
      <c r="EP126">
        <v>1.8644700000000001</v>
      </c>
      <c r="EQ126">
        <v>1.87015</v>
      </c>
      <c r="ER126">
        <v>1.8693500000000001</v>
      </c>
      <c r="ES126">
        <v>0</v>
      </c>
      <c r="ET126">
        <v>0</v>
      </c>
      <c r="EU126">
        <v>0</v>
      </c>
      <c r="EV126">
        <v>0</v>
      </c>
      <c r="EW126" t="s">
        <v>334</v>
      </c>
      <c r="EX126" t="s">
        <v>335</v>
      </c>
      <c r="EY126" t="s">
        <v>336</v>
      </c>
      <c r="EZ126" t="s">
        <v>336</v>
      </c>
      <c r="FA126" t="s">
        <v>336</v>
      </c>
      <c r="FB126" t="s">
        <v>336</v>
      </c>
      <c r="FC126">
        <v>0</v>
      </c>
      <c r="FD126">
        <v>100</v>
      </c>
      <c r="FE126">
        <v>100</v>
      </c>
      <c r="FF126">
        <v>-0.20699999999999999</v>
      </c>
      <c r="FG126">
        <v>0.17199999999999999</v>
      </c>
      <c r="FH126">
        <v>0.2126736300064915</v>
      </c>
      <c r="FI126">
        <v>-6.1462078757559423E-4</v>
      </c>
      <c r="FJ126">
        <v>-1.8861989874597051E-7</v>
      </c>
      <c r="FK126">
        <v>1.1980462299894961E-10</v>
      </c>
      <c r="FL126">
        <v>0.1719881465068297</v>
      </c>
      <c r="FM126">
        <v>0</v>
      </c>
      <c r="FN126">
        <v>0</v>
      </c>
      <c r="FO126">
        <v>0</v>
      </c>
      <c r="FP126">
        <v>3</v>
      </c>
      <c r="FQ126">
        <v>2158</v>
      </c>
      <c r="FR126">
        <v>1</v>
      </c>
      <c r="FS126">
        <v>19</v>
      </c>
      <c r="FT126">
        <v>27.6</v>
      </c>
      <c r="FU126">
        <v>27.8</v>
      </c>
      <c r="FV126">
        <v>1.78467</v>
      </c>
      <c r="FW126">
        <v>2.5830099999999998</v>
      </c>
      <c r="FX126">
        <v>1.5490699999999999</v>
      </c>
      <c r="FY126">
        <v>2.3303199999999999</v>
      </c>
      <c r="FZ126">
        <v>1.50146</v>
      </c>
      <c r="GA126">
        <v>2.33765</v>
      </c>
      <c r="GB126">
        <v>33.558</v>
      </c>
      <c r="GC126">
        <v>23.991199999999999</v>
      </c>
      <c r="GD126">
        <v>19</v>
      </c>
      <c r="GE126">
        <v>284.05500000000001</v>
      </c>
      <c r="GF126">
        <v>595.80499999999995</v>
      </c>
      <c r="GG126">
        <v>25.450900000000001</v>
      </c>
      <c r="GH126">
        <v>25.951599999999999</v>
      </c>
      <c r="GI126">
        <v>30</v>
      </c>
      <c r="GJ126">
        <v>26.075399999999998</v>
      </c>
      <c r="GK126">
        <v>26.0563</v>
      </c>
      <c r="GL126">
        <v>35.672899999999998</v>
      </c>
      <c r="GM126">
        <v>44.368699999999997</v>
      </c>
      <c r="GN126">
        <v>92.404300000000006</v>
      </c>
      <c r="GO126">
        <v>25.455400000000001</v>
      </c>
      <c r="GP126">
        <v>800</v>
      </c>
      <c r="GQ126">
        <v>14.0152</v>
      </c>
      <c r="GR126">
        <v>99.824600000000004</v>
      </c>
      <c r="GS126">
        <v>99.696600000000004</v>
      </c>
    </row>
    <row r="127" spans="1:201" x14ac:dyDescent="0.25">
      <c r="A127">
        <v>111</v>
      </c>
      <c r="B127">
        <v>1690233674.5999999</v>
      </c>
      <c r="C127">
        <v>1168.5</v>
      </c>
      <c r="D127" t="s">
        <v>553</v>
      </c>
      <c r="E127" t="s">
        <v>554</v>
      </c>
      <c r="F127" t="s">
        <v>330</v>
      </c>
      <c r="H127">
        <v>1690233674.5999999</v>
      </c>
      <c r="I127">
        <f t="shared" si="30"/>
        <v>1.0111170200507627E-3</v>
      </c>
      <c r="J127">
        <f t="shared" si="31"/>
        <v>1.0111170200507626</v>
      </c>
      <c r="K127">
        <f t="shared" si="32"/>
        <v>17.045584553312704</v>
      </c>
      <c r="L127">
        <f t="shared" si="33"/>
        <v>609.41700000000003</v>
      </c>
      <c r="M127">
        <f t="shared" si="34"/>
        <v>158.46665420464342</v>
      </c>
      <c r="N127">
        <f t="shared" si="35"/>
        <v>15.703975389419005</v>
      </c>
      <c r="O127">
        <f t="shared" si="36"/>
        <v>60.392955337686004</v>
      </c>
      <c r="P127">
        <f t="shared" si="37"/>
        <v>6.2721710093874797E-2</v>
      </c>
      <c r="Q127">
        <f t="shared" si="38"/>
        <v>2.1299616189727417</v>
      </c>
      <c r="R127">
        <f t="shared" si="39"/>
        <v>6.1713405584858064E-2</v>
      </c>
      <c r="S127">
        <f t="shared" si="40"/>
        <v>3.8660120414491898E-2</v>
      </c>
      <c r="T127">
        <f t="shared" si="41"/>
        <v>276.11650555200004</v>
      </c>
      <c r="U127">
        <f t="shared" si="42"/>
        <v>28.961228533049418</v>
      </c>
      <c r="V127">
        <f t="shared" si="43"/>
        <v>28.961228533049418</v>
      </c>
      <c r="W127">
        <f t="shared" si="44"/>
        <v>4.012758624539412</v>
      </c>
      <c r="X127">
        <f t="shared" si="45"/>
        <v>67.706309636802331</v>
      </c>
      <c r="Y127">
        <f t="shared" si="46"/>
        <v>2.4419815783685999</v>
      </c>
      <c r="Z127">
        <f t="shared" si="47"/>
        <v>3.6067267459534382</v>
      </c>
      <c r="AA127">
        <f t="shared" si="48"/>
        <v>1.5707770461708122</v>
      </c>
      <c r="AB127">
        <f t="shared" si="49"/>
        <v>-44.590260584238635</v>
      </c>
      <c r="AC127">
        <f t="shared" si="50"/>
        <v>-210.20048987723663</v>
      </c>
      <c r="AD127">
        <f t="shared" si="51"/>
        <v>-21.521651614996145</v>
      </c>
      <c r="AE127">
        <f t="shared" si="52"/>
        <v>-0.19589652447137951</v>
      </c>
      <c r="AF127">
        <v>0</v>
      </c>
      <c r="AG127">
        <v>0</v>
      </c>
      <c r="AH127">
        <f t="shared" si="53"/>
        <v>1</v>
      </c>
      <c r="AI127">
        <f t="shared" si="54"/>
        <v>0</v>
      </c>
      <c r="AJ127">
        <f t="shared" si="55"/>
        <v>52325.391754850702</v>
      </c>
      <c r="AK127">
        <f t="shared" si="56"/>
        <v>1800</v>
      </c>
      <c r="AL127">
        <f t="shared" si="57"/>
        <v>1499.1116832</v>
      </c>
      <c r="AM127">
        <f t="shared" si="58"/>
        <v>0.83283982400000001</v>
      </c>
      <c r="AN127">
        <f t="shared" si="59"/>
        <v>0.15339805864000003</v>
      </c>
      <c r="AO127">
        <v>32.4</v>
      </c>
      <c r="AP127">
        <v>0.5</v>
      </c>
      <c r="AQ127" t="s">
        <v>331</v>
      </c>
      <c r="AR127">
        <v>2</v>
      </c>
      <c r="AS127">
        <v>1690233674.5999999</v>
      </c>
      <c r="AT127">
        <v>609.41700000000003</v>
      </c>
      <c r="AU127">
        <v>800.09299999999996</v>
      </c>
      <c r="AV127">
        <v>24.6417</v>
      </c>
      <c r="AW127">
        <v>13.9947</v>
      </c>
      <c r="AX127">
        <v>609.62199999999996</v>
      </c>
      <c r="AY127">
        <v>24.4697</v>
      </c>
      <c r="AZ127">
        <v>300.11200000000002</v>
      </c>
      <c r="BA127">
        <v>98.999600000000001</v>
      </c>
      <c r="BB127">
        <v>9.9958000000000005E-2</v>
      </c>
      <c r="BC127">
        <v>27.130700000000001</v>
      </c>
      <c r="BD127">
        <v>26.992999999999999</v>
      </c>
      <c r="BE127">
        <v>29.097300000000001</v>
      </c>
      <c r="BF127">
        <v>0</v>
      </c>
      <c r="BG127">
        <v>0</v>
      </c>
      <c r="BH127">
        <v>10000</v>
      </c>
      <c r="BI127">
        <v>1080.81</v>
      </c>
      <c r="BJ127">
        <v>1.4577199999999999</v>
      </c>
      <c r="BK127">
        <v>-190.67699999999999</v>
      </c>
      <c r="BL127">
        <v>624.81299999999999</v>
      </c>
      <c r="BM127">
        <v>811.44899999999996</v>
      </c>
      <c r="BN127">
        <v>10.6469</v>
      </c>
      <c r="BO127">
        <v>800.09299999999996</v>
      </c>
      <c r="BP127">
        <v>13.9947</v>
      </c>
      <c r="BQ127">
        <v>2.4395199999999999</v>
      </c>
      <c r="BR127">
        <v>1.38547</v>
      </c>
      <c r="BS127">
        <v>20.628499999999999</v>
      </c>
      <c r="BT127">
        <v>11.759600000000001</v>
      </c>
      <c r="BU127">
        <v>1800</v>
      </c>
      <c r="BV127">
        <v>0.90998500000000004</v>
      </c>
      <c r="BW127">
        <v>3.3994099999999999E-2</v>
      </c>
      <c r="BX127">
        <v>2.20092E-2</v>
      </c>
      <c r="BY127">
        <v>3.4011399999999997E-2</v>
      </c>
      <c r="BZ127">
        <v>25</v>
      </c>
      <c r="CA127">
        <v>33528.199999999997</v>
      </c>
      <c r="CB127">
        <v>1690232006</v>
      </c>
      <c r="CC127" t="s">
        <v>332</v>
      </c>
      <c r="CD127">
        <v>1690232006</v>
      </c>
      <c r="CE127">
        <v>1690231998.5</v>
      </c>
      <c r="CF127">
        <v>14</v>
      </c>
      <c r="CG127">
        <v>-0.13200000000000001</v>
      </c>
      <c r="CH127">
        <v>-7.0000000000000001E-3</v>
      </c>
      <c r="CI127">
        <v>-0.33800000000000002</v>
      </c>
      <c r="CJ127">
        <v>0.14299999999999999</v>
      </c>
      <c r="CK127">
        <v>799</v>
      </c>
      <c r="CL127">
        <v>19</v>
      </c>
      <c r="CM127">
        <v>7.0000000000000007E-2</v>
      </c>
      <c r="CN127">
        <v>0.14000000000000001</v>
      </c>
      <c r="CO127">
        <v>-187.6859756097561</v>
      </c>
      <c r="CP127">
        <v>-16.129128919860399</v>
      </c>
      <c r="CQ127">
        <v>1.59137752090422</v>
      </c>
      <c r="CR127">
        <v>-1</v>
      </c>
      <c r="CS127">
        <v>10.46855853658537</v>
      </c>
      <c r="CT127">
        <v>0.9629790940766576</v>
      </c>
      <c r="CU127">
        <v>9.5392051045862569E-2</v>
      </c>
      <c r="CV127">
        <v>-1</v>
      </c>
      <c r="CW127">
        <v>0</v>
      </c>
      <c r="CX127">
        <v>0</v>
      </c>
      <c r="CY127" t="s">
        <v>333</v>
      </c>
      <c r="CZ127">
        <v>2.3645399999999999</v>
      </c>
      <c r="DA127">
        <v>2.7137500000000001</v>
      </c>
      <c r="DB127">
        <v>0.121835</v>
      </c>
      <c r="DC127">
        <v>0.14623900000000001</v>
      </c>
      <c r="DD127">
        <v>0.116081</v>
      </c>
      <c r="DE127">
        <v>7.6205700000000001E-2</v>
      </c>
      <c r="DF127">
        <v>32092.9</v>
      </c>
      <c r="DG127">
        <v>27549.7</v>
      </c>
      <c r="DH127">
        <v>31197.599999999999</v>
      </c>
      <c r="DI127">
        <v>28116.3</v>
      </c>
      <c r="DJ127">
        <v>37438.9</v>
      </c>
      <c r="DK127">
        <v>36937.699999999997</v>
      </c>
      <c r="DL127">
        <v>44402.5</v>
      </c>
      <c r="DM127">
        <v>42619.3</v>
      </c>
      <c r="DN127">
        <v>1.48153</v>
      </c>
      <c r="DO127">
        <v>2.05545</v>
      </c>
      <c r="DP127">
        <v>7.4282299999999996E-2</v>
      </c>
      <c r="DQ127">
        <v>0.21468799999999999</v>
      </c>
      <c r="DR127">
        <v>25.777000000000001</v>
      </c>
      <c r="DS127">
        <v>25.588200000000001</v>
      </c>
      <c r="DT127">
        <v>56.2</v>
      </c>
      <c r="DU127">
        <v>28.8</v>
      </c>
      <c r="DV127">
        <v>22.569400000000002</v>
      </c>
      <c r="DW127">
        <v>61.787999999999997</v>
      </c>
      <c r="DX127">
        <v>36.895000000000003</v>
      </c>
      <c r="DY127">
        <v>1</v>
      </c>
      <c r="DZ127">
        <v>-0.11673500000000001</v>
      </c>
      <c r="EA127">
        <v>-0.35889700000000002</v>
      </c>
      <c r="EB127">
        <v>20.189499999999999</v>
      </c>
      <c r="EC127">
        <v>5.2413999999999996</v>
      </c>
      <c r="ED127">
        <v>12.039899999999999</v>
      </c>
      <c r="EE127">
        <v>5.01715</v>
      </c>
      <c r="EF127">
        <v>3.2879999999999998</v>
      </c>
      <c r="EG127">
        <v>9999</v>
      </c>
      <c r="EH127">
        <v>9999</v>
      </c>
      <c r="EI127">
        <v>9999</v>
      </c>
      <c r="EJ127">
        <v>999.9</v>
      </c>
      <c r="EK127">
        <v>1.8689</v>
      </c>
      <c r="EL127">
        <v>1.8646199999999999</v>
      </c>
      <c r="EM127">
        <v>1.8691899999999999</v>
      </c>
      <c r="EN127">
        <v>1.8672200000000001</v>
      </c>
      <c r="EO127">
        <v>1.86338</v>
      </c>
      <c r="EP127">
        <v>1.8644700000000001</v>
      </c>
      <c r="EQ127">
        <v>1.8701300000000001</v>
      </c>
      <c r="ER127">
        <v>1.86937</v>
      </c>
      <c r="ES127">
        <v>0</v>
      </c>
      <c r="ET127">
        <v>0</v>
      </c>
      <c r="EU127">
        <v>0</v>
      </c>
      <c r="EV127">
        <v>0</v>
      </c>
      <c r="EW127" t="s">
        <v>334</v>
      </c>
      <c r="EX127" t="s">
        <v>335</v>
      </c>
      <c r="EY127" t="s">
        <v>336</v>
      </c>
      <c r="EZ127" t="s">
        <v>336</v>
      </c>
      <c r="FA127" t="s">
        <v>336</v>
      </c>
      <c r="FB127" t="s">
        <v>336</v>
      </c>
      <c r="FC127">
        <v>0</v>
      </c>
      <c r="FD127">
        <v>100</v>
      </c>
      <c r="FE127">
        <v>100</v>
      </c>
      <c r="FF127">
        <v>-0.20499999999999999</v>
      </c>
      <c r="FG127">
        <v>0.17199999999999999</v>
      </c>
      <c r="FH127">
        <v>0.2126736300064915</v>
      </c>
      <c r="FI127">
        <v>-6.1462078757559423E-4</v>
      </c>
      <c r="FJ127">
        <v>-1.8861989874597051E-7</v>
      </c>
      <c r="FK127">
        <v>1.1980462299894961E-10</v>
      </c>
      <c r="FL127">
        <v>0.1719881465068297</v>
      </c>
      <c r="FM127">
        <v>0</v>
      </c>
      <c r="FN127">
        <v>0</v>
      </c>
      <c r="FO127">
        <v>0</v>
      </c>
      <c r="FP127">
        <v>3</v>
      </c>
      <c r="FQ127">
        <v>2158</v>
      </c>
      <c r="FR127">
        <v>1</v>
      </c>
      <c r="FS127">
        <v>19</v>
      </c>
      <c r="FT127">
        <v>27.8</v>
      </c>
      <c r="FU127">
        <v>27.9</v>
      </c>
      <c r="FV127">
        <v>1.78345</v>
      </c>
      <c r="FW127">
        <v>2.5915499999999998</v>
      </c>
      <c r="FX127">
        <v>1.5490699999999999</v>
      </c>
      <c r="FY127">
        <v>2.3290999999999999</v>
      </c>
      <c r="FZ127">
        <v>1.50146</v>
      </c>
      <c r="GA127">
        <v>2.3339799999999999</v>
      </c>
      <c r="GB127">
        <v>33.558</v>
      </c>
      <c r="GC127">
        <v>23.982399999999998</v>
      </c>
      <c r="GD127">
        <v>19</v>
      </c>
      <c r="GE127">
        <v>283.91699999999997</v>
      </c>
      <c r="GF127">
        <v>595.78399999999999</v>
      </c>
      <c r="GG127">
        <v>25.465699999999998</v>
      </c>
      <c r="GH127">
        <v>25.951599999999999</v>
      </c>
      <c r="GI127">
        <v>30</v>
      </c>
      <c r="GJ127">
        <v>26.0732</v>
      </c>
      <c r="GK127">
        <v>26.054600000000001</v>
      </c>
      <c r="GL127">
        <v>35.663600000000002</v>
      </c>
      <c r="GM127">
        <v>44.940199999999997</v>
      </c>
      <c r="GN127">
        <v>92.033900000000003</v>
      </c>
      <c r="GO127">
        <v>25.4664</v>
      </c>
      <c r="GP127">
        <v>800</v>
      </c>
      <c r="GQ127">
        <v>13.847</v>
      </c>
      <c r="GR127">
        <v>99.826099999999997</v>
      </c>
      <c r="GS127">
        <v>99.697000000000003</v>
      </c>
    </row>
    <row r="128" spans="1:201" x14ac:dyDescent="0.25">
      <c r="A128">
        <v>112</v>
      </c>
      <c r="B128">
        <v>1690233684.5999999</v>
      </c>
      <c r="C128">
        <v>1178.5</v>
      </c>
      <c r="D128" t="s">
        <v>555</v>
      </c>
      <c r="E128" t="s">
        <v>556</v>
      </c>
      <c r="F128" t="s">
        <v>330</v>
      </c>
      <c r="H128">
        <v>1690233684.5999999</v>
      </c>
      <c r="I128">
        <f t="shared" si="30"/>
        <v>1.0276631324079198E-3</v>
      </c>
      <c r="J128">
        <f t="shared" si="31"/>
        <v>1.0276631324079197</v>
      </c>
      <c r="K128">
        <f t="shared" si="32"/>
        <v>17.285234383838553</v>
      </c>
      <c r="L128">
        <f t="shared" si="33"/>
        <v>606.78700000000003</v>
      </c>
      <c r="M128">
        <f t="shared" si="34"/>
        <v>157.36757346079972</v>
      </c>
      <c r="N128">
        <f t="shared" si="35"/>
        <v>15.595303253750245</v>
      </c>
      <c r="O128">
        <f t="shared" si="36"/>
        <v>60.133273121800997</v>
      </c>
      <c r="P128">
        <f t="shared" si="37"/>
        <v>6.3833695872722349E-2</v>
      </c>
      <c r="Q128">
        <f t="shared" si="38"/>
        <v>2.1261856529042902</v>
      </c>
      <c r="R128">
        <f t="shared" si="39"/>
        <v>6.2787821611920966E-2</v>
      </c>
      <c r="S128">
        <f t="shared" si="40"/>
        <v>3.9334928757468593E-2</v>
      </c>
      <c r="T128">
        <f t="shared" si="41"/>
        <v>276.11508835476479</v>
      </c>
      <c r="U128">
        <f t="shared" si="42"/>
        <v>28.95439659201476</v>
      </c>
      <c r="V128">
        <f t="shared" si="43"/>
        <v>28.95439659201476</v>
      </c>
      <c r="W128">
        <f t="shared" si="44"/>
        <v>4.0111720639456951</v>
      </c>
      <c r="X128">
        <f t="shared" si="45"/>
        <v>67.721897793240871</v>
      </c>
      <c r="Y128">
        <f t="shared" si="46"/>
        <v>2.4419705920675998</v>
      </c>
      <c r="Z128">
        <f t="shared" si="47"/>
        <v>3.6058803306473877</v>
      </c>
      <c r="AA128">
        <f t="shared" si="48"/>
        <v>1.5692014718780953</v>
      </c>
      <c r="AB128">
        <f t="shared" si="49"/>
        <v>-45.319944139189261</v>
      </c>
      <c r="AC128">
        <f t="shared" si="50"/>
        <v>-209.50323271748914</v>
      </c>
      <c r="AD128">
        <f t="shared" si="51"/>
        <v>-21.487195941218481</v>
      </c>
      <c r="AE128">
        <f t="shared" si="52"/>
        <v>-0.19528444313209548</v>
      </c>
      <c r="AF128">
        <v>0</v>
      </c>
      <c r="AG128">
        <v>0</v>
      </c>
      <c r="AH128">
        <f t="shared" si="53"/>
        <v>1</v>
      </c>
      <c r="AI128">
        <f t="shared" si="54"/>
        <v>0</v>
      </c>
      <c r="AJ128">
        <f t="shared" si="55"/>
        <v>52163.693090003399</v>
      </c>
      <c r="AK128">
        <f t="shared" si="56"/>
        <v>1799.99</v>
      </c>
      <c r="AL128">
        <f t="shared" si="57"/>
        <v>1499.1041881971298</v>
      </c>
      <c r="AM128">
        <f t="shared" si="58"/>
        <v>0.8328402869999999</v>
      </c>
      <c r="AN128">
        <f t="shared" si="59"/>
        <v>0.15339812351999998</v>
      </c>
      <c r="AO128">
        <v>32.4</v>
      </c>
      <c r="AP128">
        <v>0.5</v>
      </c>
      <c r="AQ128" t="s">
        <v>331</v>
      </c>
      <c r="AR128">
        <v>2</v>
      </c>
      <c r="AS128">
        <v>1690233684.5999999</v>
      </c>
      <c r="AT128">
        <v>606.78700000000003</v>
      </c>
      <c r="AU128">
        <v>800.09</v>
      </c>
      <c r="AV128">
        <v>24.641200000000001</v>
      </c>
      <c r="AW128">
        <v>13.8222</v>
      </c>
      <c r="AX128">
        <v>606.99</v>
      </c>
      <c r="AY128">
        <v>24.469200000000001</v>
      </c>
      <c r="AZ128">
        <v>300.17399999999998</v>
      </c>
      <c r="BA128">
        <v>99.001099999999994</v>
      </c>
      <c r="BB128">
        <v>0.100023</v>
      </c>
      <c r="BC128">
        <v>27.1267</v>
      </c>
      <c r="BD128">
        <v>26.984200000000001</v>
      </c>
      <c r="BE128">
        <v>29.097000000000001</v>
      </c>
      <c r="BF128">
        <v>0</v>
      </c>
      <c r="BG128">
        <v>0</v>
      </c>
      <c r="BH128">
        <v>9967.5</v>
      </c>
      <c r="BI128">
        <v>1080.79</v>
      </c>
      <c r="BJ128">
        <v>1.4577199999999999</v>
      </c>
      <c r="BK128">
        <v>-193.304</v>
      </c>
      <c r="BL128">
        <v>622.11599999999999</v>
      </c>
      <c r="BM128">
        <v>811.30399999999997</v>
      </c>
      <c r="BN128">
        <v>10.819000000000001</v>
      </c>
      <c r="BO128">
        <v>800.09</v>
      </c>
      <c r="BP128">
        <v>13.8222</v>
      </c>
      <c r="BQ128">
        <v>2.4395099999999998</v>
      </c>
      <c r="BR128">
        <v>1.3684099999999999</v>
      </c>
      <c r="BS128">
        <v>20.628399999999999</v>
      </c>
      <c r="BT128">
        <v>11.572100000000001</v>
      </c>
      <c r="BU128">
        <v>1799.99</v>
      </c>
      <c r="BV128">
        <v>0.90998599999999996</v>
      </c>
      <c r="BW128">
        <v>3.3993900000000001E-2</v>
      </c>
      <c r="BX128">
        <v>2.20091E-2</v>
      </c>
      <c r="BY128">
        <v>3.4011199999999998E-2</v>
      </c>
      <c r="BZ128">
        <v>25</v>
      </c>
      <c r="CA128">
        <v>33528</v>
      </c>
      <c r="CB128">
        <v>1690232006</v>
      </c>
      <c r="CC128" t="s">
        <v>332</v>
      </c>
      <c r="CD128">
        <v>1690232006</v>
      </c>
      <c r="CE128">
        <v>1690231998.5</v>
      </c>
      <c r="CF128">
        <v>14</v>
      </c>
      <c r="CG128">
        <v>-0.13200000000000001</v>
      </c>
      <c r="CH128">
        <v>-7.0000000000000001E-3</v>
      </c>
      <c r="CI128">
        <v>-0.33800000000000002</v>
      </c>
      <c r="CJ128">
        <v>0.14299999999999999</v>
      </c>
      <c r="CK128">
        <v>799</v>
      </c>
      <c r="CL128">
        <v>19</v>
      </c>
      <c r="CM128">
        <v>7.0000000000000007E-2</v>
      </c>
      <c r="CN128">
        <v>0.14000000000000001</v>
      </c>
      <c r="CO128">
        <v>-190.29419999999999</v>
      </c>
      <c r="CP128">
        <v>-15.664367729830539</v>
      </c>
      <c r="CQ128">
        <v>1.5079022879483941</v>
      </c>
      <c r="CR128">
        <v>-1</v>
      </c>
      <c r="CS128">
        <v>10.6334775</v>
      </c>
      <c r="CT128">
        <v>1.0578157598498961</v>
      </c>
      <c r="CU128">
        <v>0.10218105129499309</v>
      </c>
      <c r="CV128">
        <v>-1</v>
      </c>
      <c r="CW128">
        <v>0</v>
      </c>
      <c r="CX128">
        <v>0</v>
      </c>
      <c r="CY128" t="s">
        <v>333</v>
      </c>
      <c r="CZ128">
        <v>2.3647399999999998</v>
      </c>
      <c r="DA128">
        <v>2.7137899999999999</v>
      </c>
      <c r="DB128">
        <v>0.12146700000000001</v>
      </c>
      <c r="DC128">
        <v>0.14623800000000001</v>
      </c>
      <c r="DD128">
        <v>0.116081</v>
      </c>
      <c r="DE128">
        <v>7.5511300000000003E-2</v>
      </c>
      <c r="DF128">
        <v>32106.3</v>
      </c>
      <c r="DG128">
        <v>27549.4</v>
      </c>
      <c r="DH128">
        <v>31197.599999999999</v>
      </c>
      <c r="DI128">
        <v>28116</v>
      </c>
      <c r="DJ128">
        <v>37438.9</v>
      </c>
      <c r="DK128">
        <v>36965.1</v>
      </c>
      <c r="DL128">
        <v>44402.5</v>
      </c>
      <c r="DM128">
        <v>42618.8</v>
      </c>
      <c r="DN128">
        <v>1.4819</v>
      </c>
      <c r="DO128">
        <v>2.0550799999999998</v>
      </c>
      <c r="DP128">
        <v>7.3872499999999994E-2</v>
      </c>
      <c r="DQ128">
        <v>0.21491199999999999</v>
      </c>
      <c r="DR128">
        <v>25.774899999999999</v>
      </c>
      <c r="DS128">
        <v>25.584299999999999</v>
      </c>
      <c r="DT128">
        <v>56.1</v>
      </c>
      <c r="DU128">
        <v>28.8</v>
      </c>
      <c r="DV128">
        <v>22.530200000000001</v>
      </c>
      <c r="DW128">
        <v>61.417999999999999</v>
      </c>
      <c r="DX128">
        <v>36.001600000000003</v>
      </c>
      <c r="DY128">
        <v>1</v>
      </c>
      <c r="DZ128">
        <v>-0.11674</v>
      </c>
      <c r="EA128">
        <v>-0.373336</v>
      </c>
      <c r="EB128">
        <v>20.189299999999999</v>
      </c>
      <c r="EC128">
        <v>5.2415500000000002</v>
      </c>
      <c r="ED128">
        <v>12.039899999999999</v>
      </c>
      <c r="EE128">
        <v>5.0171999999999999</v>
      </c>
      <c r="EF128">
        <v>3.2879999999999998</v>
      </c>
      <c r="EG128">
        <v>9999</v>
      </c>
      <c r="EH128">
        <v>9999</v>
      </c>
      <c r="EI128">
        <v>9999</v>
      </c>
      <c r="EJ128">
        <v>999.9</v>
      </c>
      <c r="EK128">
        <v>1.8689</v>
      </c>
      <c r="EL128">
        <v>1.8646100000000001</v>
      </c>
      <c r="EM128">
        <v>1.86917</v>
      </c>
      <c r="EN128">
        <v>1.8672200000000001</v>
      </c>
      <c r="EO128">
        <v>1.8633900000000001</v>
      </c>
      <c r="EP128">
        <v>1.8644700000000001</v>
      </c>
      <c r="EQ128">
        <v>1.8701399999999999</v>
      </c>
      <c r="ER128">
        <v>1.8693500000000001</v>
      </c>
      <c r="ES128">
        <v>0</v>
      </c>
      <c r="ET128">
        <v>0</v>
      </c>
      <c r="EU128">
        <v>0</v>
      </c>
      <c r="EV128">
        <v>0</v>
      </c>
      <c r="EW128" t="s">
        <v>334</v>
      </c>
      <c r="EX128" t="s">
        <v>335</v>
      </c>
      <c r="EY128" t="s">
        <v>336</v>
      </c>
      <c r="EZ128" t="s">
        <v>336</v>
      </c>
      <c r="FA128" t="s">
        <v>336</v>
      </c>
      <c r="FB128" t="s">
        <v>336</v>
      </c>
      <c r="FC128">
        <v>0</v>
      </c>
      <c r="FD128">
        <v>100</v>
      </c>
      <c r="FE128">
        <v>100</v>
      </c>
      <c r="FF128">
        <v>-0.20300000000000001</v>
      </c>
      <c r="FG128">
        <v>0.17199999999999999</v>
      </c>
      <c r="FH128">
        <v>0.2126736300064915</v>
      </c>
      <c r="FI128">
        <v>-6.1462078757559423E-4</v>
      </c>
      <c r="FJ128">
        <v>-1.8861989874597051E-7</v>
      </c>
      <c r="FK128">
        <v>1.1980462299894961E-10</v>
      </c>
      <c r="FL128">
        <v>0.1719881465068297</v>
      </c>
      <c r="FM128">
        <v>0</v>
      </c>
      <c r="FN128">
        <v>0</v>
      </c>
      <c r="FO128">
        <v>0</v>
      </c>
      <c r="FP128">
        <v>3</v>
      </c>
      <c r="FQ128">
        <v>2158</v>
      </c>
      <c r="FR128">
        <v>1</v>
      </c>
      <c r="FS128">
        <v>19</v>
      </c>
      <c r="FT128">
        <v>28</v>
      </c>
      <c r="FU128">
        <v>28.1</v>
      </c>
      <c r="FV128">
        <v>1.78345</v>
      </c>
      <c r="FW128">
        <v>2.5817899999999998</v>
      </c>
      <c r="FX128">
        <v>1.5490699999999999</v>
      </c>
      <c r="FY128">
        <v>2.3290999999999999</v>
      </c>
      <c r="FZ128">
        <v>1.50024</v>
      </c>
      <c r="GA128">
        <v>2.3950200000000001</v>
      </c>
      <c r="GB128">
        <v>33.558</v>
      </c>
      <c r="GC128">
        <v>23.991199999999999</v>
      </c>
      <c r="GD128">
        <v>19</v>
      </c>
      <c r="GE128">
        <v>284.077</v>
      </c>
      <c r="GF128">
        <v>595.44399999999996</v>
      </c>
      <c r="GG128">
        <v>25.4755</v>
      </c>
      <c r="GH128">
        <v>25.949400000000001</v>
      </c>
      <c r="GI128">
        <v>30</v>
      </c>
      <c r="GJ128">
        <v>26.0732</v>
      </c>
      <c r="GK128">
        <v>26.052399999999999</v>
      </c>
      <c r="GL128">
        <v>35.6616</v>
      </c>
      <c r="GM128">
        <v>45.248699999999999</v>
      </c>
      <c r="GN128">
        <v>91.654899999999998</v>
      </c>
      <c r="GO128">
        <v>25.479800000000001</v>
      </c>
      <c r="GP128">
        <v>800</v>
      </c>
      <c r="GQ128">
        <v>13.687900000000001</v>
      </c>
      <c r="GR128">
        <v>99.826099999999997</v>
      </c>
      <c r="GS128">
        <v>99.695899999999995</v>
      </c>
    </row>
    <row r="129" spans="1:201" x14ac:dyDescent="0.25">
      <c r="A129">
        <v>113</v>
      </c>
      <c r="B129">
        <v>1690233694.5999999</v>
      </c>
      <c r="C129">
        <v>1188.5</v>
      </c>
      <c r="D129" t="s">
        <v>557</v>
      </c>
      <c r="E129" t="s">
        <v>558</v>
      </c>
      <c r="F129" t="s">
        <v>330</v>
      </c>
      <c r="H129">
        <v>1690233694.5999999</v>
      </c>
      <c r="I129">
        <f t="shared" si="30"/>
        <v>1.0429120820979554E-3</v>
      </c>
      <c r="J129">
        <f t="shared" si="31"/>
        <v>1.0429120820979554</v>
      </c>
      <c r="K129">
        <f t="shared" si="32"/>
        <v>17.522559324090626</v>
      </c>
      <c r="L129">
        <f t="shared" si="33"/>
        <v>604.16399999999999</v>
      </c>
      <c r="M129">
        <f t="shared" si="34"/>
        <v>155.92719118336643</v>
      </c>
      <c r="N129">
        <f t="shared" si="35"/>
        <v>15.452964165270364</v>
      </c>
      <c r="O129">
        <f t="shared" si="36"/>
        <v>59.874897835922397</v>
      </c>
      <c r="P129">
        <f t="shared" si="37"/>
        <v>6.4886812084552659E-2</v>
      </c>
      <c r="Q129">
        <f t="shared" si="38"/>
        <v>2.1330610980617992</v>
      </c>
      <c r="R129">
        <f t="shared" si="39"/>
        <v>6.3809878690663749E-2</v>
      </c>
      <c r="S129">
        <f t="shared" si="40"/>
        <v>3.9976443511607382E-2</v>
      </c>
      <c r="T129">
        <f t="shared" si="41"/>
        <v>276.11655215400003</v>
      </c>
      <c r="U129">
        <f t="shared" si="42"/>
        <v>28.944847179018726</v>
      </c>
      <c r="V129">
        <f t="shared" si="43"/>
        <v>28.944847179018726</v>
      </c>
      <c r="W129">
        <f t="shared" si="44"/>
        <v>4.0089553498598507</v>
      </c>
      <c r="X129">
        <f t="shared" si="45"/>
        <v>67.716001259419329</v>
      </c>
      <c r="Y129">
        <f t="shared" si="46"/>
        <v>2.441915577024</v>
      </c>
      <c r="Z129">
        <f t="shared" si="47"/>
        <v>3.6061130775709063</v>
      </c>
      <c r="AA129">
        <f t="shared" si="48"/>
        <v>1.5670397728358507</v>
      </c>
      <c r="AB129">
        <f t="shared" si="49"/>
        <v>-45.992422820519835</v>
      </c>
      <c r="AC129">
        <f t="shared" si="50"/>
        <v>-208.95604635574014</v>
      </c>
      <c r="AD129">
        <f t="shared" si="51"/>
        <v>-21.361095179614047</v>
      </c>
      <c r="AE129">
        <f t="shared" si="52"/>
        <v>-0.19301220187398371</v>
      </c>
      <c r="AF129">
        <v>0</v>
      </c>
      <c r="AG129">
        <v>0</v>
      </c>
      <c r="AH129">
        <f t="shared" si="53"/>
        <v>1</v>
      </c>
      <c r="AI129">
        <f t="shared" si="54"/>
        <v>0</v>
      </c>
      <c r="AJ129">
        <f t="shared" si="55"/>
        <v>52459.563012667189</v>
      </c>
      <c r="AK129">
        <f t="shared" si="56"/>
        <v>1800</v>
      </c>
      <c r="AL129">
        <f t="shared" si="57"/>
        <v>1499.1132114000002</v>
      </c>
      <c r="AM129">
        <f t="shared" si="58"/>
        <v>0.83284067300000009</v>
      </c>
      <c r="AN129">
        <f t="shared" si="59"/>
        <v>0.15339808453000001</v>
      </c>
      <c r="AO129">
        <v>32.4</v>
      </c>
      <c r="AP129">
        <v>0.5</v>
      </c>
      <c r="AQ129" t="s">
        <v>331</v>
      </c>
      <c r="AR129">
        <v>2</v>
      </c>
      <c r="AS129">
        <v>1690233694.5999999</v>
      </c>
      <c r="AT129">
        <v>604.16399999999999</v>
      </c>
      <c r="AU129">
        <v>800.08199999999999</v>
      </c>
      <c r="AV129">
        <v>24.64</v>
      </c>
      <c r="AW129">
        <v>13.6614</v>
      </c>
      <c r="AX129">
        <v>604.36500000000001</v>
      </c>
      <c r="AY129">
        <v>24.468</v>
      </c>
      <c r="AZ129">
        <v>300.2</v>
      </c>
      <c r="BA129">
        <v>99.003799999999998</v>
      </c>
      <c r="BB129">
        <v>9.9916599999999994E-2</v>
      </c>
      <c r="BC129">
        <v>27.127800000000001</v>
      </c>
      <c r="BD129">
        <v>26.997</v>
      </c>
      <c r="BE129">
        <v>29.082100000000001</v>
      </c>
      <c r="BF129">
        <v>0</v>
      </c>
      <c r="BG129">
        <v>0</v>
      </c>
      <c r="BH129">
        <v>10026.200000000001</v>
      </c>
      <c r="BI129">
        <v>1080.92</v>
      </c>
      <c r="BJ129">
        <v>1.4577199999999999</v>
      </c>
      <c r="BK129">
        <v>-195.91800000000001</v>
      </c>
      <c r="BL129">
        <v>619.42700000000002</v>
      </c>
      <c r="BM129">
        <v>811.16399999999999</v>
      </c>
      <c r="BN129">
        <v>10.9786</v>
      </c>
      <c r="BO129">
        <v>800.08199999999999</v>
      </c>
      <c r="BP129">
        <v>13.6614</v>
      </c>
      <c r="BQ129">
        <v>2.43946</v>
      </c>
      <c r="BR129">
        <v>1.35253</v>
      </c>
      <c r="BS129">
        <v>20.6281</v>
      </c>
      <c r="BT129">
        <v>11.3956</v>
      </c>
      <c r="BU129">
        <v>1800</v>
      </c>
      <c r="BV129">
        <v>0.90998900000000005</v>
      </c>
      <c r="BW129">
        <v>3.39929E-2</v>
      </c>
      <c r="BX129">
        <v>2.2008400000000001E-2</v>
      </c>
      <c r="BY129">
        <v>3.4010100000000001E-2</v>
      </c>
      <c r="BZ129">
        <v>25</v>
      </c>
      <c r="CA129">
        <v>33528.400000000001</v>
      </c>
      <c r="CB129">
        <v>1690232006</v>
      </c>
      <c r="CC129" t="s">
        <v>332</v>
      </c>
      <c r="CD129">
        <v>1690232006</v>
      </c>
      <c r="CE129">
        <v>1690231998.5</v>
      </c>
      <c r="CF129">
        <v>14</v>
      </c>
      <c r="CG129">
        <v>-0.13200000000000001</v>
      </c>
      <c r="CH129">
        <v>-7.0000000000000001E-3</v>
      </c>
      <c r="CI129">
        <v>-0.33800000000000002</v>
      </c>
      <c r="CJ129">
        <v>0.14299999999999999</v>
      </c>
      <c r="CK129">
        <v>799</v>
      </c>
      <c r="CL129">
        <v>19</v>
      </c>
      <c r="CM129">
        <v>7.0000000000000007E-2</v>
      </c>
      <c r="CN129">
        <v>0.14000000000000001</v>
      </c>
      <c r="CO129">
        <v>-193.00931707317071</v>
      </c>
      <c r="CP129">
        <v>-15.915219512195341</v>
      </c>
      <c r="CQ129">
        <v>1.57077432263051</v>
      </c>
      <c r="CR129">
        <v>-1</v>
      </c>
      <c r="CS129">
        <v>10.805814634146341</v>
      </c>
      <c r="CT129">
        <v>0.98721951219512638</v>
      </c>
      <c r="CU129">
        <v>9.7766485256964714E-2</v>
      </c>
      <c r="CV129">
        <v>-1</v>
      </c>
      <c r="CW129">
        <v>0</v>
      </c>
      <c r="CX129">
        <v>0</v>
      </c>
      <c r="CY129" t="s">
        <v>333</v>
      </c>
      <c r="CZ129">
        <v>2.3648400000000001</v>
      </c>
      <c r="DA129">
        <v>2.71373</v>
      </c>
      <c r="DB129">
        <v>0.121101</v>
      </c>
      <c r="DC129">
        <v>0.14623800000000001</v>
      </c>
      <c r="DD129">
        <v>0.116081</v>
      </c>
      <c r="DE129">
        <v>7.4861800000000006E-2</v>
      </c>
      <c r="DF129">
        <v>32119.7</v>
      </c>
      <c r="DG129">
        <v>27549.9</v>
      </c>
      <c r="DH129">
        <v>31197.599999999999</v>
      </c>
      <c r="DI129">
        <v>28116.5</v>
      </c>
      <c r="DJ129">
        <v>37438.9</v>
      </c>
      <c r="DK129">
        <v>36991.800000000003</v>
      </c>
      <c r="DL129">
        <v>44402.5</v>
      </c>
      <c r="DM129">
        <v>42619.5</v>
      </c>
      <c r="DN129">
        <v>1.4814000000000001</v>
      </c>
      <c r="DO129">
        <v>2.0548000000000002</v>
      </c>
      <c r="DP129">
        <v>7.4654799999999993E-2</v>
      </c>
      <c r="DQ129">
        <v>0.21412999999999999</v>
      </c>
      <c r="DR129">
        <v>25.774899999999999</v>
      </c>
      <c r="DS129">
        <v>25.582100000000001</v>
      </c>
      <c r="DT129">
        <v>56</v>
      </c>
      <c r="DU129">
        <v>28.8</v>
      </c>
      <c r="DV129">
        <v>22.486899999999999</v>
      </c>
      <c r="DW129">
        <v>61.258000000000003</v>
      </c>
      <c r="DX129">
        <v>36.586500000000001</v>
      </c>
      <c r="DY129">
        <v>1</v>
      </c>
      <c r="DZ129">
        <v>-0.116982</v>
      </c>
      <c r="EA129">
        <v>-0.36796800000000002</v>
      </c>
      <c r="EB129">
        <v>20.189299999999999</v>
      </c>
      <c r="EC129">
        <v>5.2416999999999998</v>
      </c>
      <c r="ED129">
        <v>12.039899999999999</v>
      </c>
      <c r="EE129">
        <v>5.0172999999999996</v>
      </c>
      <c r="EF129">
        <v>3.2879999999999998</v>
      </c>
      <c r="EG129">
        <v>9999</v>
      </c>
      <c r="EH129">
        <v>9999</v>
      </c>
      <c r="EI129">
        <v>9999</v>
      </c>
      <c r="EJ129">
        <v>999.9</v>
      </c>
      <c r="EK129">
        <v>1.8689</v>
      </c>
      <c r="EL129">
        <v>1.8646199999999999</v>
      </c>
      <c r="EM129">
        <v>1.86917</v>
      </c>
      <c r="EN129">
        <v>1.8672200000000001</v>
      </c>
      <c r="EO129">
        <v>1.86338</v>
      </c>
      <c r="EP129">
        <v>1.8644700000000001</v>
      </c>
      <c r="EQ129">
        <v>1.8701399999999999</v>
      </c>
      <c r="ER129">
        <v>1.8693500000000001</v>
      </c>
      <c r="ES129">
        <v>0</v>
      </c>
      <c r="ET129">
        <v>0</v>
      </c>
      <c r="EU129">
        <v>0</v>
      </c>
      <c r="EV129">
        <v>0</v>
      </c>
      <c r="EW129" t="s">
        <v>334</v>
      </c>
      <c r="EX129" t="s">
        <v>335</v>
      </c>
      <c r="EY129" t="s">
        <v>336</v>
      </c>
      <c r="EZ129" t="s">
        <v>336</v>
      </c>
      <c r="FA129" t="s">
        <v>336</v>
      </c>
      <c r="FB129" t="s">
        <v>336</v>
      </c>
      <c r="FC129">
        <v>0</v>
      </c>
      <c r="FD129">
        <v>100</v>
      </c>
      <c r="FE129">
        <v>100</v>
      </c>
      <c r="FF129">
        <v>-0.20100000000000001</v>
      </c>
      <c r="FG129">
        <v>0.17199999999999999</v>
      </c>
      <c r="FH129">
        <v>0.2126736300064915</v>
      </c>
      <c r="FI129">
        <v>-6.1462078757559423E-4</v>
      </c>
      <c r="FJ129">
        <v>-1.8861989874597051E-7</v>
      </c>
      <c r="FK129">
        <v>1.1980462299894961E-10</v>
      </c>
      <c r="FL129">
        <v>0.1719881465068297</v>
      </c>
      <c r="FM129">
        <v>0</v>
      </c>
      <c r="FN129">
        <v>0</v>
      </c>
      <c r="FO129">
        <v>0</v>
      </c>
      <c r="FP129">
        <v>3</v>
      </c>
      <c r="FQ129">
        <v>2158</v>
      </c>
      <c r="FR129">
        <v>1</v>
      </c>
      <c r="FS129">
        <v>19</v>
      </c>
      <c r="FT129">
        <v>28.1</v>
      </c>
      <c r="FU129">
        <v>28.3</v>
      </c>
      <c r="FV129">
        <v>1.78345</v>
      </c>
      <c r="FW129">
        <v>2.5927699999999998</v>
      </c>
      <c r="FX129">
        <v>1.5490699999999999</v>
      </c>
      <c r="FY129">
        <v>2.3290999999999999</v>
      </c>
      <c r="FZ129">
        <v>1.50146</v>
      </c>
      <c r="GA129">
        <v>2.3144499999999999</v>
      </c>
      <c r="GB129">
        <v>33.558</v>
      </c>
      <c r="GC129">
        <v>23.982399999999998</v>
      </c>
      <c r="GD129">
        <v>19</v>
      </c>
      <c r="GE129">
        <v>283.85399999999998</v>
      </c>
      <c r="GF129">
        <v>595.21</v>
      </c>
      <c r="GG129">
        <v>25.4941</v>
      </c>
      <c r="GH129">
        <v>25.949400000000001</v>
      </c>
      <c r="GI129">
        <v>30</v>
      </c>
      <c r="GJ129">
        <v>26.071000000000002</v>
      </c>
      <c r="GK129">
        <v>26.052</v>
      </c>
      <c r="GL129">
        <v>35.653100000000002</v>
      </c>
      <c r="GM129">
        <v>45.841900000000003</v>
      </c>
      <c r="GN129">
        <v>90.884299999999996</v>
      </c>
      <c r="GO129">
        <v>25.4923</v>
      </c>
      <c r="GP129">
        <v>800</v>
      </c>
      <c r="GQ129">
        <v>13.527200000000001</v>
      </c>
      <c r="GR129">
        <v>99.8262</v>
      </c>
      <c r="GS129">
        <v>99.697599999999994</v>
      </c>
    </row>
    <row r="130" spans="1:201" x14ac:dyDescent="0.25">
      <c r="A130">
        <v>114</v>
      </c>
      <c r="B130">
        <v>1690233704.5999999</v>
      </c>
      <c r="C130">
        <v>1198.5</v>
      </c>
      <c r="D130" t="s">
        <v>559</v>
      </c>
      <c r="E130" t="s">
        <v>560</v>
      </c>
      <c r="F130" t="s">
        <v>330</v>
      </c>
      <c r="H130">
        <v>1690233704.5999999</v>
      </c>
      <c r="I130">
        <f t="shared" si="30"/>
        <v>1.0581309687191654E-3</v>
      </c>
      <c r="J130">
        <f t="shared" si="31"/>
        <v>1.0581309687191653</v>
      </c>
      <c r="K130">
        <f t="shared" si="32"/>
        <v>17.751402177348357</v>
      </c>
      <c r="L130">
        <f t="shared" si="33"/>
        <v>601.56299999999999</v>
      </c>
      <c r="M130">
        <f t="shared" si="34"/>
        <v>153.79556274376819</v>
      </c>
      <c r="N130">
        <f t="shared" si="35"/>
        <v>15.241316979009019</v>
      </c>
      <c r="O130">
        <f t="shared" si="36"/>
        <v>59.615584495886992</v>
      </c>
      <c r="P130">
        <f t="shared" si="37"/>
        <v>6.5812293137906513E-2</v>
      </c>
      <c r="Q130">
        <f t="shared" si="38"/>
        <v>2.1270621070484506</v>
      </c>
      <c r="R130">
        <f t="shared" si="39"/>
        <v>6.4701635782521943E-2</v>
      </c>
      <c r="S130">
        <f t="shared" si="40"/>
        <v>4.0536749238477436E-2</v>
      </c>
      <c r="T130">
        <f t="shared" si="41"/>
        <v>276.11645299199995</v>
      </c>
      <c r="U130">
        <f t="shared" si="42"/>
        <v>28.947679630519183</v>
      </c>
      <c r="V130">
        <f t="shared" si="43"/>
        <v>28.947679630519183</v>
      </c>
      <c r="W130">
        <f t="shared" si="44"/>
        <v>4.009612737989495</v>
      </c>
      <c r="X130">
        <f t="shared" si="45"/>
        <v>67.695121747460092</v>
      </c>
      <c r="Y130">
        <f t="shared" si="46"/>
        <v>2.4416640191768999</v>
      </c>
      <c r="Z130">
        <f t="shared" si="47"/>
        <v>3.6068537232057061</v>
      </c>
      <c r="AA130">
        <f t="shared" si="48"/>
        <v>1.5679487188125951</v>
      </c>
      <c r="AB130">
        <f t="shared" si="49"/>
        <v>-46.663575720515198</v>
      </c>
      <c r="AC130">
        <f t="shared" si="50"/>
        <v>-208.29183073996899</v>
      </c>
      <c r="AD130">
        <f t="shared" si="51"/>
        <v>-21.353921145078317</v>
      </c>
      <c r="AE130">
        <f t="shared" si="52"/>
        <v>-0.19287461356253743</v>
      </c>
      <c r="AF130">
        <v>0</v>
      </c>
      <c r="AG130">
        <v>0</v>
      </c>
      <c r="AH130">
        <f t="shared" si="53"/>
        <v>1</v>
      </c>
      <c r="AI130">
        <f t="shared" si="54"/>
        <v>0</v>
      </c>
      <c r="AJ130">
        <f t="shared" si="55"/>
        <v>52200.565734466043</v>
      </c>
      <c r="AK130">
        <f t="shared" si="56"/>
        <v>1800</v>
      </c>
      <c r="AL130">
        <f t="shared" si="57"/>
        <v>1499.1137801999998</v>
      </c>
      <c r="AM130">
        <f t="shared" si="58"/>
        <v>0.83284098899999992</v>
      </c>
      <c r="AN130">
        <f t="shared" si="59"/>
        <v>0.15339802943999997</v>
      </c>
      <c r="AO130">
        <v>32.4</v>
      </c>
      <c r="AP130">
        <v>0.5</v>
      </c>
      <c r="AQ130" t="s">
        <v>331</v>
      </c>
      <c r="AR130">
        <v>2</v>
      </c>
      <c r="AS130">
        <v>1690233704.5999999</v>
      </c>
      <c r="AT130">
        <v>601.56299999999999</v>
      </c>
      <c r="AU130">
        <v>800.02700000000004</v>
      </c>
      <c r="AV130">
        <v>24.638100000000001</v>
      </c>
      <c r="AW130">
        <v>13.498900000000001</v>
      </c>
      <c r="AX130">
        <v>601.76199999999994</v>
      </c>
      <c r="AY130">
        <v>24.466200000000001</v>
      </c>
      <c r="AZ130">
        <v>300.19</v>
      </c>
      <c r="BA130">
        <v>99.001099999999994</v>
      </c>
      <c r="BB130">
        <v>0.100049</v>
      </c>
      <c r="BC130">
        <v>27.1313</v>
      </c>
      <c r="BD130">
        <v>26.997</v>
      </c>
      <c r="BE130">
        <v>29.0961</v>
      </c>
      <c r="BF130">
        <v>0</v>
      </c>
      <c r="BG130">
        <v>0</v>
      </c>
      <c r="BH130">
        <v>9975</v>
      </c>
      <c r="BI130">
        <v>1080.8800000000001</v>
      </c>
      <c r="BJ130">
        <v>1.4577199999999999</v>
      </c>
      <c r="BK130">
        <v>-198.465</v>
      </c>
      <c r="BL130">
        <v>616.75900000000001</v>
      </c>
      <c r="BM130">
        <v>810.97500000000002</v>
      </c>
      <c r="BN130">
        <v>11.1393</v>
      </c>
      <c r="BO130">
        <v>800.02700000000004</v>
      </c>
      <c r="BP130">
        <v>13.498900000000001</v>
      </c>
      <c r="BQ130">
        <v>2.4392</v>
      </c>
      <c r="BR130">
        <v>1.3364</v>
      </c>
      <c r="BS130">
        <v>20.6264</v>
      </c>
      <c r="BT130">
        <v>11.214600000000001</v>
      </c>
      <c r="BU130">
        <v>1800</v>
      </c>
      <c r="BV130">
        <v>0.90999200000000002</v>
      </c>
      <c r="BW130">
        <v>3.3991800000000003E-2</v>
      </c>
      <c r="BX130">
        <v>2.2007700000000002E-2</v>
      </c>
      <c r="BY130">
        <v>3.4008999999999998E-2</v>
      </c>
      <c r="BZ130">
        <v>25</v>
      </c>
      <c r="CA130">
        <v>33528.300000000003</v>
      </c>
      <c r="CB130">
        <v>1690232006</v>
      </c>
      <c r="CC130" t="s">
        <v>332</v>
      </c>
      <c r="CD130">
        <v>1690232006</v>
      </c>
      <c r="CE130">
        <v>1690231998.5</v>
      </c>
      <c r="CF130">
        <v>14</v>
      </c>
      <c r="CG130">
        <v>-0.13200000000000001</v>
      </c>
      <c r="CH130">
        <v>-7.0000000000000001E-3</v>
      </c>
      <c r="CI130">
        <v>-0.33800000000000002</v>
      </c>
      <c r="CJ130">
        <v>0.14299999999999999</v>
      </c>
      <c r="CK130">
        <v>799</v>
      </c>
      <c r="CL130">
        <v>19</v>
      </c>
      <c r="CM130">
        <v>7.0000000000000007E-2</v>
      </c>
      <c r="CN130">
        <v>0.14000000000000001</v>
      </c>
      <c r="CO130">
        <v>-195.64124390243899</v>
      </c>
      <c r="CP130">
        <v>-15.57395121951261</v>
      </c>
      <c r="CQ130">
        <v>1.536392572109599</v>
      </c>
      <c r="CR130">
        <v>-1</v>
      </c>
      <c r="CS130">
        <v>10.967102439024391</v>
      </c>
      <c r="CT130">
        <v>1.006670383275277</v>
      </c>
      <c r="CU130">
        <v>9.9667291617869178E-2</v>
      </c>
      <c r="CV130">
        <v>-1</v>
      </c>
      <c r="CW130">
        <v>0</v>
      </c>
      <c r="CX130">
        <v>0</v>
      </c>
      <c r="CY130" t="s">
        <v>333</v>
      </c>
      <c r="CZ130">
        <v>2.3648199999999999</v>
      </c>
      <c r="DA130">
        <v>2.7138200000000001</v>
      </c>
      <c r="DB130">
        <v>0.12073</v>
      </c>
      <c r="DC130">
        <v>0.14622499999999999</v>
      </c>
      <c r="DD130">
        <v>0.11607099999999999</v>
      </c>
      <c r="DE130">
        <v>7.4198799999999995E-2</v>
      </c>
      <c r="DF130">
        <v>32132.9</v>
      </c>
      <c r="DG130">
        <v>27549.8</v>
      </c>
      <c r="DH130">
        <v>31197.3</v>
      </c>
      <c r="DI130">
        <v>28116</v>
      </c>
      <c r="DJ130">
        <v>37438.800000000003</v>
      </c>
      <c r="DK130">
        <v>37018</v>
      </c>
      <c r="DL130">
        <v>44402.1</v>
      </c>
      <c r="DM130">
        <v>42619.1</v>
      </c>
      <c r="DN130">
        <v>1.4824200000000001</v>
      </c>
      <c r="DO130">
        <v>2.05443</v>
      </c>
      <c r="DP130">
        <v>7.4654799999999993E-2</v>
      </c>
      <c r="DQ130">
        <v>0.21498700000000001</v>
      </c>
      <c r="DR130">
        <v>25.774899999999999</v>
      </c>
      <c r="DS130">
        <v>25.582100000000001</v>
      </c>
      <c r="DT130">
        <v>56</v>
      </c>
      <c r="DU130">
        <v>28.8</v>
      </c>
      <c r="DV130">
        <v>22.4878</v>
      </c>
      <c r="DW130">
        <v>61.607999999999997</v>
      </c>
      <c r="DX130">
        <v>36.486400000000003</v>
      </c>
      <c r="DY130">
        <v>1</v>
      </c>
      <c r="DZ130">
        <v>-0.116911</v>
      </c>
      <c r="EA130">
        <v>-0.37804199999999999</v>
      </c>
      <c r="EB130">
        <v>20.1892</v>
      </c>
      <c r="EC130">
        <v>5.2418500000000003</v>
      </c>
      <c r="ED130">
        <v>12.039899999999999</v>
      </c>
      <c r="EE130">
        <v>5.01755</v>
      </c>
      <c r="EF130">
        <v>3.2879999999999998</v>
      </c>
      <c r="EG130">
        <v>9999</v>
      </c>
      <c r="EH130">
        <v>9999</v>
      </c>
      <c r="EI130">
        <v>9999</v>
      </c>
      <c r="EJ130">
        <v>999.9</v>
      </c>
      <c r="EK130">
        <v>1.8689</v>
      </c>
      <c r="EL130">
        <v>1.8646199999999999</v>
      </c>
      <c r="EM130">
        <v>1.8691800000000001</v>
      </c>
      <c r="EN130">
        <v>1.8672200000000001</v>
      </c>
      <c r="EO130">
        <v>1.86338</v>
      </c>
      <c r="EP130">
        <v>1.8644700000000001</v>
      </c>
      <c r="EQ130">
        <v>1.87016</v>
      </c>
      <c r="ER130">
        <v>1.8693500000000001</v>
      </c>
      <c r="ES130">
        <v>0</v>
      </c>
      <c r="ET130">
        <v>0</v>
      </c>
      <c r="EU130">
        <v>0</v>
      </c>
      <c r="EV130">
        <v>0</v>
      </c>
      <c r="EW130" t="s">
        <v>334</v>
      </c>
      <c r="EX130" t="s">
        <v>335</v>
      </c>
      <c r="EY130" t="s">
        <v>336</v>
      </c>
      <c r="EZ130" t="s">
        <v>336</v>
      </c>
      <c r="FA130" t="s">
        <v>336</v>
      </c>
      <c r="FB130" t="s">
        <v>336</v>
      </c>
      <c r="FC130">
        <v>0</v>
      </c>
      <c r="FD130">
        <v>100</v>
      </c>
      <c r="FE130">
        <v>100</v>
      </c>
      <c r="FF130">
        <v>-0.19900000000000001</v>
      </c>
      <c r="FG130">
        <v>0.1719</v>
      </c>
      <c r="FH130">
        <v>0.2126736300064915</v>
      </c>
      <c r="FI130">
        <v>-6.1462078757559423E-4</v>
      </c>
      <c r="FJ130">
        <v>-1.8861989874597051E-7</v>
      </c>
      <c r="FK130">
        <v>1.1980462299894961E-10</v>
      </c>
      <c r="FL130">
        <v>0.1719881465068297</v>
      </c>
      <c r="FM130">
        <v>0</v>
      </c>
      <c r="FN130">
        <v>0</v>
      </c>
      <c r="FO130">
        <v>0</v>
      </c>
      <c r="FP130">
        <v>3</v>
      </c>
      <c r="FQ130">
        <v>2158</v>
      </c>
      <c r="FR130">
        <v>1</v>
      </c>
      <c r="FS130">
        <v>19</v>
      </c>
      <c r="FT130">
        <v>28.3</v>
      </c>
      <c r="FU130">
        <v>28.4</v>
      </c>
      <c r="FV130">
        <v>1.78345</v>
      </c>
      <c r="FW130">
        <v>2.5854499999999998</v>
      </c>
      <c r="FX130">
        <v>1.5490699999999999</v>
      </c>
      <c r="FY130">
        <v>2.3303199999999999</v>
      </c>
      <c r="FZ130">
        <v>1.50146</v>
      </c>
      <c r="GA130">
        <v>2.4133300000000002</v>
      </c>
      <c r="GB130">
        <v>33.558</v>
      </c>
      <c r="GC130">
        <v>23.991199999999999</v>
      </c>
      <c r="GD130">
        <v>19</v>
      </c>
      <c r="GE130">
        <v>284.291</v>
      </c>
      <c r="GF130">
        <v>594.875</v>
      </c>
      <c r="GG130">
        <v>25.499199999999998</v>
      </c>
      <c r="GH130">
        <v>25.947199999999999</v>
      </c>
      <c r="GI130">
        <v>30</v>
      </c>
      <c r="GJ130">
        <v>26.071000000000002</v>
      </c>
      <c r="GK130">
        <v>26.0502</v>
      </c>
      <c r="GL130">
        <v>35.6494</v>
      </c>
      <c r="GM130">
        <v>46.444499999999998</v>
      </c>
      <c r="GN130">
        <v>90.4923</v>
      </c>
      <c r="GO130">
        <v>25.5031</v>
      </c>
      <c r="GP130">
        <v>800</v>
      </c>
      <c r="GQ130">
        <v>13.3649</v>
      </c>
      <c r="GR130">
        <v>99.825100000000006</v>
      </c>
      <c r="GS130">
        <v>99.696200000000005</v>
      </c>
    </row>
    <row r="131" spans="1:201" x14ac:dyDescent="0.25">
      <c r="A131">
        <v>115</v>
      </c>
      <c r="B131">
        <v>1690233714.5999999</v>
      </c>
      <c r="C131">
        <v>1208.5</v>
      </c>
      <c r="D131" t="s">
        <v>561</v>
      </c>
      <c r="E131" t="s">
        <v>562</v>
      </c>
      <c r="F131" t="s">
        <v>330</v>
      </c>
      <c r="H131">
        <v>1690233714.5999999</v>
      </c>
      <c r="I131">
        <f t="shared" si="30"/>
        <v>1.073394052083895E-3</v>
      </c>
      <c r="J131">
        <f t="shared" si="31"/>
        <v>1.0733940520838949</v>
      </c>
      <c r="K131">
        <f t="shared" si="32"/>
        <v>17.986613833955257</v>
      </c>
      <c r="L131">
        <f t="shared" si="33"/>
        <v>599.04200000000003</v>
      </c>
      <c r="M131">
        <f t="shared" si="34"/>
        <v>151.99181911029655</v>
      </c>
      <c r="N131">
        <f t="shared" si="35"/>
        <v>15.062512235212047</v>
      </c>
      <c r="O131">
        <f t="shared" si="36"/>
        <v>59.365546824978004</v>
      </c>
      <c r="P131">
        <f t="shared" si="37"/>
        <v>6.6797513823025734E-2</v>
      </c>
      <c r="Q131">
        <f t="shared" si="38"/>
        <v>2.1304185716481534</v>
      </c>
      <c r="R131">
        <f t="shared" si="39"/>
        <v>6.5655434565785417E-2</v>
      </c>
      <c r="S131">
        <f t="shared" si="40"/>
        <v>4.1135631383774782E-2</v>
      </c>
      <c r="T131">
        <f t="shared" si="41"/>
        <v>276.11622791999997</v>
      </c>
      <c r="U131">
        <f t="shared" si="42"/>
        <v>28.944351291936179</v>
      </c>
      <c r="V131">
        <f t="shared" si="43"/>
        <v>28.944351291936179</v>
      </c>
      <c r="W131">
        <f t="shared" si="44"/>
        <v>4.0088402683138886</v>
      </c>
      <c r="X131">
        <f t="shared" si="45"/>
        <v>67.668929979848642</v>
      </c>
      <c r="Y131">
        <f t="shared" si="46"/>
        <v>2.4413781599577002</v>
      </c>
      <c r="Z131">
        <f t="shared" si="47"/>
        <v>3.6078273451120428</v>
      </c>
      <c r="AA131">
        <f t="shared" si="48"/>
        <v>1.5674621083561884</v>
      </c>
      <c r="AB131">
        <f t="shared" si="49"/>
        <v>-47.33667769689977</v>
      </c>
      <c r="AC131">
        <f t="shared" si="50"/>
        <v>-207.7099010629374</v>
      </c>
      <c r="AD131">
        <f t="shared" si="51"/>
        <v>-21.260846171995908</v>
      </c>
      <c r="AE131">
        <f t="shared" si="52"/>
        <v>-0.19119701183311122</v>
      </c>
      <c r="AF131">
        <v>0</v>
      </c>
      <c r="AG131">
        <v>0</v>
      </c>
      <c r="AH131">
        <f t="shared" si="53"/>
        <v>1</v>
      </c>
      <c r="AI131">
        <f t="shared" si="54"/>
        <v>0</v>
      </c>
      <c r="AJ131">
        <f t="shared" si="55"/>
        <v>52344.189223968147</v>
      </c>
      <c r="AK131">
        <f t="shared" si="56"/>
        <v>1800</v>
      </c>
      <c r="AL131">
        <f t="shared" si="57"/>
        <v>1499.1128190000002</v>
      </c>
      <c r="AM131">
        <f t="shared" si="58"/>
        <v>0.83284045500000004</v>
      </c>
      <c r="AN131">
        <f t="shared" si="59"/>
        <v>0.15339790439999998</v>
      </c>
      <c r="AO131">
        <v>32.4</v>
      </c>
      <c r="AP131">
        <v>0.5</v>
      </c>
      <c r="AQ131" t="s">
        <v>331</v>
      </c>
      <c r="AR131">
        <v>2</v>
      </c>
      <c r="AS131">
        <v>1690233714.5999999</v>
      </c>
      <c r="AT131">
        <v>599.04200000000003</v>
      </c>
      <c r="AU131">
        <v>800.06100000000004</v>
      </c>
      <c r="AV131">
        <v>24.635300000000001</v>
      </c>
      <c r="AW131">
        <v>13.3384</v>
      </c>
      <c r="AX131">
        <v>599.24</v>
      </c>
      <c r="AY131">
        <v>24.4633</v>
      </c>
      <c r="AZ131">
        <v>300.27</v>
      </c>
      <c r="BA131">
        <v>99.000799999999998</v>
      </c>
      <c r="BB131">
        <v>0.100009</v>
      </c>
      <c r="BC131">
        <v>27.135899999999999</v>
      </c>
      <c r="BD131">
        <v>26.989699999999999</v>
      </c>
      <c r="BE131">
        <v>29.083100000000002</v>
      </c>
      <c r="BF131">
        <v>0</v>
      </c>
      <c r="BG131">
        <v>0</v>
      </c>
      <c r="BH131">
        <v>10003.799999999999</v>
      </c>
      <c r="BI131">
        <v>1080.96</v>
      </c>
      <c r="BJ131">
        <v>1.4577199999999999</v>
      </c>
      <c r="BK131">
        <v>-201.01900000000001</v>
      </c>
      <c r="BL131">
        <v>614.17200000000003</v>
      </c>
      <c r="BM131">
        <v>810.87699999999995</v>
      </c>
      <c r="BN131">
        <v>11.296900000000001</v>
      </c>
      <c r="BO131">
        <v>800.06100000000004</v>
      </c>
      <c r="BP131">
        <v>13.3384</v>
      </c>
      <c r="BQ131">
        <v>2.43892</v>
      </c>
      <c r="BR131">
        <v>1.3205100000000001</v>
      </c>
      <c r="BS131">
        <v>20.624500000000001</v>
      </c>
      <c r="BT131">
        <v>11.0344</v>
      </c>
      <c r="BU131">
        <v>1800</v>
      </c>
      <c r="BV131">
        <v>0.90999200000000002</v>
      </c>
      <c r="BW131">
        <v>3.3991500000000001E-2</v>
      </c>
      <c r="BX131">
        <v>2.2007499999999999E-2</v>
      </c>
      <c r="BY131">
        <v>3.4008799999999999E-2</v>
      </c>
      <c r="BZ131">
        <v>25</v>
      </c>
      <c r="CA131">
        <v>33528.199999999997</v>
      </c>
      <c r="CB131">
        <v>1690232006</v>
      </c>
      <c r="CC131" t="s">
        <v>332</v>
      </c>
      <c r="CD131">
        <v>1690232006</v>
      </c>
      <c r="CE131">
        <v>1690231998.5</v>
      </c>
      <c r="CF131">
        <v>14</v>
      </c>
      <c r="CG131">
        <v>-0.13200000000000001</v>
      </c>
      <c r="CH131">
        <v>-7.0000000000000001E-3</v>
      </c>
      <c r="CI131">
        <v>-0.33800000000000002</v>
      </c>
      <c r="CJ131">
        <v>0.14299999999999999</v>
      </c>
      <c r="CK131">
        <v>799</v>
      </c>
      <c r="CL131">
        <v>19</v>
      </c>
      <c r="CM131">
        <v>7.0000000000000007E-2</v>
      </c>
      <c r="CN131">
        <v>0.14000000000000001</v>
      </c>
      <c r="CO131">
        <v>-198.16954999999999</v>
      </c>
      <c r="CP131">
        <v>-15.53788367729805</v>
      </c>
      <c r="CQ131">
        <v>1.4951214992434569</v>
      </c>
      <c r="CR131">
        <v>-1</v>
      </c>
      <c r="CS131">
        <v>11.126877500000001</v>
      </c>
      <c r="CT131">
        <v>1.012290056285164</v>
      </c>
      <c r="CU131">
        <v>9.7923034796466552E-2</v>
      </c>
      <c r="CV131">
        <v>-1</v>
      </c>
      <c r="CW131">
        <v>0</v>
      </c>
      <c r="CX131">
        <v>0</v>
      </c>
      <c r="CY131" t="s">
        <v>333</v>
      </c>
      <c r="CZ131">
        <v>2.3650699999999998</v>
      </c>
      <c r="DA131">
        <v>2.7138</v>
      </c>
      <c r="DB131">
        <v>0.12037399999999999</v>
      </c>
      <c r="DC131">
        <v>0.14622599999999999</v>
      </c>
      <c r="DD131">
        <v>0.116062</v>
      </c>
      <c r="DE131">
        <v>7.35426E-2</v>
      </c>
      <c r="DF131">
        <v>32146</v>
      </c>
      <c r="DG131">
        <v>27550.3</v>
      </c>
      <c r="DH131">
        <v>31197.4</v>
      </c>
      <c r="DI131">
        <v>28116.5</v>
      </c>
      <c r="DJ131">
        <v>37439.4</v>
      </c>
      <c r="DK131">
        <v>37044.9</v>
      </c>
      <c r="DL131">
        <v>44402.3</v>
      </c>
      <c r="DM131">
        <v>42619.9</v>
      </c>
      <c r="DN131">
        <v>1.4824999999999999</v>
      </c>
      <c r="DO131">
        <v>2.0542799999999999</v>
      </c>
      <c r="DP131">
        <v>7.4207800000000004E-2</v>
      </c>
      <c r="DQ131">
        <v>0.214055</v>
      </c>
      <c r="DR131">
        <v>25.774899999999999</v>
      </c>
      <c r="DS131">
        <v>25.584299999999999</v>
      </c>
      <c r="DT131">
        <v>55.9</v>
      </c>
      <c r="DU131">
        <v>28.8</v>
      </c>
      <c r="DV131">
        <v>22.445699999999999</v>
      </c>
      <c r="DW131">
        <v>61.387999999999998</v>
      </c>
      <c r="DX131">
        <v>35.993600000000001</v>
      </c>
      <c r="DY131">
        <v>1</v>
      </c>
      <c r="DZ131">
        <v>-0.116951</v>
      </c>
      <c r="EA131">
        <v>-0.37918800000000003</v>
      </c>
      <c r="EB131">
        <v>20.189299999999999</v>
      </c>
      <c r="EC131">
        <v>5.2413999999999996</v>
      </c>
      <c r="ED131">
        <v>12.039899999999999</v>
      </c>
      <c r="EE131">
        <v>5.0172999999999996</v>
      </c>
      <c r="EF131">
        <v>3.2879999999999998</v>
      </c>
      <c r="EG131">
        <v>9999</v>
      </c>
      <c r="EH131">
        <v>9999</v>
      </c>
      <c r="EI131">
        <v>9999</v>
      </c>
      <c r="EJ131">
        <v>999.9</v>
      </c>
      <c r="EK131">
        <v>1.8689</v>
      </c>
      <c r="EL131">
        <v>1.8646199999999999</v>
      </c>
      <c r="EM131">
        <v>1.8691899999999999</v>
      </c>
      <c r="EN131">
        <v>1.8672200000000001</v>
      </c>
      <c r="EO131">
        <v>1.8633599999999999</v>
      </c>
      <c r="EP131">
        <v>1.8644700000000001</v>
      </c>
      <c r="EQ131">
        <v>1.8701300000000001</v>
      </c>
      <c r="ER131">
        <v>1.8693500000000001</v>
      </c>
      <c r="ES131">
        <v>0</v>
      </c>
      <c r="ET131">
        <v>0</v>
      </c>
      <c r="EU131">
        <v>0</v>
      </c>
      <c r="EV131">
        <v>0</v>
      </c>
      <c r="EW131" t="s">
        <v>334</v>
      </c>
      <c r="EX131" t="s">
        <v>335</v>
      </c>
      <c r="EY131" t="s">
        <v>336</v>
      </c>
      <c r="EZ131" t="s">
        <v>336</v>
      </c>
      <c r="FA131" t="s">
        <v>336</v>
      </c>
      <c r="FB131" t="s">
        <v>336</v>
      </c>
      <c r="FC131">
        <v>0</v>
      </c>
      <c r="FD131">
        <v>100</v>
      </c>
      <c r="FE131">
        <v>100</v>
      </c>
      <c r="FF131">
        <v>-0.19800000000000001</v>
      </c>
      <c r="FG131">
        <v>0.17199999999999999</v>
      </c>
      <c r="FH131">
        <v>0.2126736300064915</v>
      </c>
      <c r="FI131">
        <v>-6.1462078757559423E-4</v>
      </c>
      <c r="FJ131">
        <v>-1.8861989874597051E-7</v>
      </c>
      <c r="FK131">
        <v>1.1980462299894961E-10</v>
      </c>
      <c r="FL131">
        <v>0.1719881465068297</v>
      </c>
      <c r="FM131">
        <v>0</v>
      </c>
      <c r="FN131">
        <v>0</v>
      </c>
      <c r="FO131">
        <v>0</v>
      </c>
      <c r="FP131">
        <v>3</v>
      </c>
      <c r="FQ131">
        <v>2158</v>
      </c>
      <c r="FR131">
        <v>1</v>
      </c>
      <c r="FS131">
        <v>19</v>
      </c>
      <c r="FT131">
        <v>28.5</v>
      </c>
      <c r="FU131">
        <v>28.6</v>
      </c>
      <c r="FV131">
        <v>1.78223</v>
      </c>
      <c r="FW131">
        <v>2.5915499999999998</v>
      </c>
      <c r="FX131">
        <v>1.5490699999999999</v>
      </c>
      <c r="FY131">
        <v>2.3290999999999999</v>
      </c>
      <c r="FZ131">
        <v>1.50146</v>
      </c>
      <c r="GA131">
        <v>2.2875999999999999</v>
      </c>
      <c r="GB131">
        <v>33.558</v>
      </c>
      <c r="GC131">
        <v>23.982399999999998</v>
      </c>
      <c r="GD131">
        <v>19</v>
      </c>
      <c r="GE131">
        <v>284.31299999999999</v>
      </c>
      <c r="GF131">
        <v>594.73199999999997</v>
      </c>
      <c r="GG131">
        <v>25.511500000000002</v>
      </c>
      <c r="GH131">
        <v>25.947199999999999</v>
      </c>
      <c r="GI131">
        <v>30.0001</v>
      </c>
      <c r="GJ131">
        <v>26.0688</v>
      </c>
      <c r="GK131">
        <v>26.0487</v>
      </c>
      <c r="GL131">
        <v>35.639499999999998</v>
      </c>
      <c r="GM131">
        <v>46.715299999999999</v>
      </c>
      <c r="GN131">
        <v>90.111599999999996</v>
      </c>
      <c r="GO131">
        <v>25.513200000000001</v>
      </c>
      <c r="GP131">
        <v>800</v>
      </c>
      <c r="GQ131">
        <v>13.204800000000001</v>
      </c>
      <c r="GR131">
        <v>99.825500000000005</v>
      </c>
      <c r="GS131">
        <v>99.698099999999997</v>
      </c>
    </row>
    <row r="132" spans="1:201" x14ac:dyDescent="0.25">
      <c r="A132">
        <v>116</v>
      </c>
      <c r="B132">
        <v>1690233724.5999999</v>
      </c>
      <c r="C132">
        <v>1218.5</v>
      </c>
      <c r="D132" t="s">
        <v>563</v>
      </c>
      <c r="E132" t="s">
        <v>564</v>
      </c>
      <c r="F132" t="s">
        <v>330</v>
      </c>
      <c r="H132">
        <v>1690233724.5999999</v>
      </c>
      <c r="I132">
        <f t="shared" si="30"/>
        <v>1.0913882369621057E-3</v>
      </c>
      <c r="J132">
        <f t="shared" si="31"/>
        <v>1.0913882369621057</v>
      </c>
      <c r="K132">
        <f t="shared" si="32"/>
        <v>18.217756907127445</v>
      </c>
      <c r="L132">
        <f t="shared" si="33"/>
        <v>596.51900000000001</v>
      </c>
      <c r="M132">
        <f t="shared" si="34"/>
        <v>151.77270286410547</v>
      </c>
      <c r="N132">
        <f t="shared" si="35"/>
        <v>15.041248706422381</v>
      </c>
      <c r="O132">
        <f t="shared" si="36"/>
        <v>59.117288338339002</v>
      </c>
      <c r="P132">
        <f t="shared" si="37"/>
        <v>6.8025382039227464E-2</v>
      </c>
      <c r="Q132">
        <f t="shared" si="38"/>
        <v>2.1296461887705558</v>
      </c>
      <c r="R132">
        <f t="shared" si="39"/>
        <v>6.6840909393375517E-2</v>
      </c>
      <c r="S132">
        <f t="shared" si="40"/>
        <v>4.1880270635726635E-2</v>
      </c>
      <c r="T132">
        <f t="shared" si="41"/>
        <v>276.116071428</v>
      </c>
      <c r="U132">
        <f t="shared" si="42"/>
        <v>28.935775485240452</v>
      </c>
      <c r="V132">
        <f t="shared" si="43"/>
        <v>28.935775485240452</v>
      </c>
      <c r="W132">
        <f t="shared" si="44"/>
        <v>4.0068505186638239</v>
      </c>
      <c r="X132">
        <f t="shared" si="45"/>
        <v>67.678628442426685</v>
      </c>
      <c r="Y132">
        <f t="shared" si="46"/>
        <v>2.4413126307758999</v>
      </c>
      <c r="Z132">
        <f t="shared" si="47"/>
        <v>3.6072135132772258</v>
      </c>
      <c r="AA132">
        <f t="shared" si="48"/>
        <v>1.565537887887924</v>
      </c>
      <c r="AB132">
        <f t="shared" si="49"/>
        <v>-48.13022125002886</v>
      </c>
      <c r="AC132">
        <f t="shared" si="50"/>
        <v>-206.98293672613235</v>
      </c>
      <c r="AD132">
        <f t="shared" si="51"/>
        <v>-21.192906149914499</v>
      </c>
      <c r="AE132">
        <f t="shared" si="52"/>
        <v>-0.18999269807571295</v>
      </c>
      <c r="AF132">
        <v>0</v>
      </c>
      <c r="AG132">
        <v>0</v>
      </c>
      <c r="AH132">
        <f t="shared" si="53"/>
        <v>1</v>
      </c>
      <c r="AI132">
        <f t="shared" si="54"/>
        <v>0</v>
      </c>
      <c r="AJ132">
        <f t="shared" si="55"/>
        <v>52311.498279270076</v>
      </c>
      <c r="AK132">
        <f t="shared" si="56"/>
        <v>1800</v>
      </c>
      <c r="AL132">
        <f t="shared" si="57"/>
        <v>1499.1131267999999</v>
      </c>
      <c r="AM132">
        <f t="shared" si="58"/>
        <v>0.83284062599999997</v>
      </c>
      <c r="AN132">
        <f t="shared" si="59"/>
        <v>0.15339781746</v>
      </c>
      <c r="AO132">
        <v>32.4</v>
      </c>
      <c r="AP132">
        <v>0.5</v>
      </c>
      <c r="AQ132" t="s">
        <v>331</v>
      </c>
      <c r="AR132">
        <v>2</v>
      </c>
      <c r="AS132">
        <v>1690233724.5999999</v>
      </c>
      <c r="AT132">
        <v>596.51900000000001</v>
      </c>
      <c r="AU132">
        <v>800.15599999999995</v>
      </c>
      <c r="AV132">
        <v>24.633900000000001</v>
      </c>
      <c r="AW132">
        <v>13.1455</v>
      </c>
      <c r="AX132">
        <v>596.71500000000003</v>
      </c>
      <c r="AY132">
        <v>24.4619</v>
      </c>
      <c r="AZ132">
        <v>300.21499999999997</v>
      </c>
      <c r="BA132">
        <v>99.003699999999995</v>
      </c>
      <c r="BB132">
        <v>0.100081</v>
      </c>
      <c r="BC132">
        <v>27.132999999999999</v>
      </c>
      <c r="BD132">
        <v>26.996099999999998</v>
      </c>
      <c r="BE132">
        <v>29.074300000000001</v>
      </c>
      <c r="BF132">
        <v>0</v>
      </c>
      <c r="BG132">
        <v>0</v>
      </c>
      <c r="BH132">
        <v>9996.8799999999992</v>
      </c>
      <c r="BI132">
        <v>1080.97</v>
      </c>
      <c r="BJ132">
        <v>1.4577199999999999</v>
      </c>
      <c r="BK132">
        <v>-203.637</v>
      </c>
      <c r="BL132">
        <v>611.58500000000004</v>
      </c>
      <c r="BM132">
        <v>810.81500000000005</v>
      </c>
      <c r="BN132">
        <v>11.488300000000001</v>
      </c>
      <c r="BO132">
        <v>800.15599999999995</v>
      </c>
      <c r="BP132">
        <v>13.1455</v>
      </c>
      <c r="BQ132">
        <v>2.4388399999999999</v>
      </c>
      <c r="BR132">
        <v>1.3014600000000001</v>
      </c>
      <c r="BS132">
        <v>20.623999999999999</v>
      </c>
      <c r="BT132">
        <v>10.8157</v>
      </c>
      <c r="BU132">
        <v>1800</v>
      </c>
      <c r="BV132">
        <v>0.909995</v>
      </c>
      <c r="BW132">
        <v>3.3990300000000001E-2</v>
      </c>
      <c r="BX132">
        <v>2.20068E-2</v>
      </c>
      <c r="BY132">
        <v>3.4007599999999999E-2</v>
      </c>
      <c r="BZ132">
        <v>25</v>
      </c>
      <c r="CA132">
        <v>33528.300000000003</v>
      </c>
      <c r="CB132">
        <v>1690232006</v>
      </c>
      <c r="CC132" t="s">
        <v>332</v>
      </c>
      <c r="CD132">
        <v>1690232006</v>
      </c>
      <c r="CE132">
        <v>1690231998.5</v>
      </c>
      <c r="CF132">
        <v>14</v>
      </c>
      <c r="CG132">
        <v>-0.13200000000000001</v>
      </c>
      <c r="CH132">
        <v>-7.0000000000000001E-3</v>
      </c>
      <c r="CI132">
        <v>-0.33800000000000002</v>
      </c>
      <c r="CJ132">
        <v>0.14299999999999999</v>
      </c>
      <c r="CK132">
        <v>799</v>
      </c>
      <c r="CL132">
        <v>19</v>
      </c>
      <c r="CM132">
        <v>7.0000000000000007E-2</v>
      </c>
      <c r="CN132">
        <v>0.14000000000000001</v>
      </c>
      <c r="CO132">
        <v>-200.7193</v>
      </c>
      <c r="CP132">
        <v>-15.172142589117961</v>
      </c>
      <c r="CQ132">
        <v>1.46039772322474</v>
      </c>
      <c r="CR132">
        <v>-1</v>
      </c>
      <c r="CS132">
        <v>11.280175</v>
      </c>
      <c r="CT132">
        <v>0.874836022514075</v>
      </c>
      <c r="CU132">
        <v>8.4884196850768312E-2</v>
      </c>
      <c r="CV132">
        <v>-1</v>
      </c>
      <c r="CW132">
        <v>0</v>
      </c>
      <c r="CX132">
        <v>0</v>
      </c>
      <c r="CY132" t="s">
        <v>333</v>
      </c>
      <c r="CZ132">
        <v>2.3649</v>
      </c>
      <c r="DA132">
        <v>2.71387</v>
      </c>
      <c r="DB132">
        <v>0.12002</v>
      </c>
      <c r="DC132">
        <v>0.14623800000000001</v>
      </c>
      <c r="DD132">
        <v>0.116061</v>
      </c>
      <c r="DE132">
        <v>7.2752399999999995E-2</v>
      </c>
      <c r="DF132">
        <v>32159</v>
      </c>
      <c r="DG132">
        <v>27550.3</v>
      </c>
      <c r="DH132">
        <v>31197.5</v>
      </c>
      <c r="DI132">
        <v>28116.9</v>
      </c>
      <c r="DJ132">
        <v>37439.4</v>
      </c>
      <c r="DK132">
        <v>37077.199999999997</v>
      </c>
      <c r="DL132">
        <v>44402.3</v>
      </c>
      <c r="DM132">
        <v>42620.5</v>
      </c>
      <c r="DN132">
        <v>1.48265</v>
      </c>
      <c r="DO132">
        <v>2.05382</v>
      </c>
      <c r="DP132">
        <v>7.4468599999999996E-2</v>
      </c>
      <c r="DQ132">
        <v>0.21338499999999999</v>
      </c>
      <c r="DR132">
        <v>25.777000000000001</v>
      </c>
      <c r="DS132">
        <v>25.586500000000001</v>
      </c>
      <c r="DT132">
        <v>55.8</v>
      </c>
      <c r="DU132">
        <v>28.8</v>
      </c>
      <c r="DV132">
        <v>22.402899999999999</v>
      </c>
      <c r="DW132">
        <v>61.857999999999997</v>
      </c>
      <c r="DX132">
        <v>36.750799999999998</v>
      </c>
      <c r="DY132">
        <v>1</v>
      </c>
      <c r="DZ132">
        <v>-0.11695899999999999</v>
      </c>
      <c r="EA132">
        <v>-0.20277800000000001</v>
      </c>
      <c r="EB132">
        <v>20.1892</v>
      </c>
      <c r="EC132">
        <v>5.2409499999999998</v>
      </c>
      <c r="ED132">
        <v>12.039899999999999</v>
      </c>
      <c r="EE132">
        <v>5.0168999999999997</v>
      </c>
      <c r="EF132">
        <v>3.2879999999999998</v>
      </c>
      <c r="EG132">
        <v>9999</v>
      </c>
      <c r="EH132">
        <v>9999</v>
      </c>
      <c r="EI132">
        <v>9999</v>
      </c>
      <c r="EJ132">
        <v>999.9</v>
      </c>
      <c r="EK132">
        <v>1.8689</v>
      </c>
      <c r="EL132">
        <v>1.8646199999999999</v>
      </c>
      <c r="EM132">
        <v>1.86917</v>
      </c>
      <c r="EN132">
        <v>1.8672200000000001</v>
      </c>
      <c r="EO132">
        <v>1.86337</v>
      </c>
      <c r="EP132">
        <v>1.8644700000000001</v>
      </c>
      <c r="EQ132">
        <v>1.8701300000000001</v>
      </c>
      <c r="ER132">
        <v>1.8693500000000001</v>
      </c>
      <c r="ES132">
        <v>0</v>
      </c>
      <c r="ET132">
        <v>0</v>
      </c>
      <c r="EU132">
        <v>0</v>
      </c>
      <c r="EV132">
        <v>0</v>
      </c>
      <c r="EW132" t="s">
        <v>334</v>
      </c>
      <c r="EX132" t="s">
        <v>335</v>
      </c>
      <c r="EY132" t="s">
        <v>336</v>
      </c>
      <c r="EZ132" t="s">
        <v>336</v>
      </c>
      <c r="FA132" t="s">
        <v>336</v>
      </c>
      <c r="FB132" t="s">
        <v>336</v>
      </c>
      <c r="FC132">
        <v>0</v>
      </c>
      <c r="FD132">
        <v>100</v>
      </c>
      <c r="FE132">
        <v>100</v>
      </c>
      <c r="FF132">
        <v>-0.19600000000000001</v>
      </c>
      <c r="FG132">
        <v>0.17199999999999999</v>
      </c>
      <c r="FH132">
        <v>0.2126736300064915</v>
      </c>
      <c r="FI132">
        <v>-6.1462078757559423E-4</v>
      </c>
      <c r="FJ132">
        <v>-1.8861989874597051E-7</v>
      </c>
      <c r="FK132">
        <v>1.1980462299894961E-10</v>
      </c>
      <c r="FL132">
        <v>0.1719881465068297</v>
      </c>
      <c r="FM132">
        <v>0</v>
      </c>
      <c r="FN132">
        <v>0</v>
      </c>
      <c r="FO132">
        <v>0</v>
      </c>
      <c r="FP132">
        <v>3</v>
      </c>
      <c r="FQ132">
        <v>2158</v>
      </c>
      <c r="FR132">
        <v>1</v>
      </c>
      <c r="FS132">
        <v>19</v>
      </c>
      <c r="FT132">
        <v>28.6</v>
      </c>
      <c r="FU132">
        <v>28.8</v>
      </c>
      <c r="FV132">
        <v>1.78223</v>
      </c>
      <c r="FW132">
        <v>2.5842299999999998</v>
      </c>
      <c r="FX132">
        <v>1.5490699999999999</v>
      </c>
      <c r="FY132">
        <v>2.3290999999999999</v>
      </c>
      <c r="FZ132">
        <v>1.50146</v>
      </c>
      <c r="GA132">
        <v>2.3840300000000001</v>
      </c>
      <c r="GB132">
        <v>33.558</v>
      </c>
      <c r="GC132">
        <v>23.991199999999999</v>
      </c>
      <c r="GD132">
        <v>19</v>
      </c>
      <c r="GE132">
        <v>284.37599999999998</v>
      </c>
      <c r="GF132">
        <v>594.34699999999998</v>
      </c>
      <c r="GG132">
        <v>25.506699999999999</v>
      </c>
      <c r="GH132">
        <v>25.9467</v>
      </c>
      <c r="GI132">
        <v>30</v>
      </c>
      <c r="GJ132">
        <v>26.068300000000001</v>
      </c>
      <c r="GK132">
        <v>26.048100000000002</v>
      </c>
      <c r="GL132">
        <v>35.631900000000002</v>
      </c>
      <c r="GM132">
        <v>47.290799999999997</v>
      </c>
      <c r="GN132">
        <v>89.733500000000006</v>
      </c>
      <c r="GO132">
        <v>25.475200000000001</v>
      </c>
      <c r="GP132">
        <v>800</v>
      </c>
      <c r="GQ132">
        <v>13.0463</v>
      </c>
      <c r="GR132">
        <v>99.825599999999994</v>
      </c>
      <c r="GS132">
        <v>99.6995</v>
      </c>
    </row>
    <row r="133" spans="1:201" x14ac:dyDescent="0.25">
      <c r="A133">
        <v>117</v>
      </c>
      <c r="B133">
        <v>1690233734.5999999</v>
      </c>
      <c r="C133">
        <v>1228.5</v>
      </c>
      <c r="D133" t="s">
        <v>565</v>
      </c>
      <c r="E133" t="s">
        <v>566</v>
      </c>
      <c r="F133" t="s">
        <v>330</v>
      </c>
      <c r="H133">
        <v>1690233734.5999999</v>
      </c>
      <c r="I133">
        <f t="shared" si="30"/>
        <v>1.1013972912515466E-3</v>
      </c>
      <c r="J133">
        <f t="shared" si="31"/>
        <v>1.1013972912515466</v>
      </c>
      <c r="K133">
        <f t="shared" si="32"/>
        <v>18.43913488431587</v>
      </c>
      <c r="L133">
        <f t="shared" si="33"/>
        <v>593.96199999999999</v>
      </c>
      <c r="M133">
        <f t="shared" si="34"/>
        <v>147.85305955770031</v>
      </c>
      <c r="N133">
        <f t="shared" si="35"/>
        <v>14.652524593544461</v>
      </c>
      <c r="O133">
        <f t="shared" si="36"/>
        <v>58.862784704393988</v>
      </c>
      <c r="P133">
        <f t="shared" si="37"/>
        <v>6.8633381612428476E-2</v>
      </c>
      <c r="Q133">
        <f t="shared" si="38"/>
        <v>2.1297707349128276</v>
      </c>
      <c r="R133">
        <f t="shared" si="39"/>
        <v>6.7427912514945551E-2</v>
      </c>
      <c r="S133">
        <f t="shared" si="40"/>
        <v>4.2248988361973605E-2</v>
      </c>
      <c r="T133">
        <f t="shared" si="41"/>
        <v>276.11633302199999</v>
      </c>
      <c r="U133">
        <f t="shared" si="42"/>
        <v>28.936185078777733</v>
      </c>
      <c r="V133">
        <f t="shared" si="43"/>
        <v>28.936185078777733</v>
      </c>
      <c r="W133">
        <f t="shared" si="44"/>
        <v>4.0069455325382819</v>
      </c>
      <c r="X133">
        <f t="shared" si="45"/>
        <v>67.64940219605073</v>
      </c>
      <c r="Y133">
        <f t="shared" si="46"/>
        <v>2.4408311573415</v>
      </c>
      <c r="Z133">
        <f t="shared" si="47"/>
        <v>3.6080602017263539</v>
      </c>
      <c r="AA133">
        <f t="shared" si="48"/>
        <v>1.5661143751967819</v>
      </c>
      <c r="AB133">
        <f t="shared" si="49"/>
        <v>-48.571620544193202</v>
      </c>
      <c r="AC133">
        <f t="shared" si="50"/>
        <v>-206.58279033150524</v>
      </c>
      <c r="AD133">
        <f t="shared" si="51"/>
        <v>-21.151162345641112</v>
      </c>
      <c r="AE133">
        <f t="shared" si="52"/>
        <v>-0.18924019933956515</v>
      </c>
      <c r="AF133">
        <v>0</v>
      </c>
      <c r="AG133">
        <v>0</v>
      </c>
      <c r="AH133">
        <f t="shared" si="53"/>
        <v>1</v>
      </c>
      <c r="AI133">
        <f t="shared" si="54"/>
        <v>0</v>
      </c>
      <c r="AJ133">
        <f t="shared" si="55"/>
        <v>52316.126504836175</v>
      </c>
      <c r="AK133">
        <f t="shared" si="56"/>
        <v>1800</v>
      </c>
      <c r="AL133">
        <f t="shared" si="57"/>
        <v>1499.1119801999998</v>
      </c>
      <c r="AM133">
        <f t="shared" si="58"/>
        <v>0.83283998899999989</v>
      </c>
      <c r="AN133">
        <f t="shared" si="59"/>
        <v>0.15339796279000001</v>
      </c>
      <c r="AO133">
        <v>32.4</v>
      </c>
      <c r="AP133">
        <v>0.5</v>
      </c>
      <c r="AQ133" t="s">
        <v>331</v>
      </c>
      <c r="AR133">
        <v>2</v>
      </c>
      <c r="AS133">
        <v>1690233734.5999999</v>
      </c>
      <c r="AT133">
        <v>593.96199999999999</v>
      </c>
      <c r="AU133">
        <v>800.03800000000001</v>
      </c>
      <c r="AV133">
        <v>24.6295</v>
      </c>
      <c r="AW133">
        <v>13.034800000000001</v>
      </c>
      <c r="AX133">
        <v>594.15599999999995</v>
      </c>
      <c r="AY133">
        <v>24.4575</v>
      </c>
      <c r="AZ133">
        <v>300.19200000000001</v>
      </c>
      <c r="BA133">
        <v>99.001999999999995</v>
      </c>
      <c r="BB133">
        <v>9.9936999999999998E-2</v>
      </c>
      <c r="BC133">
        <v>27.137</v>
      </c>
      <c r="BD133">
        <v>26.994599999999998</v>
      </c>
      <c r="BE133">
        <v>29.0579</v>
      </c>
      <c r="BF133">
        <v>0</v>
      </c>
      <c r="BG133">
        <v>0</v>
      </c>
      <c r="BH133">
        <v>9998.1200000000008</v>
      </c>
      <c r="BI133">
        <v>1081</v>
      </c>
      <c r="BJ133">
        <v>1.4577199999999999</v>
      </c>
      <c r="BK133">
        <v>-206.07599999999999</v>
      </c>
      <c r="BL133">
        <v>608.96</v>
      </c>
      <c r="BM133">
        <v>810.60400000000004</v>
      </c>
      <c r="BN133">
        <v>11.5947</v>
      </c>
      <c r="BO133">
        <v>800.03800000000001</v>
      </c>
      <c r="BP133">
        <v>13.034800000000001</v>
      </c>
      <c r="BQ133">
        <v>2.4383699999999999</v>
      </c>
      <c r="BR133">
        <v>1.29047</v>
      </c>
      <c r="BS133">
        <v>20.620899999999999</v>
      </c>
      <c r="BT133">
        <v>10.6883</v>
      </c>
      <c r="BU133">
        <v>1800</v>
      </c>
      <c r="BV133">
        <v>0.90998800000000002</v>
      </c>
      <c r="BW133">
        <v>3.3999500000000002E-2</v>
      </c>
      <c r="BX133">
        <v>2.20062E-2</v>
      </c>
      <c r="BY133">
        <v>3.4006700000000001E-2</v>
      </c>
      <c r="BZ133">
        <v>25</v>
      </c>
      <c r="CA133">
        <v>33528.300000000003</v>
      </c>
      <c r="CB133">
        <v>1690232006</v>
      </c>
      <c r="CC133" t="s">
        <v>332</v>
      </c>
      <c r="CD133">
        <v>1690232006</v>
      </c>
      <c r="CE133">
        <v>1690231998.5</v>
      </c>
      <c r="CF133">
        <v>14</v>
      </c>
      <c r="CG133">
        <v>-0.13200000000000001</v>
      </c>
      <c r="CH133">
        <v>-7.0000000000000001E-3</v>
      </c>
      <c r="CI133">
        <v>-0.33800000000000002</v>
      </c>
      <c r="CJ133">
        <v>0.14299999999999999</v>
      </c>
      <c r="CK133">
        <v>799</v>
      </c>
      <c r="CL133">
        <v>19</v>
      </c>
      <c r="CM133">
        <v>7.0000000000000007E-2</v>
      </c>
      <c r="CN133">
        <v>0.14000000000000001</v>
      </c>
      <c r="CO133">
        <v>-203.2441</v>
      </c>
      <c r="CP133">
        <v>-15.308555347091501</v>
      </c>
      <c r="CQ133">
        <v>1.4734093592752819</v>
      </c>
      <c r="CR133">
        <v>-1</v>
      </c>
      <c r="CS133">
        <v>11.436355000000001</v>
      </c>
      <c r="CT133">
        <v>0.96837073170728882</v>
      </c>
      <c r="CU133">
        <v>9.4409520044325998E-2</v>
      </c>
      <c r="CV133">
        <v>-1</v>
      </c>
      <c r="CW133">
        <v>0</v>
      </c>
      <c r="CX133">
        <v>0</v>
      </c>
      <c r="CY133" t="s">
        <v>333</v>
      </c>
      <c r="CZ133">
        <v>2.3648699999999998</v>
      </c>
      <c r="DA133">
        <v>2.71373</v>
      </c>
      <c r="DB133">
        <v>0.119655</v>
      </c>
      <c r="DC133">
        <v>0.14621999999999999</v>
      </c>
      <c r="DD133">
        <v>0.116045</v>
      </c>
      <c r="DE133">
        <v>7.2294700000000003E-2</v>
      </c>
      <c r="DF133">
        <v>32172.400000000001</v>
      </c>
      <c r="DG133">
        <v>27550.7</v>
      </c>
      <c r="DH133">
        <v>31197.5</v>
      </c>
      <c r="DI133">
        <v>28116.7</v>
      </c>
      <c r="DJ133">
        <v>37440.1</v>
      </c>
      <c r="DK133">
        <v>37095.300000000003</v>
      </c>
      <c r="DL133">
        <v>44402.400000000001</v>
      </c>
      <c r="DM133">
        <v>42620.2</v>
      </c>
      <c r="DN133">
        <v>1.48228</v>
      </c>
      <c r="DO133">
        <v>2.0538500000000002</v>
      </c>
      <c r="DP133">
        <v>7.4245000000000005E-2</v>
      </c>
      <c r="DQ133">
        <v>0.21237900000000001</v>
      </c>
      <c r="DR133">
        <v>25.779199999999999</v>
      </c>
      <c r="DS133">
        <v>25.586500000000001</v>
      </c>
      <c r="DT133">
        <v>55.8</v>
      </c>
      <c r="DU133">
        <v>28.8</v>
      </c>
      <c r="DV133">
        <v>22.406099999999999</v>
      </c>
      <c r="DW133">
        <v>61.338000000000001</v>
      </c>
      <c r="DX133">
        <v>35.849400000000003</v>
      </c>
      <c r="DY133">
        <v>1</v>
      </c>
      <c r="DZ133">
        <v>-0.11712400000000001</v>
      </c>
      <c r="EA133">
        <v>-0.34105400000000002</v>
      </c>
      <c r="EB133">
        <v>20.189499999999999</v>
      </c>
      <c r="EC133">
        <v>5.2409499999999998</v>
      </c>
      <c r="ED133">
        <v>12.039899999999999</v>
      </c>
      <c r="EE133">
        <v>5.0172499999999998</v>
      </c>
      <c r="EF133">
        <v>3.2879999999999998</v>
      </c>
      <c r="EG133">
        <v>9999</v>
      </c>
      <c r="EH133">
        <v>9999</v>
      </c>
      <c r="EI133">
        <v>9999</v>
      </c>
      <c r="EJ133">
        <v>999.9</v>
      </c>
      <c r="EK133">
        <v>1.8689</v>
      </c>
      <c r="EL133">
        <v>1.8646199999999999</v>
      </c>
      <c r="EM133">
        <v>1.8691800000000001</v>
      </c>
      <c r="EN133">
        <v>1.8672200000000001</v>
      </c>
      <c r="EO133">
        <v>1.8633900000000001</v>
      </c>
      <c r="EP133">
        <v>1.8644799999999999</v>
      </c>
      <c r="EQ133">
        <v>1.87015</v>
      </c>
      <c r="ER133">
        <v>1.8693599999999999</v>
      </c>
      <c r="ES133">
        <v>0</v>
      </c>
      <c r="ET133">
        <v>0</v>
      </c>
      <c r="EU133">
        <v>0</v>
      </c>
      <c r="EV133">
        <v>0</v>
      </c>
      <c r="EW133" t="s">
        <v>334</v>
      </c>
      <c r="EX133" t="s">
        <v>335</v>
      </c>
      <c r="EY133" t="s">
        <v>336</v>
      </c>
      <c r="EZ133" t="s">
        <v>336</v>
      </c>
      <c r="FA133" t="s">
        <v>336</v>
      </c>
      <c r="FB133" t="s">
        <v>336</v>
      </c>
      <c r="FC133">
        <v>0</v>
      </c>
      <c r="FD133">
        <v>100</v>
      </c>
      <c r="FE133">
        <v>100</v>
      </c>
      <c r="FF133">
        <v>-0.19400000000000001</v>
      </c>
      <c r="FG133">
        <v>0.17199999999999999</v>
      </c>
      <c r="FH133">
        <v>0.2126736300064915</v>
      </c>
      <c r="FI133">
        <v>-6.1462078757559423E-4</v>
      </c>
      <c r="FJ133">
        <v>-1.8861989874597051E-7</v>
      </c>
      <c r="FK133">
        <v>1.1980462299894961E-10</v>
      </c>
      <c r="FL133">
        <v>0.1719881465068297</v>
      </c>
      <c r="FM133">
        <v>0</v>
      </c>
      <c r="FN133">
        <v>0</v>
      </c>
      <c r="FO133">
        <v>0</v>
      </c>
      <c r="FP133">
        <v>3</v>
      </c>
      <c r="FQ133">
        <v>2158</v>
      </c>
      <c r="FR133">
        <v>1</v>
      </c>
      <c r="FS133">
        <v>19</v>
      </c>
      <c r="FT133">
        <v>28.8</v>
      </c>
      <c r="FU133">
        <v>28.9</v>
      </c>
      <c r="FV133">
        <v>1.78223</v>
      </c>
      <c r="FW133">
        <v>2.5866699999999998</v>
      </c>
      <c r="FX133">
        <v>1.5490699999999999</v>
      </c>
      <c r="FY133">
        <v>2.3290999999999999</v>
      </c>
      <c r="FZ133">
        <v>1.50146</v>
      </c>
      <c r="GA133">
        <v>2.32422</v>
      </c>
      <c r="GB133">
        <v>33.558</v>
      </c>
      <c r="GC133">
        <v>23.982399999999998</v>
      </c>
      <c r="GD133">
        <v>19</v>
      </c>
      <c r="GE133">
        <v>284.20800000000003</v>
      </c>
      <c r="GF133">
        <v>594.34299999999996</v>
      </c>
      <c r="GG133">
        <v>25.480499999999999</v>
      </c>
      <c r="GH133">
        <v>25.9451</v>
      </c>
      <c r="GI133">
        <v>29.9999</v>
      </c>
      <c r="GJ133">
        <v>26.066700000000001</v>
      </c>
      <c r="GK133">
        <v>26.0459</v>
      </c>
      <c r="GL133">
        <v>35.630800000000001</v>
      </c>
      <c r="GM133">
        <v>47.891500000000001</v>
      </c>
      <c r="GN133">
        <v>88.9512</v>
      </c>
      <c r="GO133">
        <v>25.4879</v>
      </c>
      <c r="GP133">
        <v>800</v>
      </c>
      <c r="GQ133">
        <v>12.8887</v>
      </c>
      <c r="GR133">
        <v>99.825800000000001</v>
      </c>
      <c r="GS133">
        <v>99.698899999999995</v>
      </c>
    </row>
    <row r="134" spans="1:201" x14ac:dyDescent="0.25">
      <c r="A134">
        <v>118</v>
      </c>
      <c r="B134">
        <v>1690233744.5999999</v>
      </c>
      <c r="C134">
        <v>1238.5</v>
      </c>
      <c r="D134" t="s">
        <v>567</v>
      </c>
      <c r="E134" t="s">
        <v>568</v>
      </c>
      <c r="F134" t="s">
        <v>330</v>
      </c>
      <c r="H134">
        <v>1690233744.5999999</v>
      </c>
      <c r="I134">
        <f t="shared" si="30"/>
        <v>1.1179738765466373E-3</v>
      </c>
      <c r="J134">
        <f t="shared" si="31"/>
        <v>1.1179738765466374</v>
      </c>
      <c r="K134">
        <f t="shared" si="32"/>
        <v>18.660323489820883</v>
      </c>
      <c r="L134">
        <f t="shared" si="33"/>
        <v>591.56600000000003</v>
      </c>
      <c r="M134">
        <f t="shared" si="34"/>
        <v>146.9714730553732</v>
      </c>
      <c r="N134">
        <f t="shared" si="35"/>
        <v>14.56425996177337</v>
      </c>
      <c r="O134">
        <f t="shared" si="36"/>
        <v>58.621723178214005</v>
      </c>
      <c r="P134">
        <f t="shared" si="37"/>
        <v>6.9708342397281131E-2</v>
      </c>
      <c r="Q134">
        <f t="shared" si="38"/>
        <v>2.1282397471888004</v>
      </c>
      <c r="R134">
        <f t="shared" si="39"/>
        <v>6.8464308162915349E-2</v>
      </c>
      <c r="S134">
        <f t="shared" si="40"/>
        <v>4.2900114901908662E-2</v>
      </c>
      <c r="T134">
        <f t="shared" si="41"/>
        <v>276.11631750600003</v>
      </c>
      <c r="U134">
        <f t="shared" si="42"/>
        <v>28.932674130659077</v>
      </c>
      <c r="V134">
        <f t="shared" si="43"/>
        <v>28.932674130659077</v>
      </c>
      <c r="W134">
        <f t="shared" si="44"/>
        <v>4.0061311576998513</v>
      </c>
      <c r="X134">
        <f t="shared" si="45"/>
        <v>67.638670012621702</v>
      </c>
      <c r="Y134">
        <f t="shared" si="46"/>
        <v>2.4406014436923003</v>
      </c>
      <c r="Z134">
        <f t="shared" si="47"/>
        <v>3.6082930714587858</v>
      </c>
      <c r="AA134">
        <f t="shared" si="48"/>
        <v>1.565529714007551</v>
      </c>
      <c r="AB134">
        <f t="shared" si="49"/>
        <v>-49.302647955706703</v>
      </c>
      <c r="AC134">
        <f t="shared" si="50"/>
        <v>-205.90523869236853</v>
      </c>
      <c r="AD134">
        <f t="shared" si="51"/>
        <v>-21.096701782283596</v>
      </c>
      <c r="AE134">
        <f t="shared" si="52"/>
        <v>-0.18827092435878967</v>
      </c>
      <c r="AF134">
        <v>0</v>
      </c>
      <c r="AG134">
        <v>0</v>
      </c>
      <c r="AH134">
        <f t="shared" si="53"/>
        <v>1</v>
      </c>
      <c r="AI134">
        <f t="shared" si="54"/>
        <v>0</v>
      </c>
      <c r="AJ134">
        <f t="shared" si="55"/>
        <v>52249.914157789106</v>
      </c>
      <c r="AK134">
        <f t="shared" si="56"/>
        <v>1800</v>
      </c>
      <c r="AL134">
        <f t="shared" si="57"/>
        <v>1499.1109236000002</v>
      </c>
      <c r="AM134">
        <f t="shared" si="58"/>
        <v>0.83283940200000006</v>
      </c>
      <c r="AN134">
        <f t="shared" si="59"/>
        <v>0.15339795417000002</v>
      </c>
      <c r="AO134">
        <v>32.4</v>
      </c>
      <c r="AP134">
        <v>0.5</v>
      </c>
      <c r="AQ134" t="s">
        <v>331</v>
      </c>
      <c r="AR134">
        <v>2</v>
      </c>
      <c r="AS134">
        <v>1690233744.5999999</v>
      </c>
      <c r="AT134">
        <v>591.56600000000003</v>
      </c>
      <c r="AU134">
        <v>800.15599999999995</v>
      </c>
      <c r="AV134">
        <v>24.628699999999998</v>
      </c>
      <c r="AW134">
        <v>12.8567</v>
      </c>
      <c r="AX134">
        <v>591.75800000000004</v>
      </c>
      <c r="AY134">
        <v>24.456700000000001</v>
      </c>
      <c r="AZ134">
        <v>300.12099999999998</v>
      </c>
      <c r="BA134">
        <v>98.995800000000003</v>
      </c>
      <c r="BB134">
        <v>0.10002900000000001</v>
      </c>
      <c r="BC134">
        <v>27.138100000000001</v>
      </c>
      <c r="BD134">
        <v>26.998899999999999</v>
      </c>
      <c r="BE134">
        <v>29.080100000000002</v>
      </c>
      <c r="BF134">
        <v>0</v>
      </c>
      <c r="BG134">
        <v>0</v>
      </c>
      <c r="BH134">
        <v>9985.6200000000008</v>
      </c>
      <c r="BI134">
        <v>1081</v>
      </c>
      <c r="BJ134">
        <v>1.4577199999999999</v>
      </c>
      <c r="BK134">
        <v>-208.59</v>
      </c>
      <c r="BL134">
        <v>606.50300000000004</v>
      </c>
      <c r="BM134">
        <v>810.577</v>
      </c>
      <c r="BN134">
        <v>11.772</v>
      </c>
      <c r="BO134">
        <v>800.15599999999995</v>
      </c>
      <c r="BP134">
        <v>12.8567</v>
      </c>
      <c r="BQ134">
        <v>2.4381300000000001</v>
      </c>
      <c r="BR134">
        <v>1.2727599999999999</v>
      </c>
      <c r="BS134">
        <v>20.619299999999999</v>
      </c>
      <c r="BT134">
        <v>10.4809</v>
      </c>
      <c r="BU134">
        <v>1800</v>
      </c>
      <c r="BV134">
        <v>0.90998500000000004</v>
      </c>
      <c r="BW134">
        <v>3.4002600000000001E-2</v>
      </c>
      <c r="BX134">
        <v>2.2006100000000001E-2</v>
      </c>
      <c r="BY134">
        <v>3.4006500000000002E-2</v>
      </c>
      <c r="BZ134">
        <v>25</v>
      </c>
      <c r="CA134">
        <v>33528.300000000003</v>
      </c>
      <c r="CB134">
        <v>1690232006</v>
      </c>
      <c r="CC134" t="s">
        <v>332</v>
      </c>
      <c r="CD134">
        <v>1690232006</v>
      </c>
      <c r="CE134">
        <v>1690231998.5</v>
      </c>
      <c r="CF134">
        <v>14</v>
      </c>
      <c r="CG134">
        <v>-0.13200000000000001</v>
      </c>
      <c r="CH134">
        <v>-7.0000000000000001E-3</v>
      </c>
      <c r="CI134">
        <v>-0.33800000000000002</v>
      </c>
      <c r="CJ134">
        <v>0.14299999999999999</v>
      </c>
      <c r="CK134">
        <v>799</v>
      </c>
      <c r="CL134">
        <v>19</v>
      </c>
      <c r="CM134">
        <v>7.0000000000000007E-2</v>
      </c>
      <c r="CN134">
        <v>0.14000000000000001</v>
      </c>
      <c r="CO134">
        <v>-205.99870000000001</v>
      </c>
      <c r="CP134">
        <v>-14.95413883677227</v>
      </c>
      <c r="CQ134">
        <v>1.4396917065816559</v>
      </c>
      <c r="CR134">
        <v>-1</v>
      </c>
      <c r="CS134">
        <v>11.6130925</v>
      </c>
      <c r="CT134">
        <v>0.9095831144465194</v>
      </c>
      <c r="CU134">
        <v>8.8860523821042203E-2</v>
      </c>
      <c r="CV134">
        <v>-1</v>
      </c>
      <c r="CW134">
        <v>0</v>
      </c>
      <c r="CX134">
        <v>0</v>
      </c>
      <c r="CY134" t="s">
        <v>333</v>
      </c>
      <c r="CZ134">
        <v>2.36463</v>
      </c>
      <c r="DA134">
        <v>2.7138100000000001</v>
      </c>
      <c r="DB134">
        <v>0.119307</v>
      </c>
      <c r="DC134">
        <v>0.14622099999999999</v>
      </c>
      <c r="DD134">
        <v>0.116036</v>
      </c>
      <c r="DE134">
        <v>7.1552199999999996E-2</v>
      </c>
      <c r="DF134">
        <v>32185.200000000001</v>
      </c>
      <c r="DG134">
        <v>27550.400000000001</v>
      </c>
      <c r="DH134">
        <v>31197.5</v>
      </c>
      <c r="DI134">
        <v>28116.5</v>
      </c>
      <c r="DJ134">
        <v>37440.6</v>
      </c>
      <c r="DK134">
        <v>37124.9</v>
      </c>
      <c r="DL134">
        <v>44402.5</v>
      </c>
      <c r="DM134">
        <v>42620.1</v>
      </c>
      <c r="DN134">
        <v>1.4825999999999999</v>
      </c>
      <c r="DO134">
        <v>2.0536699999999999</v>
      </c>
      <c r="DP134">
        <v>7.4505799999999997E-2</v>
      </c>
      <c r="DQ134">
        <v>0.21368300000000001</v>
      </c>
      <c r="DR134">
        <v>25.779199999999999</v>
      </c>
      <c r="DS134">
        <v>25.587399999999999</v>
      </c>
      <c r="DT134">
        <v>55.7</v>
      </c>
      <c r="DU134">
        <v>28.8</v>
      </c>
      <c r="DV134">
        <v>22.370999999999999</v>
      </c>
      <c r="DW134">
        <v>61.808</v>
      </c>
      <c r="DX134">
        <v>37.163499999999999</v>
      </c>
      <c r="DY134">
        <v>1</v>
      </c>
      <c r="DZ134">
        <v>-0.117442</v>
      </c>
      <c r="EA134">
        <v>-0.37486399999999998</v>
      </c>
      <c r="EB134">
        <v>20.189399999999999</v>
      </c>
      <c r="EC134">
        <v>5.2411000000000003</v>
      </c>
      <c r="ED134">
        <v>12.039899999999999</v>
      </c>
      <c r="EE134">
        <v>5.0173500000000004</v>
      </c>
      <c r="EF134">
        <v>3.2879999999999998</v>
      </c>
      <c r="EG134">
        <v>9999</v>
      </c>
      <c r="EH134">
        <v>9999</v>
      </c>
      <c r="EI134">
        <v>9999</v>
      </c>
      <c r="EJ134">
        <v>999.9</v>
      </c>
      <c r="EK134">
        <v>1.8689</v>
      </c>
      <c r="EL134">
        <v>1.8646199999999999</v>
      </c>
      <c r="EM134">
        <v>1.8691899999999999</v>
      </c>
      <c r="EN134">
        <v>1.8672200000000001</v>
      </c>
      <c r="EO134">
        <v>1.8633999999999999</v>
      </c>
      <c r="EP134">
        <v>1.86449</v>
      </c>
      <c r="EQ134">
        <v>1.8701300000000001</v>
      </c>
      <c r="ER134">
        <v>1.8693599999999999</v>
      </c>
      <c r="ES134">
        <v>0</v>
      </c>
      <c r="ET134">
        <v>0</v>
      </c>
      <c r="EU134">
        <v>0</v>
      </c>
      <c r="EV134">
        <v>0</v>
      </c>
      <c r="EW134" t="s">
        <v>334</v>
      </c>
      <c r="EX134" t="s">
        <v>335</v>
      </c>
      <c r="EY134" t="s">
        <v>336</v>
      </c>
      <c r="EZ134" t="s">
        <v>336</v>
      </c>
      <c r="FA134" t="s">
        <v>336</v>
      </c>
      <c r="FB134" t="s">
        <v>336</v>
      </c>
      <c r="FC134">
        <v>0</v>
      </c>
      <c r="FD134">
        <v>100</v>
      </c>
      <c r="FE134">
        <v>100</v>
      </c>
      <c r="FF134">
        <v>-0.192</v>
      </c>
      <c r="FG134">
        <v>0.17199999999999999</v>
      </c>
      <c r="FH134">
        <v>0.2126736300064915</v>
      </c>
      <c r="FI134">
        <v>-6.1462078757559423E-4</v>
      </c>
      <c r="FJ134">
        <v>-1.8861989874597051E-7</v>
      </c>
      <c r="FK134">
        <v>1.1980462299894961E-10</v>
      </c>
      <c r="FL134">
        <v>0.1719881465068297</v>
      </c>
      <c r="FM134">
        <v>0</v>
      </c>
      <c r="FN134">
        <v>0</v>
      </c>
      <c r="FO134">
        <v>0</v>
      </c>
      <c r="FP134">
        <v>3</v>
      </c>
      <c r="FQ134">
        <v>2158</v>
      </c>
      <c r="FR134">
        <v>1</v>
      </c>
      <c r="FS134">
        <v>19</v>
      </c>
      <c r="FT134">
        <v>29</v>
      </c>
      <c r="FU134">
        <v>29.1</v>
      </c>
      <c r="FV134">
        <v>1.78223</v>
      </c>
      <c r="FW134">
        <v>2.5915499999999998</v>
      </c>
      <c r="FX134">
        <v>1.5490699999999999</v>
      </c>
      <c r="FY134">
        <v>2.3290999999999999</v>
      </c>
      <c r="FZ134">
        <v>1.50146</v>
      </c>
      <c r="GA134">
        <v>2.36084</v>
      </c>
      <c r="GB134">
        <v>33.558</v>
      </c>
      <c r="GC134">
        <v>23.982399999999998</v>
      </c>
      <c r="GD134">
        <v>19</v>
      </c>
      <c r="GE134">
        <v>284.33699999999999</v>
      </c>
      <c r="GF134">
        <v>594.19200000000001</v>
      </c>
      <c r="GG134">
        <v>25.494299999999999</v>
      </c>
      <c r="GH134">
        <v>25.943999999999999</v>
      </c>
      <c r="GI134">
        <v>30.0001</v>
      </c>
      <c r="GJ134">
        <v>26.064499999999999</v>
      </c>
      <c r="GK134">
        <v>26.045500000000001</v>
      </c>
      <c r="GL134">
        <v>35.622700000000002</v>
      </c>
      <c r="GM134">
        <v>48.186700000000002</v>
      </c>
      <c r="GN134">
        <v>88.555499999999995</v>
      </c>
      <c r="GO134">
        <v>25.498000000000001</v>
      </c>
      <c r="GP134">
        <v>800</v>
      </c>
      <c r="GQ134">
        <v>12.73</v>
      </c>
      <c r="GR134">
        <v>99.826099999999997</v>
      </c>
      <c r="GS134">
        <v>99.698400000000007</v>
      </c>
    </row>
    <row r="135" spans="1:201" x14ac:dyDescent="0.25">
      <c r="A135">
        <v>119</v>
      </c>
      <c r="B135">
        <v>1690233754.5999999</v>
      </c>
      <c r="C135">
        <v>1248.5</v>
      </c>
      <c r="D135" t="s">
        <v>569</v>
      </c>
      <c r="E135" t="s">
        <v>570</v>
      </c>
      <c r="F135" t="s">
        <v>330</v>
      </c>
      <c r="H135">
        <v>1690233754.5999999</v>
      </c>
      <c r="I135">
        <f t="shared" si="30"/>
        <v>1.1355341940637519E-3</v>
      </c>
      <c r="J135">
        <f t="shared" si="31"/>
        <v>1.135534194063752</v>
      </c>
      <c r="K135">
        <f t="shared" si="32"/>
        <v>18.888653940743172</v>
      </c>
      <c r="L135">
        <f t="shared" si="33"/>
        <v>589.04899999999998</v>
      </c>
      <c r="M135">
        <f t="shared" si="34"/>
        <v>146.92559522496506</v>
      </c>
      <c r="N135">
        <f t="shared" si="35"/>
        <v>14.560273299728566</v>
      </c>
      <c r="O135">
        <f t="shared" si="36"/>
        <v>58.374542664262002</v>
      </c>
      <c r="P135">
        <f t="shared" si="37"/>
        <v>7.0974280804323428E-2</v>
      </c>
      <c r="Q135">
        <f t="shared" si="38"/>
        <v>2.1302529683187941</v>
      </c>
      <c r="R135">
        <f t="shared" si="39"/>
        <v>6.9686296613220858E-2</v>
      </c>
      <c r="S135">
        <f t="shared" si="40"/>
        <v>4.366770881534076E-2</v>
      </c>
      <c r="T135">
        <f t="shared" si="41"/>
        <v>276.11630938799993</v>
      </c>
      <c r="U135">
        <f t="shared" si="42"/>
        <v>28.919920721708081</v>
      </c>
      <c r="V135">
        <f t="shared" si="43"/>
        <v>28.919920721708081</v>
      </c>
      <c r="W135">
        <f t="shared" si="44"/>
        <v>4.0031741808453445</v>
      </c>
      <c r="X135">
        <f t="shared" si="45"/>
        <v>67.665909013903502</v>
      </c>
      <c r="Y135">
        <f t="shared" si="46"/>
        <v>2.4408538138313998</v>
      </c>
      <c r="Z135">
        <f t="shared" si="47"/>
        <v>3.6072135132772258</v>
      </c>
      <c r="AA135">
        <f t="shared" si="48"/>
        <v>1.5623203670139447</v>
      </c>
      <c r="AB135">
        <f t="shared" si="49"/>
        <v>-50.077057958211462</v>
      </c>
      <c r="AC135">
        <f t="shared" si="50"/>
        <v>-205.22105106562813</v>
      </c>
      <c r="AD135">
        <f t="shared" si="51"/>
        <v>-21.004859354984514</v>
      </c>
      <c r="AE135">
        <f t="shared" si="52"/>
        <v>-0.18665899082418491</v>
      </c>
      <c r="AF135">
        <v>0</v>
      </c>
      <c r="AG135">
        <v>0</v>
      </c>
      <c r="AH135">
        <f t="shared" si="53"/>
        <v>1</v>
      </c>
      <c r="AI135">
        <f t="shared" si="54"/>
        <v>0</v>
      </c>
      <c r="AJ135">
        <f t="shared" si="55"/>
        <v>52337.536895024685</v>
      </c>
      <c r="AK135">
        <f t="shared" si="56"/>
        <v>1800</v>
      </c>
      <c r="AL135">
        <f t="shared" si="57"/>
        <v>1499.1099047999999</v>
      </c>
      <c r="AM135">
        <f t="shared" si="58"/>
        <v>0.83283883599999997</v>
      </c>
      <c r="AN135">
        <f t="shared" si="59"/>
        <v>0.15339794965999998</v>
      </c>
      <c r="AO135">
        <v>32.4</v>
      </c>
      <c r="AP135">
        <v>0.5</v>
      </c>
      <c r="AQ135" t="s">
        <v>331</v>
      </c>
      <c r="AR135">
        <v>2</v>
      </c>
      <c r="AS135">
        <v>1690233754.5999999</v>
      </c>
      <c r="AT135">
        <v>589.04899999999998</v>
      </c>
      <c r="AU135">
        <v>800.12900000000002</v>
      </c>
      <c r="AV135">
        <v>24.630299999999998</v>
      </c>
      <c r="AW135">
        <v>12.676600000000001</v>
      </c>
      <c r="AX135">
        <v>589.24</v>
      </c>
      <c r="AY135">
        <v>24.458300000000001</v>
      </c>
      <c r="AZ135">
        <v>300.20100000000002</v>
      </c>
      <c r="BA135">
        <v>98.999600000000001</v>
      </c>
      <c r="BB135">
        <v>0.100038</v>
      </c>
      <c r="BC135">
        <v>27.132999999999999</v>
      </c>
      <c r="BD135">
        <v>27.007400000000001</v>
      </c>
      <c r="BE135">
        <v>29.086400000000001</v>
      </c>
      <c r="BF135">
        <v>0</v>
      </c>
      <c r="BG135">
        <v>0</v>
      </c>
      <c r="BH135">
        <v>10002.5</v>
      </c>
      <c r="BI135">
        <v>1081.04</v>
      </c>
      <c r="BJ135">
        <v>1.4577199999999999</v>
      </c>
      <c r="BK135">
        <v>-211.07900000000001</v>
      </c>
      <c r="BL135">
        <v>603.92399999999998</v>
      </c>
      <c r="BM135">
        <v>810.40200000000004</v>
      </c>
      <c r="BN135">
        <v>11.9537</v>
      </c>
      <c r="BO135">
        <v>800.12900000000002</v>
      </c>
      <c r="BP135">
        <v>12.676600000000001</v>
      </c>
      <c r="BQ135">
        <v>2.4383900000000001</v>
      </c>
      <c r="BR135">
        <v>1.25498</v>
      </c>
      <c r="BS135">
        <v>20.620999999999999</v>
      </c>
      <c r="BT135">
        <v>10.270200000000001</v>
      </c>
      <c r="BU135">
        <v>1800</v>
      </c>
      <c r="BV135">
        <v>0.90998199999999996</v>
      </c>
      <c r="BW135">
        <v>3.4006300000000003E-2</v>
      </c>
      <c r="BX135">
        <v>2.2005799999999999E-2</v>
      </c>
      <c r="BY135">
        <v>3.4006000000000002E-2</v>
      </c>
      <c r="BZ135">
        <v>25</v>
      </c>
      <c r="CA135">
        <v>33528.199999999997</v>
      </c>
      <c r="CB135">
        <v>1690232006</v>
      </c>
      <c r="CC135" t="s">
        <v>332</v>
      </c>
      <c r="CD135">
        <v>1690232006</v>
      </c>
      <c r="CE135">
        <v>1690231998.5</v>
      </c>
      <c r="CF135">
        <v>14</v>
      </c>
      <c r="CG135">
        <v>-0.13200000000000001</v>
      </c>
      <c r="CH135">
        <v>-7.0000000000000001E-3</v>
      </c>
      <c r="CI135">
        <v>-0.33800000000000002</v>
      </c>
      <c r="CJ135">
        <v>0.14299999999999999</v>
      </c>
      <c r="CK135">
        <v>799</v>
      </c>
      <c r="CL135">
        <v>19</v>
      </c>
      <c r="CM135">
        <v>7.0000000000000007E-2</v>
      </c>
      <c r="CN135">
        <v>0.14000000000000001</v>
      </c>
      <c r="CO135">
        <v>-208.22602499999999</v>
      </c>
      <c r="CP135">
        <v>-14.90085928705423</v>
      </c>
      <c r="CQ135">
        <v>1.434483783238766</v>
      </c>
      <c r="CR135">
        <v>-1</v>
      </c>
      <c r="CS135">
        <v>11.758815</v>
      </c>
      <c r="CT135">
        <v>1.040019512195113</v>
      </c>
      <c r="CU135">
        <v>0.10096063230289309</v>
      </c>
      <c r="CV135">
        <v>-1</v>
      </c>
      <c r="CW135">
        <v>0</v>
      </c>
      <c r="CX135">
        <v>0</v>
      </c>
      <c r="CY135" t="s">
        <v>333</v>
      </c>
      <c r="CZ135">
        <v>2.3649</v>
      </c>
      <c r="DA135">
        <v>2.7138300000000002</v>
      </c>
      <c r="DB135">
        <v>0.118952</v>
      </c>
      <c r="DC135">
        <v>0.14622099999999999</v>
      </c>
      <c r="DD135">
        <v>0.116046</v>
      </c>
      <c r="DE135">
        <v>7.0805199999999999E-2</v>
      </c>
      <c r="DF135">
        <v>32198</v>
      </c>
      <c r="DG135">
        <v>27550.5</v>
      </c>
      <c r="DH135">
        <v>31197.4</v>
      </c>
      <c r="DI135">
        <v>28116.6</v>
      </c>
      <c r="DJ135">
        <v>37440.1</v>
      </c>
      <c r="DK135">
        <v>37154.699999999997</v>
      </c>
      <c r="DL135">
        <v>44402.5</v>
      </c>
      <c r="DM135">
        <v>42619.9</v>
      </c>
      <c r="DN135">
        <v>1.4823999999999999</v>
      </c>
      <c r="DO135">
        <v>2.05335</v>
      </c>
      <c r="DP135">
        <v>7.5027300000000005E-2</v>
      </c>
      <c r="DQ135">
        <v>0.213869</v>
      </c>
      <c r="DR135">
        <v>25.779199999999999</v>
      </c>
      <c r="DS135">
        <v>25.590699999999998</v>
      </c>
      <c r="DT135">
        <v>55.6</v>
      </c>
      <c r="DU135">
        <v>28.8</v>
      </c>
      <c r="DV135">
        <v>22.3264</v>
      </c>
      <c r="DW135">
        <v>61.527999999999999</v>
      </c>
      <c r="DX135">
        <v>35.8093</v>
      </c>
      <c r="DY135">
        <v>1</v>
      </c>
      <c r="DZ135">
        <v>-0.117386</v>
      </c>
      <c r="EA135">
        <v>-0.32455299999999998</v>
      </c>
      <c r="EB135">
        <v>20.189399999999999</v>
      </c>
      <c r="EC135">
        <v>5.2411000000000003</v>
      </c>
      <c r="ED135">
        <v>12.039899999999999</v>
      </c>
      <c r="EE135">
        <v>5.0174000000000003</v>
      </c>
      <c r="EF135">
        <v>3.2879999999999998</v>
      </c>
      <c r="EG135">
        <v>9999</v>
      </c>
      <c r="EH135">
        <v>9999</v>
      </c>
      <c r="EI135">
        <v>9999</v>
      </c>
      <c r="EJ135">
        <v>999.9</v>
      </c>
      <c r="EK135">
        <v>1.8689</v>
      </c>
      <c r="EL135">
        <v>1.8646199999999999</v>
      </c>
      <c r="EM135">
        <v>1.8691899999999999</v>
      </c>
      <c r="EN135">
        <v>1.8672200000000001</v>
      </c>
      <c r="EO135">
        <v>1.8633900000000001</v>
      </c>
      <c r="EP135">
        <v>1.8644799999999999</v>
      </c>
      <c r="EQ135">
        <v>1.87015</v>
      </c>
      <c r="ER135">
        <v>1.8693599999999999</v>
      </c>
      <c r="ES135">
        <v>0</v>
      </c>
      <c r="ET135">
        <v>0</v>
      </c>
      <c r="EU135">
        <v>0</v>
      </c>
      <c r="EV135">
        <v>0</v>
      </c>
      <c r="EW135" t="s">
        <v>334</v>
      </c>
      <c r="EX135" t="s">
        <v>335</v>
      </c>
      <c r="EY135" t="s">
        <v>336</v>
      </c>
      <c r="EZ135" t="s">
        <v>336</v>
      </c>
      <c r="FA135" t="s">
        <v>336</v>
      </c>
      <c r="FB135" t="s">
        <v>336</v>
      </c>
      <c r="FC135">
        <v>0</v>
      </c>
      <c r="FD135">
        <v>100</v>
      </c>
      <c r="FE135">
        <v>100</v>
      </c>
      <c r="FF135">
        <v>-0.191</v>
      </c>
      <c r="FG135">
        <v>0.17199999999999999</v>
      </c>
      <c r="FH135">
        <v>0.2126736300064915</v>
      </c>
      <c r="FI135">
        <v>-6.1462078757559423E-4</v>
      </c>
      <c r="FJ135">
        <v>-1.8861989874597051E-7</v>
      </c>
      <c r="FK135">
        <v>1.1980462299894961E-10</v>
      </c>
      <c r="FL135">
        <v>0.1719881465068297</v>
      </c>
      <c r="FM135">
        <v>0</v>
      </c>
      <c r="FN135">
        <v>0</v>
      </c>
      <c r="FO135">
        <v>0</v>
      </c>
      <c r="FP135">
        <v>3</v>
      </c>
      <c r="FQ135">
        <v>2158</v>
      </c>
      <c r="FR135">
        <v>1</v>
      </c>
      <c r="FS135">
        <v>19</v>
      </c>
      <c r="FT135">
        <v>29.1</v>
      </c>
      <c r="FU135">
        <v>29.3</v>
      </c>
      <c r="FV135">
        <v>1.78101</v>
      </c>
      <c r="FW135">
        <v>2.5830099999999998</v>
      </c>
      <c r="FX135">
        <v>1.5490699999999999</v>
      </c>
      <c r="FY135">
        <v>2.3290999999999999</v>
      </c>
      <c r="FZ135">
        <v>1.50146</v>
      </c>
      <c r="GA135">
        <v>2.3791500000000001</v>
      </c>
      <c r="GB135">
        <v>33.558</v>
      </c>
      <c r="GC135">
        <v>23.991199999999999</v>
      </c>
      <c r="GD135">
        <v>19</v>
      </c>
      <c r="GE135">
        <v>284.25099999999998</v>
      </c>
      <c r="GF135">
        <v>593.899</v>
      </c>
      <c r="GG135">
        <v>25.4985</v>
      </c>
      <c r="GH135">
        <v>25.942900000000002</v>
      </c>
      <c r="GI135">
        <v>30.0001</v>
      </c>
      <c r="GJ135">
        <v>26.064499999999999</v>
      </c>
      <c r="GK135">
        <v>26.043700000000001</v>
      </c>
      <c r="GL135">
        <v>35.617400000000004</v>
      </c>
      <c r="GM135">
        <v>48.7517</v>
      </c>
      <c r="GN135">
        <v>87.794700000000006</v>
      </c>
      <c r="GO135">
        <v>25.492000000000001</v>
      </c>
      <c r="GP135">
        <v>800</v>
      </c>
      <c r="GQ135">
        <v>12.5672</v>
      </c>
      <c r="GR135">
        <v>99.825800000000001</v>
      </c>
      <c r="GS135">
        <v>99.6982</v>
      </c>
    </row>
    <row r="136" spans="1:201" x14ac:dyDescent="0.25">
      <c r="A136">
        <v>120</v>
      </c>
      <c r="B136">
        <v>1690233764.5999999</v>
      </c>
      <c r="C136">
        <v>1258.5</v>
      </c>
      <c r="D136" t="s">
        <v>571</v>
      </c>
      <c r="E136" t="s">
        <v>572</v>
      </c>
      <c r="F136" t="s">
        <v>330</v>
      </c>
      <c r="H136">
        <v>1690233764.5999999</v>
      </c>
      <c r="I136">
        <f t="shared" si="30"/>
        <v>1.1491713407362494E-3</v>
      </c>
      <c r="J136">
        <f t="shared" si="31"/>
        <v>1.1491713407362494</v>
      </c>
      <c r="K136">
        <f t="shared" si="32"/>
        <v>19.092695080471106</v>
      </c>
      <c r="L136">
        <f t="shared" si="33"/>
        <v>586.64700000000005</v>
      </c>
      <c r="M136">
        <f t="shared" si="34"/>
        <v>145.02539972119052</v>
      </c>
      <c r="N136">
        <f t="shared" si="35"/>
        <v>14.371651445327124</v>
      </c>
      <c r="O136">
        <f t="shared" si="36"/>
        <v>58.135238528254206</v>
      </c>
      <c r="P136">
        <f t="shared" si="37"/>
        <v>7.1830405851761467E-2</v>
      </c>
      <c r="Q136">
        <f t="shared" si="38"/>
        <v>2.1270921592525029</v>
      </c>
      <c r="R136">
        <f t="shared" si="39"/>
        <v>7.0509551864305423E-2</v>
      </c>
      <c r="S136">
        <f t="shared" si="40"/>
        <v>4.4185120348360515E-2</v>
      </c>
      <c r="T136">
        <f t="shared" si="41"/>
        <v>276.11617557599999</v>
      </c>
      <c r="U136">
        <f t="shared" si="42"/>
        <v>28.920963826811892</v>
      </c>
      <c r="V136">
        <f t="shared" si="43"/>
        <v>28.920963826811892</v>
      </c>
      <c r="W136">
        <f t="shared" si="44"/>
        <v>4.0034159613720002</v>
      </c>
      <c r="X136">
        <f t="shared" si="45"/>
        <v>67.651761538386893</v>
      </c>
      <c r="Y136">
        <f t="shared" si="46"/>
        <v>2.4408303564051601</v>
      </c>
      <c r="Z136">
        <f t="shared" si="47"/>
        <v>3.6079331874014642</v>
      </c>
      <c r="AA136">
        <f t="shared" si="48"/>
        <v>1.5625856049668401</v>
      </c>
      <c r="AB136">
        <f t="shared" si="49"/>
        <v>-50.678456126468596</v>
      </c>
      <c r="AC136">
        <f t="shared" si="50"/>
        <v>-204.64627108796461</v>
      </c>
      <c r="AD136">
        <f t="shared" si="51"/>
        <v>-20.977618517794191</v>
      </c>
      <c r="AE136">
        <f t="shared" si="52"/>
        <v>-0.18617015622740496</v>
      </c>
      <c r="AF136">
        <v>0</v>
      </c>
      <c r="AG136">
        <v>0</v>
      </c>
      <c r="AH136">
        <f t="shared" si="53"/>
        <v>1</v>
      </c>
      <c r="AI136">
        <f t="shared" si="54"/>
        <v>0</v>
      </c>
      <c r="AJ136">
        <f t="shared" si="55"/>
        <v>52200.894273799335</v>
      </c>
      <c r="AK136">
        <f t="shared" si="56"/>
        <v>1800</v>
      </c>
      <c r="AL136">
        <f t="shared" si="57"/>
        <v>1499.1093486</v>
      </c>
      <c r="AM136">
        <f t="shared" si="58"/>
        <v>0.83283852699999994</v>
      </c>
      <c r="AN136">
        <f t="shared" si="59"/>
        <v>0.15339787531999999</v>
      </c>
      <c r="AO136">
        <v>32.4</v>
      </c>
      <c r="AP136">
        <v>0.5</v>
      </c>
      <c r="AQ136" t="s">
        <v>331</v>
      </c>
      <c r="AR136">
        <v>2</v>
      </c>
      <c r="AS136">
        <v>1690233764.5999999</v>
      </c>
      <c r="AT136">
        <v>586.64700000000005</v>
      </c>
      <c r="AU136">
        <v>800.00099999999998</v>
      </c>
      <c r="AV136">
        <v>24.630600000000001</v>
      </c>
      <c r="AW136">
        <v>12.532500000000001</v>
      </c>
      <c r="AX136">
        <v>586.83500000000004</v>
      </c>
      <c r="AY136">
        <v>24.458600000000001</v>
      </c>
      <c r="AZ136">
        <v>300.18</v>
      </c>
      <c r="BA136">
        <v>98.997500000000002</v>
      </c>
      <c r="BB136">
        <v>9.9978600000000001E-2</v>
      </c>
      <c r="BC136">
        <v>27.136399999999998</v>
      </c>
      <c r="BD136">
        <v>26.9864</v>
      </c>
      <c r="BE136">
        <v>29.075900000000001</v>
      </c>
      <c r="BF136">
        <v>0</v>
      </c>
      <c r="BG136">
        <v>0</v>
      </c>
      <c r="BH136">
        <v>9975.6200000000008</v>
      </c>
      <c r="BI136">
        <v>1081.01</v>
      </c>
      <c r="BJ136">
        <v>1.4577199999999999</v>
      </c>
      <c r="BK136">
        <v>-213.35400000000001</v>
      </c>
      <c r="BL136">
        <v>601.46100000000001</v>
      </c>
      <c r="BM136">
        <v>810.154</v>
      </c>
      <c r="BN136">
        <v>12.098100000000001</v>
      </c>
      <c r="BO136">
        <v>800.00099999999998</v>
      </c>
      <c r="BP136">
        <v>12.532500000000001</v>
      </c>
      <c r="BQ136">
        <v>2.4383699999999999</v>
      </c>
      <c r="BR136">
        <v>1.24068</v>
      </c>
      <c r="BS136">
        <v>20.620799999999999</v>
      </c>
      <c r="BT136">
        <v>10.0989</v>
      </c>
      <c r="BU136">
        <v>1800</v>
      </c>
      <c r="BV136">
        <v>0.90998199999999996</v>
      </c>
      <c r="BW136">
        <v>3.4007799999999998E-2</v>
      </c>
      <c r="BX136">
        <v>2.20051E-2</v>
      </c>
      <c r="BY136">
        <v>3.4005000000000001E-2</v>
      </c>
      <c r="BZ136">
        <v>25</v>
      </c>
      <c r="CA136">
        <v>33528.199999999997</v>
      </c>
      <c r="CB136">
        <v>1690232006</v>
      </c>
      <c r="CC136" t="s">
        <v>332</v>
      </c>
      <c r="CD136">
        <v>1690232006</v>
      </c>
      <c r="CE136">
        <v>1690231998.5</v>
      </c>
      <c r="CF136">
        <v>14</v>
      </c>
      <c r="CG136">
        <v>-0.13200000000000001</v>
      </c>
      <c r="CH136">
        <v>-7.0000000000000001E-3</v>
      </c>
      <c r="CI136">
        <v>-0.33800000000000002</v>
      </c>
      <c r="CJ136">
        <v>0.14299999999999999</v>
      </c>
      <c r="CK136">
        <v>799</v>
      </c>
      <c r="CL136">
        <v>19</v>
      </c>
      <c r="CM136">
        <v>7.0000000000000007E-2</v>
      </c>
      <c r="CN136">
        <v>0.14000000000000001</v>
      </c>
      <c r="CO136">
        <v>-210.70474999999999</v>
      </c>
      <c r="CP136">
        <v>-14.816285178236109</v>
      </c>
      <c r="CQ136">
        <v>1.4262257841940711</v>
      </c>
      <c r="CR136">
        <v>-1</v>
      </c>
      <c r="CS136">
        <v>11.9204475</v>
      </c>
      <c r="CT136">
        <v>0.95502776735459949</v>
      </c>
      <c r="CU136">
        <v>9.2819224806879236E-2</v>
      </c>
      <c r="CV136">
        <v>-1</v>
      </c>
      <c r="CW136">
        <v>0</v>
      </c>
      <c r="CX136">
        <v>0</v>
      </c>
      <c r="CY136" t="s">
        <v>333</v>
      </c>
      <c r="CZ136">
        <v>2.3648500000000001</v>
      </c>
      <c r="DA136">
        <v>2.7137500000000001</v>
      </c>
      <c r="DB136">
        <v>0.118607</v>
      </c>
      <c r="DC136">
        <v>0.1462</v>
      </c>
      <c r="DD136">
        <v>0.116045</v>
      </c>
      <c r="DE136">
        <v>7.0200899999999997E-2</v>
      </c>
      <c r="DF136">
        <v>32211</v>
      </c>
      <c r="DG136">
        <v>27551.200000000001</v>
      </c>
      <c r="DH136">
        <v>31197.8</v>
      </c>
      <c r="DI136">
        <v>28116.6</v>
      </c>
      <c r="DJ136">
        <v>37440.400000000001</v>
      </c>
      <c r="DK136">
        <v>37179.1</v>
      </c>
      <c r="DL136">
        <v>44402.9</v>
      </c>
      <c r="DM136">
        <v>42620.1</v>
      </c>
      <c r="DN136">
        <v>1.4825999999999999</v>
      </c>
      <c r="DO136">
        <v>2.0529799999999998</v>
      </c>
      <c r="DP136">
        <v>7.3649000000000006E-2</v>
      </c>
      <c r="DQ136">
        <v>0.213087</v>
      </c>
      <c r="DR136">
        <v>25.7807</v>
      </c>
      <c r="DS136">
        <v>25.5929</v>
      </c>
      <c r="DT136">
        <v>55.4</v>
      </c>
      <c r="DU136">
        <v>28.8</v>
      </c>
      <c r="DV136">
        <v>22.2483</v>
      </c>
      <c r="DW136">
        <v>61.457999999999998</v>
      </c>
      <c r="DX136">
        <v>36.9191</v>
      </c>
      <c r="DY136">
        <v>1</v>
      </c>
      <c r="DZ136">
        <v>-0.11740299999999999</v>
      </c>
      <c r="EA136">
        <v>-0.340588</v>
      </c>
      <c r="EB136">
        <v>20.189499999999999</v>
      </c>
      <c r="EC136">
        <v>5.2409499999999998</v>
      </c>
      <c r="ED136">
        <v>12.039899999999999</v>
      </c>
      <c r="EE136">
        <v>5.0172499999999998</v>
      </c>
      <c r="EF136">
        <v>3.2879999999999998</v>
      </c>
      <c r="EG136">
        <v>9999</v>
      </c>
      <c r="EH136">
        <v>9999</v>
      </c>
      <c r="EI136">
        <v>9999</v>
      </c>
      <c r="EJ136">
        <v>999.9</v>
      </c>
      <c r="EK136">
        <v>1.8689</v>
      </c>
      <c r="EL136">
        <v>1.8646199999999999</v>
      </c>
      <c r="EM136">
        <v>1.8691800000000001</v>
      </c>
      <c r="EN136">
        <v>1.8672200000000001</v>
      </c>
      <c r="EO136">
        <v>1.8633900000000001</v>
      </c>
      <c r="EP136">
        <v>1.8644700000000001</v>
      </c>
      <c r="EQ136">
        <v>1.87015</v>
      </c>
      <c r="ER136">
        <v>1.8693500000000001</v>
      </c>
      <c r="ES136">
        <v>0</v>
      </c>
      <c r="ET136">
        <v>0</v>
      </c>
      <c r="EU136">
        <v>0</v>
      </c>
      <c r="EV136">
        <v>0</v>
      </c>
      <c r="EW136" t="s">
        <v>334</v>
      </c>
      <c r="EX136" t="s">
        <v>335</v>
      </c>
      <c r="EY136" t="s">
        <v>336</v>
      </c>
      <c r="EZ136" t="s">
        <v>336</v>
      </c>
      <c r="FA136" t="s">
        <v>336</v>
      </c>
      <c r="FB136" t="s">
        <v>336</v>
      </c>
      <c r="FC136">
        <v>0</v>
      </c>
      <c r="FD136">
        <v>100</v>
      </c>
      <c r="FE136">
        <v>100</v>
      </c>
      <c r="FF136">
        <v>-0.188</v>
      </c>
      <c r="FG136">
        <v>0.17199999999999999</v>
      </c>
      <c r="FH136">
        <v>0.2126736300064915</v>
      </c>
      <c r="FI136">
        <v>-6.1462078757559423E-4</v>
      </c>
      <c r="FJ136">
        <v>-1.8861989874597051E-7</v>
      </c>
      <c r="FK136">
        <v>1.1980462299894961E-10</v>
      </c>
      <c r="FL136">
        <v>0.1719881465068297</v>
      </c>
      <c r="FM136">
        <v>0</v>
      </c>
      <c r="FN136">
        <v>0</v>
      </c>
      <c r="FO136">
        <v>0</v>
      </c>
      <c r="FP136">
        <v>3</v>
      </c>
      <c r="FQ136">
        <v>2158</v>
      </c>
      <c r="FR136">
        <v>1</v>
      </c>
      <c r="FS136">
        <v>19</v>
      </c>
      <c r="FT136">
        <v>29.3</v>
      </c>
      <c r="FU136">
        <v>29.4</v>
      </c>
      <c r="FV136">
        <v>1.78101</v>
      </c>
      <c r="FW136">
        <v>2.5952099999999998</v>
      </c>
      <c r="FX136">
        <v>1.5490699999999999</v>
      </c>
      <c r="FY136">
        <v>2.3290999999999999</v>
      </c>
      <c r="FZ136">
        <v>1.50146</v>
      </c>
      <c r="GA136">
        <v>2.3327599999999999</v>
      </c>
      <c r="GB136">
        <v>33.558</v>
      </c>
      <c r="GC136">
        <v>23.982399999999998</v>
      </c>
      <c r="GD136">
        <v>19</v>
      </c>
      <c r="GE136">
        <v>284.327</v>
      </c>
      <c r="GF136">
        <v>593.56600000000003</v>
      </c>
      <c r="GG136">
        <v>25.487500000000001</v>
      </c>
      <c r="GH136">
        <v>25.942900000000002</v>
      </c>
      <c r="GI136">
        <v>30</v>
      </c>
      <c r="GJ136">
        <v>26.0623</v>
      </c>
      <c r="GK136">
        <v>26.042100000000001</v>
      </c>
      <c r="GL136">
        <v>35.612299999999998</v>
      </c>
      <c r="GM136">
        <v>49.0441</v>
      </c>
      <c r="GN136">
        <v>87.412700000000001</v>
      </c>
      <c r="GO136">
        <v>25.490500000000001</v>
      </c>
      <c r="GP136">
        <v>800</v>
      </c>
      <c r="GQ136">
        <v>12.411099999999999</v>
      </c>
      <c r="GR136">
        <v>99.826899999999995</v>
      </c>
      <c r="GS136">
        <v>99.698499999999996</v>
      </c>
    </row>
    <row r="137" spans="1:201" x14ac:dyDescent="0.25">
      <c r="A137">
        <v>121</v>
      </c>
      <c r="B137">
        <v>1690233774.5999999</v>
      </c>
      <c r="C137">
        <v>1268.5</v>
      </c>
      <c r="D137" t="s">
        <v>573</v>
      </c>
      <c r="E137" t="s">
        <v>574</v>
      </c>
      <c r="F137" t="s">
        <v>330</v>
      </c>
      <c r="H137">
        <v>1690233774.5999999</v>
      </c>
      <c r="I137">
        <f t="shared" si="30"/>
        <v>1.163847683649966E-3</v>
      </c>
      <c r="J137">
        <f t="shared" si="31"/>
        <v>1.163847683649966</v>
      </c>
      <c r="K137">
        <f t="shared" si="32"/>
        <v>19.317252342696378</v>
      </c>
      <c r="L137">
        <f t="shared" si="33"/>
        <v>584.18299999999999</v>
      </c>
      <c r="M137">
        <f t="shared" si="34"/>
        <v>143.50129862061317</v>
      </c>
      <c r="N137">
        <f t="shared" si="35"/>
        <v>14.220712641895123</v>
      </c>
      <c r="O137">
        <f t="shared" si="36"/>
        <v>57.891452224718002</v>
      </c>
      <c r="P137">
        <f t="shared" si="37"/>
        <v>7.2835411129112848E-2</v>
      </c>
      <c r="Q137">
        <f t="shared" si="38"/>
        <v>2.1342386642025408</v>
      </c>
      <c r="R137">
        <f t="shared" si="39"/>
        <v>7.1482169197045267E-2</v>
      </c>
      <c r="S137">
        <f t="shared" si="40"/>
        <v>4.4795844991055003E-2</v>
      </c>
      <c r="T137">
        <f t="shared" si="41"/>
        <v>276.11458102758326</v>
      </c>
      <c r="U137">
        <f t="shared" si="42"/>
        <v>28.913911491338919</v>
      </c>
      <c r="V137">
        <f t="shared" si="43"/>
        <v>28.913911491338919</v>
      </c>
      <c r="W137">
        <f t="shared" si="44"/>
        <v>4.0017815539329158</v>
      </c>
      <c r="X137">
        <f t="shared" si="45"/>
        <v>67.635579965535229</v>
      </c>
      <c r="Y137">
        <f t="shared" si="46"/>
        <v>2.4407476967216</v>
      </c>
      <c r="Z137">
        <f t="shared" si="47"/>
        <v>3.6086741593186917</v>
      </c>
      <c r="AA137">
        <f t="shared" si="48"/>
        <v>1.5610338572113158</v>
      </c>
      <c r="AB137">
        <f t="shared" si="49"/>
        <v>-51.325682848963503</v>
      </c>
      <c r="AC137">
        <f t="shared" si="50"/>
        <v>-204.11966901540814</v>
      </c>
      <c r="AD137">
        <f t="shared" si="51"/>
        <v>-20.853204111290086</v>
      </c>
      <c r="AE137">
        <f t="shared" si="52"/>
        <v>-0.18397494807848602</v>
      </c>
      <c r="AF137">
        <v>0</v>
      </c>
      <c r="AG137">
        <v>0</v>
      </c>
      <c r="AH137">
        <f t="shared" si="53"/>
        <v>1</v>
      </c>
      <c r="AI137">
        <f t="shared" si="54"/>
        <v>0</v>
      </c>
      <c r="AJ137">
        <f t="shared" si="55"/>
        <v>52508.128908957195</v>
      </c>
      <c r="AK137">
        <f t="shared" si="56"/>
        <v>1799.99</v>
      </c>
      <c r="AL137">
        <f t="shared" si="57"/>
        <v>1499.1014342124299</v>
      </c>
      <c r="AM137">
        <f t="shared" si="58"/>
        <v>0.83283875699999999</v>
      </c>
      <c r="AN137">
        <f t="shared" si="59"/>
        <v>0.15339784166999998</v>
      </c>
      <c r="AO137">
        <v>32.4</v>
      </c>
      <c r="AP137">
        <v>0.5</v>
      </c>
      <c r="AQ137" t="s">
        <v>331</v>
      </c>
      <c r="AR137">
        <v>2</v>
      </c>
      <c r="AS137">
        <v>1690233774.5999999</v>
      </c>
      <c r="AT137">
        <v>584.18299999999999</v>
      </c>
      <c r="AU137">
        <v>800.04</v>
      </c>
      <c r="AV137">
        <v>24.6296</v>
      </c>
      <c r="AW137">
        <v>12.375999999999999</v>
      </c>
      <c r="AX137">
        <v>584.37</v>
      </c>
      <c r="AY137">
        <v>24.457699999999999</v>
      </c>
      <c r="AZ137">
        <v>300.15600000000001</v>
      </c>
      <c r="BA137">
        <v>98.998199999999997</v>
      </c>
      <c r="BB137">
        <v>9.9945999999999993E-2</v>
      </c>
      <c r="BC137">
        <v>27.139900000000001</v>
      </c>
      <c r="BD137">
        <v>26.997399999999999</v>
      </c>
      <c r="BE137">
        <v>29.030999999999999</v>
      </c>
      <c r="BF137">
        <v>0</v>
      </c>
      <c r="BG137">
        <v>0</v>
      </c>
      <c r="BH137">
        <v>10036.9</v>
      </c>
      <c r="BI137">
        <v>1080.99</v>
      </c>
      <c r="BJ137">
        <v>1.4577199999999999</v>
      </c>
      <c r="BK137">
        <v>-215.85599999999999</v>
      </c>
      <c r="BL137">
        <v>598.93499999999995</v>
      </c>
      <c r="BM137">
        <v>810.06500000000005</v>
      </c>
      <c r="BN137">
        <v>12.2536</v>
      </c>
      <c r="BO137">
        <v>800.04</v>
      </c>
      <c r="BP137">
        <v>12.375999999999999</v>
      </c>
      <c r="BQ137">
        <v>2.4382899999999998</v>
      </c>
      <c r="BR137">
        <v>1.2252099999999999</v>
      </c>
      <c r="BS137">
        <v>20.6203</v>
      </c>
      <c r="BT137">
        <v>9.9113900000000008</v>
      </c>
      <c r="BU137">
        <v>1799.99</v>
      </c>
      <c r="BV137">
        <v>0.90998400000000002</v>
      </c>
      <c r="BW137">
        <v>3.4007099999999998E-2</v>
      </c>
      <c r="BX137">
        <v>2.2004599999999999E-2</v>
      </c>
      <c r="BY137">
        <v>3.4004300000000001E-2</v>
      </c>
      <c r="BZ137">
        <v>25</v>
      </c>
      <c r="CA137">
        <v>33528.1</v>
      </c>
      <c r="CB137">
        <v>1690232006</v>
      </c>
      <c r="CC137" t="s">
        <v>332</v>
      </c>
      <c r="CD137">
        <v>1690232006</v>
      </c>
      <c r="CE137">
        <v>1690231998.5</v>
      </c>
      <c r="CF137">
        <v>14</v>
      </c>
      <c r="CG137">
        <v>-0.13200000000000001</v>
      </c>
      <c r="CH137">
        <v>-7.0000000000000001E-3</v>
      </c>
      <c r="CI137">
        <v>-0.33800000000000002</v>
      </c>
      <c r="CJ137">
        <v>0.14299999999999999</v>
      </c>
      <c r="CK137">
        <v>799</v>
      </c>
      <c r="CL137">
        <v>19</v>
      </c>
      <c r="CM137">
        <v>7.0000000000000007E-2</v>
      </c>
      <c r="CN137">
        <v>0.14000000000000001</v>
      </c>
      <c r="CO137">
        <v>-213.18512195121949</v>
      </c>
      <c r="CP137">
        <v>-14.310355400697221</v>
      </c>
      <c r="CQ137">
        <v>1.412030819036324</v>
      </c>
      <c r="CR137">
        <v>-1</v>
      </c>
      <c r="CS137">
        <v>12.08220731707317</v>
      </c>
      <c r="CT137">
        <v>0.92516445993035656</v>
      </c>
      <c r="CU137">
        <v>9.1752791916699966E-2</v>
      </c>
      <c r="CV137">
        <v>-1</v>
      </c>
      <c r="CW137">
        <v>0</v>
      </c>
      <c r="CX137">
        <v>0</v>
      </c>
      <c r="CY137" t="s">
        <v>333</v>
      </c>
      <c r="CZ137">
        <v>2.3647499999999999</v>
      </c>
      <c r="DA137">
        <v>2.7137699999999998</v>
      </c>
      <c r="DB137">
        <v>0.118255</v>
      </c>
      <c r="DC137">
        <v>0.146202</v>
      </c>
      <c r="DD137">
        <v>0.11604200000000001</v>
      </c>
      <c r="DE137">
        <v>6.9543900000000006E-2</v>
      </c>
      <c r="DF137">
        <v>32223.7</v>
      </c>
      <c r="DG137">
        <v>27551.599999999999</v>
      </c>
      <c r="DH137">
        <v>31197.599999999999</v>
      </c>
      <c r="DI137">
        <v>28117.200000000001</v>
      </c>
      <c r="DJ137">
        <v>37440.400000000001</v>
      </c>
      <c r="DK137">
        <v>37205.9</v>
      </c>
      <c r="DL137">
        <v>44402.8</v>
      </c>
      <c r="DM137">
        <v>42620.7</v>
      </c>
      <c r="DN137">
        <v>1.4826299999999999</v>
      </c>
      <c r="DO137">
        <v>2.0527000000000002</v>
      </c>
      <c r="DP137">
        <v>7.4282299999999996E-2</v>
      </c>
      <c r="DQ137">
        <v>0.21032999999999999</v>
      </c>
      <c r="DR137">
        <v>25.781400000000001</v>
      </c>
      <c r="DS137">
        <v>25.5929</v>
      </c>
      <c r="DT137">
        <v>55.4</v>
      </c>
      <c r="DU137">
        <v>28.8</v>
      </c>
      <c r="DV137">
        <v>22.246700000000001</v>
      </c>
      <c r="DW137">
        <v>61.718000000000004</v>
      </c>
      <c r="DX137">
        <v>36.133800000000001</v>
      </c>
      <c r="DY137">
        <v>1</v>
      </c>
      <c r="DZ137">
        <v>-0.11743099999999999</v>
      </c>
      <c r="EA137">
        <v>-0.366838</v>
      </c>
      <c r="EB137">
        <v>20.189499999999999</v>
      </c>
      <c r="EC137">
        <v>5.2411000000000003</v>
      </c>
      <c r="ED137">
        <v>12.039899999999999</v>
      </c>
      <c r="EE137">
        <v>5.0172499999999998</v>
      </c>
      <c r="EF137">
        <v>3.2879999999999998</v>
      </c>
      <c r="EG137">
        <v>9999</v>
      </c>
      <c r="EH137">
        <v>9999</v>
      </c>
      <c r="EI137">
        <v>9999</v>
      </c>
      <c r="EJ137">
        <v>999.9</v>
      </c>
      <c r="EK137">
        <v>1.8689</v>
      </c>
      <c r="EL137">
        <v>1.8646199999999999</v>
      </c>
      <c r="EM137">
        <v>1.8691899999999999</v>
      </c>
      <c r="EN137">
        <v>1.8672200000000001</v>
      </c>
      <c r="EO137">
        <v>1.8633900000000001</v>
      </c>
      <c r="EP137">
        <v>1.8644799999999999</v>
      </c>
      <c r="EQ137">
        <v>1.8701399999999999</v>
      </c>
      <c r="ER137">
        <v>1.86937</v>
      </c>
      <c r="ES137">
        <v>0</v>
      </c>
      <c r="ET137">
        <v>0</v>
      </c>
      <c r="EU137">
        <v>0</v>
      </c>
      <c r="EV137">
        <v>0</v>
      </c>
      <c r="EW137" t="s">
        <v>334</v>
      </c>
      <c r="EX137" t="s">
        <v>335</v>
      </c>
      <c r="EY137" t="s">
        <v>336</v>
      </c>
      <c r="EZ137" t="s">
        <v>336</v>
      </c>
      <c r="FA137" t="s">
        <v>336</v>
      </c>
      <c r="FB137" t="s">
        <v>336</v>
      </c>
      <c r="FC137">
        <v>0</v>
      </c>
      <c r="FD137">
        <v>100</v>
      </c>
      <c r="FE137">
        <v>100</v>
      </c>
      <c r="FF137">
        <v>-0.187</v>
      </c>
      <c r="FG137">
        <v>0.1719</v>
      </c>
      <c r="FH137">
        <v>0.2126736300064915</v>
      </c>
      <c r="FI137">
        <v>-6.1462078757559423E-4</v>
      </c>
      <c r="FJ137">
        <v>-1.8861989874597051E-7</v>
      </c>
      <c r="FK137">
        <v>1.1980462299894961E-10</v>
      </c>
      <c r="FL137">
        <v>0.1719881465068297</v>
      </c>
      <c r="FM137">
        <v>0</v>
      </c>
      <c r="FN137">
        <v>0</v>
      </c>
      <c r="FO137">
        <v>0</v>
      </c>
      <c r="FP137">
        <v>3</v>
      </c>
      <c r="FQ137">
        <v>2158</v>
      </c>
      <c r="FR137">
        <v>1</v>
      </c>
      <c r="FS137">
        <v>19</v>
      </c>
      <c r="FT137">
        <v>29.5</v>
      </c>
      <c r="FU137">
        <v>29.6</v>
      </c>
      <c r="FV137">
        <v>1.78101</v>
      </c>
      <c r="FW137">
        <v>2.5866699999999998</v>
      </c>
      <c r="FX137">
        <v>1.5490699999999999</v>
      </c>
      <c r="FY137">
        <v>2.3290999999999999</v>
      </c>
      <c r="FZ137">
        <v>1.50146</v>
      </c>
      <c r="GA137">
        <v>2.3901400000000002</v>
      </c>
      <c r="GB137">
        <v>33.558</v>
      </c>
      <c r="GC137">
        <v>23.991199999999999</v>
      </c>
      <c r="GD137">
        <v>19</v>
      </c>
      <c r="GE137">
        <v>284.33699999999999</v>
      </c>
      <c r="GF137">
        <v>593.33000000000004</v>
      </c>
      <c r="GG137">
        <v>25.499099999999999</v>
      </c>
      <c r="GH137">
        <v>25.9407</v>
      </c>
      <c r="GI137">
        <v>30.0001</v>
      </c>
      <c r="GJ137">
        <v>26.0623</v>
      </c>
      <c r="GK137">
        <v>26.041499999999999</v>
      </c>
      <c r="GL137">
        <v>35.609000000000002</v>
      </c>
      <c r="GM137">
        <v>49.627099999999999</v>
      </c>
      <c r="GN137">
        <v>86.652799999999999</v>
      </c>
      <c r="GO137">
        <v>25.500699999999998</v>
      </c>
      <c r="GP137">
        <v>800</v>
      </c>
      <c r="GQ137">
        <v>12.2491</v>
      </c>
      <c r="GR137">
        <v>99.826499999999996</v>
      </c>
      <c r="GS137">
        <v>99.700100000000006</v>
      </c>
    </row>
    <row r="138" spans="1:201" x14ac:dyDescent="0.25">
      <c r="A138">
        <v>122</v>
      </c>
      <c r="B138">
        <v>1690233784.5999999</v>
      </c>
      <c r="C138">
        <v>1278.5</v>
      </c>
      <c r="D138" t="s">
        <v>575</v>
      </c>
      <c r="E138" t="s">
        <v>576</v>
      </c>
      <c r="F138" t="s">
        <v>330</v>
      </c>
      <c r="H138">
        <v>1690233784.5999999</v>
      </c>
      <c r="I138">
        <f t="shared" si="30"/>
        <v>1.1777008851926081E-3</v>
      </c>
      <c r="J138">
        <f t="shared" si="31"/>
        <v>1.1777008851926081</v>
      </c>
      <c r="K138">
        <f t="shared" si="32"/>
        <v>19.537136220124978</v>
      </c>
      <c r="L138">
        <f t="shared" si="33"/>
        <v>581.83299999999997</v>
      </c>
      <c r="M138">
        <f t="shared" si="34"/>
        <v>142.39585101708772</v>
      </c>
      <c r="N138">
        <f t="shared" si="35"/>
        <v>14.111044295797722</v>
      </c>
      <c r="O138">
        <f t="shared" si="36"/>
        <v>57.658079059983493</v>
      </c>
      <c r="P138">
        <f t="shared" si="37"/>
        <v>7.3886155756312646E-2</v>
      </c>
      <c r="Q138">
        <f t="shared" si="38"/>
        <v>2.1292793446383502</v>
      </c>
      <c r="R138">
        <f t="shared" si="39"/>
        <v>7.2490813364691584E-2</v>
      </c>
      <c r="S138">
        <f t="shared" si="40"/>
        <v>4.5429929503669926E-2</v>
      </c>
      <c r="T138">
        <f t="shared" si="41"/>
        <v>276.11611389000001</v>
      </c>
      <c r="U138">
        <f t="shared" si="42"/>
        <v>28.896769476256718</v>
      </c>
      <c r="V138">
        <f t="shared" si="43"/>
        <v>28.896769476256718</v>
      </c>
      <c r="W138">
        <f t="shared" si="44"/>
        <v>3.9978112479922521</v>
      </c>
      <c r="X138">
        <f t="shared" si="45"/>
        <v>67.682982340412167</v>
      </c>
      <c r="Y138">
        <f t="shared" si="46"/>
        <v>2.4401520834280994</v>
      </c>
      <c r="Z138">
        <f t="shared" si="47"/>
        <v>3.6052667879723925</v>
      </c>
      <c r="AA138">
        <f t="shared" si="48"/>
        <v>1.5576591645641527</v>
      </c>
      <c r="AB138">
        <f t="shared" si="49"/>
        <v>-51.936609036994014</v>
      </c>
      <c r="AC138">
        <f t="shared" si="50"/>
        <v>-203.52574040022299</v>
      </c>
      <c r="AD138">
        <f t="shared" si="51"/>
        <v>-20.837503238911204</v>
      </c>
      <c r="AE138">
        <f t="shared" si="52"/>
        <v>-0.18373878612820249</v>
      </c>
      <c r="AF138">
        <v>0</v>
      </c>
      <c r="AG138">
        <v>0</v>
      </c>
      <c r="AH138">
        <f t="shared" si="53"/>
        <v>1</v>
      </c>
      <c r="AI138">
        <f t="shared" si="54"/>
        <v>0</v>
      </c>
      <c r="AJ138">
        <f t="shared" si="55"/>
        <v>52297.171830789579</v>
      </c>
      <c r="AK138">
        <f t="shared" si="56"/>
        <v>1800</v>
      </c>
      <c r="AL138">
        <f t="shared" si="57"/>
        <v>1499.1107489999999</v>
      </c>
      <c r="AM138">
        <f t="shared" si="58"/>
        <v>0.83283930499999992</v>
      </c>
      <c r="AN138">
        <f t="shared" si="59"/>
        <v>0.15339784105000001</v>
      </c>
      <c r="AO138">
        <v>32.4</v>
      </c>
      <c r="AP138">
        <v>0.5</v>
      </c>
      <c r="AQ138" t="s">
        <v>331</v>
      </c>
      <c r="AR138">
        <v>2</v>
      </c>
      <c r="AS138">
        <v>1690233784.5999999</v>
      </c>
      <c r="AT138">
        <v>581.83299999999997</v>
      </c>
      <c r="AU138">
        <v>800.16099999999994</v>
      </c>
      <c r="AV138">
        <v>24.623799999999999</v>
      </c>
      <c r="AW138">
        <v>12.222</v>
      </c>
      <c r="AX138">
        <v>582.01800000000003</v>
      </c>
      <c r="AY138">
        <v>24.451799999999999</v>
      </c>
      <c r="AZ138">
        <v>300.101</v>
      </c>
      <c r="BA138">
        <v>98.997299999999996</v>
      </c>
      <c r="BB138">
        <v>9.9999500000000005E-2</v>
      </c>
      <c r="BC138">
        <v>27.123799999999999</v>
      </c>
      <c r="BD138">
        <v>27.0029</v>
      </c>
      <c r="BE138">
        <v>29.0579</v>
      </c>
      <c r="BF138">
        <v>0</v>
      </c>
      <c r="BG138">
        <v>0</v>
      </c>
      <c r="BH138">
        <v>9994.3799999999992</v>
      </c>
      <c r="BI138">
        <v>1081.03</v>
      </c>
      <c r="BJ138">
        <v>1.4577199999999999</v>
      </c>
      <c r="BK138">
        <v>-218.328</v>
      </c>
      <c r="BL138">
        <v>596.52200000000005</v>
      </c>
      <c r="BM138">
        <v>810.06200000000001</v>
      </c>
      <c r="BN138">
        <v>12.4018</v>
      </c>
      <c r="BO138">
        <v>800.16099999999994</v>
      </c>
      <c r="BP138">
        <v>12.222</v>
      </c>
      <c r="BQ138">
        <v>2.4376899999999999</v>
      </c>
      <c r="BR138">
        <v>1.20994</v>
      </c>
      <c r="BS138">
        <v>20.616299999999999</v>
      </c>
      <c r="BT138">
        <v>9.7244499999999992</v>
      </c>
      <c r="BU138">
        <v>1800</v>
      </c>
      <c r="BV138">
        <v>0.90998699999999999</v>
      </c>
      <c r="BW138">
        <v>3.4006099999999997E-2</v>
      </c>
      <c r="BX138">
        <v>2.2003999999999999E-2</v>
      </c>
      <c r="BY138">
        <v>3.40033E-2</v>
      </c>
      <c r="BZ138">
        <v>25</v>
      </c>
      <c r="CA138">
        <v>33528.300000000003</v>
      </c>
      <c r="CB138">
        <v>1690232006</v>
      </c>
      <c r="CC138" t="s">
        <v>332</v>
      </c>
      <c r="CD138">
        <v>1690232006</v>
      </c>
      <c r="CE138">
        <v>1690231998.5</v>
      </c>
      <c r="CF138">
        <v>14</v>
      </c>
      <c r="CG138">
        <v>-0.13200000000000001</v>
      </c>
      <c r="CH138">
        <v>-7.0000000000000001E-3</v>
      </c>
      <c r="CI138">
        <v>-0.33800000000000002</v>
      </c>
      <c r="CJ138">
        <v>0.14299999999999999</v>
      </c>
      <c r="CK138">
        <v>799</v>
      </c>
      <c r="CL138">
        <v>19</v>
      </c>
      <c r="CM138">
        <v>7.0000000000000007E-2</v>
      </c>
      <c r="CN138">
        <v>0.14000000000000001</v>
      </c>
      <c r="CO138">
        <v>-215.61207317073169</v>
      </c>
      <c r="CP138">
        <v>-14.79146341463391</v>
      </c>
      <c r="CQ138">
        <v>1.4595393758881561</v>
      </c>
      <c r="CR138">
        <v>-1</v>
      </c>
      <c r="CS138">
        <v>12.246046341463421</v>
      </c>
      <c r="CT138">
        <v>0.99763902439027519</v>
      </c>
      <c r="CU138">
        <v>9.9174861826585956E-2</v>
      </c>
      <c r="CV138">
        <v>-1</v>
      </c>
      <c r="CW138">
        <v>0</v>
      </c>
      <c r="CX138">
        <v>0</v>
      </c>
      <c r="CY138" t="s">
        <v>333</v>
      </c>
      <c r="CZ138">
        <v>2.3646099999999999</v>
      </c>
      <c r="DA138">
        <v>2.7137799999999999</v>
      </c>
      <c r="DB138">
        <v>0.11791699999999999</v>
      </c>
      <c r="DC138">
        <v>0.14621400000000001</v>
      </c>
      <c r="DD138">
        <v>0.116022</v>
      </c>
      <c r="DE138">
        <v>6.8893099999999999E-2</v>
      </c>
      <c r="DF138">
        <v>32236.2</v>
      </c>
      <c r="DG138">
        <v>27551.200000000001</v>
      </c>
      <c r="DH138">
        <v>31197.8</v>
      </c>
      <c r="DI138">
        <v>28117.1</v>
      </c>
      <c r="DJ138">
        <v>37441.300000000003</v>
      </c>
      <c r="DK138">
        <v>37232.300000000003</v>
      </c>
      <c r="DL138">
        <v>44402.9</v>
      </c>
      <c r="DM138">
        <v>42621</v>
      </c>
      <c r="DN138">
        <v>1.48295</v>
      </c>
      <c r="DO138">
        <v>2.0527500000000001</v>
      </c>
      <c r="DP138">
        <v>7.4617600000000006E-2</v>
      </c>
      <c r="DQ138">
        <v>0.212118</v>
      </c>
      <c r="DR138">
        <v>25.781400000000001</v>
      </c>
      <c r="DS138">
        <v>25.590800000000002</v>
      </c>
      <c r="DT138">
        <v>55.2</v>
      </c>
      <c r="DU138">
        <v>28.8</v>
      </c>
      <c r="DV138">
        <v>22.1678</v>
      </c>
      <c r="DW138">
        <v>61.527999999999999</v>
      </c>
      <c r="DX138">
        <v>36.8429</v>
      </c>
      <c r="DY138">
        <v>1</v>
      </c>
      <c r="DZ138">
        <v>-0.117622</v>
      </c>
      <c r="EA138">
        <v>-0.36152499999999999</v>
      </c>
      <c r="EB138">
        <v>20.189299999999999</v>
      </c>
      <c r="EC138">
        <v>5.24125</v>
      </c>
      <c r="ED138">
        <v>12.039899999999999</v>
      </c>
      <c r="EE138">
        <v>5.0174000000000003</v>
      </c>
      <c r="EF138">
        <v>3.2879999999999998</v>
      </c>
      <c r="EG138">
        <v>9999</v>
      </c>
      <c r="EH138">
        <v>9999</v>
      </c>
      <c r="EI138">
        <v>9999</v>
      </c>
      <c r="EJ138">
        <v>999.9</v>
      </c>
      <c r="EK138">
        <v>1.8689</v>
      </c>
      <c r="EL138">
        <v>1.8646199999999999</v>
      </c>
      <c r="EM138">
        <v>1.8691500000000001</v>
      </c>
      <c r="EN138">
        <v>1.8672200000000001</v>
      </c>
      <c r="EO138">
        <v>1.86337</v>
      </c>
      <c r="EP138">
        <v>1.8644700000000001</v>
      </c>
      <c r="EQ138">
        <v>1.87015</v>
      </c>
      <c r="ER138">
        <v>1.8693599999999999</v>
      </c>
      <c r="ES138">
        <v>0</v>
      </c>
      <c r="ET138">
        <v>0</v>
      </c>
      <c r="EU138">
        <v>0</v>
      </c>
      <c r="EV138">
        <v>0</v>
      </c>
      <c r="EW138" t="s">
        <v>334</v>
      </c>
      <c r="EX138" t="s">
        <v>335</v>
      </c>
      <c r="EY138" t="s">
        <v>336</v>
      </c>
      <c r="EZ138" t="s">
        <v>336</v>
      </c>
      <c r="FA138" t="s">
        <v>336</v>
      </c>
      <c r="FB138" t="s">
        <v>336</v>
      </c>
      <c r="FC138">
        <v>0</v>
      </c>
      <c r="FD138">
        <v>100</v>
      </c>
      <c r="FE138">
        <v>100</v>
      </c>
      <c r="FF138">
        <v>-0.185</v>
      </c>
      <c r="FG138">
        <v>0.17199999999999999</v>
      </c>
      <c r="FH138">
        <v>0.2126736300064915</v>
      </c>
      <c r="FI138">
        <v>-6.1462078757559423E-4</v>
      </c>
      <c r="FJ138">
        <v>-1.8861989874597051E-7</v>
      </c>
      <c r="FK138">
        <v>1.1980462299894961E-10</v>
      </c>
      <c r="FL138">
        <v>0.1719881465068297</v>
      </c>
      <c r="FM138">
        <v>0</v>
      </c>
      <c r="FN138">
        <v>0</v>
      </c>
      <c r="FO138">
        <v>0</v>
      </c>
      <c r="FP138">
        <v>3</v>
      </c>
      <c r="FQ138">
        <v>2158</v>
      </c>
      <c r="FR138">
        <v>1</v>
      </c>
      <c r="FS138">
        <v>19</v>
      </c>
      <c r="FT138">
        <v>29.6</v>
      </c>
      <c r="FU138">
        <v>29.8</v>
      </c>
      <c r="FV138">
        <v>1.77979</v>
      </c>
      <c r="FW138">
        <v>2.5952099999999998</v>
      </c>
      <c r="FX138">
        <v>1.5490699999999999</v>
      </c>
      <c r="FY138">
        <v>2.3290999999999999</v>
      </c>
      <c r="FZ138">
        <v>1.50146</v>
      </c>
      <c r="GA138">
        <v>2.3095699999999999</v>
      </c>
      <c r="GB138">
        <v>33.558</v>
      </c>
      <c r="GC138">
        <v>23.973700000000001</v>
      </c>
      <c r="GD138">
        <v>19</v>
      </c>
      <c r="GE138">
        <v>284.46699999999998</v>
      </c>
      <c r="GF138">
        <v>593.34699999999998</v>
      </c>
      <c r="GG138">
        <v>25.503</v>
      </c>
      <c r="GH138">
        <v>25.9407</v>
      </c>
      <c r="GI138">
        <v>29.9999</v>
      </c>
      <c r="GJ138">
        <v>26.060099999999998</v>
      </c>
      <c r="GK138">
        <v>26.039300000000001</v>
      </c>
      <c r="GL138">
        <v>35.595999999999997</v>
      </c>
      <c r="GM138">
        <v>49.923000000000002</v>
      </c>
      <c r="GN138">
        <v>86.2577</v>
      </c>
      <c r="GO138">
        <v>25.504200000000001</v>
      </c>
      <c r="GP138">
        <v>800</v>
      </c>
      <c r="GQ138">
        <v>12.0975</v>
      </c>
      <c r="GR138">
        <v>99.826899999999995</v>
      </c>
      <c r="GS138">
        <v>99.700500000000005</v>
      </c>
    </row>
    <row r="139" spans="1:201" x14ac:dyDescent="0.25">
      <c r="A139">
        <v>123</v>
      </c>
      <c r="B139">
        <v>1690233794.5999999</v>
      </c>
      <c r="C139">
        <v>1288.5</v>
      </c>
      <c r="D139" t="s">
        <v>577</v>
      </c>
      <c r="E139" t="s">
        <v>578</v>
      </c>
      <c r="F139" t="s">
        <v>330</v>
      </c>
      <c r="H139">
        <v>1690233794.5999999</v>
      </c>
      <c r="I139">
        <f t="shared" si="30"/>
        <v>1.1976492107821312E-3</v>
      </c>
      <c r="J139">
        <f t="shared" si="31"/>
        <v>1.1976492107821313</v>
      </c>
      <c r="K139">
        <f t="shared" si="32"/>
        <v>19.748679061881209</v>
      </c>
      <c r="L139">
        <f t="shared" si="33"/>
        <v>579.41999999999996</v>
      </c>
      <c r="M139">
        <f t="shared" si="34"/>
        <v>143.00930954704893</v>
      </c>
      <c r="N139">
        <f t="shared" si="35"/>
        <v>14.171818674919596</v>
      </c>
      <c r="O139">
        <f t="shared" si="36"/>
        <v>57.418885544094003</v>
      </c>
      <c r="P139">
        <f t="shared" si="37"/>
        <v>7.5232302766929229E-2</v>
      </c>
      <c r="Q139">
        <f t="shared" si="38"/>
        <v>2.1287673001952871</v>
      </c>
      <c r="R139">
        <f t="shared" si="39"/>
        <v>7.3785848792162184E-2</v>
      </c>
      <c r="S139">
        <f t="shared" si="40"/>
        <v>4.6243797298245577E-2</v>
      </c>
      <c r="T139">
        <f t="shared" si="41"/>
        <v>276.11599598999999</v>
      </c>
      <c r="U139">
        <f t="shared" si="42"/>
        <v>28.891893967144178</v>
      </c>
      <c r="V139">
        <f t="shared" si="43"/>
        <v>28.891893967144178</v>
      </c>
      <c r="W139">
        <f t="shared" si="44"/>
        <v>3.9966826464692087</v>
      </c>
      <c r="X139">
        <f t="shared" si="45"/>
        <v>67.684116963074132</v>
      </c>
      <c r="Y139">
        <f t="shared" si="46"/>
        <v>2.4404364168111901</v>
      </c>
      <c r="Z139">
        <f t="shared" si="47"/>
        <v>3.6056264398671241</v>
      </c>
      <c r="AA139">
        <f t="shared" si="48"/>
        <v>1.5562462296580186</v>
      </c>
      <c r="AB139">
        <f t="shared" si="49"/>
        <v>-52.816330195491986</v>
      </c>
      <c r="AC139">
        <f t="shared" si="50"/>
        <v>-202.72215142095919</v>
      </c>
      <c r="AD139">
        <f t="shared" si="51"/>
        <v>-20.75989220357021</v>
      </c>
      <c r="AE139">
        <f t="shared" si="52"/>
        <v>-0.18237783002140873</v>
      </c>
      <c r="AF139">
        <v>0</v>
      </c>
      <c r="AG139">
        <v>0</v>
      </c>
      <c r="AH139">
        <f t="shared" si="53"/>
        <v>1</v>
      </c>
      <c r="AI139">
        <f t="shared" si="54"/>
        <v>0</v>
      </c>
      <c r="AJ139">
        <f t="shared" si="55"/>
        <v>52274.836137916158</v>
      </c>
      <c r="AK139">
        <f t="shared" si="56"/>
        <v>1800</v>
      </c>
      <c r="AL139">
        <f t="shared" si="57"/>
        <v>1499.1109020000001</v>
      </c>
      <c r="AM139">
        <f t="shared" si="58"/>
        <v>0.83283939000000007</v>
      </c>
      <c r="AN139">
        <f t="shared" si="59"/>
        <v>0.15339777555</v>
      </c>
      <c r="AO139">
        <v>32.4</v>
      </c>
      <c r="AP139">
        <v>0.5</v>
      </c>
      <c r="AQ139" t="s">
        <v>331</v>
      </c>
      <c r="AR139">
        <v>2</v>
      </c>
      <c r="AS139">
        <v>1690233794.5999999</v>
      </c>
      <c r="AT139">
        <v>579.41999999999996</v>
      </c>
      <c r="AU139">
        <v>800.101</v>
      </c>
      <c r="AV139">
        <v>24.6267</v>
      </c>
      <c r="AW139">
        <v>12.016299999999999</v>
      </c>
      <c r="AX139">
        <v>579.60400000000004</v>
      </c>
      <c r="AY139">
        <v>24.454699999999999</v>
      </c>
      <c r="AZ139">
        <v>300.13499999999999</v>
      </c>
      <c r="BA139">
        <v>98.997200000000007</v>
      </c>
      <c r="BB139">
        <v>9.9975700000000001E-2</v>
      </c>
      <c r="BC139">
        <v>27.125499999999999</v>
      </c>
      <c r="BD139">
        <v>26.991900000000001</v>
      </c>
      <c r="BE139">
        <v>29.062200000000001</v>
      </c>
      <c r="BF139">
        <v>0</v>
      </c>
      <c r="BG139">
        <v>0</v>
      </c>
      <c r="BH139">
        <v>9990</v>
      </c>
      <c r="BI139">
        <v>1081.07</v>
      </c>
      <c r="BJ139">
        <v>1.4577199999999999</v>
      </c>
      <c r="BK139">
        <v>-220.68100000000001</v>
      </c>
      <c r="BL139">
        <v>594.04999999999995</v>
      </c>
      <c r="BM139">
        <v>809.83299999999997</v>
      </c>
      <c r="BN139">
        <v>12.6104</v>
      </c>
      <c r="BO139">
        <v>800.101</v>
      </c>
      <c r="BP139">
        <v>12.016299999999999</v>
      </c>
      <c r="BQ139">
        <v>2.43798</v>
      </c>
      <c r="BR139">
        <v>1.1895800000000001</v>
      </c>
      <c r="BS139">
        <v>20.618300000000001</v>
      </c>
      <c r="BT139">
        <v>9.4717599999999997</v>
      </c>
      <c r="BU139">
        <v>1800</v>
      </c>
      <c r="BV139">
        <v>0.90998900000000005</v>
      </c>
      <c r="BW139">
        <v>3.4005300000000002E-2</v>
      </c>
      <c r="BX139">
        <v>2.2003499999999999E-2</v>
      </c>
      <c r="BY139">
        <v>3.4002499999999998E-2</v>
      </c>
      <c r="BZ139">
        <v>25</v>
      </c>
      <c r="CA139">
        <v>33528.199999999997</v>
      </c>
      <c r="CB139">
        <v>1690232006</v>
      </c>
      <c r="CC139" t="s">
        <v>332</v>
      </c>
      <c r="CD139">
        <v>1690232006</v>
      </c>
      <c r="CE139">
        <v>1690231998.5</v>
      </c>
      <c r="CF139">
        <v>14</v>
      </c>
      <c r="CG139">
        <v>-0.13200000000000001</v>
      </c>
      <c r="CH139">
        <v>-7.0000000000000001E-3</v>
      </c>
      <c r="CI139">
        <v>-0.33800000000000002</v>
      </c>
      <c r="CJ139">
        <v>0.14299999999999999</v>
      </c>
      <c r="CK139">
        <v>799</v>
      </c>
      <c r="CL139">
        <v>19</v>
      </c>
      <c r="CM139">
        <v>7.0000000000000007E-2</v>
      </c>
      <c r="CN139">
        <v>0.14000000000000001</v>
      </c>
      <c r="CO139">
        <v>-218.0392926829268</v>
      </c>
      <c r="CP139">
        <v>-14.25531010452932</v>
      </c>
      <c r="CQ139">
        <v>1.4067802061740271</v>
      </c>
      <c r="CR139">
        <v>-1</v>
      </c>
      <c r="CS139">
        <v>12.4027756097561</v>
      </c>
      <c r="CT139">
        <v>0.92897351916373472</v>
      </c>
      <c r="CU139">
        <v>9.264973320875014E-2</v>
      </c>
      <c r="CV139">
        <v>-1</v>
      </c>
      <c r="CW139">
        <v>0</v>
      </c>
      <c r="CX139">
        <v>0</v>
      </c>
      <c r="CY139" t="s">
        <v>333</v>
      </c>
      <c r="CZ139">
        <v>2.3647100000000001</v>
      </c>
      <c r="DA139">
        <v>2.7137600000000002</v>
      </c>
      <c r="DB139">
        <v>0.11756999999999999</v>
      </c>
      <c r="DC139">
        <v>0.146202</v>
      </c>
      <c r="DD139">
        <v>0.116032</v>
      </c>
      <c r="DE139">
        <v>6.8019800000000005E-2</v>
      </c>
      <c r="DF139">
        <v>32248.799999999999</v>
      </c>
      <c r="DG139">
        <v>27551.4</v>
      </c>
      <c r="DH139">
        <v>31197.7</v>
      </c>
      <c r="DI139">
        <v>28116.9</v>
      </c>
      <c r="DJ139">
        <v>37440.699999999997</v>
      </c>
      <c r="DK139">
        <v>37267</v>
      </c>
      <c r="DL139">
        <v>44402.7</v>
      </c>
      <c r="DM139">
        <v>42620.7</v>
      </c>
      <c r="DN139">
        <v>1.4827999999999999</v>
      </c>
      <c r="DO139">
        <v>2.0523799999999999</v>
      </c>
      <c r="DP139">
        <v>7.3946999999999999E-2</v>
      </c>
      <c r="DQ139">
        <v>0.21237900000000001</v>
      </c>
      <c r="DR139">
        <v>25.781400000000001</v>
      </c>
      <c r="DS139">
        <v>25.590800000000002</v>
      </c>
      <c r="DT139">
        <v>55.1</v>
      </c>
      <c r="DU139">
        <v>28.8</v>
      </c>
      <c r="DV139">
        <v>22.127199999999998</v>
      </c>
      <c r="DW139">
        <v>61.728000000000002</v>
      </c>
      <c r="DX139">
        <v>36.298099999999998</v>
      </c>
      <c r="DY139">
        <v>1</v>
      </c>
      <c r="DZ139">
        <v>-0.11763700000000001</v>
      </c>
      <c r="EA139">
        <v>-0.35571599999999998</v>
      </c>
      <c r="EB139">
        <v>20.189399999999999</v>
      </c>
      <c r="EC139">
        <v>5.24125</v>
      </c>
      <c r="ED139">
        <v>12.039899999999999</v>
      </c>
      <c r="EE139">
        <v>5.0176499999999997</v>
      </c>
      <c r="EF139">
        <v>3.2879999999999998</v>
      </c>
      <c r="EG139">
        <v>9999</v>
      </c>
      <c r="EH139">
        <v>9999</v>
      </c>
      <c r="EI139">
        <v>9999</v>
      </c>
      <c r="EJ139">
        <v>999.9</v>
      </c>
      <c r="EK139">
        <v>1.8689</v>
      </c>
      <c r="EL139">
        <v>1.8646199999999999</v>
      </c>
      <c r="EM139">
        <v>1.86917</v>
      </c>
      <c r="EN139">
        <v>1.8672200000000001</v>
      </c>
      <c r="EO139">
        <v>1.8633900000000001</v>
      </c>
      <c r="EP139">
        <v>1.8644700000000001</v>
      </c>
      <c r="EQ139">
        <v>1.8701399999999999</v>
      </c>
      <c r="ER139">
        <v>1.8693599999999999</v>
      </c>
      <c r="ES139">
        <v>0</v>
      </c>
      <c r="ET139">
        <v>0</v>
      </c>
      <c r="EU139">
        <v>0</v>
      </c>
      <c r="EV139">
        <v>0</v>
      </c>
      <c r="EW139" t="s">
        <v>334</v>
      </c>
      <c r="EX139" t="s">
        <v>335</v>
      </c>
      <c r="EY139" t="s">
        <v>336</v>
      </c>
      <c r="EZ139" t="s">
        <v>336</v>
      </c>
      <c r="FA139" t="s">
        <v>336</v>
      </c>
      <c r="FB139" t="s">
        <v>336</v>
      </c>
      <c r="FC139">
        <v>0</v>
      </c>
      <c r="FD139">
        <v>100</v>
      </c>
      <c r="FE139">
        <v>100</v>
      </c>
      <c r="FF139">
        <v>-0.184</v>
      </c>
      <c r="FG139">
        <v>0.17199999999999999</v>
      </c>
      <c r="FH139">
        <v>0.2126736300064915</v>
      </c>
      <c r="FI139">
        <v>-6.1462078757559423E-4</v>
      </c>
      <c r="FJ139">
        <v>-1.8861989874597051E-7</v>
      </c>
      <c r="FK139">
        <v>1.1980462299894961E-10</v>
      </c>
      <c r="FL139">
        <v>0.1719881465068297</v>
      </c>
      <c r="FM139">
        <v>0</v>
      </c>
      <c r="FN139">
        <v>0</v>
      </c>
      <c r="FO139">
        <v>0</v>
      </c>
      <c r="FP139">
        <v>3</v>
      </c>
      <c r="FQ139">
        <v>2158</v>
      </c>
      <c r="FR139">
        <v>1</v>
      </c>
      <c r="FS139">
        <v>19</v>
      </c>
      <c r="FT139">
        <v>29.8</v>
      </c>
      <c r="FU139">
        <v>29.9</v>
      </c>
      <c r="FV139">
        <v>1.77979</v>
      </c>
      <c r="FW139">
        <v>2.5805699999999998</v>
      </c>
      <c r="FX139">
        <v>1.5490699999999999</v>
      </c>
      <c r="FY139">
        <v>2.3290999999999999</v>
      </c>
      <c r="FZ139">
        <v>1.50146</v>
      </c>
      <c r="GA139">
        <v>2.3962400000000001</v>
      </c>
      <c r="GB139">
        <v>33.558</v>
      </c>
      <c r="GC139">
        <v>23.991199999999999</v>
      </c>
      <c r="GD139">
        <v>19</v>
      </c>
      <c r="GE139">
        <v>284.40199999999999</v>
      </c>
      <c r="GF139">
        <v>593.02300000000002</v>
      </c>
      <c r="GG139">
        <v>25.505600000000001</v>
      </c>
      <c r="GH139">
        <v>25.938500000000001</v>
      </c>
      <c r="GI139">
        <v>30</v>
      </c>
      <c r="GJ139">
        <v>26.060099999999998</v>
      </c>
      <c r="GK139">
        <v>26.038399999999999</v>
      </c>
      <c r="GL139">
        <v>35.594299999999997</v>
      </c>
      <c r="GM139">
        <v>50.211100000000002</v>
      </c>
      <c r="GN139">
        <v>85.510199999999998</v>
      </c>
      <c r="GO139">
        <v>25.505800000000001</v>
      </c>
      <c r="GP139">
        <v>800</v>
      </c>
      <c r="GQ139">
        <v>11.930899999999999</v>
      </c>
      <c r="GR139">
        <v>99.826400000000007</v>
      </c>
      <c r="GS139">
        <v>99.699799999999996</v>
      </c>
    </row>
    <row r="140" spans="1:201" x14ac:dyDescent="0.25">
      <c r="A140">
        <v>124</v>
      </c>
      <c r="B140">
        <v>1690233804.5999999</v>
      </c>
      <c r="C140">
        <v>1298.5</v>
      </c>
      <c r="D140" t="s">
        <v>579</v>
      </c>
      <c r="E140" t="s">
        <v>580</v>
      </c>
      <c r="F140" t="s">
        <v>330</v>
      </c>
      <c r="H140">
        <v>1690233804.5999999</v>
      </c>
      <c r="I140">
        <f t="shared" si="30"/>
        <v>1.2079784319768854E-3</v>
      </c>
      <c r="J140">
        <f t="shared" si="31"/>
        <v>1.2079784319768854</v>
      </c>
      <c r="K140">
        <f t="shared" si="32"/>
        <v>19.964837110578898</v>
      </c>
      <c r="L140">
        <f t="shared" si="33"/>
        <v>577.10199999999998</v>
      </c>
      <c r="M140">
        <f t="shared" si="34"/>
        <v>139.30064873606139</v>
      </c>
      <c r="N140">
        <f t="shared" si="35"/>
        <v>13.804373536069905</v>
      </c>
      <c r="O140">
        <f t="shared" si="36"/>
        <v>57.189479364934797</v>
      </c>
      <c r="P140">
        <f t="shared" si="37"/>
        <v>7.5807057792641089E-2</v>
      </c>
      <c r="Q140">
        <f t="shared" si="38"/>
        <v>2.1277520039929967</v>
      </c>
      <c r="R140">
        <f t="shared" si="39"/>
        <v>7.4337964758366543E-2</v>
      </c>
      <c r="S140">
        <f t="shared" si="40"/>
        <v>4.6590848853785088E-2</v>
      </c>
      <c r="T140">
        <f t="shared" si="41"/>
        <v>276.11576130599997</v>
      </c>
      <c r="U140">
        <f t="shared" si="42"/>
        <v>28.89823741550698</v>
      </c>
      <c r="V140">
        <f t="shared" si="43"/>
        <v>28.89823741550698</v>
      </c>
      <c r="W140">
        <f t="shared" si="44"/>
        <v>3.9981511066220681</v>
      </c>
      <c r="X140">
        <f t="shared" si="45"/>
        <v>67.639430590215213</v>
      </c>
      <c r="Y140">
        <f t="shared" si="46"/>
        <v>2.4401420616986402</v>
      </c>
      <c r="Z140">
        <f t="shared" si="47"/>
        <v>3.6075733346750463</v>
      </c>
      <c r="AA140">
        <f t="shared" si="48"/>
        <v>1.5580090449234278</v>
      </c>
      <c r="AB140">
        <f t="shared" si="49"/>
        <v>-53.271848850180646</v>
      </c>
      <c r="AC140">
        <f t="shared" si="50"/>
        <v>-202.29778599417028</v>
      </c>
      <c r="AD140">
        <f t="shared" si="51"/>
        <v>-20.727924869272339</v>
      </c>
      <c r="AE140">
        <f t="shared" si="52"/>
        <v>-0.18179840762329036</v>
      </c>
      <c r="AF140">
        <v>0</v>
      </c>
      <c r="AG140">
        <v>0</v>
      </c>
      <c r="AH140">
        <f t="shared" si="53"/>
        <v>1</v>
      </c>
      <c r="AI140">
        <f t="shared" si="54"/>
        <v>0</v>
      </c>
      <c r="AJ140">
        <f t="shared" si="55"/>
        <v>52229.567399752275</v>
      </c>
      <c r="AK140">
        <f t="shared" si="56"/>
        <v>1800</v>
      </c>
      <c r="AL140">
        <f t="shared" si="57"/>
        <v>1499.1102215999999</v>
      </c>
      <c r="AM140">
        <f t="shared" si="58"/>
        <v>0.83283901199999999</v>
      </c>
      <c r="AN140">
        <f t="shared" si="59"/>
        <v>0.15339764516999999</v>
      </c>
      <c r="AO140">
        <v>32.4</v>
      </c>
      <c r="AP140">
        <v>0.5</v>
      </c>
      <c r="AQ140" t="s">
        <v>331</v>
      </c>
      <c r="AR140">
        <v>2</v>
      </c>
      <c r="AS140">
        <v>1690233804.5999999</v>
      </c>
      <c r="AT140">
        <v>577.10199999999998</v>
      </c>
      <c r="AU140">
        <v>800.10699999999997</v>
      </c>
      <c r="AV140">
        <v>24.6236</v>
      </c>
      <c r="AW140">
        <v>11.9069</v>
      </c>
      <c r="AX140">
        <v>577.28399999999999</v>
      </c>
      <c r="AY140">
        <v>24.451599999999999</v>
      </c>
      <c r="AZ140">
        <v>300.19400000000002</v>
      </c>
      <c r="BA140">
        <v>98.997699999999995</v>
      </c>
      <c r="BB140">
        <v>9.99974E-2</v>
      </c>
      <c r="BC140">
        <v>27.134699999999999</v>
      </c>
      <c r="BD140">
        <v>26.999199999999998</v>
      </c>
      <c r="BE140">
        <v>29.041899999999998</v>
      </c>
      <c r="BF140">
        <v>0</v>
      </c>
      <c r="BG140">
        <v>0</v>
      </c>
      <c r="BH140">
        <v>9981.25</v>
      </c>
      <c r="BI140">
        <v>1080.97</v>
      </c>
      <c r="BJ140">
        <v>1.4577199999999999</v>
      </c>
      <c r="BK140">
        <v>-223.005</v>
      </c>
      <c r="BL140">
        <v>591.67100000000005</v>
      </c>
      <c r="BM140">
        <v>809.74800000000005</v>
      </c>
      <c r="BN140">
        <v>12.716699999999999</v>
      </c>
      <c r="BO140">
        <v>800.10699999999997</v>
      </c>
      <c r="BP140">
        <v>11.9069</v>
      </c>
      <c r="BQ140">
        <v>2.4376799999999998</v>
      </c>
      <c r="BR140">
        <v>1.17875</v>
      </c>
      <c r="BS140">
        <v>20.616299999999999</v>
      </c>
      <c r="BT140">
        <v>9.3358600000000003</v>
      </c>
      <c r="BU140">
        <v>1800</v>
      </c>
      <c r="BV140">
        <v>0.90998999999999997</v>
      </c>
      <c r="BW140">
        <v>3.4004699999999999E-2</v>
      </c>
      <c r="BX140">
        <v>2.2003100000000001E-2</v>
      </c>
      <c r="BY140">
        <v>3.4001900000000002E-2</v>
      </c>
      <c r="BZ140">
        <v>25</v>
      </c>
      <c r="CA140">
        <v>33528.300000000003</v>
      </c>
      <c r="CB140">
        <v>1690232006</v>
      </c>
      <c r="CC140" t="s">
        <v>332</v>
      </c>
      <c r="CD140">
        <v>1690232006</v>
      </c>
      <c r="CE140">
        <v>1690231998.5</v>
      </c>
      <c r="CF140">
        <v>14</v>
      </c>
      <c r="CG140">
        <v>-0.13200000000000001</v>
      </c>
      <c r="CH140">
        <v>-7.0000000000000001E-3</v>
      </c>
      <c r="CI140">
        <v>-0.33800000000000002</v>
      </c>
      <c r="CJ140">
        <v>0.14299999999999999</v>
      </c>
      <c r="CK140">
        <v>799</v>
      </c>
      <c r="CL140">
        <v>19</v>
      </c>
      <c r="CM140">
        <v>7.0000000000000007E-2</v>
      </c>
      <c r="CN140">
        <v>0.14000000000000001</v>
      </c>
      <c r="CO140">
        <v>-220.3934634146342</v>
      </c>
      <c r="CP140">
        <v>-14.18790940766543</v>
      </c>
      <c r="CQ140">
        <v>1.399863792983236</v>
      </c>
      <c r="CR140">
        <v>-1</v>
      </c>
      <c r="CS140">
        <v>12.55841463414634</v>
      </c>
      <c r="CT140">
        <v>0.95668222996518248</v>
      </c>
      <c r="CU140">
        <v>9.5752619682626189E-2</v>
      </c>
      <c r="CV140">
        <v>-1</v>
      </c>
      <c r="CW140">
        <v>0</v>
      </c>
      <c r="CX140">
        <v>0</v>
      </c>
      <c r="CY140" t="s">
        <v>333</v>
      </c>
      <c r="CZ140">
        <v>2.3649200000000001</v>
      </c>
      <c r="DA140">
        <v>2.7137699999999998</v>
      </c>
      <c r="DB140">
        <v>0.11723699999999999</v>
      </c>
      <c r="DC140">
        <v>0.146202</v>
      </c>
      <c r="DD140">
        <v>0.116023</v>
      </c>
      <c r="DE140">
        <v>6.7553500000000002E-2</v>
      </c>
      <c r="DF140">
        <v>32261.200000000001</v>
      </c>
      <c r="DG140">
        <v>27551.8</v>
      </c>
      <c r="DH140">
        <v>31197.9</v>
      </c>
      <c r="DI140">
        <v>28117.3</v>
      </c>
      <c r="DJ140">
        <v>37441.4</v>
      </c>
      <c r="DK140">
        <v>37286.199999999997</v>
      </c>
      <c r="DL140">
        <v>44403.1</v>
      </c>
      <c r="DM140">
        <v>42621.2</v>
      </c>
      <c r="DN140">
        <v>1.4826999999999999</v>
      </c>
      <c r="DO140">
        <v>2.0518299999999998</v>
      </c>
      <c r="DP140">
        <v>7.4394000000000002E-2</v>
      </c>
      <c r="DQ140">
        <v>0.21099999999999999</v>
      </c>
      <c r="DR140">
        <v>25.781400000000001</v>
      </c>
      <c r="DS140">
        <v>25.5929</v>
      </c>
      <c r="DT140">
        <v>55</v>
      </c>
      <c r="DU140">
        <v>28.8</v>
      </c>
      <c r="DV140">
        <v>22.087900000000001</v>
      </c>
      <c r="DW140">
        <v>61.927999999999997</v>
      </c>
      <c r="DX140">
        <v>36.630600000000001</v>
      </c>
      <c r="DY140">
        <v>1</v>
      </c>
      <c r="DZ140">
        <v>-0.11766</v>
      </c>
      <c r="EA140">
        <v>-0.37489400000000001</v>
      </c>
      <c r="EB140">
        <v>20.189399999999999</v>
      </c>
      <c r="EC140">
        <v>5.2415500000000002</v>
      </c>
      <c r="ED140">
        <v>12.039899999999999</v>
      </c>
      <c r="EE140">
        <v>5.0175000000000001</v>
      </c>
      <c r="EF140">
        <v>3.2879999999999998</v>
      </c>
      <c r="EG140">
        <v>9999</v>
      </c>
      <c r="EH140">
        <v>9999</v>
      </c>
      <c r="EI140">
        <v>9999</v>
      </c>
      <c r="EJ140">
        <v>999.9</v>
      </c>
      <c r="EK140">
        <v>1.8688899999999999</v>
      </c>
      <c r="EL140">
        <v>1.8646100000000001</v>
      </c>
      <c r="EM140">
        <v>1.8691800000000001</v>
      </c>
      <c r="EN140">
        <v>1.86721</v>
      </c>
      <c r="EO140">
        <v>1.86338</v>
      </c>
      <c r="EP140">
        <v>1.8644700000000001</v>
      </c>
      <c r="EQ140">
        <v>1.8701399999999999</v>
      </c>
      <c r="ER140">
        <v>1.8693500000000001</v>
      </c>
      <c r="ES140">
        <v>0</v>
      </c>
      <c r="ET140">
        <v>0</v>
      </c>
      <c r="EU140">
        <v>0</v>
      </c>
      <c r="EV140">
        <v>0</v>
      </c>
      <c r="EW140" t="s">
        <v>334</v>
      </c>
      <c r="EX140" t="s">
        <v>335</v>
      </c>
      <c r="EY140" t="s">
        <v>336</v>
      </c>
      <c r="EZ140" t="s">
        <v>336</v>
      </c>
      <c r="FA140" t="s">
        <v>336</v>
      </c>
      <c r="FB140" t="s">
        <v>336</v>
      </c>
      <c r="FC140">
        <v>0</v>
      </c>
      <c r="FD140">
        <v>100</v>
      </c>
      <c r="FE140">
        <v>100</v>
      </c>
      <c r="FF140">
        <v>-0.182</v>
      </c>
      <c r="FG140">
        <v>0.17199999999999999</v>
      </c>
      <c r="FH140">
        <v>0.2126736300064915</v>
      </c>
      <c r="FI140">
        <v>-6.1462078757559423E-4</v>
      </c>
      <c r="FJ140">
        <v>-1.8861989874597051E-7</v>
      </c>
      <c r="FK140">
        <v>1.1980462299894961E-10</v>
      </c>
      <c r="FL140">
        <v>0.1719881465068297</v>
      </c>
      <c r="FM140">
        <v>0</v>
      </c>
      <c r="FN140">
        <v>0</v>
      </c>
      <c r="FO140">
        <v>0</v>
      </c>
      <c r="FP140">
        <v>3</v>
      </c>
      <c r="FQ140">
        <v>2158</v>
      </c>
      <c r="FR140">
        <v>1</v>
      </c>
      <c r="FS140">
        <v>19</v>
      </c>
      <c r="FT140">
        <v>30</v>
      </c>
      <c r="FU140">
        <v>30.1</v>
      </c>
      <c r="FV140">
        <v>1.77979</v>
      </c>
      <c r="FW140">
        <v>2.5915499999999998</v>
      </c>
      <c r="FX140">
        <v>1.5490699999999999</v>
      </c>
      <c r="FY140">
        <v>2.3290999999999999</v>
      </c>
      <c r="FZ140">
        <v>1.50146</v>
      </c>
      <c r="GA140">
        <v>2.3046899999999999</v>
      </c>
      <c r="GB140">
        <v>33.558</v>
      </c>
      <c r="GC140">
        <v>23.982399999999998</v>
      </c>
      <c r="GD140">
        <v>19</v>
      </c>
      <c r="GE140">
        <v>284.35000000000002</v>
      </c>
      <c r="GF140">
        <v>592.54899999999998</v>
      </c>
      <c r="GG140">
        <v>25.5138</v>
      </c>
      <c r="GH140">
        <v>25.938500000000001</v>
      </c>
      <c r="GI140">
        <v>30.0002</v>
      </c>
      <c r="GJ140">
        <v>26.058</v>
      </c>
      <c r="GK140">
        <v>26.037199999999999</v>
      </c>
      <c r="GL140">
        <v>35.584200000000003</v>
      </c>
      <c r="GM140">
        <v>50.773000000000003</v>
      </c>
      <c r="GN140">
        <v>85.1327</v>
      </c>
      <c r="GO140">
        <v>25.5154</v>
      </c>
      <c r="GP140">
        <v>800</v>
      </c>
      <c r="GQ140">
        <v>11.777100000000001</v>
      </c>
      <c r="GR140">
        <v>99.827299999999994</v>
      </c>
      <c r="GS140">
        <v>99.701099999999997</v>
      </c>
    </row>
    <row r="141" spans="1:201" x14ac:dyDescent="0.25">
      <c r="A141">
        <v>125</v>
      </c>
      <c r="B141">
        <v>1690233814.5999999</v>
      </c>
      <c r="C141">
        <v>1308.5</v>
      </c>
      <c r="D141" t="s">
        <v>581</v>
      </c>
      <c r="E141" t="s">
        <v>582</v>
      </c>
      <c r="F141" t="s">
        <v>330</v>
      </c>
      <c r="H141">
        <v>1690233814.5999999</v>
      </c>
      <c r="I141">
        <f t="shared" si="30"/>
        <v>1.2233178596964423E-3</v>
      </c>
      <c r="J141">
        <f t="shared" si="31"/>
        <v>1.2233178596964422</v>
      </c>
      <c r="K141">
        <f t="shared" si="32"/>
        <v>20.154816908013082</v>
      </c>
      <c r="L141">
        <f t="shared" si="33"/>
        <v>574.82799999999997</v>
      </c>
      <c r="M141">
        <f t="shared" si="34"/>
        <v>139.09601847086205</v>
      </c>
      <c r="N141">
        <f t="shared" si="35"/>
        <v>13.783971992355545</v>
      </c>
      <c r="O141">
        <f t="shared" si="36"/>
        <v>56.963622248335994</v>
      </c>
      <c r="P141">
        <f t="shared" si="37"/>
        <v>7.6907956888037449E-2</v>
      </c>
      <c r="Q141">
        <f t="shared" si="38"/>
        <v>2.1309539049255557</v>
      </c>
      <c r="R141">
        <f t="shared" si="39"/>
        <v>7.5398566317471036E-2</v>
      </c>
      <c r="S141">
        <f t="shared" si="40"/>
        <v>4.7257249368937888E-2</v>
      </c>
      <c r="T141">
        <f t="shared" si="41"/>
        <v>276.11570073600001</v>
      </c>
      <c r="U141">
        <f t="shared" si="42"/>
        <v>28.886491426751977</v>
      </c>
      <c r="V141">
        <f t="shared" si="43"/>
        <v>28.886491426751977</v>
      </c>
      <c r="W141">
        <f t="shared" si="44"/>
        <v>3.9954323702456995</v>
      </c>
      <c r="X141">
        <f t="shared" si="45"/>
        <v>67.64646011136152</v>
      </c>
      <c r="Y141">
        <f t="shared" si="46"/>
        <v>2.4398229695271998</v>
      </c>
      <c r="Z141">
        <f t="shared" si="47"/>
        <v>3.6067267459534382</v>
      </c>
      <c r="AA141">
        <f t="shared" si="48"/>
        <v>1.5556094007184997</v>
      </c>
      <c r="AB141">
        <f t="shared" si="49"/>
        <v>-53.948317612613103</v>
      </c>
      <c r="AC141">
        <f t="shared" si="50"/>
        <v>-201.71231930934226</v>
      </c>
      <c r="AD141">
        <f t="shared" si="51"/>
        <v>-20.635260810692579</v>
      </c>
      <c r="AE141">
        <f t="shared" si="52"/>
        <v>-0.1801969966479362</v>
      </c>
      <c r="AF141">
        <v>0</v>
      </c>
      <c r="AG141">
        <v>0</v>
      </c>
      <c r="AH141">
        <f t="shared" si="53"/>
        <v>1</v>
      </c>
      <c r="AI141">
        <f t="shared" si="54"/>
        <v>0</v>
      </c>
      <c r="AJ141">
        <f t="shared" si="55"/>
        <v>52368.069223523838</v>
      </c>
      <c r="AK141">
        <f t="shared" si="56"/>
        <v>1800</v>
      </c>
      <c r="AL141">
        <f t="shared" si="57"/>
        <v>1499.1106356</v>
      </c>
      <c r="AM141">
        <f t="shared" si="58"/>
        <v>0.83283924200000004</v>
      </c>
      <c r="AN141">
        <f t="shared" si="59"/>
        <v>0.15339761152</v>
      </c>
      <c r="AO141">
        <v>32.4</v>
      </c>
      <c r="AP141">
        <v>0.5</v>
      </c>
      <c r="AQ141" t="s">
        <v>331</v>
      </c>
      <c r="AR141">
        <v>2</v>
      </c>
      <c r="AS141">
        <v>1690233814.5999999</v>
      </c>
      <c r="AT141">
        <v>574.82799999999997</v>
      </c>
      <c r="AU141">
        <v>800.03599999999994</v>
      </c>
      <c r="AV141">
        <v>24.6206</v>
      </c>
      <c r="AW141">
        <v>11.737399999999999</v>
      </c>
      <c r="AX141">
        <v>575.00800000000004</v>
      </c>
      <c r="AY141">
        <v>24.448599999999999</v>
      </c>
      <c r="AZ141">
        <v>300.07799999999997</v>
      </c>
      <c r="BA141">
        <v>98.996799999999993</v>
      </c>
      <c r="BB141">
        <v>0.100012</v>
      </c>
      <c r="BC141">
        <v>27.130700000000001</v>
      </c>
      <c r="BD141">
        <v>26.991900000000001</v>
      </c>
      <c r="BE141">
        <v>29.0459</v>
      </c>
      <c r="BF141">
        <v>0</v>
      </c>
      <c r="BG141">
        <v>0</v>
      </c>
      <c r="BH141">
        <v>10008.799999999999</v>
      </c>
      <c r="BI141">
        <v>1081</v>
      </c>
      <c r="BJ141">
        <v>1.4577199999999999</v>
      </c>
      <c r="BK141">
        <v>-225.208</v>
      </c>
      <c r="BL141">
        <v>589.33799999999997</v>
      </c>
      <c r="BM141">
        <v>809.53800000000001</v>
      </c>
      <c r="BN141">
        <v>12.8833</v>
      </c>
      <c r="BO141">
        <v>800.03599999999994</v>
      </c>
      <c r="BP141">
        <v>11.737399999999999</v>
      </c>
      <c r="BQ141">
        <v>2.43736</v>
      </c>
      <c r="BR141">
        <v>1.1619600000000001</v>
      </c>
      <c r="BS141">
        <v>20.6142</v>
      </c>
      <c r="BT141">
        <v>9.1229099999999992</v>
      </c>
      <c r="BU141">
        <v>1800</v>
      </c>
      <c r="BV141">
        <v>0.90999200000000002</v>
      </c>
      <c r="BW141">
        <v>3.4004E-2</v>
      </c>
      <c r="BX141">
        <v>2.2002600000000001E-2</v>
      </c>
      <c r="BY141">
        <v>3.4001200000000002E-2</v>
      </c>
      <c r="BZ141">
        <v>25</v>
      </c>
      <c r="CA141">
        <v>33528.300000000003</v>
      </c>
      <c r="CB141">
        <v>1690232006</v>
      </c>
      <c r="CC141" t="s">
        <v>332</v>
      </c>
      <c r="CD141">
        <v>1690232006</v>
      </c>
      <c r="CE141">
        <v>1690231998.5</v>
      </c>
      <c r="CF141">
        <v>14</v>
      </c>
      <c r="CG141">
        <v>-0.13200000000000001</v>
      </c>
      <c r="CH141">
        <v>-7.0000000000000001E-3</v>
      </c>
      <c r="CI141">
        <v>-0.33800000000000002</v>
      </c>
      <c r="CJ141">
        <v>0.14299999999999999</v>
      </c>
      <c r="CK141">
        <v>799</v>
      </c>
      <c r="CL141">
        <v>19</v>
      </c>
      <c r="CM141">
        <v>7.0000000000000007E-2</v>
      </c>
      <c r="CN141">
        <v>0.14000000000000001</v>
      </c>
      <c r="CO141">
        <v>-222.73636585365861</v>
      </c>
      <c r="CP141">
        <v>-13.843651567944519</v>
      </c>
      <c r="CQ141">
        <v>1.366571743292583</v>
      </c>
      <c r="CR141">
        <v>-1</v>
      </c>
      <c r="CS141">
        <v>12.72539756097561</v>
      </c>
      <c r="CT141">
        <v>0.95106898954700159</v>
      </c>
      <c r="CU141">
        <v>9.5624740363887614E-2</v>
      </c>
      <c r="CV141">
        <v>-1</v>
      </c>
      <c r="CW141">
        <v>0</v>
      </c>
      <c r="CX141">
        <v>0</v>
      </c>
      <c r="CY141" t="s">
        <v>333</v>
      </c>
      <c r="CZ141">
        <v>2.3645299999999998</v>
      </c>
      <c r="DA141">
        <v>2.7138100000000001</v>
      </c>
      <c r="DB141">
        <v>0.116908</v>
      </c>
      <c r="DC141">
        <v>0.14618900000000001</v>
      </c>
      <c r="DD141">
        <v>0.116012</v>
      </c>
      <c r="DE141">
        <v>6.6826700000000003E-2</v>
      </c>
      <c r="DF141">
        <v>32273.1</v>
      </c>
      <c r="DG141">
        <v>27552.1</v>
      </c>
      <c r="DH141">
        <v>31197.8</v>
      </c>
      <c r="DI141">
        <v>28117.200000000001</v>
      </c>
      <c r="DJ141">
        <v>37441.599999999999</v>
      </c>
      <c r="DK141">
        <v>37315.1</v>
      </c>
      <c r="DL141">
        <v>44402.9</v>
      </c>
      <c r="DM141">
        <v>42620.9</v>
      </c>
      <c r="DN141">
        <v>1.4829000000000001</v>
      </c>
      <c r="DO141">
        <v>2.05185</v>
      </c>
      <c r="DP141">
        <v>7.3872499999999994E-2</v>
      </c>
      <c r="DQ141">
        <v>0.21118700000000001</v>
      </c>
      <c r="DR141">
        <v>25.782599999999999</v>
      </c>
      <c r="DS141">
        <v>25.593900000000001</v>
      </c>
      <c r="DT141">
        <v>54.8</v>
      </c>
      <c r="DU141">
        <v>28.7</v>
      </c>
      <c r="DV141">
        <v>21.882100000000001</v>
      </c>
      <c r="DW141">
        <v>61.468000000000004</v>
      </c>
      <c r="DX141">
        <v>36.426299999999998</v>
      </c>
      <c r="DY141">
        <v>1</v>
      </c>
      <c r="DZ141">
        <v>-0.117955</v>
      </c>
      <c r="EA141">
        <v>-0.375749</v>
      </c>
      <c r="EB141">
        <v>20.189499999999999</v>
      </c>
      <c r="EC141">
        <v>5.2413999999999996</v>
      </c>
      <c r="ED141">
        <v>12.039899999999999</v>
      </c>
      <c r="EE141">
        <v>5.0173500000000004</v>
      </c>
      <c r="EF141">
        <v>3.2879999999999998</v>
      </c>
      <c r="EG141">
        <v>9999</v>
      </c>
      <c r="EH141">
        <v>9999</v>
      </c>
      <c r="EI141">
        <v>9999</v>
      </c>
      <c r="EJ141">
        <v>999.9</v>
      </c>
      <c r="EK141">
        <v>1.8689</v>
      </c>
      <c r="EL141">
        <v>1.8646100000000001</v>
      </c>
      <c r="EM141">
        <v>1.86917</v>
      </c>
      <c r="EN141">
        <v>1.86721</v>
      </c>
      <c r="EO141">
        <v>1.86337</v>
      </c>
      <c r="EP141">
        <v>1.8644700000000001</v>
      </c>
      <c r="EQ141">
        <v>1.8701300000000001</v>
      </c>
      <c r="ER141">
        <v>1.8693599999999999</v>
      </c>
      <c r="ES141">
        <v>0</v>
      </c>
      <c r="ET141">
        <v>0</v>
      </c>
      <c r="EU141">
        <v>0</v>
      </c>
      <c r="EV141">
        <v>0</v>
      </c>
      <c r="EW141" t="s">
        <v>334</v>
      </c>
      <c r="EX141" t="s">
        <v>335</v>
      </c>
      <c r="EY141" t="s">
        <v>336</v>
      </c>
      <c r="EZ141" t="s">
        <v>336</v>
      </c>
      <c r="FA141" t="s">
        <v>336</v>
      </c>
      <c r="FB141" t="s">
        <v>336</v>
      </c>
      <c r="FC141">
        <v>0</v>
      </c>
      <c r="FD141">
        <v>100</v>
      </c>
      <c r="FE141">
        <v>100</v>
      </c>
      <c r="FF141">
        <v>-0.18</v>
      </c>
      <c r="FG141">
        <v>0.17199999999999999</v>
      </c>
      <c r="FH141">
        <v>0.2126736300064915</v>
      </c>
      <c r="FI141">
        <v>-6.1462078757559423E-4</v>
      </c>
      <c r="FJ141">
        <v>-1.8861989874597051E-7</v>
      </c>
      <c r="FK141">
        <v>1.1980462299894961E-10</v>
      </c>
      <c r="FL141">
        <v>0.1719881465068297</v>
      </c>
      <c r="FM141">
        <v>0</v>
      </c>
      <c r="FN141">
        <v>0</v>
      </c>
      <c r="FO141">
        <v>0</v>
      </c>
      <c r="FP141">
        <v>3</v>
      </c>
      <c r="FQ141">
        <v>2158</v>
      </c>
      <c r="FR141">
        <v>1</v>
      </c>
      <c r="FS141">
        <v>19</v>
      </c>
      <c r="FT141">
        <v>30.1</v>
      </c>
      <c r="FU141">
        <v>30.3</v>
      </c>
      <c r="FV141">
        <v>1.77979</v>
      </c>
      <c r="FW141">
        <v>2.5817899999999998</v>
      </c>
      <c r="FX141">
        <v>1.5490699999999999</v>
      </c>
      <c r="FY141">
        <v>2.3290999999999999</v>
      </c>
      <c r="FZ141">
        <v>1.50024</v>
      </c>
      <c r="GA141">
        <v>2.3986800000000001</v>
      </c>
      <c r="GB141">
        <v>33.558</v>
      </c>
      <c r="GC141">
        <v>23.991199999999999</v>
      </c>
      <c r="GD141">
        <v>19</v>
      </c>
      <c r="GE141">
        <v>284.435</v>
      </c>
      <c r="GF141">
        <v>592.57000000000005</v>
      </c>
      <c r="GG141">
        <v>25.520499999999998</v>
      </c>
      <c r="GH141">
        <v>25.936299999999999</v>
      </c>
      <c r="GI141">
        <v>30.0002</v>
      </c>
      <c r="GJ141">
        <v>26.058</v>
      </c>
      <c r="GK141">
        <v>26.037199999999999</v>
      </c>
      <c r="GL141">
        <v>35.580599999999997</v>
      </c>
      <c r="GM141">
        <v>51.044800000000002</v>
      </c>
      <c r="GN141">
        <v>84.357200000000006</v>
      </c>
      <c r="GO141">
        <v>25.5215</v>
      </c>
      <c r="GP141">
        <v>800</v>
      </c>
      <c r="GQ141">
        <v>11.6189</v>
      </c>
      <c r="GR141">
        <v>99.826899999999995</v>
      </c>
      <c r="GS141">
        <v>99.700400000000002</v>
      </c>
    </row>
    <row r="142" spans="1:201" x14ac:dyDescent="0.25">
      <c r="A142">
        <v>126</v>
      </c>
      <c r="B142">
        <v>1690233824.5999999</v>
      </c>
      <c r="C142">
        <v>1318.5</v>
      </c>
      <c r="D142" t="s">
        <v>583</v>
      </c>
      <c r="E142" t="s">
        <v>584</v>
      </c>
      <c r="F142" t="s">
        <v>330</v>
      </c>
      <c r="H142">
        <v>1690233824.5999999</v>
      </c>
      <c r="I142">
        <f t="shared" si="30"/>
        <v>1.2407574951601174E-3</v>
      </c>
      <c r="J142">
        <f t="shared" si="31"/>
        <v>1.2407574951601175</v>
      </c>
      <c r="K142">
        <f t="shared" si="32"/>
        <v>20.377764761480286</v>
      </c>
      <c r="L142">
        <f t="shared" si="33"/>
        <v>572.51900000000001</v>
      </c>
      <c r="M142">
        <f t="shared" si="34"/>
        <v>138.72657073646818</v>
      </c>
      <c r="N142">
        <f t="shared" si="35"/>
        <v>13.747525845569093</v>
      </c>
      <c r="O142">
        <f t="shared" si="36"/>
        <v>56.735488434518999</v>
      </c>
      <c r="P142">
        <f t="shared" si="37"/>
        <v>7.8129262092792806E-2</v>
      </c>
      <c r="Q142">
        <f t="shared" si="38"/>
        <v>2.1261479895085422</v>
      </c>
      <c r="R142">
        <f t="shared" si="39"/>
        <v>7.6568631338482185E-2</v>
      </c>
      <c r="S142">
        <f t="shared" si="40"/>
        <v>4.7993014615817446E-2</v>
      </c>
      <c r="T142">
        <f t="shared" si="41"/>
        <v>276.11555385600002</v>
      </c>
      <c r="U142">
        <f t="shared" si="42"/>
        <v>28.880008759318173</v>
      </c>
      <c r="V142">
        <f t="shared" si="43"/>
        <v>28.880008759318173</v>
      </c>
      <c r="W142">
        <f t="shared" si="44"/>
        <v>3.9939325771406784</v>
      </c>
      <c r="X142">
        <f t="shared" si="45"/>
        <v>67.673594020417454</v>
      </c>
      <c r="Y142">
        <f t="shared" si="46"/>
        <v>2.4402288158243999</v>
      </c>
      <c r="Z142">
        <f t="shared" si="47"/>
        <v>3.6058803306473877</v>
      </c>
      <c r="AA142">
        <f t="shared" si="48"/>
        <v>1.5537037613162785</v>
      </c>
      <c r="AB142">
        <f t="shared" si="49"/>
        <v>-54.717405536561181</v>
      </c>
      <c r="AC142">
        <f t="shared" si="50"/>
        <v>-200.97282439241286</v>
      </c>
      <c r="AD142">
        <f t="shared" si="51"/>
        <v>-20.60500592113366</v>
      </c>
      <c r="AE142">
        <f t="shared" si="52"/>
        <v>-0.17968199410768193</v>
      </c>
      <c r="AF142">
        <v>0</v>
      </c>
      <c r="AG142">
        <v>0</v>
      </c>
      <c r="AH142">
        <f t="shared" si="53"/>
        <v>1</v>
      </c>
      <c r="AI142">
        <f t="shared" si="54"/>
        <v>0</v>
      </c>
      <c r="AJ142">
        <f t="shared" si="55"/>
        <v>52162.007009567045</v>
      </c>
      <c r="AK142">
        <f t="shared" si="56"/>
        <v>1800</v>
      </c>
      <c r="AL142">
        <f t="shared" si="57"/>
        <v>1499.1106625999998</v>
      </c>
      <c r="AM142">
        <f t="shared" si="58"/>
        <v>0.83283925699999994</v>
      </c>
      <c r="AN142">
        <f t="shared" si="59"/>
        <v>0.15339752992</v>
      </c>
      <c r="AO142">
        <v>32.4</v>
      </c>
      <c r="AP142">
        <v>0.5</v>
      </c>
      <c r="AQ142" t="s">
        <v>331</v>
      </c>
      <c r="AR142">
        <v>2</v>
      </c>
      <c r="AS142">
        <v>1690233824.5999999</v>
      </c>
      <c r="AT142">
        <v>572.51900000000001</v>
      </c>
      <c r="AU142">
        <v>800.16600000000005</v>
      </c>
      <c r="AV142">
        <v>24.624400000000001</v>
      </c>
      <c r="AW142">
        <v>11.5602</v>
      </c>
      <c r="AX142">
        <v>572.69799999999998</v>
      </c>
      <c r="AY142">
        <v>24.452400000000001</v>
      </c>
      <c r="AZ142">
        <v>300.13799999999998</v>
      </c>
      <c r="BA142">
        <v>98.997900000000001</v>
      </c>
      <c r="BB142">
        <v>0.100101</v>
      </c>
      <c r="BC142">
        <v>27.1267</v>
      </c>
      <c r="BD142">
        <v>26.999199999999998</v>
      </c>
      <c r="BE142">
        <v>29.0501</v>
      </c>
      <c r="BF142">
        <v>0</v>
      </c>
      <c r="BG142">
        <v>0</v>
      </c>
      <c r="BH142">
        <v>9967.5</v>
      </c>
      <c r="BI142">
        <v>1081.05</v>
      </c>
      <c r="BJ142">
        <v>1.4577199999999999</v>
      </c>
      <c r="BK142">
        <v>-227.64599999999999</v>
      </c>
      <c r="BL142">
        <v>586.97299999999996</v>
      </c>
      <c r="BM142">
        <v>809.524</v>
      </c>
      <c r="BN142">
        <v>13.0642</v>
      </c>
      <c r="BO142">
        <v>800.16600000000005</v>
      </c>
      <c r="BP142">
        <v>11.5602</v>
      </c>
      <c r="BQ142">
        <v>2.4377599999999999</v>
      </c>
      <c r="BR142">
        <v>1.1444399999999999</v>
      </c>
      <c r="BS142">
        <v>20.616800000000001</v>
      </c>
      <c r="BT142">
        <v>8.8977500000000003</v>
      </c>
      <c r="BU142">
        <v>1800</v>
      </c>
      <c r="BV142">
        <v>0.90999399999999997</v>
      </c>
      <c r="BW142">
        <v>3.4003100000000001E-2</v>
      </c>
      <c r="BX142">
        <v>2.20021E-2</v>
      </c>
      <c r="BY142">
        <v>3.40004E-2</v>
      </c>
      <c r="BZ142">
        <v>25</v>
      </c>
      <c r="CA142">
        <v>33528.300000000003</v>
      </c>
      <c r="CB142">
        <v>1690232006</v>
      </c>
      <c r="CC142" t="s">
        <v>332</v>
      </c>
      <c r="CD142">
        <v>1690232006</v>
      </c>
      <c r="CE142">
        <v>1690231998.5</v>
      </c>
      <c r="CF142">
        <v>14</v>
      </c>
      <c r="CG142">
        <v>-0.13200000000000001</v>
      </c>
      <c r="CH142">
        <v>-7.0000000000000001E-3</v>
      </c>
      <c r="CI142">
        <v>-0.33800000000000002</v>
      </c>
      <c r="CJ142">
        <v>0.14299999999999999</v>
      </c>
      <c r="CK142">
        <v>799</v>
      </c>
      <c r="CL142">
        <v>19</v>
      </c>
      <c r="CM142">
        <v>7.0000000000000007E-2</v>
      </c>
      <c r="CN142">
        <v>0.14000000000000001</v>
      </c>
      <c r="CO142">
        <v>-225.05492682926831</v>
      </c>
      <c r="CP142">
        <v>-13.807254355400969</v>
      </c>
      <c r="CQ142">
        <v>1.363120387114799</v>
      </c>
      <c r="CR142">
        <v>-1</v>
      </c>
      <c r="CS142">
        <v>12.87248780487805</v>
      </c>
      <c r="CT142">
        <v>0.8597414634146372</v>
      </c>
      <c r="CU142">
        <v>8.6416225314581208E-2</v>
      </c>
      <c r="CV142">
        <v>-1</v>
      </c>
      <c r="CW142">
        <v>0</v>
      </c>
      <c r="CX142">
        <v>0</v>
      </c>
      <c r="CY142" t="s">
        <v>333</v>
      </c>
      <c r="CZ142">
        <v>2.3647499999999999</v>
      </c>
      <c r="DA142">
        <v>2.7138599999999999</v>
      </c>
      <c r="DB142">
        <v>0.116576</v>
      </c>
      <c r="DC142">
        <v>0.146203</v>
      </c>
      <c r="DD142">
        <v>0.116026</v>
      </c>
      <c r="DE142">
        <v>6.6064600000000001E-2</v>
      </c>
      <c r="DF142">
        <v>32285.3</v>
      </c>
      <c r="DG142">
        <v>27551.5</v>
      </c>
      <c r="DH142">
        <v>31197.9</v>
      </c>
      <c r="DI142">
        <v>28117.1</v>
      </c>
      <c r="DJ142">
        <v>37441.300000000003</v>
      </c>
      <c r="DK142">
        <v>37345.599999999999</v>
      </c>
      <c r="DL142">
        <v>44403.199999999997</v>
      </c>
      <c r="DM142">
        <v>42620.9</v>
      </c>
      <c r="DN142">
        <v>1.4831000000000001</v>
      </c>
      <c r="DO142">
        <v>2.0514000000000001</v>
      </c>
      <c r="DP142">
        <v>7.4394000000000002E-2</v>
      </c>
      <c r="DQ142">
        <v>0.21137300000000001</v>
      </c>
      <c r="DR142">
        <v>25.781400000000001</v>
      </c>
      <c r="DS142">
        <v>25.595099999999999</v>
      </c>
      <c r="DT142">
        <v>54.7</v>
      </c>
      <c r="DU142">
        <v>28.8</v>
      </c>
      <c r="DV142">
        <v>21.965800000000002</v>
      </c>
      <c r="DW142">
        <v>61.847999999999999</v>
      </c>
      <c r="DX142">
        <v>36.790900000000001</v>
      </c>
      <c r="DY142">
        <v>1</v>
      </c>
      <c r="DZ142">
        <v>-0.118074</v>
      </c>
      <c r="EA142">
        <v>-0.403638</v>
      </c>
      <c r="EB142">
        <v>20.189299999999999</v>
      </c>
      <c r="EC142">
        <v>5.24125</v>
      </c>
      <c r="ED142">
        <v>12.039899999999999</v>
      </c>
      <c r="EE142">
        <v>5.0174500000000002</v>
      </c>
      <c r="EF142">
        <v>3.2879999999999998</v>
      </c>
      <c r="EG142">
        <v>9999</v>
      </c>
      <c r="EH142">
        <v>9999</v>
      </c>
      <c r="EI142">
        <v>9999</v>
      </c>
      <c r="EJ142">
        <v>999.9</v>
      </c>
      <c r="EK142">
        <v>1.8689</v>
      </c>
      <c r="EL142">
        <v>1.8646199999999999</v>
      </c>
      <c r="EM142">
        <v>1.8691800000000001</v>
      </c>
      <c r="EN142">
        <v>1.8672200000000001</v>
      </c>
      <c r="EO142">
        <v>1.86338</v>
      </c>
      <c r="EP142">
        <v>1.8644700000000001</v>
      </c>
      <c r="EQ142">
        <v>1.8701399999999999</v>
      </c>
      <c r="ER142">
        <v>1.86938</v>
      </c>
      <c r="ES142">
        <v>0</v>
      </c>
      <c r="ET142">
        <v>0</v>
      </c>
      <c r="EU142">
        <v>0</v>
      </c>
      <c r="EV142">
        <v>0</v>
      </c>
      <c r="EW142" t="s">
        <v>334</v>
      </c>
      <c r="EX142" t="s">
        <v>335</v>
      </c>
      <c r="EY142" t="s">
        <v>336</v>
      </c>
      <c r="EZ142" t="s">
        <v>336</v>
      </c>
      <c r="FA142" t="s">
        <v>336</v>
      </c>
      <c r="FB142" t="s">
        <v>336</v>
      </c>
      <c r="FC142">
        <v>0</v>
      </c>
      <c r="FD142">
        <v>100</v>
      </c>
      <c r="FE142">
        <v>100</v>
      </c>
      <c r="FF142">
        <v>-0.17899999999999999</v>
      </c>
      <c r="FG142">
        <v>0.17199999999999999</v>
      </c>
      <c r="FH142">
        <v>0.2126736300064915</v>
      </c>
      <c r="FI142">
        <v>-6.1462078757559423E-4</v>
      </c>
      <c r="FJ142">
        <v>-1.8861989874597051E-7</v>
      </c>
      <c r="FK142">
        <v>1.1980462299894961E-10</v>
      </c>
      <c r="FL142">
        <v>0.1719881465068297</v>
      </c>
      <c r="FM142">
        <v>0</v>
      </c>
      <c r="FN142">
        <v>0</v>
      </c>
      <c r="FO142">
        <v>0</v>
      </c>
      <c r="FP142">
        <v>3</v>
      </c>
      <c r="FQ142">
        <v>2158</v>
      </c>
      <c r="FR142">
        <v>1</v>
      </c>
      <c r="FS142">
        <v>19</v>
      </c>
      <c r="FT142">
        <v>30.3</v>
      </c>
      <c r="FU142">
        <v>30.4</v>
      </c>
      <c r="FV142">
        <v>1.7785599999999999</v>
      </c>
      <c r="FW142">
        <v>2.5939899999999998</v>
      </c>
      <c r="FX142">
        <v>1.5490699999999999</v>
      </c>
      <c r="FY142">
        <v>2.3278799999999999</v>
      </c>
      <c r="FZ142">
        <v>1.50146</v>
      </c>
      <c r="GA142">
        <v>2.3168899999999999</v>
      </c>
      <c r="GB142">
        <v>33.558</v>
      </c>
      <c r="GC142">
        <v>23.982399999999998</v>
      </c>
      <c r="GD142">
        <v>19</v>
      </c>
      <c r="GE142">
        <v>284.51100000000002</v>
      </c>
      <c r="GF142">
        <v>592.16899999999998</v>
      </c>
      <c r="GG142">
        <v>25.530100000000001</v>
      </c>
      <c r="GH142">
        <v>25.936299999999999</v>
      </c>
      <c r="GI142">
        <v>30.0001</v>
      </c>
      <c r="GJ142">
        <v>26.055800000000001</v>
      </c>
      <c r="GK142">
        <v>26.035</v>
      </c>
      <c r="GL142">
        <v>35.569800000000001</v>
      </c>
      <c r="GM142">
        <v>51.342199999999998</v>
      </c>
      <c r="GN142">
        <v>83.969300000000004</v>
      </c>
      <c r="GO142">
        <v>25.534700000000001</v>
      </c>
      <c r="GP142">
        <v>800</v>
      </c>
      <c r="GQ142">
        <v>11.4551</v>
      </c>
      <c r="GR142">
        <v>99.827399999999997</v>
      </c>
      <c r="GS142">
        <v>99.700400000000002</v>
      </c>
    </row>
    <row r="143" spans="1:201" x14ac:dyDescent="0.25">
      <c r="A143">
        <v>127</v>
      </c>
      <c r="B143">
        <v>1690233834.5999999</v>
      </c>
      <c r="C143">
        <v>1328.5</v>
      </c>
      <c r="D143" t="s">
        <v>585</v>
      </c>
      <c r="E143" t="s">
        <v>586</v>
      </c>
      <c r="F143" t="s">
        <v>330</v>
      </c>
      <c r="H143">
        <v>1690233834.5999999</v>
      </c>
      <c r="I143">
        <f t="shared" si="30"/>
        <v>1.2534168843850405E-3</v>
      </c>
      <c r="J143">
        <f t="shared" si="31"/>
        <v>1.2534168843850404</v>
      </c>
      <c r="K143">
        <f t="shared" si="32"/>
        <v>20.568096998646642</v>
      </c>
      <c r="L143">
        <f t="shared" si="33"/>
        <v>570.27300000000002</v>
      </c>
      <c r="M143">
        <f t="shared" si="34"/>
        <v>137.23144500682301</v>
      </c>
      <c r="N143">
        <f t="shared" si="35"/>
        <v>13.599398515313407</v>
      </c>
      <c r="O143">
        <f t="shared" si="36"/>
        <v>56.513066587163991</v>
      </c>
      <c r="P143">
        <f t="shared" si="37"/>
        <v>7.9002639826596902E-2</v>
      </c>
      <c r="Q143">
        <f t="shared" si="38"/>
        <v>2.1274659728704997</v>
      </c>
      <c r="R143">
        <f t="shared" si="39"/>
        <v>7.7408273369238709E-2</v>
      </c>
      <c r="S143">
        <f t="shared" si="40"/>
        <v>4.8520738402466269E-2</v>
      </c>
      <c r="T143">
        <f t="shared" si="41"/>
        <v>276.11566102800003</v>
      </c>
      <c r="U143">
        <f t="shared" si="42"/>
        <v>28.874604900245117</v>
      </c>
      <c r="V143">
        <f t="shared" si="43"/>
        <v>28.874604900245117</v>
      </c>
      <c r="W143">
        <f t="shared" si="44"/>
        <v>3.9926827462236352</v>
      </c>
      <c r="X143">
        <f t="shared" si="45"/>
        <v>67.671028112935332</v>
      </c>
      <c r="Y143">
        <f t="shared" si="46"/>
        <v>2.4401362922711995</v>
      </c>
      <c r="Z143">
        <f t="shared" si="47"/>
        <v>3.6058803306473877</v>
      </c>
      <c r="AA143">
        <f t="shared" si="48"/>
        <v>1.5525464539524356</v>
      </c>
      <c r="AB143">
        <f t="shared" si="49"/>
        <v>-55.275684601380284</v>
      </c>
      <c r="AC143">
        <f t="shared" si="50"/>
        <v>-200.47760522907552</v>
      </c>
      <c r="AD143">
        <f t="shared" si="51"/>
        <v>-20.54094516415644</v>
      </c>
      <c r="AE143">
        <f t="shared" si="52"/>
        <v>-0.17857396661219127</v>
      </c>
      <c r="AF143">
        <v>0</v>
      </c>
      <c r="AG143">
        <v>0</v>
      </c>
      <c r="AH143">
        <f t="shared" si="53"/>
        <v>1</v>
      </c>
      <c r="AI143">
        <f t="shared" si="54"/>
        <v>0</v>
      </c>
      <c r="AJ143">
        <f t="shared" si="55"/>
        <v>52218.669403360618</v>
      </c>
      <c r="AK143">
        <f t="shared" si="56"/>
        <v>1800</v>
      </c>
      <c r="AL143">
        <f t="shared" si="57"/>
        <v>1499.1117767999997</v>
      </c>
      <c r="AM143">
        <f t="shared" si="58"/>
        <v>0.83283987599999987</v>
      </c>
      <c r="AN143">
        <f t="shared" si="59"/>
        <v>0.15339758946000001</v>
      </c>
      <c r="AO143">
        <v>32.4</v>
      </c>
      <c r="AP143">
        <v>0.5</v>
      </c>
      <c r="AQ143" t="s">
        <v>331</v>
      </c>
      <c r="AR143">
        <v>2</v>
      </c>
      <c r="AS143">
        <v>1690233834.5999999</v>
      </c>
      <c r="AT143">
        <v>570.27300000000002</v>
      </c>
      <c r="AU143">
        <v>799.99800000000005</v>
      </c>
      <c r="AV143">
        <v>24.6234</v>
      </c>
      <c r="AW143">
        <v>11.427300000000001</v>
      </c>
      <c r="AX143">
        <v>570.45000000000005</v>
      </c>
      <c r="AY143">
        <v>24.4514</v>
      </c>
      <c r="AZ143">
        <v>300.17</v>
      </c>
      <c r="BA143">
        <v>98.998199999999997</v>
      </c>
      <c r="BB143">
        <v>0.100068</v>
      </c>
      <c r="BC143">
        <v>27.1267</v>
      </c>
      <c r="BD143">
        <v>26.9956</v>
      </c>
      <c r="BE143">
        <v>29.0137</v>
      </c>
      <c r="BF143">
        <v>0</v>
      </c>
      <c r="BG143">
        <v>0</v>
      </c>
      <c r="BH143">
        <v>9978.75</v>
      </c>
      <c r="BI143">
        <v>1081.0999999999999</v>
      </c>
      <c r="BJ143">
        <v>1.4577199999999999</v>
      </c>
      <c r="BK143">
        <v>-229.72499999999999</v>
      </c>
      <c r="BL143">
        <v>584.66999999999996</v>
      </c>
      <c r="BM143">
        <v>809.245</v>
      </c>
      <c r="BN143">
        <v>13.196099999999999</v>
      </c>
      <c r="BO143">
        <v>799.99800000000005</v>
      </c>
      <c r="BP143">
        <v>11.427300000000001</v>
      </c>
      <c r="BQ143">
        <v>2.4376699999999998</v>
      </c>
      <c r="BR143">
        <v>1.1312800000000001</v>
      </c>
      <c r="BS143">
        <v>20.616199999999999</v>
      </c>
      <c r="BT143">
        <v>8.7267200000000003</v>
      </c>
      <c r="BU143">
        <v>1800</v>
      </c>
      <c r="BV143">
        <v>0.90999600000000003</v>
      </c>
      <c r="BW143">
        <v>3.4002600000000001E-2</v>
      </c>
      <c r="BX143">
        <v>2.2001799999999998E-2</v>
      </c>
      <c r="BY143">
        <v>3.3999799999999997E-2</v>
      </c>
      <c r="BZ143">
        <v>25</v>
      </c>
      <c r="CA143">
        <v>33528.400000000001</v>
      </c>
      <c r="CB143">
        <v>1690232006</v>
      </c>
      <c r="CC143" t="s">
        <v>332</v>
      </c>
      <c r="CD143">
        <v>1690232006</v>
      </c>
      <c r="CE143">
        <v>1690231998.5</v>
      </c>
      <c r="CF143">
        <v>14</v>
      </c>
      <c r="CG143">
        <v>-0.13200000000000001</v>
      </c>
      <c r="CH143">
        <v>-7.0000000000000001E-3</v>
      </c>
      <c r="CI143">
        <v>-0.33800000000000002</v>
      </c>
      <c r="CJ143">
        <v>0.14299999999999999</v>
      </c>
      <c r="CK143">
        <v>799</v>
      </c>
      <c r="CL143">
        <v>19</v>
      </c>
      <c r="CM143">
        <v>7.0000000000000007E-2</v>
      </c>
      <c r="CN143">
        <v>0.14000000000000001</v>
      </c>
      <c r="CO143">
        <v>-227.32153658536589</v>
      </c>
      <c r="CP143">
        <v>-13.51917073170825</v>
      </c>
      <c r="CQ143">
        <v>1.3346992919309659</v>
      </c>
      <c r="CR143">
        <v>-1</v>
      </c>
      <c r="CS143">
        <v>13.028653658536591</v>
      </c>
      <c r="CT143">
        <v>1.0184717770034839</v>
      </c>
      <c r="CU143">
        <v>0.1014303391797903</v>
      </c>
      <c r="CV143">
        <v>-1</v>
      </c>
      <c r="CW143">
        <v>0</v>
      </c>
      <c r="CX143">
        <v>0</v>
      </c>
      <c r="CY143" t="s">
        <v>333</v>
      </c>
      <c r="CZ143">
        <v>2.3648600000000002</v>
      </c>
      <c r="DA143">
        <v>2.7138399999999998</v>
      </c>
      <c r="DB143">
        <v>0.11625000000000001</v>
      </c>
      <c r="DC143">
        <v>0.14618</v>
      </c>
      <c r="DD143">
        <v>0.116023</v>
      </c>
      <c r="DE143">
        <v>6.54893E-2</v>
      </c>
      <c r="DF143">
        <v>32297.4</v>
      </c>
      <c r="DG143">
        <v>27552.3</v>
      </c>
      <c r="DH143">
        <v>31198.1</v>
      </c>
      <c r="DI143">
        <v>28117.200000000001</v>
      </c>
      <c r="DJ143">
        <v>37441.4</v>
      </c>
      <c r="DK143">
        <v>37368.699999999997</v>
      </c>
      <c r="DL143">
        <v>44403.199999999997</v>
      </c>
      <c r="DM143">
        <v>42620.9</v>
      </c>
      <c r="DN143">
        <v>1.48325</v>
      </c>
      <c r="DO143">
        <v>2.05118</v>
      </c>
      <c r="DP143">
        <v>7.41705E-2</v>
      </c>
      <c r="DQ143">
        <v>0.20913799999999999</v>
      </c>
      <c r="DR143">
        <v>25.781400000000001</v>
      </c>
      <c r="DS143">
        <v>25.595099999999999</v>
      </c>
      <c r="DT143">
        <v>54.6</v>
      </c>
      <c r="DU143">
        <v>28.8</v>
      </c>
      <c r="DV143">
        <v>21.926200000000001</v>
      </c>
      <c r="DW143">
        <v>61.597999999999999</v>
      </c>
      <c r="DX143">
        <v>36.366199999999999</v>
      </c>
      <c r="DY143">
        <v>1</v>
      </c>
      <c r="DZ143">
        <v>-0.118064</v>
      </c>
      <c r="EA143">
        <v>-0.28692800000000002</v>
      </c>
      <c r="EB143">
        <v>20.189399999999999</v>
      </c>
      <c r="EC143">
        <v>5.2415500000000002</v>
      </c>
      <c r="ED143">
        <v>12.039899999999999</v>
      </c>
      <c r="EE143">
        <v>5.0170500000000002</v>
      </c>
      <c r="EF143">
        <v>3.2879999999999998</v>
      </c>
      <c r="EG143">
        <v>9999</v>
      </c>
      <c r="EH143">
        <v>9999</v>
      </c>
      <c r="EI143">
        <v>9999</v>
      </c>
      <c r="EJ143">
        <v>999.9</v>
      </c>
      <c r="EK143">
        <v>1.8688800000000001</v>
      </c>
      <c r="EL143">
        <v>1.8646199999999999</v>
      </c>
      <c r="EM143">
        <v>1.8691899999999999</v>
      </c>
      <c r="EN143">
        <v>1.86721</v>
      </c>
      <c r="EO143">
        <v>1.8633999999999999</v>
      </c>
      <c r="EP143">
        <v>1.8644700000000001</v>
      </c>
      <c r="EQ143">
        <v>1.87015</v>
      </c>
      <c r="ER143">
        <v>1.8694</v>
      </c>
      <c r="ES143">
        <v>0</v>
      </c>
      <c r="ET143">
        <v>0</v>
      </c>
      <c r="EU143">
        <v>0</v>
      </c>
      <c r="EV143">
        <v>0</v>
      </c>
      <c r="EW143" t="s">
        <v>334</v>
      </c>
      <c r="EX143" t="s">
        <v>335</v>
      </c>
      <c r="EY143" t="s">
        <v>336</v>
      </c>
      <c r="EZ143" t="s">
        <v>336</v>
      </c>
      <c r="FA143" t="s">
        <v>336</v>
      </c>
      <c r="FB143" t="s">
        <v>336</v>
      </c>
      <c r="FC143">
        <v>0</v>
      </c>
      <c r="FD143">
        <v>100</v>
      </c>
      <c r="FE143">
        <v>100</v>
      </c>
      <c r="FF143">
        <v>-0.17699999999999999</v>
      </c>
      <c r="FG143">
        <v>0.17199999999999999</v>
      </c>
      <c r="FH143">
        <v>0.2126736300064915</v>
      </c>
      <c r="FI143">
        <v>-6.1462078757559423E-4</v>
      </c>
      <c r="FJ143">
        <v>-1.8861989874597051E-7</v>
      </c>
      <c r="FK143">
        <v>1.1980462299894961E-10</v>
      </c>
      <c r="FL143">
        <v>0.1719881465068297</v>
      </c>
      <c r="FM143">
        <v>0</v>
      </c>
      <c r="FN143">
        <v>0</v>
      </c>
      <c r="FO143">
        <v>0</v>
      </c>
      <c r="FP143">
        <v>3</v>
      </c>
      <c r="FQ143">
        <v>2158</v>
      </c>
      <c r="FR143">
        <v>1</v>
      </c>
      <c r="FS143">
        <v>19</v>
      </c>
      <c r="FT143">
        <v>30.5</v>
      </c>
      <c r="FU143">
        <v>30.6</v>
      </c>
      <c r="FV143">
        <v>1.7785599999999999</v>
      </c>
      <c r="FW143">
        <v>2.5830099999999998</v>
      </c>
      <c r="FX143">
        <v>1.5490699999999999</v>
      </c>
      <c r="FY143">
        <v>2.3290999999999999</v>
      </c>
      <c r="FZ143">
        <v>1.50146</v>
      </c>
      <c r="GA143">
        <v>2.3864700000000001</v>
      </c>
      <c r="GB143">
        <v>33.558</v>
      </c>
      <c r="GC143">
        <v>23.991199999999999</v>
      </c>
      <c r="GD143">
        <v>19</v>
      </c>
      <c r="GE143">
        <v>284.57499999999999</v>
      </c>
      <c r="GF143">
        <v>591.98099999999999</v>
      </c>
      <c r="GG143">
        <v>25.5334</v>
      </c>
      <c r="GH143">
        <v>25.934699999999999</v>
      </c>
      <c r="GI143">
        <v>30.0001</v>
      </c>
      <c r="GJ143">
        <v>26.055800000000001</v>
      </c>
      <c r="GK143">
        <v>26.035</v>
      </c>
      <c r="GL143">
        <v>35.571399999999997</v>
      </c>
      <c r="GM143">
        <v>51.933100000000003</v>
      </c>
      <c r="GN143">
        <v>83.182299999999998</v>
      </c>
      <c r="GO143">
        <v>25.514600000000002</v>
      </c>
      <c r="GP143">
        <v>800</v>
      </c>
      <c r="GQ143">
        <v>11.2971</v>
      </c>
      <c r="GR143">
        <v>99.827600000000004</v>
      </c>
      <c r="GS143">
        <v>99.700500000000005</v>
      </c>
    </row>
    <row r="144" spans="1:201" x14ac:dyDescent="0.25">
      <c r="A144">
        <v>128</v>
      </c>
      <c r="B144">
        <v>1690233844.5999999</v>
      </c>
      <c r="C144">
        <v>1338.5</v>
      </c>
      <c r="D144" t="s">
        <v>587</v>
      </c>
      <c r="E144" t="s">
        <v>588</v>
      </c>
      <c r="F144" t="s">
        <v>330</v>
      </c>
      <c r="H144">
        <v>1690233844.5999999</v>
      </c>
      <c r="I144">
        <f t="shared" si="30"/>
        <v>1.2680582105522662E-3</v>
      </c>
      <c r="J144">
        <f t="shared" si="31"/>
        <v>1.2680582105522662</v>
      </c>
      <c r="K144">
        <f t="shared" si="32"/>
        <v>20.771827222054789</v>
      </c>
      <c r="L144">
        <f t="shared" si="33"/>
        <v>568.05799999999999</v>
      </c>
      <c r="M144">
        <f t="shared" si="34"/>
        <v>136.37983146167073</v>
      </c>
      <c r="N144">
        <f t="shared" si="35"/>
        <v>13.51477595622864</v>
      </c>
      <c r="O144">
        <f t="shared" si="36"/>
        <v>56.292609529298197</v>
      </c>
      <c r="P144">
        <f t="shared" si="37"/>
        <v>8.0048607170417313E-2</v>
      </c>
      <c r="Q144">
        <f t="shared" si="38"/>
        <v>2.1313125208501393</v>
      </c>
      <c r="R144">
        <f t="shared" si="39"/>
        <v>7.8415103096076758E-2</v>
      </c>
      <c r="S144">
        <f t="shared" si="40"/>
        <v>4.9153426919654561E-2</v>
      </c>
      <c r="T144">
        <f t="shared" si="41"/>
        <v>276.11407609438851</v>
      </c>
      <c r="U144">
        <f t="shared" si="42"/>
        <v>28.864329790238795</v>
      </c>
      <c r="V144">
        <f t="shared" si="43"/>
        <v>28.864329790238795</v>
      </c>
      <c r="W144">
        <f t="shared" si="44"/>
        <v>3.990307209382737</v>
      </c>
      <c r="X144">
        <f t="shared" si="45"/>
        <v>67.670768353418254</v>
      </c>
      <c r="Y144">
        <f t="shared" si="46"/>
        <v>2.4397976327331601</v>
      </c>
      <c r="Z144">
        <f t="shared" si="47"/>
        <v>3.6053937203594919</v>
      </c>
      <c r="AA144">
        <f t="shared" si="48"/>
        <v>1.5505095766495769</v>
      </c>
      <c r="AB144">
        <f t="shared" si="49"/>
        <v>-55.921367085354944</v>
      </c>
      <c r="AC144">
        <f t="shared" si="50"/>
        <v>-199.92371055118369</v>
      </c>
      <c r="AD144">
        <f t="shared" si="51"/>
        <v>-20.445940756178377</v>
      </c>
      <c r="AE144">
        <f t="shared" si="52"/>
        <v>-0.17694229832849828</v>
      </c>
      <c r="AF144">
        <v>0</v>
      </c>
      <c r="AG144">
        <v>0</v>
      </c>
      <c r="AH144">
        <f t="shared" si="53"/>
        <v>1</v>
      </c>
      <c r="AI144">
        <f t="shared" si="54"/>
        <v>0</v>
      </c>
      <c r="AJ144">
        <f t="shared" si="55"/>
        <v>52384.615733501087</v>
      </c>
      <c r="AK144">
        <f t="shared" si="56"/>
        <v>1799.99</v>
      </c>
      <c r="AL144">
        <f t="shared" si="57"/>
        <v>1499.1035816005001</v>
      </c>
      <c r="AM144">
        <f t="shared" si="58"/>
        <v>0.83283995</v>
      </c>
      <c r="AN144">
        <f t="shared" si="59"/>
        <v>0.15339756115</v>
      </c>
      <c r="AO144">
        <v>32.4</v>
      </c>
      <c r="AP144">
        <v>0.5</v>
      </c>
      <c r="AQ144" t="s">
        <v>331</v>
      </c>
      <c r="AR144">
        <v>2</v>
      </c>
      <c r="AS144">
        <v>1690233844.5999999</v>
      </c>
      <c r="AT144">
        <v>568.05799999999999</v>
      </c>
      <c r="AU144">
        <v>800.08900000000006</v>
      </c>
      <c r="AV144">
        <v>24.6204</v>
      </c>
      <c r="AW144">
        <v>11.2674</v>
      </c>
      <c r="AX144">
        <v>568.23299999999995</v>
      </c>
      <c r="AY144">
        <v>24.448399999999999</v>
      </c>
      <c r="AZ144">
        <v>300.10899999999998</v>
      </c>
      <c r="BA144">
        <v>98.996600000000001</v>
      </c>
      <c r="BB144">
        <v>9.9987900000000005E-2</v>
      </c>
      <c r="BC144">
        <v>27.124400000000001</v>
      </c>
      <c r="BD144">
        <v>26.990100000000002</v>
      </c>
      <c r="BE144">
        <v>29.0425</v>
      </c>
      <c r="BF144">
        <v>0</v>
      </c>
      <c r="BG144">
        <v>0</v>
      </c>
      <c r="BH144">
        <v>10011.9</v>
      </c>
      <c r="BI144">
        <v>1081.1300000000001</v>
      </c>
      <c r="BJ144">
        <v>1.4577199999999999</v>
      </c>
      <c r="BK144">
        <v>-232.03100000000001</v>
      </c>
      <c r="BL144">
        <v>582.39700000000005</v>
      </c>
      <c r="BM144">
        <v>809.20600000000002</v>
      </c>
      <c r="BN144">
        <v>13.353</v>
      </c>
      <c r="BO144">
        <v>800.08900000000006</v>
      </c>
      <c r="BP144">
        <v>11.2674</v>
      </c>
      <c r="BQ144">
        <v>2.4373300000000002</v>
      </c>
      <c r="BR144">
        <v>1.1154299999999999</v>
      </c>
      <c r="BS144">
        <v>20.614000000000001</v>
      </c>
      <c r="BT144">
        <v>8.5183</v>
      </c>
      <c r="BU144">
        <v>1799.99</v>
      </c>
      <c r="BV144">
        <v>0.90999699999999994</v>
      </c>
      <c r="BW144">
        <v>3.4002200000000003E-2</v>
      </c>
      <c r="BX144">
        <v>2.20015E-2</v>
      </c>
      <c r="BY144">
        <v>3.3999500000000002E-2</v>
      </c>
      <c r="BZ144">
        <v>25</v>
      </c>
      <c r="CA144">
        <v>33528.199999999997</v>
      </c>
      <c r="CB144">
        <v>1690232006</v>
      </c>
      <c r="CC144" t="s">
        <v>332</v>
      </c>
      <c r="CD144">
        <v>1690232006</v>
      </c>
      <c r="CE144">
        <v>1690231998.5</v>
      </c>
      <c r="CF144">
        <v>14</v>
      </c>
      <c r="CG144">
        <v>-0.13200000000000001</v>
      </c>
      <c r="CH144">
        <v>-7.0000000000000001E-3</v>
      </c>
      <c r="CI144">
        <v>-0.33800000000000002</v>
      </c>
      <c r="CJ144">
        <v>0.14299999999999999</v>
      </c>
      <c r="CK144">
        <v>799</v>
      </c>
      <c r="CL144">
        <v>19</v>
      </c>
      <c r="CM144">
        <v>7.0000000000000007E-2</v>
      </c>
      <c r="CN144">
        <v>0.14000000000000001</v>
      </c>
      <c r="CO144">
        <v>-229.72387499999999</v>
      </c>
      <c r="CP144">
        <v>-13.364971857410721</v>
      </c>
      <c r="CQ144">
        <v>1.287068533286009</v>
      </c>
      <c r="CR144">
        <v>-1</v>
      </c>
      <c r="CS144">
        <v>13.203530000000001</v>
      </c>
      <c r="CT144">
        <v>0.87278724202621849</v>
      </c>
      <c r="CU144">
        <v>8.4810551230374606E-2</v>
      </c>
      <c r="CV144">
        <v>-1</v>
      </c>
      <c r="CW144">
        <v>0</v>
      </c>
      <c r="CX144">
        <v>0</v>
      </c>
      <c r="CY144" t="s">
        <v>333</v>
      </c>
      <c r="CZ144">
        <v>2.3646699999999998</v>
      </c>
      <c r="DA144">
        <v>2.7137899999999999</v>
      </c>
      <c r="DB144">
        <v>0.115928</v>
      </c>
      <c r="DC144">
        <v>0.14618700000000001</v>
      </c>
      <c r="DD144">
        <v>0.11601300000000001</v>
      </c>
      <c r="DE144">
        <v>6.4793500000000004E-2</v>
      </c>
      <c r="DF144">
        <v>32309.7</v>
      </c>
      <c r="DG144">
        <v>27552.1</v>
      </c>
      <c r="DH144">
        <v>31198.5</v>
      </c>
      <c r="DI144">
        <v>28117.200000000001</v>
      </c>
      <c r="DJ144">
        <v>37442.199999999997</v>
      </c>
      <c r="DK144">
        <v>37396.800000000003</v>
      </c>
      <c r="DL144">
        <v>44403.7</v>
      </c>
      <c r="DM144">
        <v>42621.2</v>
      </c>
      <c r="DN144">
        <v>1.48315</v>
      </c>
      <c r="DO144">
        <v>2.0513499999999998</v>
      </c>
      <c r="DP144">
        <v>7.3835300000000006E-2</v>
      </c>
      <c r="DQ144">
        <v>0.211038</v>
      </c>
      <c r="DR144">
        <v>25.781400000000001</v>
      </c>
      <c r="DS144">
        <v>25.5929</v>
      </c>
      <c r="DT144">
        <v>54.4</v>
      </c>
      <c r="DU144">
        <v>28.8</v>
      </c>
      <c r="DV144">
        <v>21.8475</v>
      </c>
      <c r="DW144">
        <v>61.408000000000001</v>
      </c>
      <c r="DX144">
        <v>36.570500000000003</v>
      </c>
      <c r="DY144">
        <v>1</v>
      </c>
      <c r="DZ144">
        <v>-0.118016</v>
      </c>
      <c r="EA144">
        <v>-0.35830099999999998</v>
      </c>
      <c r="EB144">
        <v>20.189399999999999</v>
      </c>
      <c r="EC144">
        <v>5.2416999999999998</v>
      </c>
      <c r="ED144">
        <v>12.039899999999999</v>
      </c>
      <c r="EE144">
        <v>5.0173500000000004</v>
      </c>
      <c r="EF144">
        <v>3.2879999999999998</v>
      </c>
      <c r="EG144">
        <v>9999</v>
      </c>
      <c r="EH144">
        <v>9999</v>
      </c>
      <c r="EI144">
        <v>9999</v>
      </c>
      <c r="EJ144">
        <v>999.9</v>
      </c>
      <c r="EK144">
        <v>1.8689</v>
      </c>
      <c r="EL144">
        <v>1.8646100000000001</v>
      </c>
      <c r="EM144">
        <v>1.8691899999999999</v>
      </c>
      <c r="EN144">
        <v>1.8672200000000001</v>
      </c>
      <c r="EO144">
        <v>1.86338</v>
      </c>
      <c r="EP144">
        <v>1.8644700000000001</v>
      </c>
      <c r="EQ144">
        <v>1.8701399999999999</v>
      </c>
      <c r="ER144">
        <v>1.8693599999999999</v>
      </c>
      <c r="ES144">
        <v>0</v>
      </c>
      <c r="ET144">
        <v>0</v>
      </c>
      <c r="EU144">
        <v>0</v>
      </c>
      <c r="EV144">
        <v>0</v>
      </c>
      <c r="EW144" t="s">
        <v>334</v>
      </c>
      <c r="EX144" t="s">
        <v>335</v>
      </c>
      <c r="EY144" t="s">
        <v>336</v>
      </c>
      <c r="EZ144" t="s">
        <v>336</v>
      </c>
      <c r="FA144" t="s">
        <v>336</v>
      </c>
      <c r="FB144" t="s">
        <v>336</v>
      </c>
      <c r="FC144">
        <v>0</v>
      </c>
      <c r="FD144">
        <v>100</v>
      </c>
      <c r="FE144">
        <v>100</v>
      </c>
      <c r="FF144">
        <v>-0.17499999999999999</v>
      </c>
      <c r="FG144">
        <v>0.17199999999999999</v>
      </c>
      <c r="FH144">
        <v>0.2126736300064915</v>
      </c>
      <c r="FI144">
        <v>-6.1462078757559423E-4</v>
      </c>
      <c r="FJ144">
        <v>-1.8861989874597051E-7</v>
      </c>
      <c r="FK144">
        <v>1.1980462299894961E-10</v>
      </c>
      <c r="FL144">
        <v>0.1719881465068297</v>
      </c>
      <c r="FM144">
        <v>0</v>
      </c>
      <c r="FN144">
        <v>0</v>
      </c>
      <c r="FO144">
        <v>0</v>
      </c>
      <c r="FP144">
        <v>3</v>
      </c>
      <c r="FQ144">
        <v>2158</v>
      </c>
      <c r="FR144">
        <v>1</v>
      </c>
      <c r="FS144">
        <v>19</v>
      </c>
      <c r="FT144">
        <v>30.6</v>
      </c>
      <c r="FU144">
        <v>30.8</v>
      </c>
      <c r="FV144">
        <v>1.7785599999999999</v>
      </c>
      <c r="FW144">
        <v>2.5927699999999998</v>
      </c>
      <c r="FX144">
        <v>1.5490699999999999</v>
      </c>
      <c r="FY144">
        <v>2.3290999999999999</v>
      </c>
      <c r="FZ144">
        <v>1.50146</v>
      </c>
      <c r="GA144">
        <v>2.2961399999999998</v>
      </c>
      <c r="GB144">
        <v>33.535499999999999</v>
      </c>
      <c r="GC144">
        <v>23.982399999999998</v>
      </c>
      <c r="GD144">
        <v>19</v>
      </c>
      <c r="GE144">
        <v>284.52300000000002</v>
      </c>
      <c r="GF144">
        <v>592.10199999999998</v>
      </c>
      <c r="GG144">
        <v>25.519200000000001</v>
      </c>
      <c r="GH144">
        <v>25.934100000000001</v>
      </c>
      <c r="GI144">
        <v>30.0001</v>
      </c>
      <c r="GJ144">
        <v>26.053599999999999</v>
      </c>
      <c r="GK144">
        <v>26.032800000000002</v>
      </c>
      <c r="GL144">
        <v>35.560299999999998</v>
      </c>
      <c r="GM144">
        <v>52.220599999999997</v>
      </c>
      <c r="GN144">
        <v>82.809200000000004</v>
      </c>
      <c r="GO144">
        <v>25.522600000000001</v>
      </c>
      <c r="GP144">
        <v>800</v>
      </c>
      <c r="GQ144">
        <v>11.141299999999999</v>
      </c>
      <c r="GR144">
        <v>99.828800000000001</v>
      </c>
      <c r="GS144">
        <v>99.700999999999993</v>
      </c>
    </row>
    <row r="145" spans="1:201" x14ac:dyDescent="0.25">
      <c r="A145">
        <v>129</v>
      </c>
      <c r="B145">
        <v>1690233854.5999999</v>
      </c>
      <c r="C145">
        <v>1348.5</v>
      </c>
      <c r="D145" t="s">
        <v>589</v>
      </c>
      <c r="E145" t="s">
        <v>590</v>
      </c>
      <c r="F145" t="s">
        <v>330</v>
      </c>
      <c r="H145">
        <v>1690233854.5999999</v>
      </c>
      <c r="I145">
        <f t="shared" ref="I145:I208" si="60">(J145)/1000</f>
        <v>1.284997901414757E-3</v>
      </c>
      <c r="J145">
        <f t="shared" ref="J145:J208" si="61">1000*AZ145*AH145*(AV145-AW145)/(100*AO145*(1000-AH145*AV145))</f>
        <v>1.284997901414757</v>
      </c>
      <c r="K145">
        <f t="shared" ref="K145:K208" si="62">AZ145*AH145*(AU145-AT145*(1000-AH145*AW145)/(1000-AH145*AV145))/(100*AO145)</f>
        <v>20.967102583611492</v>
      </c>
      <c r="L145">
        <f t="shared" ref="L145:L208" si="63">AT145 - IF(AH145&gt;1, K145*AO145*100/(AJ145*BH145), 0)</f>
        <v>565.88699999999994</v>
      </c>
      <c r="M145">
        <f t="shared" ref="M145:M208" si="64">((S145-I145/2)*L145-K145)/(S145+I145/2)</f>
        <v>135.88055756577916</v>
      </c>
      <c r="N145">
        <f t="shared" ref="N145:N208" si="65">M145*(BA145+BB145)/1000</f>
        <v>13.46493397572589</v>
      </c>
      <c r="O145">
        <f t="shared" ref="O145:O208" si="66">(AT145 - IF(AH145&gt;1, K145*AO145*100/(AJ145*BH145), 0))*(BA145+BB145)/1000</f>
        <v>56.075948091638992</v>
      </c>
      <c r="P145">
        <f t="shared" ref="P145:P208" si="67">2/((1/R145-1/Q145)+SIGN(R145)*SQRT((1/R145-1/Q145)*(1/R145-1/Q145) + 4*AP145/((AP145+1)*(AP145+1))*(2*1/R145*1/Q145-1/Q145*1/Q145)))</f>
        <v>8.1135003086033039E-2</v>
      </c>
      <c r="Q145">
        <f t="shared" ref="Q145:Q208" si="68">IF(LEFT(AQ145,1)&lt;&gt;"0",IF(LEFT(AQ145,1)="1",3,AR145),$D$5+$E$5*(BH145*BA145/($K$5*1000))+$F$5*(BH145*BA145/($K$5*1000))*MAX(MIN(AO145,$J$5),$I$5)*MAX(MIN(AO145,$J$5),$I$5)+$G$5*MAX(MIN(AO145,$J$5),$I$5)*(BH145*BA145/($K$5*1000))+$H$5*(BH145*BA145/($K$5*1000))*(BH145*BA145/($K$5*1000)))</f>
        <v>2.1309185816997829</v>
      </c>
      <c r="R145">
        <f t="shared" ref="R145:R208" si="69">I145*(1000-(1000*0.61365*EXP(17.502*V145/(240.97+V145))/(BA145+BB145)+AV145)/2)/(1000*0.61365*EXP(17.502*V145/(240.97+V145))/(BA145+BB145)-AV145)</f>
        <v>7.9457056732734135E-2</v>
      </c>
      <c r="S145">
        <f t="shared" ref="S145:S208" si="70">1/((AP145+1)/(P145/1.6)+1/(Q145/1.37)) + AP145/((AP145+1)/(P145/1.6) + AP145/(Q145/1.37))</f>
        <v>4.9808527011230425E-2</v>
      </c>
      <c r="T145">
        <f t="shared" ref="T145:T208" si="71">(AK145*AN145)</f>
        <v>276.11559133200001</v>
      </c>
      <c r="U145">
        <f t="shared" ref="U145:U208" si="72">(BC145+(T145+2*0.95*0.0000000567*(((BC145+$B$7)+273)^4-(BC145+273)^4)-44100*I145)/(1.84*29.3*Q145+8*0.95*0.0000000567*(BC145+273)^3))</f>
        <v>28.863821677292965</v>
      </c>
      <c r="V145">
        <f t="shared" ref="V145:V208" si="73">($C$7*BD145+$D$7*BE145+$E$7*U145)</f>
        <v>28.863821677292965</v>
      </c>
      <c r="W145">
        <f t="shared" ref="W145:W208" si="74">0.61365*EXP(17.502*V145/(240.97+V145))</f>
        <v>3.9901897690501236</v>
      </c>
      <c r="X145">
        <f t="shared" ref="X145:X208" si="75">(Y145/Z145*100)</f>
        <v>67.645386564086252</v>
      </c>
      <c r="Y145">
        <f t="shared" ref="Y145:Y208" si="76">AV145*(BA145+BB145)/1000</f>
        <v>2.4396124690223999</v>
      </c>
      <c r="Z145">
        <f t="shared" ref="Z145:Z208" si="77">0.61365*EXP(17.502*BC145/(240.97+BC145))</f>
        <v>3.6064728031543538</v>
      </c>
      <c r="AA145">
        <f t="shared" ref="AA145:AA208" si="78">(W145-AV145*(BA145+BB145)/1000)</f>
        <v>1.5505773000277236</v>
      </c>
      <c r="AB145">
        <f t="shared" ref="AB145:AB208" si="79">(-I145*44100)</f>
        <v>-56.668407452390788</v>
      </c>
      <c r="AC145">
        <f t="shared" ref="AC145:AC208" si="80">2*29.3*Q145*0.92*(BC145-V145)</f>
        <v>-199.24248614515551</v>
      </c>
      <c r="AD145">
        <f t="shared" ref="AD145:AD208" si="81">2*0.95*0.0000000567*(((BC145+$B$7)+273)^4-(V145+273)^4)</f>
        <v>-20.38050501144788</v>
      </c>
      <c r="AE145">
        <f t="shared" ref="AE145:AE208" si="82">T145+AD145+AB145+AC145</f>
        <v>-0.17580727699419185</v>
      </c>
      <c r="AF145">
        <v>0</v>
      </c>
      <c r="AG145">
        <v>0</v>
      </c>
      <c r="AH145">
        <f t="shared" ref="AH145:AH208" si="83">IF(AF145*$H$13&gt;=AJ145,1,(AJ145/(AJ145-AF145*$H$13)))</f>
        <v>1</v>
      </c>
      <c r="AI145">
        <f t="shared" ref="AI145:AI208" si="84">(AH145-1)*100</f>
        <v>0</v>
      </c>
      <c r="AJ145">
        <f t="shared" ref="AJ145:AJ208" si="85">MAX(0,($B$13+$C$13*BH145)/(1+$D$13*BH145)*BA145/(BC145+273)*$E$13)</f>
        <v>52366.691636588075</v>
      </c>
      <c r="AK145">
        <f t="shared" ref="AK145:AK208" si="86">$B$11*BI145+$C$11*BJ145+$D$11*BU145</f>
        <v>1800</v>
      </c>
      <c r="AL145">
        <f t="shared" ref="AL145:AL208" si="87">AK145*AM145</f>
        <v>1499.1114941999997</v>
      </c>
      <c r="AM145">
        <f t="shared" ref="AM145:AM208" si="88">($B$11*$D$9+$C$11*$D$9+$D$11*(BV145*$E$9+BW145*$F$9+BX145*$G$9+BY145*$H$9))/($B$11+$C$11+$D$11)</f>
        <v>0.83283971899999987</v>
      </c>
      <c r="AN145">
        <f t="shared" ref="AN145:AN208" si="89">($B$11*$K$9+$C$11*$K$9+$D$11*(BV145*$L$9+BW145*$M$9+BX145*$N$9+BY145*$O$9))/($B$11+$C$11+$D$11)</f>
        <v>0.15339755074</v>
      </c>
      <c r="AO145">
        <v>32.4</v>
      </c>
      <c r="AP145">
        <v>0.5</v>
      </c>
      <c r="AQ145" t="s">
        <v>331</v>
      </c>
      <c r="AR145">
        <v>2</v>
      </c>
      <c r="AS145">
        <v>1690233854.5999999</v>
      </c>
      <c r="AT145">
        <v>565.88699999999994</v>
      </c>
      <c r="AU145">
        <v>800.03599999999994</v>
      </c>
      <c r="AV145">
        <v>24.619199999999999</v>
      </c>
      <c r="AW145">
        <v>11.0915</v>
      </c>
      <c r="AX145">
        <v>566.06100000000004</v>
      </c>
      <c r="AY145">
        <v>24.447299999999998</v>
      </c>
      <c r="AZ145">
        <v>300.19099999999997</v>
      </c>
      <c r="BA145">
        <v>98.993799999999993</v>
      </c>
      <c r="BB145">
        <v>0.10009700000000001</v>
      </c>
      <c r="BC145">
        <v>27.1295</v>
      </c>
      <c r="BD145">
        <v>26.990300000000001</v>
      </c>
      <c r="BE145">
        <v>29.0261</v>
      </c>
      <c r="BF145">
        <v>0</v>
      </c>
      <c r="BG145">
        <v>0</v>
      </c>
      <c r="BH145">
        <v>10008.799999999999</v>
      </c>
      <c r="BI145">
        <v>1081.1199999999999</v>
      </c>
      <c r="BJ145">
        <v>1.4577199999999999</v>
      </c>
      <c r="BK145">
        <v>-234.149</v>
      </c>
      <c r="BL145">
        <v>580.16999999999996</v>
      </c>
      <c r="BM145">
        <v>809.00900000000001</v>
      </c>
      <c r="BN145">
        <v>13.527799999999999</v>
      </c>
      <c r="BO145">
        <v>800.03599999999994</v>
      </c>
      <c r="BP145">
        <v>11.0915</v>
      </c>
      <c r="BQ145">
        <v>2.4371499999999999</v>
      </c>
      <c r="BR145">
        <v>1.09799</v>
      </c>
      <c r="BS145">
        <v>20.6128</v>
      </c>
      <c r="BT145">
        <v>8.2859099999999994</v>
      </c>
      <c r="BU145">
        <v>1800</v>
      </c>
      <c r="BV145">
        <v>0.90999600000000003</v>
      </c>
      <c r="BW145">
        <v>3.4002499999999998E-2</v>
      </c>
      <c r="BX145">
        <v>2.2001699999999999E-2</v>
      </c>
      <c r="BY145">
        <v>3.3999799999999997E-2</v>
      </c>
      <c r="BZ145">
        <v>25</v>
      </c>
      <c r="CA145">
        <v>33528.300000000003</v>
      </c>
      <c r="CB145">
        <v>1690232006</v>
      </c>
      <c r="CC145" t="s">
        <v>332</v>
      </c>
      <c r="CD145">
        <v>1690232006</v>
      </c>
      <c r="CE145">
        <v>1690231998.5</v>
      </c>
      <c r="CF145">
        <v>14</v>
      </c>
      <c r="CG145">
        <v>-0.13200000000000001</v>
      </c>
      <c r="CH145">
        <v>-7.0000000000000001E-3</v>
      </c>
      <c r="CI145">
        <v>-0.33800000000000002</v>
      </c>
      <c r="CJ145">
        <v>0.14299999999999999</v>
      </c>
      <c r="CK145">
        <v>799</v>
      </c>
      <c r="CL145">
        <v>19</v>
      </c>
      <c r="CM145">
        <v>7.0000000000000007E-2</v>
      </c>
      <c r="CN145">
        <v>0.14000000000000001</v>
      </c>
      <c r="CO145">
        <v>-231.77195</v>
      </c>
      <c r="CP145">
        <v>-13.738221388367309</v>
      </c>
      <c r="CQ145">
        <v>1.322598369687489</v>
      </c>
      <c r="CR145">
        <v>-1</v>
      </c>
      <c r="CS145">
        <v>13.339957500000001</v>
      </c>
      <c r="CT145">
        <v>0.97983377110690784</v>
      </c>
      <c r="CU145">
        <v>9.4938350753265302E-2</v>
      </c>
      <c r="CV145">
        <v>-1</v>
      </c>
      <c r="CW145">
        <v>0</v>
      </c>
      <c r="CX145">
        <v>0</v>
      </c>
      <c r="CY145" t="s">
        <v>333</v>
      </c>
      <c r="CZ145">
        <v>2.3649399999999998</v>
      </c>
      <c r="DA145">
        <v>2.7139000000000002</v>
      </c>
      <c r="DB145">
        <v>0.115608</v>
      </c>
      <c r="DC145">
        <v>0.146173</v>
      </c>
      <c r="DD145">
        <v>0.116005</v>
      </c>
      <c r="DE145">
        <v>6.4022700000000002E-2</v>
      </c>
      <c r="DF145">
        <v>32320.799999999999</v>
      </c>
      <c r="DG145">
        <v>27552.400000000001</v>
      </c>
      <c r="DH145">
        <v>31198</v>
      </c>
      <c r="DI145">
        <v>28117</v>
      </c>
      <c r="DJ145">
        <v>37441.9</v>
      </c>
      <c r="DK145">
        <v>37427.599999999999</v>
      </c>
      <c r="DL145">
        <v>44403.1</v>
      </c>
      <c r="DM145">
        <v>42621.1</v>
      </c>
      <c r="DN145">
        <v>1.48377</v>
      </c>
      <c r="DO145">
        <v>2.0508500000000001</v>
      </c>
      <c r="DP145">
        <v>7.3872499999999994E-2</v>
      </c>
      <c r="DQ145">
        <v>0.210255</v>
      </c>
      <c r="DR145">
        <v>25.780999999999999</v>
      </c>
      <c r="DS145">
        <v>25.589200000000002</v>
      </c>
      <c r="DT145">
        <v>54.3</v>
      </c>
      <c r="DU145">
        <v>28.7</v>
      </c>
      <c r="DV145">
        <v>21.684000000000001</v>
      </c>
      <c r="DW145">
        <v>61.518000000000001</v>
      </c>
      <c r="DX145">
        <v>36.446300000000001</v>
      </c>
      <c r="DY145">
        <v>1</v>
      </c>
      <c r="DZ145">
        <v>-0.118148</v>
      </c>
      <c r="EA145">
        <v>-0.37904700000000002</v>
      </c>
      <c r="EB145">
        <v>20.189299999999999</v>
      </c>
      <c r="EC145">
        <v>5.2416999999999998</v>
      </c>
      <c r="ED145">
        <v>12.039899999999999</v>
      </c>
      <c r="EE145">
        <v>5.0176999999999996</v>
      </c>
      <c r="EF145">
        <v>3.2879999999999998</v>
      </c>
      <c r="EG145">
        <v>9999</v>
      </c>
      <c r="EH145">
        <v>9999</v>
      </c>
      <c r="EI145">
        <v>9999</v>
      </c>
      <c r="EJ145">
        <v>999.9</v>
      </c>
      <c r="EK145">
        <v>1.8689</v>
      </c>
      <c r="EL145">
        <v>1.8646</v>
      </c>
      <c r="EM145">
        <v>1.8691899999999999</v>
      </c>
      <c r="EN145">
        <v>1.8672200000000001</v>
      </c>
      <c r="EO145">
        <v>1.8633599999999999</v>
      </c>
      <c r="EP145">
        <v>1.8644700000000001</v>
      </c>
      <c r="EQ145">
        <v>1.8701300000000001</v>
      </c>
      <c r="ER145">
        <v>1.86937</v>
      </c>
      <c r="ES145">
        <v>0</v>
      </c>
      <c r="ET145">
        <v>0</v>
      </c>
      <c r="EU145">
        <v>0</v>
      </c>
      <c r="EV145">
        <v>0</v>
      </c>
      <c r="EW145" t="s">
        <v>334</v>
      </c>
      <c r="EX145" t="s">
        <v>335</v>
      </c>
      <c r="EY145" t="s">
        <v>336</v>
      </c>
      <c r="EZ145" t="s">
        <v>336</v>
      </c>
      <c r="FA145" t="s">
        <v>336</v>
      </c>
      <c r="FB145" t="s">
        <v>336</v>
      </c>
      <c r="FC145">
        <v>0</v>
      </c>
      <c r="FD145">
        <v>100</v>
      </c>
      <c r="FE145">
        <v>100</v>
      </c>
      <c r="FF145">
        <v>-0.17399999999999999</v>
      </c>
      <c r="FG145">
        <v>0.1719</v>
      </c>
      <c r="FH145">
        <v>0.2126736300064915</v>
      </c>
      <c r="FI145">
        <v>-6.1462078757559423E-4</v>
      </c>
      <c r="FJ145">
        <v>-1.8861989874597051E-7</v>
      </c>
      <c r="FK145">
        <v>1.1980462299894961E-10</v>
      </c>
      <c r="FL145">
        <v>0.1719881465068297</v>
      </c>
      <c r="FM145">
        <v>0</v>
      </c>
      <c r="FN145">
        <v>0</v>
      </c>
      <c r="FO145">
        <v>0</v>
      </c>
      <c r="FP145">
        <v>3</v>
      </c>
      <c r="FQ145">
        <v>2158</v>
      </c>
      <c r="FR145">
        <v>1</v>
      </c>
      <c r="FS145">
        <v>19</v>
      </c>
      <c r="FT145">
        <v>30.8</v>
      </c>
      <c r="FU145">
        <v>30.9</v>
      </c>
      <c r="FV145">
        <v>1.7785599999999999</v>
      </c>
      <c r="FW145">
        <v>2.5830099999999998</v>
      </c>
      <c r="FX145">
        <v>1.5490699999999999</v>
      </c>
      <c r="FY145">
        <v>2.3290999999999999</v>
      </c>
      <c r="FZ145">
        <v>1.50146</v>
      </c>
      <c r="GA145">
        <v>2.4047900000000002</v>
      </c>
      <c r="GB145">
        <v>33.535499999999999</v>
      </c>
      <c r="GC145">
        <v>23.991199999999999</v>
      </c>
      <c r="GD145">
        <v>19</v>
      </c>
      <c r="GE145">
        <v>284.79000000000002</v>
      </c>
      <c r="GF145">
        <v>591.68499999999995</v>
      </c>
      <c r="GG145">
        <v>25.529</v>
      </c>
      <c r="GH145">
        <v>25.934100000000001</v>
      </c>
      <c r="GI145">
        <v>30</v>
      </c>
      <c r="GJ145">
        <v>26.053599999999999</v>
      </c>
      <c r="GK145">
        <v>26.032800000000002</v>
      </c>
      <c r="GL145">
        <v>35.5578</v>
      </c>
      <c r="GM145">
        <v>52.769599999999997</v>
      </c>
      <c r="GN145">
        <v>82.040700000000001</v>
      </c>
      <c r="GO145">
        <v>25.530899999999999</v>
      </c>
      <c r="GP145">
        <v>800</v>
      </c>
      <c r="GQ145">
        <v>10.9824</v>
      </c>
      <c r="GR145">
        <v>99.827299999999994</v>
      </c>
      <c r="GS145">
        <v>99.700500000000005</v>
      </c>
    </row>
    <row r="146" spans="1:201" x14ac:dyDescent="0.25">
      <c r="A146">
        <v>130</v>
      </c>
      <c r="B146">
        <v>1690233864.5999999</v>
      </c>
      <c r="C146">
        <v>1358.5</v>
      </c>
      <c r="D146" t="s">
        <v>591</v>
      </c>
      <c r="E146" t="s">
        <v>592</v>
      </c>
      <c r="F146" t="s">
        <v>330</v>
      </c>
      <c r="H146">
        <v>1690233864.5999999</v>
      </c>
      <c r="I146">
        <f t="shared" si="60"/>
        <v>1.2975562277684053E-3</v>
      </c>
      <c r="J146">
        <f t="shared" si="61"/>
        <v>1.2975562277684054</v>
      </c>
      <c r="K146">
        <f t="shared" si="62"/>
        <v>21.165691483537554</v>
      </c>
      <c r="L146">
        <f t="shared" si="63"/>
        <v>563.67100000000005</v>
      </c>
      <c r="M146">
        <f t="shared" si="64"/>
        <v>134.18496232122516</v>
      </c>
      <c r="N146">
        <f t="shared" si="65"/>
        <v>13.297129154142064</v>
      </c>
      <c r="O146">
        <f t="shared" si="66"/>
        <v>55.857273108604012</v>
      </c>
      <c r="P146">
        <f t="shared" si="67"/>
        <v>8.2011263934936171E-2</v>
      </c>
      <c r="Q146">
        <f t="shared" si="68"/>
        <v>2.1280914914234614</v>
      </c>
      <c r="R146">
        <f t="shared" si="69"/>
        <v>8.0295065035739285E-2</v>
      </c>
      <c r="S146">
        <f t="shared" si="70"/>
        <v>5.0335618068925975E-2</v>
      </c>
      <c r="T146">
        <f t="shared" si="71"/>
        <v>276.11406648244196</v>
      </c>
      <c r="U146">
        <f t="shared" si="72"/>
        <v>28.857026176924844</v>
      </c>
      <c r="V146">
        <f t="shared" si="73"/>
        <v>28.857026176924844</v>
      </c>
      <c r="W146">
        <f t="shared" si="74"/>
        <v>3.9886194122348577</v>
      </c>
      <c r="X146">
        <f t="shared" si="75"/>
        <v>67.651443654911631</v>
      </c>
      <c r="Y146">
        <f t="shared" si="76"/>
        <v>2.4391867754980003</v>
      </c>
      <c r="Z146">
        <f t="shared" si="77"/>
        <v>3.6055206566473772</v>
      </c>
      <c r="AA146">
        <f t="shared" si="78"/>
        <v>1.5494326367368574</v>
      </c>
      <c r="AB146">
        <f t="shared" si="79"/>
        <v>-57.222229644586676</v>
      </c>
      <c r="AC146">
        <f t="shared" si="80"/>
        <v>-198.71478908700604</v>
      </c>
      <c r="AD146">
        <f t="shared" si="81"/>
        <v>-20.352383807483129</v>
      </c>
      <c r="AE146">
        <f t="shared" si="82"/>
        <v>-0.1753360566338813</v>
      </c>
      <c r="AF146">
        <v>0</v>
      </c>
      <c r="AG146">
        <v>0</v>
      </c>
      <c r="AH146">
        <f t="shared" si="83"/>
        <v>1</v>
      </c>
      <c r="AI146">
        <f t="shared" si="84"/>
        <v>0</v>
      </c>
      <c r="AJ146">
        <f t="shared" si="85"/>
        <v>52245.810702063878</v>
      </c>
      <c r="AK146">
        <f t="shared" si="86"/>
        <v>1799.99</v>
      </c>
      <c r="AL146">
        <f t="shared" si="87"/>
        <v>1499.1038623989398</v>
      </c>
      <c r="AM146">
        <f t="shared" si="88"/>
        <v>0.83284010599999991</v>
      </c>
      <c r="AN146">
        <f t="shared" si="89"/>
        <v>0.15339755581000003</v>
      </c>
      <c r="AO146">
        <v>32.4</v>
      </c>
      <c r="AP146">
        <v>0.5</v>
      </c>
      <c r="AQ146" t="s">
        <v>331</v>
      </c>
      <c r="AR146">
        <v>2</v>
      </c>
      <c r="AS146">
        <v>1690233864.5999999</v>
      </c>
      <c r="AT146">
        <v>563.67100000000005</v>
      </c>
      <c r="AU146">
        <v>800.01300000000003</v>
      </c>
      <c r="AV146">
        <v>24.6145</v>
      </c>
      <c r="AW146">
        <v>10.9543</v>
      </c>
      <c r="AX146">
        <v>563.84299999999996</v>
      </c>
      <c r="AY146">
        <v>24.442599999999999</v>
      </c>
      <c r="AZ146">
        <v>300.18599999999998</v>
      </c>
      <c r="BA146">
        <v>98.995500000000007</v>
      </c>
      <c r="BB146">
        <v>0.100024</v>
      </c>
      <c r="BC146">
        <v>27.125</v>
      </c>
      <c r="BD146">
        <v>26.998899999999999</v>
      </c>
      <c r="BE146">
        <v>29.034700000000001</v>
      </c>
      <c r="BF146">
        <v>0</v>
      </c>
      <c r="BG146">
        <v>0</v>
      </c>
      <c r="BH146">
        <v>9984.3799999999992</v>
      </c>
      <c r="BI146">
        <v>1081.08</v>
      </c>
      <c r="BJ146">
        <v>1.4577199999999999</v>
      </c>
      <c r="BK146">
        <v>-236.34200000000001</v>
      </c>
      <c r="BL146">
        <v>577.89599999999996</v>
      </c>
      <c r="BM146">
        <v>808.87400000000002</v>
      </c>
      <c r="BN146">
        <v>13.6602</v>
      </c>
      <c r="BO146">
        <v>800.01300000000003</v>
      </c>
      <c r="BP146">
        <v>10.9543</v>
      </c>
      <c r="BQ146">
        <v>2.4367299999999998</v>
      </c>
      <c r="BR146">
        <v>1.08443</v>
      </c>
      <c r="BS146">
        <v>20.61</v>
      </c>
      <c r="BT146">
        <v>8.1029999999999998</v>
      </c>
      <c r="BU146">
        <v>1799.99</v>
      </c>
      <c r="BV146">
        <v>0.90999799999999997</v>
      </c>
      <c r="BW146">
        <v>3.4001900000000002E-2</v>
      </c>
      <c r="BX146">
        <v>2.2001300000000001E-2</v>
      </c>
      <c r="BY146">
        <v>3.3999099999999997E-2</v>
      </c>
      <c r="BZ146">
        <v>25</v>
      </c>
      <c r="CA146">
        <v>33528.199999999997</v>
      </c>
      <c r="CB146">
        <v>1690232006</v>
      </c>
      <c r="CC146" t="s">
        <v>332</v>
      </c>
      <c r="CD146">
        <v>1690232006</v>
      </c>
      <c r="CE146">
        <v>1690231998.5</v>
      </c>
      <c r="CF146">
        <v>14</v>
      </c>
      <c r="CG146">
        <v>-0.13200000000000001</v>
      </c>
      <c r="CH146">
        <v>-7.0000000000000001E-3</v>
      </c>
      <c r="CI146">
        <v>-0.33800000000000002</v>
      </c>
      <c r="CJ146">
        <v>0.14299999999999999</v>
      </c>
      <c r="CK146">
        <v>799</v>
      </c>
      <c r="CL146">
        <v>19</v>
      </c>
      <c r="CM146">
        <v>7.0000000000000007E-2</v>
      </c>
      <c r="CN146">
        <v>0.14000000000000001</v>
      </c>
      <c r="CO146">
        <v>-233.99414999999999</v>
      </c>
      <c r="CP146">
        <v>-13.17987242026247</v>
      </c>
      <c r="CQ146">
        <v>1.269474252397425</v>
      </c>
      <c r="CR146">
        <v>-1</v>
      </c>
      <c r="CS146">
        <v>13.49418</v>
      </c>
      <c r="CT146">
        <v>0.91423339587238828</v>
      </c>
      <c r="CU146">
        <v>8.8744642655204806E-2</v>
      </c>
      <c r="CV146">
        <v>-1</v>
      </c>
      <c r="CW146">
        <v>0</v>
      </c>
      <c r="CX146">
        <v>0</v>
      </c>
      <c r="CY146" t="s">
        <v>333</v>
      </c>
      <c r="CZ146">
        <v>2.3649300000000002</v>
      </c>
      <c r="DA146">
        <v>2.7138</v>
      </c>
      <c r="DB146">
        <v>0.115288</v>
      </c>
      <c r="DC146">
        <v>0.146171</v>
      </c>
      <c r="DD146">
        <v>0.115992</v>
      </c>
      <c r="DE146">
        <v>6.3421400000000003E-2</v>
      </c>
      <c r="DF146">
        <v>32332.6</v>
      </c>
      <c r="DG146">
        <v>27552.7</v>
      </c>
      <c r="DH146">
        <v>31198</v>
      </c>
      <c r="DI146">
        <v>28117.3</v>
      </c>
      <c r="DJ146">
        <v>37442.400000000001</v>
      </c>
      <c r="DK146">
        <v>37452.1</v>
      </c>
      <c r="DL146">
        <v>44403</v>
      </c>
      <c r="DM146">
        <v>42621.5</v>
      </c>
      <c r="DN146">
        <v>1.4835700000000001</v>
      </c>
      <c r="DO146">
        <v>2.0507</v>
      </c>
      <c r="DP146">
        <v>7.4505799999999997E-2</v>
      </c>
      <c r="DQ146">
        <v>0.21085100000000001</v>
      </c>
      <c r="DR146">
        <v>25.779199999999999</v>
      </c>
      <c r="DS146">
        <v>25.588200000000001</v>
      </c>
      <c r="DT146">
        <v>54.1</v>
      </c>
      <c r="DU146">
        <v>28.8</v>
      </c>
      <c r="DV146">
        <v>21.723099999999999</v>
      </c>
      <c r="DW146">
        <v>61.838000000000001</v>
      </c>
      <c r="DX146">
        <v>36.442300000000003</v>
      </c>
      <c r="DY146">
        <v>1</v>
      </c>
      <c r="DZ146">
        <v>-0.118133</v>
      </c>
      <c r="EA146">
        <v>-0.40137800000000001</v>
      </c>
      <c r="EB146">
        <v>20.189299999999999</v>
      </c>
      <c r="EC146">
        <v>5.2421499999999996</v>
      </c>
      <c r="ED146">
        <v>12.039899999999999</v>
      </c>
      <c r="EE146">
        <v>5.01755</v>
      </c>
      <c r="EF146">
        <v>3.2879999999999998</v>
      </c>
      <c r="EG146">
        <v>9999</v>
      </c>
      <c r="EH146">
        <v>9999</v>
      </c>
      <c r="EI146">
        <v>9999</v>
      </c>
      <c r="EJ146">
        <v>999.9</v>
      </c>
      <c r="EK146">
        <v>1.8689</v>
      </c>
      <c r="EL146">
        <v>1.8646100000000001</v>
      </c>
      <c r="EM146">
        <v>1.8691800000000001</v>
      </c>
      <c r="EN146">
        <v>1.8672200000000001</v>
      </c>
      <c r="EO146">
        <v>1.86338</v>
      </c>
      <c r="EP146">
        <v>1.8644700000000001</v>
      </c>
      <c r="EQ146">
        <v>1.8701399999999999</v>
      </c>
      <c r="ER146">
        <v>1.8693900000000001</v>
      </c>
      <c r="ES146">
        <v>0</v>
      </c>
      <c r="ET146">
        <v>0</v>
      </c>
      <c r="EU146">
        <v>0</v>
      </c>
      <c r="EV146">
        <v>0</v>
      </c>
      <c r="EW146" t="s">
        <v>334</v>
      </c>
      <c r="EX146" t="s">
        <v>335</v>
      </c>
      <c r="EY146" t="s">
        <v>336</v>
      </c>
      <c r="EZ146" t="s">
        <v>336</v>
      </c>
      <c r="FA146" t="s">
        <v>336</v>
      </c>
      <c r="FB146" t="s">
        <v>336</v>
      </c>
      <c r="FC146">
        <v>0</v>
      </c>
      <c r="FD146">
        <v>100</v>
      </c>
      <c r="FE146">
        <v>100</v>
      </c>
      <c r="FF146">
        <v>-0.17199999999999999</v>
      </c>
      <c r="FG146">
        <v>0.1719</v>
      </c>
      <c r="FH146">
        <v>0.2126736300064915</v>
      </c>
      <c r="FI146">
        <v>-6.1462078757559423E-4</v>
      </c>
      <c r="FJ146">
        <v>-1.8861989874597051E-7</v>
      </c>
      <c r="FK146">
        <v>1.1980462299894961E-10</v>
      </c>
      <c r="FL146">
        <v>0.1719881465068297</v>
      </c>
      <c r="FM146">
        <v>0</v>
      </c>
      <c r="FN146">
        <v>0</v>
      </c>
      <c r="FO146">
        <v>0</v>
      </c>
      <c r="FP146">
        <v>3</v>
      </c>
      <c r="FQ146">
        <v>2158</v>
      </c>
      <c r="FR146">
        <v>1</v>
      </c>
      <c r="FS146">
        <v>19</v>
      </c>
      <c r="FT146">
        <v>31</v>
      </c>
      <c r="FU146">
        <v>31.1</v>
      </c>
      <c r="FV146">
        <v>1.7773399999999999</v>
      </c>
      <c r="FW146">
        <v>2.5927699999999998</v>
      </c>
      <c r="FX146">
        <v>1.5490699999999999</v>
      </c>
      <c r="FY146">
        <v>2.3290999999999999</v>
      </c>
      <c r="FZ146">
        <v>1.50146</v>
      </c>
      <c r="GA146">
        <v>2.2900399999999999</v>
      </c>
      <c r="GB146">
        <v>33.535499999999999</v>
      </c>
      <c r="GC146">
        <v>23.982399999999998</v>
      </c>
      <c r="GD146">
        <v>19</v>
      </c>
      <c r="GE146">
        <v>284.69499999999999</v>
      </c>
      <c r="GF146">
        <v>591.53499999999997</v>
      </c>
      <c r="GG146">
        <v>25.540800000000001</v>
      </c>
      <c r="GH146">
        <v>25.931899999999999</v>
      </c>
      <c r="GI146">
        <v>30</v>
      </c>
      <c r="GJ146">
        <v>26.051400000000001</v>
      </c>
      <c r="GK146">
        <v>26.0307</v>
      </c>
      <c r="GL146">
        <v>35.549900000000001</v>
      </c>
      <c r="GM146">
        <v>53.039900000000003</v>
      </c>
      <c r="GN146">
        <v>81.257400000000004</v>
      </c>
      <c r="GO146">
        <v>25.544</v>
      </c>
      <c r="GP146">
        <v>800</v>
      </c>
      <c r="GQ146">
        <v>10.829800000000001</v>
      </c>
      <c r="GR146">
        <v>99.827399999999997</v>
      </c>
      <c r="GS146">
        <v>99.701499999999996</v>
      </c>
    </row>
    <row r="147" spans="1:201" x14ac:dyDescent="0.25">
      <c r="A147">
        <v>131</v>
      </c>
      <c r="B147">
        <v>1690233874.5999999</v>
      </c>
      <c r="C147">
        <v>1368.5</v>
      </c>
      <c r="D147" t="s">
        <v>593</v>
      </c>
      <c r="E147" t="s">
        <v>594</v>
      </c>
      <c r="F147" t="s">
        <v>330</v>
      </c>
      <c r="H147">
        <v>1690233874.5999999</v>
      </c>
      <c r="I147">
        <f t="shared" si="60"/>
        <v>1.3145442888082941E-3</v>
      </c>
      <c r="J147">
        <f t="shared" si="61"/>
        <v>1.3145442888082941</v>
      </c>
      <c r="K147">
        <f t="shared" si="62"/>
        <v>21.355295574312382</v>
      </c>
      <c r="L147">
        <f t="shared" si="63"/>
        <v>561.50300000000004</v>
      </c>
      <c r="M147">
        <f t="shared" si="64"/>
        <v>134.06827700742323</v>
      </c>
      <c r="N147">
        <f t="shared" si="65"/>
        <v>13.285938737569561</v>
      </c>
      <c r="O147">
        <f t="shared" si="66"/>
        <v>55.643994429409005</v>
      </c>
      <c r="P147">
        <f t="shared" si="67"/>
        <v>8.316542790307592E-2</v>
      </c>
      <c r="Q147">
        <f t="shared" si="68"/>
        <v>2.1281244525470231</v>
      </c>
      <c r="R147">
        <f t="shared" si="69"/>
        <v>8.1401170743977569E-2</v>
      </c>
      <c r="S147">
        <f t="shared" si="70"/>
        <v>5.1031125984389893E-2</v>
      </c>
      <c r="T147">
        <f t="shared" si="71"/>
        <v>276.11538451199999</v>
      </c>
      <c r="U147">
        <f t="shared" si="72"/>
        <v>28.852182598794585</v>
      </c>
      <c r="V147">
        <f t="shared" si="73"/>
        <v>28.852182598794585</v>
      </c>
      <c r="W147">
        <f t="shared" si="74"/>
        <v>3.9875004497093425</v>
      </c>
      <c r="X147">
        <f t="shared" si="75"/>
        <v>67.643477612179893</v>
      </c>
      <c r="Y147">
        <f t="shared" si="76"/>
        <v>2.4390569825875001</v>
      </c>
      <c r="Z147">
        <f t="shared" si="77"/>
        <v>3.6057533833067201</v>
      </c>
      <c r="AA147">
        <f t="shared" si="78"/>
        <v>1.5484434671218423</v>
      </c>
      <c r="AB147">
        <f t="shared" si="79"/>
        <v>-57.971403136445765</v>
      </c>
      <c r="AC147">
        <f t="shared" si="80"/>
        <v>-198.03595158744227</v>
      </c>
      <c r="AD147">
        <f t="shared" si="81"/>
        <v>-20.282163528931989</v>
      </c>
      <c r="AE147">
        <f t="shared" si="82"/>
        <v>-0.1741337408200252</v>
      </c>
      <c r="AF147">
        <v>0</v>
      </c>
      <c r="AG147">
        <v>0</v>
      </c>
      <c r="AH147">
        <f t="shared" si="83"/>
        <v>1</v>
      </c>
      <c r="AI147">
        <f t="shared" si="84"/>
        <v>0</v>
      </c>
      <c r="AJ147">
        <f t="shared" si="85"/>
        <v>52247.096935625785</v>
      </c>
      <c r="AK147">
        <f t="shared" si="86"/>
        <v>1800</v>
      </c>
      <c r="AL147">
        <f t="shared" si="87"/>
        <v>1499.1119262</v>
      </c>
      <c r="AM147">
        <f t="shared" si="88"/>
        <v>0.83283995899999996</v>
      </c>
      <c r="AN147">
        <f t="shared" si="89"/>
        <v>0.15339743583999998</v>
      </c>
      <c r="AO147">
        <v>32.4</v>
      </c>
      <c r="AP147">
        <v>0.5</v>
      </c>
      <c r="AQ147" t="s">
        <v>331</v>
      </c>
      <c r="AR147">
        <v>2</v>
      </c>
      <c r="AS147">
        <v>1690233874.5999999</v>
      </c>
      <c r="AT147">
        <v>561.50300000000004</v>
      </c>
      <c r="AU147">
        <v>800.03</v>
      </c>
      <c r="AV147">
        <v>24.612500000000001</v>
      </c>
      <c r="AW147">
        <v>10.769600000000001</v>
      </c>
      <c r="AX147">
        <v>561.67399999999998</v>
      </c>
      <c r="AY147">
        <v>24.4406</v>
      </c>
      <c r="AZ147">
        <v>300.10300000000001</v>
      </c>
      <c r="BA147">
        <v>98.9983</v>
      </c>
      <c r="BB147">
        <v>0.10000299999999999</v>
      </c>
      <c r="BC147">
        <v>27.126100000000001</v>
      </c>
      <c r="BD147">
        <v>26.998200000000001</v>
      </c>
      <c r="BE147">
        <v>29.015999999999998</v>
      </c>
      <c r="BF147">
        <v>0</v>
      </c>
      <c r="BG147">
        <v>0</v>
      </c>
      <c r="BH147">
        <v>9984.3799999999992</v>
      </c>
      <c r="BI147">
        <v>1081.04</v>
      </c>
      <c r="BJ147">
        <v>1.4577199999999999</v>
      </c>
      <c r="BK147">
        <v>-238.52699999999999</v>
      </c>
      <c r="BL147">
        <v>575.67200000000003</v>
      </c>
      <c r="BM147">
        <v>808.74</v>
      </c>
      <c r="BN147">
        <v>13.8429</v>
      </c>
      <c r="BO147">
        <v>800.03</v>
      </c>
      <c r="BP147">
        <v>10.769600000000001</v>
      </c>
      <c r="BQ147">
        <v>2.4365999999999999</v>
      </c>
      <c r="BR147">
        <v>1.0661700000000001</v>
      </c>
      <c r="BS147">
        <v>20.609100000000002</v>
      </c>
      <c r="BT147">
        <v>7.8534499999999996</v>
      </c>
      <c r="BU147">
        <v>1800</v>
      </c>
      <c r="BV147">
        <v>0.91</v>
      </c>
      <c r="BW147">
        <v>3.4001000000000003E-2</v>
      </c>
      <c r="BX147">
        <v>2.2000700000000002E-2</v>
      </c>
      <c r="BY147">
        <v>3.3998199999999999E-2</v>
      </c>
      <c r="BZ147">
        <v>25</v>
      </c>
      <c r="CA147">
        <v>33528.300000000003</v>
      </c>
      <c r="CB147">
        <v>1690232006</v>
      </c>
      <c r="CC147" t="s">
        <v>332</v>
      </c>
      <c r="CD147">
        <v>1690232006</v>
      </c>
      <c r="CE147">
        <v>1690231998.5</v>
      </c>
      <c r="CF147">
        <v>14</v>
      </c>
      <c r="CG147">
        <v>-0.13200000000000001</v>
      </c>
      <c r="CH147">
        <v>-7.0000000000000001E-3</v>
      </c>
      <c r="CI147">
        <v>-0.33800000000000002</v>
      </c>
      <c r="CJ147">
        <v>0.14299999999999999</v>
      </c>
      <c r="CK147">
        <v>799</v>
      </c>
      <c r="CL147">
        <v>19</v>
      </c>
      <c r="CM147">
        <v>7.0000000000000007E-2</v>
      </c>
      <c r="CN147">
        <v>0.14000000000000001</v>
      </c>
      <c r="CO147">
        <v>-236.198243902439</v>
      </c>
      <c r="CP147">
        <v>-13.167282229965471</v>
      </c>
      <c r="CQ147">
        <v>1.3006508648437971</v>
      </c>
      <c r="CR147">
        <v>-1</v>
      </c>
      <c r="CS147">
        <v>13.65467317073171</v>
      </c>
      <c r="CT147">
        <v>0.97344668989545646</v>
      </c>
      <c r="CU147">
        <v>9.6941793006988908E-2</v>
      </c>
      <c r="CV147">
        <v>-1</v>
      </c>
      <c r="CW147">
        <v>0</v>
      </c>
      <c r="CX147">
        <v>0</v>
      </c>
      <c r="CY147" t="s">
        <v>333</v>
      </c>
      <c r="CZ147">
        <v>2.3646500000000001</v>
      </c>
      <c r="DA147">
        <v>2.7137799999999999</v>
      </c>
      <c r="DB147">
        <v>0.11497300000000001</v>
      </c>
      <c r="DC147">
        <v>0.146172</v>
      </c>
      <c r="DD147">
        <v>0.11598799999999999</v>
      </c>
      <c r="DE147">
        <v>6.2606200000000001E-2</v>
      </c>
      <c r="DF147">
        <v>32344</v>
      </c>
      <c r="DG147">
        <v>27552.9</v>
      </c>
      <c r="DH147">
        <v>31198</v>
      </c>
      <c r="DI147">
        <v>28117.5</v>
      </c>
      <c r="DJ147">
        <v>37442.6</v>
      </c>
      <c r="DK147">
        <v>37484.699999999997</v>
      </c>
      <c r="DL147">
        <v>44403.1</v>
      </c>
      <c r="DM147">
        <v>42621.5</v>
      </c>
      <c r="DN147">
        <v>1.48363</v>
      </c>
      <c r="DO147">
        <v>2.0506700000000002</v>
      </c>
      <c r="DP147">
        <v>7.4654799999999993E-2</v>
      </c>
      <c r="DQ147">
        <v>0.20980799999999999</v>
      </c>
      <c r="DR147">
        <v>25.7761</v>
      </c>
      <c r="DS147">
        <v>25.586500000000001</v>
      </c>
      <c r="DT147">
        <v>54</v>
      </c>
      <c r="DU147">
        <v>28.8</v>
      </c>
      <c r="DV147">
        <v>21.685500000000001</v>
      </c>
      <c r="DW147">
        <v>61.707999999999998</v>
      </c>
      <c r="DX147">
        <v>36.758800000000001</v>
      </c>
      <c r="DY147">
        <v>1</v>
      </c>
      <c r="DZ147">
        <v>-0.118255</v>
      </c>
      <c r="EA147">
        <v>-0.38418799999999997</v>
      </c>
      <c r="EB147">
        <v>20.189499999999999</v>
      </c>
      <c r="EC147">
        <v>5.2413999999999996</v>
      </c>
      <c r="ED147">
        <v>12.039899999999999</v>
      </c>
      <c r="EE147">
        <v>5.0171999999999999</v>
      </c>
      <c r="EF147">
        <v>3.2879999999999998</v>
      </c>
      <c r="EG147">
        <v>9999</v>
      </c>
      <c r="EH147">
        <v>9999</v>
      </c>
      <c r="EI147">
        <v>9999</v>
      </c>
      <c r="EJ147">
        <v>999.9</v>
      </c>
      <c r="EK147">
        <v>1.8689</v>
      </c>
      <c r="EL147">
        <v>1.8646199999999999</v>
      </c>
      <c r="EM147">
        <v>1.8691899999999999</v>
      </c>
      <c r="EN147">
        <v>1.8672200000000001</v>
      </c>
      <c r="EO147">
        <v>1.86338</v>
      </c>
      <c r="EP147">
        <v>1.8644700000000001</v>
      </c>
      <c r="EQ147">
        <v>1.8701399999999999</v>
      </c>
      <c r="ER147">
        <v>1.86937</v>
      </c>
      <c r="ES147">
        <v>0</v>
      </c>
      <c r="ET147">
        <v>0</v>
      </c>
      <c r="EU147">
        <v>0</v>
      </c>
      <c r="EV147">
        <v>0</v>
      </c>
      <c r="EW147" t="s">
        <v>334</v>
      </c>
      <c r="EX147" t="s">
        <v>335</v>
      </c>
      <c r="EY147" t="s">
        <v>336</v>
      </c>
      <c r="EZ147" t="s">
        <v>336</v>
      </c>
      <c r="FA147" t="s">
        <v>336</v>
      </c>
      <c r="FB147" t="s">
        <v>336</v>
      </c>
      <c r="FC147">
        <v>0</v>
      </c>
      <c r="FD147">
        <v>100</v>
      </c>
      <c r="FE147">
        <v>100</v>
      </c>
      <c r="FF147">
        <v>-0.17100000000000001</v>
      </c>
      <c r="FG147">
        <v>0.1719</v>
      </c>
      <c r="FH147">
        <v>0.2126736300064915</v>
      </c>
      <c r="FI147">
        <v>-6.1462078757559423E-4</v>
      </c>
      <c r="FJ147">
        <v>-1.8861989874597051E-7</v>
      </c>
      <c r="FK147">
        <v>1.1980462299894961E-10</v>
      </c>
      <c r="FL147">
        <v>0.1719881465068297</v>
      </c>
      <c r="FM147">
        <v>0</v>
      </c>
      <c r="FN147">
        <v>0</v>
      </c>
      <c r="FO147">
        <v>0</v>
      </c>
      <c r="FP147">
        <v>3</v>
      </c>
      <c r="FQ147">
        <v>2158</v>
      </c>
      <c r="FR147">
        <v>1</v>
      </c>
      <c r="FS147">
        <v>19</v>
      </c>
      <c r="FT147">
        <v>31.1</v>
      </c>
      <c r="FU147">
        <v>31.3</v>
      </c>
      <c r="FV147">
        <v>1.7773399999999999</v>
      </c>
      <c r="FW147">
        <v>2.5854499999999998</v>
      </c>
      <c r="FX147">
        <v>1.5490699999999999</v>
      </c>
      <c r="FY147">
        <v>2.3290999999999999</v>
      </c>
      <c r="FZ147">
        <v>1.50146</v>
      </c>
      <c r="GA147">
        <v>2.3864700000000001</v>
      </c>
      <c r="GB147">
        <v>33.535499999999999</v>
      </c>
      <c r="GC147">
        <v>23.991199999999999</v>
      </c>
      <c r="GD147">
        <v>19</v>
      </c>
      <c r="GE147">
        <v>284.71600000000001</v>
      </c>
      <c r="GF147">
        <v>591.50900000000001</v>
      </c>
      <c r="GG147">
        <v>25.5505</v>
      </c>
      <c r="GH147">
        <v>25.931899999999999</v>
      </c>
      <c r="GI147">
        <v>30</v>
      </c>
      <c r="GJ147">
        <v>26.051400000000001</v>
      </c>
      <c r="GK147">
        <v>26.030200000000001</v>
      </c>
      <c r="GL147">
        <v>35.541400000000003</v>
      </c>
      <c r="GM147">
        <v>53.3187</v>
      </c>
      <c r="GN147">
        <v>80.876599999999996</v>
      </c>
      <c r="GO147">
        <v>25.549800000000001</v>
      </c>
      <c r="GP147">
        <v>800</v>
      </c>
      <c r="GQ147">
        <v>10.6736</v>
      </c>
      <c r="GR147">
        <v>99.827399999999997</v>
      </c>
      <c r="GS147">
        <v>99.701700000000002</v>
      </c>
    </row>
    <row r="148" spans="1:201" x14ac:dyDescent="0.25">
      <c r="A148">
        <v>132</v>
      </c>
      <c r="B148">
        <v>1690233884.5999999</v>
      </c>
      <c r="C148">
        <v>1378.5</v>
      </c>
      <c r="D148" t="s">
        <v>595</v>
      </c>
      <c r="E148" t="s">
        <v>596</v>
      </c>
      <c r="F148" t="s">
        <v>330</v>
      </c>
      <c r="H148">
        <v>1690233884.5999999</v>
      </c>
      <c r="I148">
        <f t="shared" si="60"/>
        <v>1.3258129284958843E-3</v>
      </c>
      <c r="J148">
        <f t="shared" si="61"/>
        <v>1.3258129284958844</v>
      </c>
      <c r="K148">
        <f t="shared" si="62"/>
        <v>21.560625868045108</v>
      </c>
      <c r="L148">
        <f t="shared" si="63"/>
        <v>559.34699999999998</v>
      </c>
      <c r="M148">
        <f t="shared" si="64"/>
        <v>131.64384834664651</v>
      </c>
      <c r="N148">
        <f t="shared" si="65"/>
        <v>13.045594296739027</v>
      </c>
      <c r="O148">
        <f t="shared" si="66"/>
        <v>55.429965963039002</v>
      </c>
      <c r="P148">
        <f t="shared" si="67"/>
        <v>8.3911573895418784E-2</v>
      </c>
      <c r="Q148">
        <f t="shared" si="68"/>
        <v>2.1296466569186592</v>
      </c>
      <c r="R148">
        <f t="shared" si="69"/>
        <v>8.211713969383104E-2</v>
      </c>
      <c r="S148">
        <f t="shared" si="70"/>
        <v>5.1481238992590037E-2</v>
      </c>
      <c r="T148">
        <f t="shared" si="71"/>
        <v>276.11528535000002</v>
      </c>
      <c r="U148">
        <f t="shared" si="72"/>
        <v>28.848230389147364</v>
      </c>
      <c r="V148">
        <f t="shared" si="73"/>
        <v>28.848230389147364</v>
      </c>
      <c r="W148">
        <f t="shared" si="74"/>
        <v>3.9865876137908201</v>
      </c>
      <c r="X148">
        <f t="shared" si="75"/>
        <v>67.623267551951997</v>
      </c>
      <c r="Y148">
        <f t="shared" si="76"/>
        <v>2.4384856438953002</v>
      </c>
      <c r="Z148">
        <f t="shared" si="77"/>
        <v>3.6059861230780053</v>
      </c>
      <c r="AA148">
        <f t="shared" si="78"/>
        <v>1.5481019698955198</v>
      </c>
      <c r="AB148">
        <f t="shared" si="79"/>
        <v>-58.468350146668499</v>
      </c>
      <c r="AC148">
        <f t="shared" si="80"/>
        <v>-197.59754077187389</v>
      </c>
      <c r="AD148">
        <f t="shared" si="81"/>
        <v>-20.222509617727688</v>
      </c>
      <c r="AE148">
        <f t="shared" si="82"/>
        <v>-0.17311518627005285</v>
      </c>
      <c r="AF148">
        <v>0</v>
      </c>
      <c r="AG148">
        <v>0</v>
      </c>
      <c r="AH148">
        <f t="shared" si="83"/>
        <v>1</v>
      </c>
      <c r="AI148">
        <f t="shared" si="84"/>
        <v>0</v>
      </c>
      <c r="AJ148">
        <f t="shared" si="85"/>
        <v>52312.397835449912</v>
      </c>
      <c r="AK148">
        <f t="shared" si="86"/>
        <v>1800</v>
      </c>
      <c r="AL148">
        <f t="shared" si="87"/>
        <v>1499.1124950000001</v>
      </c>
      <c r="AM148">
        <f t="shared" si="88"/>
        <v>0.83284027500000002</v>
      </c>
      <c r="AN148">
        <f t="shared" si="89"/>
        <v>0.15339738075000001</v>
      </c>
      <c r="AO148">
        <v>32.4</v>
      </c>
      <c r="AP148">
        <v>0.5</v>
      </c>
      <c r="AQ148" t="s">
        <v>331</v>
      </c>
      <c r="AR148">
        <v>2</v>
      </c>
      <c r="AS148">
        <v>1690233884.5999999</v>
      </c>
      <c r="AT148">
        <v>559.34699999999998</v>
      </c>
      <c r="AU148">
        <v>800.024</v>
      </c>
      <c r="AV148">
        <v>24.6069</v>
      </c>
      <c r="AW148">
        <v>10.651300000000001</v>
      </c>
      <c r="AX148">
        <v>559.51599999999996</v>
      </c>
      <c r="AY148">
        <v>24.434899999999999</v>
      </c>
      <c r="AZ148">
        <v>300.233</v>
      </c>
      <c r="BA148">
        <v>98.997600000000006</v>
      </c>
      <c r="BB148">
        <v>0.100037</v>
      </c>
      <c r="BC148">
        <v>27.127199999999998</v>
      </c>
      <c r="BD148">
        <v>26.991199999999999</v>
      </c>
      <c r="BE148">
        <v>28.9984</v>
      </c>
      <c r="BF148">
        <v>0</v>
      </c>
      <c r="BG148">
        <v>0</v>
      </c>
      <c r="BH148">
        <v>9997.5</v>
      </c>
      <c r="BI148">
        <v>1081.04</v>
      </c>
      <c r="BJ148">
        <v>1.4577199999999999</v>
      </c>
      <c r="BK148">
        <v>-240.67699999999999</v>
      </c>
      <c r="BL148">
        <v>573.45799999999997</v>
      </c>
      <c r="BM148">
        <v>808.63699999999994</v>
      </c>
      <c r="BN148">
        <v>13.9557</v>
      </c>
      <c r="BO148">
        <v>800.024</v>
      </c>
      <c r="BP148">
        <v>10.651300000000001</v>
      </c>
      <c r="BQ148">
        <v>2.4360300000000001</v>
      </c>
      <c r="BR148">
        <v>1.0544500000000001</v>
      </c>
      <c r="BS148">
        <v>20.6053</v>
      </c>
      <c r="BT148">
        <v>7.6912599999999998</v>
      </c>
      <c r="BU148">
        <v>1800</v>
      </c>
      <c r="BV148">
        <v>0.91000300000000001</v>
      </c>
      <c r="BW148">
        <v>3.39999E-2</v>
      </c>
      <c r="BX148">
        <v>2.1999999999999999E-2</v>
      </c>
      <c r="BY148">
        <v>3.3997100000000002E-2</v>
      </c>
      <c r="BZ148">
        <v>25</v>
      </c>
      <c r="CA148">
        <v>33528.300000000003</v>
      </c>
      <c r="CB148">
        <v>1690232006</v>
      </c>
      <c r="CC148" t="s">
        <v>332</v>
      </c>
      <c r="CD148">
        <v>1690232006</v>
      </c>
      <c r="CE148">
        <v>1690231998.5</v>
      </c>
      <c r="CF148">
        <v>14</v>
      </c>
      <c r="CG148">
        <v>-0.13200000000000001</v>
      </c>
      <c r="CH148">
        <v>-7.0000000000000001E-3</v>
      </c>
      <c r="CI148">
        <v>-0.33800000000000002</v>
      </c>
      <c r="CJ148">
        <v>0.14299999999999999</v>
      </c>
      <c r="CK148">
        <v>799</v>
      </c>
      <c r="CL148">
        <v>19</v>
      </c>
      <c r="CM148">
        <v>7.0000000000000007E-2</v>
      </c>
      <c r="CN148">
        <v>0.14000000000000001</v>
      </c>
      <c r="CO148">
        <v>-238.31963414634151</v>
      </c>
      <c r="CP148">
        <v>-12.676912891986809</v>
      </c>
      <c r="CQ148">
        <v>1.251864555833059</v>
      </c>
      <c r="CR148">
        <v>-1</v>
      </c>
      <c r="CS148">
        <v>13.809043902439029</v>
      </c>
      <c r="CT148">
        <v>0.9074341463414517</v>
      </c>
      <c r="CU148">
        <v>9.074738200559028E-2</v>
      </c>
      <c r="CV148">
        <v>-1</v>
      </c>
      <c r="CW148">
        <v>0</v>
      </c>
      <c r="CX148">
        <v>0</v>
      </c>
      <c r="CY148" t="s">
        <v>333</v>
      </c>
      <c r="CZ148">
        <v>2.3650699999999998</v>
      </c>
      <c r="DA148">
        <v>2.7138300000000002</v>
      </c>
      <c r="DB148">
        <v>0.114659</v>
      </c>
      <c r="DC148">
        <v>0.14616999999999999</v>
      </c>
      <c r="DD148">
        <v>0.115971</v>
      </c>
      <c r="DE148">
        <v>6.2081600000000001E-2</v>
      </c>
      <c r="DF148">
        <v>32355.1</v>
      </c>
      <c r="DG148">
        <v>27553.200000000001</v>
      </c>
      <c r="DH148">
        <v>31197.599999999999</v>
      </c>
      <c r="DI148">
        <v>28117.8</v>
      </c>
      <c r="DJ148">
        <v>37443</v>
      </c>
      <c r="DK148">
        <v>37506.300000000003</v>
      </c>
      <c r="DL148">
        <v>44402.7</v>
      </c>
      <c r="DM148">
        <v>42622.1</v>
      </c>
      <c r="DN148">
        <v>1.4837</v>
      </c>
      <c r="DO148">
        <v>2.0501499999999999</v>
      </c>
      <c r="DP148">
        <v>7.4356800000000001E-2</v>
      </c>
      <c r="DQ148">
        <v>0.208728</v>
      </c>
      <c r="DR148">
        <v>25.773900000000001</v>
      </c>
      <c r="DS148">
        <v>25.586500000000001</v>
      </c>
      <c r="DT148">
        <v>53.8</v>
      </c>
      <c r="DU148">
        <v>28.7</v>
      </c>
      <c r="DV148">
        <v>21.478100000000001</v>
      </c>
      <c r="DW148">
        <v>61.667999999999999</v>
      </c>
      <c r="DX148">
        <v>36.314100000000003</v>
      </c>
      <c r="DY148">
        <v>1</v>
      </c>
      <c r="DZ148">
        <v>-0.11811000000000001</v>
      </c>
      <c r="EA148">
        <v>-0.31784000000000001</v>
      </c>
      <c r="EB148">
        <v>20.189599999999999</v>
      </c>
      <c r="EC148">
        <v>5.2416999999999998</v>
      </c>
      <c r="ED148">
        <v>12.039899999999999</v>
      </c>
      <c r="EE148">
        <v>5.0174500000000002</v>
      </c>
      <c r="EF148">
        <v>3.2879999999999998</v>
      </c>
      <c r="EG148">
        <v>9999</v>
      </c>
      <c r="EH148">
        <v>9999</v>
      </c>
      <c r="EI148">
        <v>9999</v>
      </c>
      <c r="EJ148">
        <v>999.9</v>
      </c>
      <c r="EK148">
        <v>1.8689</v>
      </c>
      <c r="EL148">
        <v>1.8646199999999999</v>
      </c>
      <c r="EM148">
        <v>1.8691899999999999</v>
      </c>
      <c r="EN148">
        <v>1.8672200000000001</v>
      </c>
      <c r="EO148">
        <v>1.86337</v>
      </c>
      <c r="EP148">
        <v>1.8644700000000001</v>
      </c>
      <c r="EQ148">
        <v>1.8701300000000001</v>
      </c>
      <c r="ER148">
        <v>1.8693500000000001</v>
      </c>
      <c r="ES148">
        <v>0</v>
      </c>
      <c r="ET148">
        <v>0</v>
      </c>
      <c r="EU148">
        <v>0</v>
      </c>
      <c r="EV148">
        <v>0</v>
      </c>
      <c r="EW148" t="s">
        <v>334</v>
      </c>
      <c r="EX148" t="s">
        <v>335</v>
      </c>
      <c r="EY148" t="s">
        <v>336</v>
      </c>
      <c r="EZ148" t="s">
        <v>336</v>
      </c>
      <c r="FA148" t="s">
        <v>336</v>
      </c>
      <c r="FB148" t="s">
        <v>336</v>
      </c>
      <c r="FC148">
        <v>0</v>
      </c>
      <c r="FD148">
        <v>100</v>
      </c>
      <c r="FE148">
        <v>100</v>
      </c>
      <c r="FF148">
        <v>-0.16900000000000001</v>
      </c>
      <c r="FG148">
        <v>0.17199999999999999</v>
      </c>
      <c r="FH148">
        <v>0.2126736300064915</v>
      </c>
      <c r="FI148">
        <v>-6.1462078757559423E-4</v>
      </c>
      <c r="FJ148">
        <v>-1.8861989874597051E-7</v>
      </c>
      <c r="FK148">
        <v>1.1980462299894961E-10</v>
      </c>
      <c r="FL148">
        <v>0.1719881465068297</v>
      </c>
      <c r="FM148">
        <v>0</v>
      </c>
      <c r="FN148">
        <v>0</v>
      </c>
      <c r="FO148">
        <v>0</v>
      </c>
      <c r="FP148">
        <v>3</v>
      </c>
      <c r="FQ148">
        <v>2158</v>
      </c>
      <c r="FR148">
        <v>1</v>
      </c>
      <c r="FS148">
        <v>19</v>
      </c>
      <c r="FT148">
        <v>31.3</v>
      </c>
      <c r="FU148">
        <v>31.4</v>
      </c>
      <c r="FV148">
        <v>1.7773399999999999</v>
      </c>
      <c r="FW148">
        <v>2.5903299999999998</v>
      </c>
      <c r="FX148">
        <v>1.5490699999999999</v>
      </c>
      <c r="FY148">
        <v>2.3290999999999999</v>
      </c>
      <c r="FZ148">
        <v>1.50146</v>
      </c>
      <c r="GA148">
        <v>2.2778299999999998</v>
      </c>
      <c r="GB148">
        <v>33.535499999999999</v>
      </c>
      <c r="GC148">
        <v>23.982399999999998</v>
      </c>
      <c r="GD148">
        <v>19</v>
      </c>
      <c r="GE148">
        <v>284.738</v>
      </c>
      <c r="GF148">
        <v>591.05100000000004</v>
      </c>
      <c r="GG148">
        <v>25.546500000000002</v>
      </c>
      <c r="GH148">
        <v>25.931899999999999</v>
      </c>
      <c r="GI148">
        <v>30.0002</v>
      </c>
      <c r="GJ148">
        <v>26.049199999999999</v>
      </c>
      <c r="GK148">
        <v>26.028500000000001</v>
      </c>
      <c r="GL148">
        <v>35.539900000000003</v>
      </c>
      <c r="GM148">
        <v>53.884799999999998</v>
      </c>
      <c r="GN148">
        <v>80.107600000000005</v>
      </c>
      <c r="GO148">
        <v>25.535799999999998</v>
      </c>
      <c r="GP148">
        <v>800</v>
      </c>
      <c r="GQ148">
        <v>10.5223</v>
      </c>
      <c r="GR148">
        <v>99.826400000000007</v>
      </c>
      <c r="GS148">
        <v>99.703000000000003</v>
      </c>
    </row>
    <row r="149" spans="1:201" x14ac:dyDescent="0.25">
      <c r="A149">
        <v>133</v>
      </c>
      <c r="B149">
        <v>1690233894.5999999</v>
      </c>
      <c r="C149">
        <v>1388.5</v>
      </c>
      <c r="D149" t="s">
        <v>597</v>
      </c>
      <c r="E149" t="s">
        <v>598</v>
      </c>
      <c r="F149" t="s">
        <v>330</v>
      </c>
      <c r="H149">
        <v>1690233894.5999999</v>
      </c>
      <c r="I149">
        <f t="shared" si="60"/>
        <v>1.3405339846957582E-3</v>
      </c>
      <c r="J149">
        <f t="shared" si="61"/>
        <v>1.3405339846957582</v>
      </c>
      <c r="K149">
        <f t="shared" si="62"/>
        <v>21.732152347842277</v>
      </c>
      <c r="L149">
        <f t="shared" si="63"/>
        <v>557.36500000000001</v>
      </c>
      <c r="M149">
        <f t="shared" si="64"/>
        <v>131.49341507370679</v>
      </c>
      <c r="N149">
        <f t="shared" si="65"/>
        <v>13.030209393767805</v>
      </c>
      <c r="O149">
        <f t="shared" si="66"/>
        <v>55.231531211555001</v>
      </c>
      <c r="P149">
        <f t="shared" si="67"/>
        <v>8.496128075876945E-2</v>
      </c>
      <c r="Q149">
        <f t="shared" si="68"/>
        <v>2.1312004062392678</v>
      </c>
      <c r="R149">
        <f t="shared" si="69"/>
        <v>8.3123509805459933E-2</v>
      </c>
      <c r="S149">
        <f t="shared" si="70"/>
        <v>5.2113999128888609E-2</v>
      </c>
      <c r="T149">
        <f t="shared" si="71"/>
        <v>276.11530408800002</v>
      </c>
      <c r="U149">
        <f t="shared" si="72"/>
        <v>28.837368484969449</v>
      </c>
      <c r="V149">
        <f t="shared" si="73"/>
        <v>28.837368484969449</v>
      </c>
      <c r="W149">
        <f t="shared" si="74"/>
        <v>3.9840797946874269</v>
      </c>
      <c r="X149">
        <f t="shared" si="75"/>
        <v>67.62172765052</v>
      </c>
      <c r="Y149">
        <f t="shared" si="76"/>
        <v>2.4377720286041997</v>
      </c>
      <c r="Z149">
        <f t="shared" si="77"/>
        <v>3.6050129349001536</v>
      </c>
      <c r="AA149">
        <f t="shared" si="78"/>
        <v>1.5463077660832272</v>
      </c>
      <c r="AB149">
        <f t="shared" si="79"/>
        <v>-59.117548725082933</v>
      </c>
      <c r="AC149">
        <f t="shared" si="80"/>
        <v>-197.02222841007605</v>
      </c>
      <c r="AD149">
        <f t="shared" si="81"/>
        <v>-20.147377038647782</v>
      </c>
      <c r="AE149">
        <f t="shared" si="82"/>
        <v>-0.17185008580676708</v>
      </c>
      <c r="AF149">
        <v>0</v>
      </c>
      <c r="AG149">
        <v>0</v>
      </c>
      <c r="AH149">
        <f t="shared" si="83"/>
        <v>1</v>
      </c>
      <c r="AI149">
        <f t="shared" si="84"/>
        <v>0</v>
      </c>
      <c r="AJ149">
        <f t="shared" si="85"/>
        <v>52380.042318000844</v>
      </c>
      <c r="AK149">
        <f t="shared" si="86"/>
        <v>1800</v>
      </c>
      <c r="AL149">
        <f t="shared" si="87"/>
        <v>1499.1129107999998</v>
      </c>
      <c r="AM149">
        <f t="shared" si="88"/>
        <v>0.83284050599999992</v>
      </c>
      <c r="AN149">
        <f t="shared" si="89"/>
        <v>0.15339739116000001</v>
      </c>
      <c r="AO149">
        <v>32.4</v>
      </c>
      <c r="AP149">
        <v>0.5</v>
      </c>
      <c r="AQ149" t="s">
        <v>331</v>
      </c>
      <c r="AR149">
        <v>2</v>
      </c>
      <c r="AS149">
        <v>1690233894.5999999</v>
      </c>
      <c r="AT149">
        <v>557.36500000000001</v>
      </c>
      <c r="AU149">
        <v>800.04700000000003</v>
      </c>
      <c r="AV149">
        <v>24.6006</v>
      </c>
      <c r="AW149">
        <v>10.484500000000001</v>
      </c>
      <c r="AX149">
        <v>557.53300000000002</v>
      </c>
      <c r="AY149">
        <v>24.428599999999999</v>
      </c>
      <c r="AZ149">
        <v>300.11700000000002</v>
      </c>
      <c r="BA149">
        <v>98.994</v>
      </c>
      <c r="BB149">
        <v>0.100007</v>
      </c>
      <c r="BC149">
        <v>27.122599999999998</v>
      </c>
      <c r="BD149">
        <v>26.985099999999999</v>
      </c>
      <c r="BE149">
        <v>29.006499999999999</v>
      </c>
      <c r="BF149">
        <v>0</v>
      </c>
      <c r="BG149">
        <v>0</v>
      </c>
      <c r="BH149">
        <v>10011.200000000001</v>
      </c>
      <c r="BI149">
        <v>1081.04</v>
      </c>
      <c r="BJ149">
        <v>1.23065</v>
      </c>
      <c r="BK149">
        <v>-242.68199999999999</v>
      </c>
      <c r="BL149">
        <v>571.42200000000003</v>
      </c>
      <c r="BM149">
        <v>808.52300000000002</v>
      </c>
      <c r="BN149">
        <v>14.116099999999999</v>
      </c>
      <c r="BO149">
        <v>800.04700000000003</v>
      </c>
      <c r="BP149">
        <v>10.484500000000001</v>
      </c>
      <c r="BQ149">
        <v>2.4353099999999999</v>
      </c>
      <c r="BR149">
        <v>1.0379</v>
      </c>
      <c r="BS149">
        <v>20.6005</v>
      </c>
      <c r="BT149">
        <v>7.4595599999999997</v>
      </c>
      <c r="BU149">
        <v>1800</v>
      </c>
      <c r="BV149">
        <v>0.91000400000000004</v>
      </c>
      <c r="BW149">
        <v>3.3999599999999998E-2</v>
      </c>
      <c r="BX149">
        <v>2.19998E-2</v>
      </c>
      <c r="BY149">
        <v>3.3996800000000001E-2</v>
      </c>
      <c r="BZ149">
        <v>25</v>
      </c>
      <c r="CA149">
        <v>33528.300000000003</v>
      </c>
      <c r="CB149">
        <v>1690232006</v>
      </c>
      <c r="CC149" t="s">
        <v>332</v>
      </c>
      <c r="CD149">
        <v>1690232006</v>
      </c>
      <c r="CE149">
        <v>1690231998.5</v>
      </c>
      <c r="CF149">
        <v>14</v>
      </c>
      <c r="CG149">
        <v>-0.13200000000000001</v>
      </c>
      <c r="CH149">
        <v>-7.0000000000000001E-3</v>
      </c>
      <c r="CI149">
        <v>-0.33800000000000002</v>
      </c>
      <c r="CJ149">
        <v>0.14299999999999999</v>
      </c>
      <c r="CK149">
        <v>799</v>
      </c>
      <c r="CL149">
        <v>19</v>
      </c>
      <c r="CM149">
        <v>7.0000000000000007E-2</v>
      </c>
      <c r="CN149">
        <v>0.14000000000000001</v>
      </c>
      <c r="CO149">
        <v>-240.410425</v>
      </c>
      <c r="CP149">
        <v>-12.953662288930319</v>
      </c>
      <c r="CQ149">
        <v>1.2484165748559259</v>
      </c>
      <c r="CR149">
        <v>-1</v>
      </c>
      <c r="CS149">
        <v>13.9577575</v>
      </c>
      <c r="CT149">
        <v>0.91064127579736587</v>
      </c>
      <c r="CU149">
        <v>8.8699207683890877E-2</v>
      </c>
      <c r="CV149">
        <v>-1</v>
      </c>
      <c r="CW149">
        <v>0</v>
      </c>
      <c r="CX149">
        <v>0</v>
      </c>
      <c r="CY149" t="s">
        <v>333</v>
      </c>
      <c r="CZ149">
        <v>2.3647</v>
      </c>
      <c r="DA149">
        <v>2.7138100000000001</v>
      </c>
      <c r="DB149">
        <v>0.11436399999999999</v>
      </c>
      <c r="DC149">
        <v>0.14616399999999999</v>
      </c>
      <c r="DD149">
        <v>0.11594500000000001</v>
      </c>
      <c r="DE149">
        <v>6.1335099999999997E-2</v>
      </c>
      <c r="DF149">
        <v>32366.6</v>
      </c>
      <c r="DG149">
        <v>27553.4</v>
      </c>
      <c r="DH149">
        <v>31198.3</v>
      </c>
      <c r="DI149">
        <v>28117.8</v>
      </c>
      <c r="DJ149">
        <v>37444.6</v>
      </c>
      <c r="DK149">
        <v>37536.400000000001</v>
      </c>
      <c r="DL149">
        <v>44403.4</v>
      </c>
      <c r="DM149">
        <v>42622.2</v>
      </c>
      <c r="DN149">
        <v>1.4839800000000001</v>
      </c>
      <c r="DO149">
        <v>2.0499000000000001</v>
      </c>
      <c r="DP149">
        <v>7.4058799999999994E-2</v>
      </c>
      <c r="DQ149">
        <v>0.20924999999999999</v>
      </c>
      <c r="DR149">
        <v>25.7727</v>
      </c>
      <c r="DS149">
        <v>25.585999999999999</v>
      </c>
      <c r="DT149">
        <v>53.6</v>
      </c>
      <c r="DU149">
        <v>28.7</v>
      </c>
      <c r="DV149">
        <v>21.401700000000002</v>
      </c>
      <c r="DW149">
        <v>61.478000000000002</v>
      </c>
      <c r="DX149">
        <v>36.770800000000001</v>
      </c>
      <c r="DY149">
        <v>1</v>
      </c>
      <c r="DZ149">
        <v>-0.118437</v>
      </c>
      <c r="EA149">
        <v>-0.38648700000000002</v>
      </c>
      <c r="EB149">
        <v>20.189299999999999</v>
      </c>
      <c r="EC149">
        <v>5.24125</v>
      </c>
      <c r="ED149">
        <v>12.039899999999999</v>
      </c>
      <c r="EE149">
        <v>5.0173500000000004</v>
      </c>
      <c r="EF149">
        <v>3.2879999999999998</v>
      </c>
      <c r="EG149">
        <v>9999</v>
      </c>
      <c r="EH149">
        <v>9999</v>
      </c>
      <c r="EI149">
        <v>9999</v>
      </c>
      <c r="EJ149">
        <v>999.9</v>
      </c>
      <c r="EK149">
        <v>1.8689</v>
      </c>
      <c r="EL149">
        <v>1.8646199999999999</v>
      </c>
      <c r="EM149">
        <v>1.86917</v>
      </c>
      <c r="EN149">
        <v>1.8672200000000001</v>
      </c>
      <c r="EO149">
        <v>1.86338</v>
      </c>
      <c r="EP149">
        <v>1.8644700000000001</v>
      </c>
      <c r="EQ149">
        <v>1.8701300000000001</v>
      </c>
      <c r="ER149">
        <v>1.86937</v>
      </c>
      <c r="ES149">
        <v>0</v>
      </c>
      <c r="ET149">
        <v>0</v>
      </c>
      <c r="EU149">
        <v>0</v>
      </c>
      <c r="EV149">
        <v>0</v>
      </c>
      <c r="EW149" t="s">
        <v>334</v>
      </c>
      <c r="EX149" t="s">
        <v>335</v>
      </c>
      <c r="EY149" t="s">
        <v>336</v>
      </c>
      <c r="EZ149" t="s">
        <v>336</v>
      </c>
      <c r="FA149" t="s">
        <v>336</v>
      </c>
      <c r="FB149" t="s">
        <v>336</v>
      </c>
      <c r="FC149">
        <v>0</v>
      </c>
      <c r="FD149">
        <v>100</v>
      </c>
      <c r="FE149">
        <v>100</v>
      </c>
      <c r="FF149">
        <v>-0.16800000000000001</v>
      </c>
      <c r="FG149">
        <v>0.17199999999999999</v>
      </c>
      <c r="FH149">
        <v>0.2126736300064915</v>
      </c>
      <c r="FI149">
        <v>-6.1462078757559423E-4</v>
      </c>
      <c r="FJ149">
        <v>-1.8861989874597051E-7</v>
      </c>
      <c r="FK149">
        <v>1.1980462299894961E-10</v>
      </c>
      <c r="FL149">
        <v>0.1719881465068297</v>
      </c>
      <c r="FM149">
        <v>0</v>
      </c>
      <c r="FN149">
        <v>0</v>
      </c>
      <c r="FO149">
        <v>0</v>
      </c>
      <c r="FP149">
        <v>3</v>
      </c>
      <c r="FQ149">
        <v>2158</v>
      </c>
      <c r="FR149">
        <v>1</v>
      </c>
      <c r="FS149">
        <v>19</v>
      </c>
      <c r="FT149">
        <v>31.5</v>
      </c>
      <c r="FU149">
        <v>31.6</v>
      </c>
      <c r="FV149">
        <v>1.7773399999999999</v>
      </c>
      <c r="FW149">
        <v>2.5866699999999998</v>
      </c>
      <c r="FX149">
        <v>1.5490699999999999</v>
      </c>
      <c r="FY149">
        <v>2.3290999999999999</v>
      </c>
      <c r="FZ149">
        <v>1.50146</v>
      </c>
      <c r="GA149">
        <v>2.3901400000000002</v>
      </c>
      <c r="GB149">
        <v>33.535499999999999</v>
      </c>
      <c r="GC149">
        <v>23.991199999999999</v>
      </c>
      <c r="GD149">
        <v>19</v>
      </c>
      <c r="GE149">
        <v>284.85599999999999</v>
      </c>
      <c r="GF149">
        <v>590.84299999999996</v>
      </c>
      <c r="GG149">
        <v>25.539200000000001</v>
      </c>
      <c r="GH149">
        <v>25.9298</v>
      </c>
      <c r="GI149">
        <v>30</v>
      </c>
      <c r="GJ149">
        <v>26.049199999999999</v>
      </c>
      <c r="GK149">
        <v>26.028500000000001</v>
      </c>
      <c r="GL149">
        <v>35.531199999999998</v>
      </c>
      <c r="GM149">
        <v>54.166699999999999</v>
      </c>
      <c r="GN149">
        <v>79.724199999999996</v>
      </c>
      <c r="GO149">
        <v>25.545500000000001</v>
      </c>
      <c r="GP149">
        <v>800</v>
      </c>
      <c r="GQ149">
        <v>10.369199999999999</v>
      </c>
      <c r="GR149">
        <v>99.828199999999995</v>
      </c>
      <c r="GS149">
        <v>99.703199999999995</v>
      </c>
    </row>
    <row r="150" spans="1:201" x14ac:dyDescent="0.25">
      <c r="A150">
        <v>134</v>
      </c>
      <c r="B150">
        <v>1690233904.5999999</v>
      </c>
      <c r="C150">
        <v>1398.5</v>
      </c>
      <c r="D150" t="s">
        <v>599</v>
      </c>
      <c r="E150" t="s">
        <v>600</v>
      </c>
      <c r="F150" t="s">
        <v>330</v>
      </c>
      <c r="H150">
        <v>1690233904.5999999</v>
      </c>
      <c r="I150">
        <f t="shared" si="60"/>
        <v>1.3572845266838129E-3</v>
      </c>
      <c r="J150">
        <f t="shared" si="61"/>
        <v>1.3572845266838129</v>
      </c>
      <c r="K150">
        <f t="shared" si="62"/>
        <v>21.923600706267539</v>
      </c>
      <c r="L150">
        <f t="shared" si="63"/>
        <v>555.327</v>
      </c>
      <c r="M150">
        <f t="shared" si="64"/>
        <v>131.49094547363975</v>
      </c>
      <c r="N150">
        <f t="shared" si="65"/>
        <v>13.029821609052803</v>
      </c>
      <c r="O150">
        <f t="shared" si="66"/>
        <v>55.028973429513002</v>
      </c>
      <c r="P150">
        <f t="shared" si="67"/>
        <v>8.6145879723172711E-2</v>
      </c>
      <c r="Q150">
        <f t="shared" si="68"/>
        <v>2.1298827368360906</v>
      </c>
      <c r="R150">
        <f t="shared" si="69"/>
        <v>8.425597702398982E-2</v>
      </c>
      <c r="S150">
        <f t="shared" si="70"/>
        <v>5.2826332616530837E-2</v>
      </c>
      <c r="T150">
        <f t="shared" si="71"/>
        <v>276.11516744999994</v>
      </c>
      <c r="U150">
        <f t="shared" si="72"/>
        <v>28.829694301961034</v>
      </c>
      <c r="V150">
        <f t="shared" si="73"/>
        <v>28.829694301961034</v>
      </c>
      <c r="W150">
        <f t="shared" si="74"/>
        <v>3.9823087927616938</v>
      </c>
      <c r="X150">
        <f t="shared" si="75"/>
        <v>67.631546552870688</v>
      </c>
      <c r="Y150">
        <f t="shared" si="76"/>
        <v>2.4377254445676004</v>
      </c>
      <c r="Z150">
        <f t="shared" si="77"/>
        <v>3.6044206717377345</v>
      </c>
      <c r="AA150">
        <f t="shared" si="78"/>
        <v>1.5445833481940934</v>
      </c>
      <c r="AB150">
        <f t="shared" si="79"/>
        <v>-59.856247626756151</v>
      </c>
      <c r="AC150">
        <f t="shared" si="80"/>
        <v>-196.34073025701545</v>
      </c>
      <c r="AD150">
        <f t="shared" si="81"/>
        <v>-20.089059051530022</v>
      </c>
      <c r="AE150">
        <f t="shared" si="82"/>
        <v>-0.17086948530166524</v>
      </c>
      <c r="AF150">
        <v>0</v>
      </c>
      <c r="AG150">
        <v>0</v>
      </c>
      <c r="AH150">
        <f t="shared" si="83"/>
        <v>1</v>
      </c>
      <c r="AI150">
        <f t="shared" si="84"/>
        <v>0</v>
      </c>
      <c r="AJ150">
        <f t="shared" si="85"/>
        <v>52323.750795556633</v>
      </c>
      <c r="AK150">
        <f t="shared" si="86"/>
        <v>1800</v>
      </c>
      <c r="AL150">
        <f t="shared" si="87"/>
        <v>1499.1126479999998</v>
      </c>
      <c r="AM150">
        <f t="shared" si="88"/>
        <v>0.83284035999999995</v>
      </c>
      <c r="AN150">
        <f t="shared" si="89"/>
        <v>0.15339731524999997</v>
      </c>
      <c r="AO150">
        <v>32.4</v>
      </c>
      <c r="AP150">
        <v>0.5</v>
      </c>
      <c r="AQ150" t="s">
        <v>331</v>
      </c>
      <c r="AR150">
        <v>2</v>
      </c>
      <c r="AS150">
        <v>1690233904.5999999</v>
      </c>
      <c r="AT150">
        <v>555.327</v>
      </c>
      <c r="AU150">
        <v>800.07500000000005</v>
      </c>
      <c r="AV150">
        <v>24.6004</v>
      </c>
      <c r="AW150">
        <v>10.312099999999999</v>
      </c>
      <c r="AX150">
        <v>555.49400000000003</v>
      </c>
      <c r="AY150">
        <v>24.4285</v>
      </c>
      <c r="AZ150">
        <v>300.20499999999998</v>
      </c>
      <c r="BA150">
        <v>98.992900000000006</v>
      </c>
      <c r="BB150">
        <v>0.100019</v>
      </c>
      <c r="BC150">
        <v>27.119800000000001</v>
      </c>
      <c r="BD150">
        <v>26.999500000000001</v>
      </c>
      <c r="BE150">
        <v>29.025700000000001</v>
      </c>
      <c r="BF150">
        <v>0</v>
      </c>
      <c r="BG150">
        <v>0</v>
      </c>
      <c r="BH150">
        <v>10000</v>
      </c>
      <c r="BI150">
        <v>1081.06</v>
      </c>
      <c r="BJ150">
        <v>1.41567</v>
      </c>
      <c r="BK150">
        <v>-244.74700000000001</v>
      </c>
      <c r="BL150">
        <v>569.33299999999997</v>
      </c>
      <c r="BM150">
        <v>808.41099999999994</v>
      </c>
      <c r="BN150">
        <v>14.2883</v>
      </c>
      <c r="BO150">
        <v>800.07500000000005</v>
      </c>
      <c r="BP150">
        <v>10.312099999999999</v>
      </c>
      <c r="BQ150">
        <v>2.43527</v>
      </c>
      <c r="BR150">
        <v>1.0208299999999999</v>
      </c>
      <c r="BS150">
        <v>20.600200000000001</v>
      </c>
      <c r="BT150">
        <v>7.2170699999999997</v>
      </c>
      <c r="BU150">
        <v>1800</v>
      </c>
      <c r="BV150">
        <v>0.91000499999999995</v>
      </c>
      <c r="BW150">
        <v>3.3999099999999997E-2</v>
      </c>
      <c r="BX150">
        <v>2.1999500000000002E-2</v>
      </c>
      <c r="BY150">
        <v>3.39963E-2</v>
      </c>
      <c r="BZ150">
        <v>25</v>
      </c>
      <c r="CA150">
        <v>33528.300000000003</v>
      </c>
      <c r="CB150">
        <v>1690232006</v>
      </c>
      <c r="CC150" t="s">
        <v>332</v>
      </c>
      <c r="CD150">
        <v>1690232006</v>
      </c>
      <c r="CE150">
        <v>1690231998.5</v>
      </c>
      <c r="CF150">
        <v>14</v>
      </c>
      <c r="CG150">
        <v>-0.13200000000000001</v>
      </c>
      <c r="CH150">
        <v>-7.0000000000000001E-3</v>
      </c>
      <c r="CI150">
        <v>-0.33800000000000002</v>
      </c>
      <c r="CJ150">
        <v>0.14299999999999999</v>
      </c>
      <c r="CK150">
        <v>799</v>
      </c>
      <c r="CL150">
        <v>19</v>
      </c>
      <c r="CM150">
        <v>7.0000000000000007E-2</v>
      </c>
      <c r="CN150">
        <v>0.14000000000000001</v>
      </c>
      <c r="CO150">
        <v>-242.53470731707321</v>
      </c>
      <c r="CP150">
        <v>-11.8062229965153</v>
      </c>
      <c r="CQ150">
        <v>1.165828005636742</v>
      </c>
      <c r="CR150">
        <v>-1</v>
      </c>
      <c r="CS150">
        <v>14.107051219512201</v>
      </c>
      <c r="CT150">
        <v>0.86354216027877873</v>
      </c>
      <c r="CU150">
        <v>8.5962899319929814E-2</v>
      </c>
      <c r="CV150">
        <v>-1</v>
      </c>
      <c r="CW150">
        <v>0</v>
      </c>
      <c r="CX150">
        <v>0</v>
      </c>
      <c r="CY150" t="s">
        <v>333</v>
      </c>
      <c r="CZ150">
        <v>2.3649800000000001</v>
      </c>
      <c r="DA150">
        <v>2.7138100000000001</v>
      </c>
      <c r="DB150">
        <v>0.114063</v>
      </c>
      <c r="DC150">
        <v>0.14616199999999999</v>
      </c>
      <c r="DD150">
        <v>0.115942</v>
      </c>
      <c r="DE150">
        <v>6.0560900000000001E-2</v>
      </c>
      <c r="DF150">
        <v>32377.8</v>
      </c>
      <c r="DG150">
        <v>27553.4</v>
      </c>
      <c r="DH150">
        <v>31198.400000000001</v>
      </c>
      <c r="DI150">
        <v>28117.8</v>
      </c>
      <c r="DJ150">
        <v>37445.1</v>
      </c>
      <c r="DK150">
        <v>37567.1</v>
      </c>
      <c r="DL150">
        <v>44403.8</v>
      </c>
      <c r="DM150">
        <v>42621.9</v>
      </c>
      <c r="DN150">
        <v>1.4838499999999999</v>
      </c>
      <c r="DO150">
        <v>2.0495299999999999</v>
      </c>
      <c r="DP150">
        <v>7.4878299999999995E-2</v>
      </c>
      <c r="DQ150">
        <v>0.21040400000000001</v>
      </c>
      <c r="DR150">
        <v>25.773700000000002</v>
      </c>
      <c r="DS150">
        <v>25.586500000000001</v>
      </c>
      <c r="DT150">
        <v>53.4</v>
      </c>
      <c r="DU150">
        <v>28.8</v>
      </c>
      <c r="DV150">
        <v>21.444500000000001</v>
      </c>
      <c r="DW150">
        <v>61.438000000000002</v>
      </c>
      <c r="DX150">
        <v>36.362200000000001</v>
      </c>
      <c r="DY150">
        <v>1</v>
      </c>
      <c r="DZ150">
        <v>-0.118534</v>
      </c>
      <c r="EA150">
        <v>-0.43331399999999998</v>
      </c>
      <c r="EB150">
        <v>20.189299999999999</v>
      </c>
      <c r="EC150">
        <v>5.2411000000000003</v>
      </c>
      <c r="ED150">
        <v>12.039899999999999</v>
      </c>
      <c r="EE150">
        <v>5.0175000000000001</v>
      </c>
      <c r="EF150">
        <v>3.2879999999999998</v>
      </c>
      <c r="EG150">
        <v>9999</v>
      </c>
      <c r="EH150">
        <v>9999</v>
      </c>
      <c r="EI150">
        <v>9999</v>
      </c>
      <c r="EJ150">
        <v>999.9</v>
      </c>
      <c r="EK150">
        <v>1.8689</v>
      </c>
      <c r="EL150">
        <v>1.8646199999999999</v>
      </c>
      <c r="EM150">
        <v>1.8691899999999999</v>
      </c>
      <c r="EN150">
        <v>1.8672200000000001</v>
      </c>
      <c r="EO150">
        <v>1.8633900000000001</v>
      </c>
      <c r="EP150">
        <v>1.8644700000000001</v>
      </c>
      <c r="EQ150">
        <v>1.87016</v>
      </c>
      <c r="ER150">
        <v>1.8693599999999999</v>
      </c>
      <c r="ES150">
        <v>0</v>
      </c>
      <c r="ET150">
        <v>0</v>
      </c>
      <c r="EU150">
        <v>0</v>
      </c>
      <c r="EV150">
        <v>0</v>
      </c>
      <c r="EW150" t="s">
        <v>334</v>
      </c>
      <c r="EX150" t="s">
        <v>335</v>
      </c>
      <c r="EY150" t="s">
        <v>336</v>
      </c>
      <c r="EZ150" t="s">
        <v>336</v>
      </c>
      <c r="FA150" t="s">
        <v>336</v>
      </c>
      <c r="FB150" t="s">
        <v>336</v>
      </c>
      <c r="FC150">
        <v>0</v>
      </c>
      <c r="FD150">
        <v>100</v>
      </c>
      <c r="FE150">
        <v>100</v>
      </c>
      <c r="FF150">
        <v>-0.16700000000000001</v>
      </c>
      <c r="FG150">
        <v>0.1719</v>
      </c>
      <c r="FH150">
        <v>0.2126736300064915</v>
      </c>
      <c r="FI150">
        <v>-6.1462078757559423E-4</v>
      </c>
      <c r="FJ150">
        <v>-1.8861989874597051E-7</v>
      </c>
      <c r="FK150">
        <v>1.1980462299894961E-10</v>
      </c>
      <c r="FL150">
        <v>0.1719881465068297</v>
      </c>
      <c r="FM150">
        <v>0</v>
      </c>
      <c r="FN150">
        <v>0</v>
      </c>
      <c r="FO150">
        <v>0</v>
      </c>
      <c r="FP150">
        <v>3</v>
      </c>
      <c r="FQ150">
        <v>2158</v>
      </c>
      <c r="FR150">
        <v>1</v>
      </c>
      <c r="FS150">
        <v>19</v>
      </c>
      <c r="FT150">
        <v>31.6</v>
      </c>
      <c r="FU150">
        <v>31.8</v>
      </c>
      <c r="FV150">
        <v>1.7773399999999999</v>
      </c>
      <c r="FW150">
        <v>2.5927699999999998</v>
      </c>
      <c r="FX150">
        <v>1.5490699999999999</v>
      </c>
      <c r="FY150">
        <v>2.3290999999999999</v>
      </c>
      <c r="FZ150">
        <v>1.50146</v>
      </c>
      <c r="GA150">
        <v>2.2985799999999998</v>
      </c>
      <c r="GB150">
        <v>33.535499999999999</v>
      </c>
      <c r="GC150">
        <v>23.982399999999998</v>
      </c>
      <c r="GD150">
        <v>19</v>
      </c>
      <c r="GE150">
        <v>284.80200000000002</v>
      </c>
      <c r="GF150">
        <v>590.50699999999995</v>
      </c>
      <c r="GG150">
        <v>25.560300000000002</v>
      </c>
      <c r="GH150">
        <v>25.9298</v>
      </c>
      <c r="GI150">
        <v>30.0001</v>
      </c>
      <c r="GJ150">
        <v>26.049199999999999</v>
      </c>
      <c r="GK150">
        <v>26.026399999999999</v>
      </c>
      <c r="GL150">
        <v>35.528300000000002</v>
      </c>
      <c r="GM150">
        <v>54.452599999999997</v>
      </c>
      <c r="GN150">
        <v>78.957800000000006</v>
      </c>
      <c r="GO150">
        <v>25.566700000000001</v>
      </c>
      <c r="GP150">
        <v>800</v>
      </c>
      <c r="GQ150">
        <v>10.213900000000001</v>
      </c>
      <c r="GR150">
        <v>99.828900000000004</v>
      </c>
      <c r="GS150">
        <v>99.702600000000004</v>
      </c>
    </row>
    <row r="151" spans="1:201" x14ac:dyDescent="0.25">
      <c r="A151">
        <v>135</v>
      </c>
      <c r="B151">
        <v>1690233914.5999999</v>
      </c>
      <c r="C151">
        <v>1408.5</v>
      </c>
      <c r="D151" t="s">
        <v>601</v>
      </c>
      <c r="E151" t="s">
        <v>602</v>
      </c>
      <c r="F151" t="s">
        <v>330</v>
      </c>
      <c r="H151">
        <v>1690233914.5999999</v>
      </c>
      <c r="I151">
        <f t="shared" si="60"/>
        <v>1.3692898404305779E-3</v>
      </c>
      <c r="J151">
        <f t="shared" si="61"/>
        <v>1.3692898404305778</v>
      </c>
      <c r="K151">
        <f t="shared" si="62"/>
        <v>22.100169347361778</v>
      </c>
      <c r="L151">
        <f t="shared" si="63"/>
        <v>553.38</v>
      </c>
      <c r="M151">
        <f t="shared" si="64"/>
        <v>130.0665944109937</v>
      </c>
      <c r="N151">
        <f t="shared" si="65"/>
        <v>12.888758625596608</v>
      </c>
      <c r="O151">
        <f t="shared" si="66"/>
        <v>54.836380398300001</v>
      </c>
      <c r="P151">
        <f t="shared" si="67"/>
        <v>8.6957039744177858E-2</v>
      </c>
      <c r="Q151">
        <f t="shared" si="68"/>
        <v>2.1270450749003045</v>
      </c>
      <c r="R151">
        <f t="shared" si="69"/>
        <v>8.5029299808111414E-2</v>
      </c>
      <c r="S151">
        <f t="shared" si="70"/>
        <v>5.331295274020921E-2</v>
      </c>
      <c r="T151">
        <f t="shared" si="71"/>
        <v>276.11510688000004</v>
      </c>
      <c r="U151">
        <f t="shared" si="72"/>
        <v>28.825876141618174</v>
      </c>
      <c r="V151">
        <f t="shared" si="73"/>
        <v>28.825876141618174</v>
      </c>
      <c r="W151">
        <f t="shared" si="74"/>
        <v>3.9814279164014188</v>
      </c>
      <c r="X151">
        <f t="shared" si="75"/>
        <v>67.627441114423831</v>
      </c>
      <c r="Y151">
        <f t="shared" si="76"/>
        <v>2.4373343149205002</v>
      </c>
      <c r="Z151">
        <f t="shared" si="77"/>
        <v>3.604061124827413</v>
      </c>
      <c r="AA151">
        <f t="shared" si="78"/>
        <v>1.5440936014809186</v>
      </c>
      <c r="AB151">
        <f t="shared" si="79"/>
        <v>-60.385681962988485</v>
      </c>
      <c r="AC151">
        <f t="shared" si="80"/>
        <v>-195.83624739617065</v>
      </c>
      <c r="AD151">
        <f t="shared" si="81"/>
        <v>-20.063621204955883</v>
      </c>
      <c r="AE151">
        <f t="shared" si="82"/>
        <v>-0.17044368411498567</v>
      </c>
      <c r="AF151">
        <v>0</v>
      </c>
      <c r="AG151">
        <v>0</v>
      </c>
      <c r="AH151">
        <f t="shared" si="83"/>
        <v>1</v>
      </c>
      <c r="AI151">
        <f t="shared" si="84"/>
        <v>0</v>
      </c>
      <c r="AJ151">
        <f t="shared" si="85"/>
        <v>52201.967966395569</v>
      </c>
      <c r="AK151">
        <f t="shared" si="86"/>
        <v>1800</v>
      </c>
      <c r="AL151">
        <f t="shared" si="87"/>
        <v>1499.1130619999999</v>
      </c>
      <c r="AM151">
        <f t="shared" si="88"/>
        <v>0.83284058999999999</v>
      </c>
      <c r="AN151">
        <f t="shared" si="89"/>
        <v>0.15339728160000002</v>
      </c>
      <c r="AO151">
        <v>32.4</v>
      </c>
      <c r="AP151">
        <v>0.5</v>
      </c>
      <c r="AQ151" t="s">
        <v>331</v>
      </c>
      <c r="AR151">
        <v>2</v>
      </c>
      <c r="AS151">
        <v>1690233914.5999999</v>
      </c>
      <c r="AT151">
        <v>553.38</v>
      </c>
      <c r="AU151">
        <v>800.13599999999997</v>
      </c>
      <c r="AV151">
        <v>24.596299999999999</v>
      </c>
      <c r="AW151">
        <v>10.178100000000001</v>
      </c>
      <c r="AX151">
        <v>553.54499999999996</v>
      </c>
      <c r="AY151">
        <v>24.424299999999999</v>
      </c>
      <c r="AZ151">
        <v>300.13299999999998</v>
      </c>
      <c r="BA151">
        <v>98.993499999999997</v>
      </c>
      <c r="BB151">
        <v>0.100035</v>
      </c>
      <c r="BC151">
        <v>27.118099999999998</v>
      </c>
      <c r="BD151">
        <v>26.99</v>
      </c>
      <c r="BE151">
        <v>28.991099999999999</v>
      </c>
      <c r="BF151">
        <v>0</v>
      </c>
      <c r="BG151">
        <v>0</v>
      </c>
      <c r="BH151">
        <v>9975.6200000000008</v>
      </c>
      <c r="BI151">
        <v>1081.17</v>
      </c>
      <c r="BJ151">
        <v>1.5137799999999999</v>
      </c>
      <c r="BK151">
        <v>-246.755</v>
      </c>
      <c r="BL151">
        <v>567.33500000000004</v>
      </c>
      <c r="BM151">
        <v>808.36300000000006</v>
      </c>
      <c r="BN151">
        <v>14.418200000000001</v>
      </c>
      <c r="BO151">
        <v>800.13599999999997</v>
      </c>
      <c r="BP151">
        <v>10.178100000000001</v>
      </c>
      <c r="BQ151">
        <v>2.4348700000000001</v>
      </c>
      <c r="BR151">
        <v>1.00756</v>
      </c>
      <c r="BS151">
        <v>20.5976</v>
      </c>
      <c r="BT151">
        <v>7.0261899999999997</v>
      </c>
      <c r="BU151">
        <v>1800</v>
      </c>
      <c r="BV151">
        <v>0.91000700000000001</v>
      </c>
      <c r="BW151">
        <v>3.3998399999999998E-2</v>
      </c>
      <c r="BX151">
        <v>2.1999000000000001E-2</v>
      </c>
      <c r="BY151">
        <v>3.3995600000000001E-2</v>
      </c>
      <c r="BZ151">
        <v>25</v>
      </c>
      <c r="CA151">
        <v>33528.300000000003</v>
      </c>
      <c r="CB151">
        <v>1690232006</v>
      </c>
      <c r="CC151" t="s">
        <v>332</v>
      </c>
      <c r="CD151">
        <v>1690232006</v>
      </c>
      <c r="CE151">
        <v>1690231998.5</v>
      </c>
      <c r="CF151">
        <v>14</v>
      </c>
      <c r="CG151">
        <v>-0.13200000000000001</v>
      </c>
      <c r="CH151">
        <v>-7.0000000000000001E-3</v>
      </c>
      <c r="CI151">
        <v>-0.33800000000000002</v>
      </c>
      <c r="CJ151">
        <v>0.14299999999999999</v>
      </c>
      <c r="CK151">
        <v>799</v>
      </c>
      <c r="CL151">
        <v>19</v>
      </c>
      <c r="CM151">
        <v>7.0000000000000007E-2</v>
      </c>
      <c r="CN151">
        <v>0.14000000000000001</v>
      </c>
      <c r="CO151">
        <v>-244.52414634146339</v>
      </c>
      <c r="CP151">
        <v>-12.186334494773179</v>
      </c>
      <c r="CQ151">
        <v>1.202125588199372</v>
      </c>
      <c r="CR151">
        <v>-1</v>
      </c>
      <c r="CS151">
        <v>14.26014146341463</v>
      </c>
      <c r="CT151">
        <v>0.96211777003482057</v>
      </c>
      <c r="CU151">
        <v>9.5501980507135278E-2</v>
      </c>
      <c r="CV151">
        <v>-1</v>
      </c>
      <c r="CW151">
        <v>0</v>
      </c>
      <c r="CX151">
        <v>0</v>
      </c>
      <c r="CY151" t="s">
        <v>333</v>
      </c>
      <c r="CZ151">
        <v>2.3647499999999999</v>
      </c>
      <c r="DA151">
        <v>2.7138</v>
      </c>
      <c r="DB151">
        <v>0.113778</v>
      </c>
      <c r="DC151">
        <v>0.14616899999999999</v>
      </c>
      <c r="DD151">
        <v>0.11593100000000001</v>
      </c>
      <c r="DE151">
        <v>5.9957000000000003E-2</v>
      </c>
      <c r="DF151">
        <v>32388</v>
      </c>
      <c r="DG151">
        <v>27553.200000000001</v>
      </c>
      <c r="DH151">
        <v>31198.3</v>
      </c>
      <c r="DI151">
        <v>28117.8</v>
      </c>
      <c r="DJ151">
        <v>37445.5</v>
      </c>
      <c r="DK151">
        <v>37591.5</v>
      </c>
      <c r="DL151">
        <v>44403.7</v>
      </c>
      <c r="DM151">
        <v>42622.1</v>
      </c>
      <c r="DN151">
        <v>1.4838</v>
      </c>
      <c r="DO151">
        <v>2.0492499999999998</v>
      </c>
      <c r="DP151">
        <v>7.4356800000000001E-2</v>
      </c>
      <c r="DQ151">
        <v>0.20828099999999999</v>
      </c>
      <c r="DR151">
        <v>25.7727</v>
      </c>
      <c r="DS151">
        <v>25.586500000000001</v>
      </c>
      <c r="DT151">
        <v>53.1</v>
      </c>
      <c r="DU151">
        <v>28.7</v>
      </c>
      <c r="DV151">
        <v>21.2029</v>
      </c>
      <c r="DW151">
        <v>61.907899999999998</v>
      </c>
      <c r="DX151">
        <v>36.706699999999998</v>
      </c>
      <c r="DY151">
        <v>1</v>
      </c>
      <c r="DZ151">
        <v>-0.118267</v>
      </c>
      <c r="EA151">
        <v>-0.39584200000000003</v>
      </c>
      <c r="EB151">
        <v>20.1892</v>
      </c>
      <c r="EC151">
        <v>5.2409499999999998</v>
      </c>
      <c r="ED151">
        <v>12.039899999999999</v>
      </c>
      <c r="EE151">
        <v>5.0171000000000001</v>
      </c>
      <c r="EF151">
        <v>3.2879999999999998</v>
      </c>
      <c r="EG151">
        <v>9999</v>
      </c>
      <c r="EH151">
        <v>9999</v>
      </c>
      <c r="EI151">
        <v>9999</v>
      </c>
      <c r="EJ151">
        <v>999.9</v>
      </c>
      <c r="EK151">
        <v>1.8689</v>
      </c>
      <c r="EL151">
        <v>1.8646199999999999</v>
      </c>
      <c r="EM151">
        <v>1.86917</v>
      </c>
      <c r="EN151">
        <v>1.8672200000000001</v>
      </c>
      <c r="EO151">
        <v>1.8633900000000001</v>
      </c>
      <c r="EP151">
        <v>1.8644700000000001</v>
      </c>
      <c r="EQ151">
        <v>1.87015</v>
      </c>
      <c r="ER151">
        <v>1.8693599999999999</v>
      </c>
      <c r="ES151">
        <v>0</v>
      </c>
      <c r="ET151">
        <v>0</v>
      </c>
      <c r="EU151">
        <v>0</v>
      </c>
      <c r="EV151">
        <v>0</v>
      </c>
      <c r="EW151" t="s">
        <v>334</v>
      </c>
      <c r="EX151" t="s">
        <v>335</v>
      </c>
      <c r="EY151" t="s">
        <v>336</v>
      </c>
      <c r="EZ151" t="s">
        <v>336</v>
      </c>
      <c r="FA151" t="s">
        <v>336</v>
      </c>
      <c r="FB151" t="s">
        <v>336</v>
      </c>
      <c r="FC151">
        <v>0</v>
      </c>
      <c r="FD151">
        <v>100</v>
      </c>
      <c r="FE151">
        <v>100</v>
      </c>
      <c r="FF151">
        <v>-0.16500000000000001</v>
      </c>
      <c r="FG151">
        <v>0.17199999999999999</v>
      </c>
      <c r="FH151">
        <v>0.2126736300064915</v>
      </c>
      <c r="FI151">
        <v>-6.1462078757559423E-4</v>
      </c>
      <c r="FJ151">
        <v>-1.8861989874597051E-7</v>
      </c>
      <c r="FK151">
        <v>1.1980462299894961E-10</v>
      </c>
      <c r="FL151">
        <v>0.1719881465068297</v>
      </c>
      <c r="FM151">
        <v>0</v>
      </c>
      <c r="FN151">
        <v>0</v>
      </c>
      <c r="FO151">
        <v>0</v>
      </c>
      <c r="FP151">
        <v>3</v>
      </c>
      <c r="FQ151">
        <v>2158</v>
      </c>
      <c r="FR151">
        <v>1</v>
      </c>
      <c r="FS151">
        <v>19</v>
      </c>
      <c r="FT151">
        <v>31.8</v>
      </c>
      <c r="FU151">
        <v>31.9</v>
      </c>
      <c r="FV151">
        <v>1.7761199999999999</v>
      </c>
      <c r="FW151">
        <v>2.5866699999999998</v>
      </c>
      <c r="FX151">
        <v>1.5490699999999999</v>
      </c>
      <c r="FY151">
        <v>2.3278799999999999</v>
      </c>
      <c r="FZ151">
        <v>1.50146</v>
      </c>
      <c r="GA151">
        <v>2.3962400000000001</v>
      </c>
      <c r="GB151">
        <v>33.535499999999999</v>
      </c>
      <c r="GC151">
        <v>23.991199999999999</v>
      </c>
      <c r="GD151">
        <v>19</v>
      </c>
      <c r="GE151">
        <v>284.77199999999999</v>
      </c>
      <c r="GF151">
        <v>590.27700000000004</v>
      </c>
      <c r="GG151">
        <v>25.5716</v>
      </c>
      <c r="GH151">
        <v>25.9298</v>
      </c>
      <c r="GI151">
        <v>30.0002</v>
      </c>
      <c r="GJ151">
        <v>26.047000000000001</v>
      </c>
      <c r="GK151">
        <v>26.026299999999999</v>
      </c>
      <c r="GL151">
        <v>35.521999999999998</v>
      </c>
      <c r="GM151">
        <v>54.727499999999999</v>
      </c>
      <c r="GN151">
        <v>78.195599999999999</v>
      </c>
      <c r="GO151">
        <v>25.5702</v>
      </c>
      <c r="GP151">
        <v>800</v>
      </c>
      <c r="GQ151">
        <v>10.065899999999999</v>
      </c>
      <c r="GR151">
        <v>99.828599999999994</v>
      </c>
      <c r="GS151">
        <v>99.703000000000003</v>
      </c>
    </row>
    <row r="152" spans="1:201" x14ac:dyDescent="0.25">
      <c r="A152">
        <v>136</v>
      </c>
      <c r="B152">
        <v>1690233924.5999999</v>
      </c>
      <c r="C152">
        <v>1418.5</v>
      </c>
      <c r="D152" t="s">
        <v>603</v>
      </c>
      <c r="E152" t="s">
        <v>604</v>
      </c>
      <c r="F152" t="s">
        <v>330</v>
      </c>
      <c r="H152">
        <v>1690233924.5999999</v>
      </c>
      <c r="I152">
        <f t="shared" si="60"/>
        <v>1.38712438920278E-3</v>
      </c>
      <c r="J152">
        <f t="shared" si="61"/>
        <v>1.38712438920278</v>
      </c>
      <c r="K152">
        <f t="shared" si="62"/>
        <v>22.287536072380664</v>
      </c>
      <c r="L152">
        <f t="shared" si="63"/>
        <v>551.29999999999995</v>
      </c>
      <c r="M152">
        <f t="shared" si="64"/>
        <v>130.15294959701194</v>
      </c>
      <c r="N152">
        <f t="shared" si="65"/>
        <v>12.897475824219793</v>
      </c>
      <c r="O152">
        <f t="shared" si="66"/>
        <v>54.630943393199999</v>
      </c>
      <c r="P152">
        <f t="shared" si="67"/>
        <v>8.8170342820914641E-2</v>
      </c>
      <c r="Q152">
        <f t="shared" si="68"/>
        <v>2.1286655380088915</v>
      </c>
      <c r="R152">
        <f t="shared" si="69"/>
        <v>8.6190564498347264E-2</v>
      </c>
      <c r="S152">
        <f t="shared" si="70"/>
        <v>5.404327551111178E-2</v>
      </c>
      <c r="T152">
        <f t="shared" si="71"/>
        <v>276.11510688000004</v>
      </c>
      <c r="U152">
        <f t="shared" si="72"/>
        <v>28.821269612694518</v>
      </c>
      <c r="V152">
        <f t="shared" si="73"/>
        <v>28.821269612694518</v>
      </c>
      <c r="W152">
        <f t="shared" si="74"/>
        <v>3.9803653840532967</v>
      </c>
      <c r="X152">
        <f t="shared" si="75"/>
        <v>67.612770624154876</v>
      </c>
      <c r="Y152">
        <f t="shared" si="76"/>
        <v>2.4372059921507998</v>
      </c>
      <c r="Z152">
        <f t="shared" si="77"/>
        <v>3.6046533364217739</v>
      </c>
      <c r="AA152">
        <f t="shared" si="78"/>
        <v>1.5431593919024968</v>
      </c>
      <c r="AB152">
        <f t="shared" si="79"/>
        <v>-61.172185563842596</v>
      </c>
      <c r="AC152">
        <f t="shared" si="80"/>
        <v>-195.13546500541389</v>
      </c>
      <c r="AD152">
        <f t="shared" si="81"/>
        <v>-19.976425160994829</v>
      </c>
      <c r="AE152">
        <f t="shared" si="82"/>
        <v>-0.16896885025127517</v>
      </c>
      <c r="AF152">
        <v>0</v>
      </c>
      <c r="AG152">
        <v>0</v>
      </c>
      <c r="AH152">
        <f t="shared" si="83"/>
        <v>1</v>
      </c>
      <c r="AI152">
        <f t="shared" si="84"/>
        <v>0</v>
      </c>
      <c r="AJ152">
        <f t="shared" si="85"/>
        <v>52271.204773003272</v>
      </c>
      <c r="AK152">
        <f t="shared" si="86"/>
        <v>1800</v>
      </c>
      <c r="AL152">
        <f t="shared" si="87"/>
        <v>1499.1130619999999</v>
      </c>
      <c r="AM152">
        <f t="shared" si="88"/>
        <v>0.83284058999999999</v>
      </c>
      <c r="AN152">
        <f t="shared" si="89"/>
        <v>0.15339728160000002</v>
      </c>
      <c r="AO152">
        <v>32.4</v>
      </c>
      <c r="AP152">
        <v>0.5</v>
      </c>
      <c r="AQ152" t="s">
        <v>331</v>
      </c>
      <c r="AR152">
        <v>2</v>
      </c>
      <c r="AS152">
        <v>1690233924.5999999</v>
      </c>
      <c r="AT152">
        <v>551.29999999999995</v>
      </c>
      <c r="AU152">
        <v>800.072</v>
      </c>
      <c r="AV152">
        <v>24.5947</v>
      </c>
      <c r="AW152">
        <v>9.9934999999999992</v>
      </c>
      <c r="AX152">
        <v>551.46400000000006</v>
      </c>
      <c r="AY152">
        <v>24.422699999999999</v>
      </c>
      <c r="AZ152">
        <v>300.23200000000003</v>
      </c>
      <c r="BA152">
        <v>98.994699999999995</v>
      </c>
      <c r="BB152">
        <v>0.100064</v>
      </c>
      <c r="BC152">
        <v>27.120899999999999</v>
      </c>
      <c r="BD152">
        <v>26.990600000000001</v>
      </c>
      <c r="BE152">
        <v>29.023900000000001</v>
      </c>
      <c r="BF152">
        <v>0</v>
      </c>
      <c r="BG152">
        <v>0</v>
      </c>
      <c r="BH152">
        <v>9989.3799999999992</v>
      </c>
      <c r="BI152">
        <v>1081.19</v>
      </c>
      <c r="BJ152">
        <v>1.5137799999999999</v>
      </c>
      <c r="BK152">
        <v>-248.77199999999999</v>
      </c>
      <c r="BL152">
        <v>565.20100000000002</v>
      </c>
      <c r="BM152">
        <v>808.149</v>
      </c>
      <c r="BN152">
        <v>14.6012</v>
      </c>
      <c r="BO152">
        <v>800.072</v>
      </c>
      <c r="BP152">
        <v>9.9934999999999992</v>
      </c>
      <c r="BQ152">
        <v>2.4347400000000001</v>
      </c>
      <c r="BR152">
        <v>0.98930399999999996</v>
      </c>
      <c r="BS152">
        <v>20.596699999999998</v>
      </c>
      <c r="BT152">
        <v>6.7597899999999997</v>
      </c>
      <c r="BU152">
        <v>1800</v>
      </c>
      <c r="BV152">
        <v>0.91000700000000001</v>
      </c>
      <c r="BW152">
        <v>3.3998399999999998E-2</v>
      </c>
      <c r="BX152">
        <v>2.1999000000000001E-2</v>
      </c>
      <c r="BY152">
        <v>3.3995600000000001E-2</v>
      </c>
      <c r="BZ152">
        <v>25</v>
      </c>
      <c r="CA152">
        <v>33528.5</v>
      </c>
      <c r="CB152">
        <v>1690232006</v>
      </c>
      <c r="CC152" t="s">
        <v>332</v>
      </c>
      <c r="CD152">
        <v>1690232006</v>
      </c>
      <c r="CE152">
        <v>1690231998.5</v>
      </c>
      <c r="CF152">
        <v>14</v>
      </c>
      <c r="CG152">
        <v>-0.13200000000000001</v>
      </c>
      <c r="CH152">
        <v>-7.0000000000000001E-3</v>
      </c>
      <c r="CI152">
        <v>-0.33800000000000002</v>
      </c>
      <c r="CJ152">
        <v>0.14299999999999999</v>
      </c>
      <c r="CK152">
        <v>799</v>
      </c>
      <c r="CL152">
        <v>19</v>
      </c>
      <c r="CM152">
        <v>7.0000000000000007E-2</v>
      </c>
      <c r="CN152">
        <v>0.14000000000000001</v>
      </c>
      <c r="CO152">
        <v>-246.51512500000001</v>
      </c>
      <c r="CP152">
        <v>-12.403823639774529</v>
      </c>
      <c r="CQ152">
        <v>1.19458637585358</v>
      </c>
      <c r="CR152">
        <v>-1</v>
      </c>
      <c r="CS152">
        <v>14.408345000000001</v>
      </c>
      <c r="CT152">
        <v>0.81908893058157983</v>
      </c>
      <c r="CU152">
        <v>7.9510184724977145E-2</v>
      </c>
      <c r="CV152">
        <v>-1</v>
      </c>
      <c r="CW152">
        <v>0</v>
      </c>
      <c r="CX152">
        <v>0</v>
      </c>
      <c r="CY152" t="s">
        <v>333</v>
      </c>
      <c r="CZ152">
        <v>2.3650799999999998</v>
      </c>
      <c r="DA152">
        <v>2.7138499999999999</v>
      </c>
      <c r="DB152">
        <v>0.113472</v>
      </c>
      <c r="DC152">
        <v>0.14615900000000001</v>
      </c>
      <c r="DD152">
        <v>0.115926</v>
      </c>
      <c r="DE152">
        <v>5.9120699999999998E-2</v>
      </c>
      <c r="DF152">
        <v>32399.1</v>
      </c>
      <c r="DG152">
        <v>27553.7</v>
      </c>
      <c r="DH152">
        <v>31198.2</v>
      </c>
      <c r="DI152">
        <v>28117.9</v>
      </c>
      <c r="DJ152">
        <v>37445.5</v>
      </c>
      <c r="DK152">
        <v>37625</v>
      </c>
      <c r="DL152">
        <v>44403.6</v>
      </c>
      <c r="DM152">
        <v>42622.1</v>
      </c>
      <c r="DN152">
        <v>1.4841500000000001</v>
      </c>
      <c r="DO152">
        <v>2.0490499999999998</v>
      </c>
      <c r="DP152">
        <v>7.4394000000000002E-2</v>
      </c>
      <c r="DQ152">
        <v>0.21029300000000001</v>
      </c>
      <c r="DR152">
        <v>25.7727</v>
      </c>
      <c r="DS152">
        <v>25.586500000000001</v>
      </c>
      <c r="DT152">
        <v>52.9</v>
      </c>
      <c r="DU152">
        <v>28.7</v>
      </c>
      <c r="DV152">
        <v>21.126000000000001</v>
      </c>
      <c r="DW152">
        <v>61.838000000000001</v>
      </c>
      <c r="DX152">
        <v>36.394199999999998</v>
      </c>
      <c r="DY152">
        <v>1</v>
      </c>
      <c r="DZ152">
        <v>-0.118547</v>
      </c>
      <c r="EA152">
        <v>-0.39827600000000002</v>
      </c>
      <c r="EB152">
        <v>20.189299999999999</v>
      </c>
      <c r="EC152">
        <v>5.2408000000000001</v>
      </c>
      <c r="ED152">
        <v>12.039899999999999</v>
      </c>
      <c r="EE152">
        <v>5.0172999999999996</v>
      </c>
      <c r="EF152">
        <v>3.2879999999999998</v>
      </c>
      <c r="EG152">
        <v>9999</v>
      </c>
      <c r="EH152">
        <v>9999</v>
      </c>
      <c r="EI152">
        <v>9999</v>
      </c>
      <c r="EJ152">
        <v>999.9</v>
      </c>
      <c r="EK152">
        <v>1.8689</v>
      </c>
      <c r="EL152">
        <v>1.8646199999999999</v>
      </c>
      <c r="EM152">
        <v>1.86917</v>
      </c>
      <c r="EN152">
        <v>1.8672200000000001</v>
      </c>
      <c r="EO152">
        <v>1.86338</v>
      </c>
      <c r="EP152">
        <v>1.8644700000000001</v>
      </c>
      <c r="EQ152">
        <v>1.87016</v>
      </c>
      <c r="ER152">
        <v>1.8693500000000001</v>
      </c>
      <c r="ES152">
        <v>0</v>
      </c>
      <c r="ET152">
        <v>0</v>
      </c>
      <c r="EU152">
        <v>0</v>
      </c>
      <c r="EV152">
        <v>0</v>
      </c>
      <c r="EW152" t="s">
        <v>334</v>
      </c>
      <c r="EX152" t="s">
        <v>335</v>
      </c>
      <c r="EY152" t="s">
        <v>336</v>
      </c>
      <c r="EZ152" t="s">
        <v>336</v>
      </c>
      <c r="FA152" t="s">
        <v>336</v>
      </c>
      <c r="FB152" t="s">
        <v>336</v>
      </c>
      <c r="FC152">
        <v>0</v>
      </c>
      <c r="FD152">
        <v>100</v>
      </c>
      <c r="FE152">
        <v>100</v>
      </c>
      <c r="FF152">
        <v>-0.16400000000000001</v>
      </c>
      <c r="FG152">
        <v>0.17199999999999999</v>
      </c>
      <c r="FH152">
        <v>0.2126736300064915</v>
      </c>
      <c r="FI152">
        <v>-6.1462078757559423E-4</v>
      </c>
      <c r="FJ152">
        <v>-1.8861989874597051E-7</v>
      </c>
      <c r="FK152">
        <v>1.1980462299894961E-10</v>
      </c>
      <c r="FL152">
        <v>0.1719881465068297</v>
      </c>
      <c r="FM152">
        <v>0</v>
      </c>
      <c r="FN152">
        <v>0</v>
      </c>
      <c r="FO152">
        <v>0</v>
      </c>
      <c r="FP152">
        <v>3</v>
      </c>
      <c r="FQ152">
        <v>2158</v>
      </c>
      <c r="FR152">
        <v>1</v>
      </c>
      <c r="FS152">
        <v>19</v>
      </c>
      <c r="FT152">
        <v>32</v>
      </c>
      <c r="FU152">
        <v>32.1</v>
      </c>
      <c r="FV152">
        <v>1.7761199999999999</v>
      </c>
      <c r="FW152">
        <v>2.5915499999999998</v>
      </c>
      <c r="FX152">
        <v>1.5490699999999999</v>
      </c>
      <c r="FY152">
        <v>2.3278799999999999</v>
      </c>
      <c r="FZ152">
        <v>1.50146</v>
      </c>
      <c r="GA152">
        <v>2.2790499999999998</v>
      </c>
      <c r="GB152">
        <v>33.535499999999999</v>
      </c>
      <c r="GC152">
        <v>23.982399999999998</v>
      </c>
      <c r="GD152">
        <v>19</v>
      </c>
      <c r="GE152">
        <v>284.92</v>
      </c>
      <c r="GF152">
        <v>590.08600000000001</v>
      </c>
      <c r="GG152">
        <v>25.577200000000001</v>
      </c>
      <c r="GH152">
        <v>25.927600000000002</v>
      </c>
      <c r="GI152">
        <v>30.0001</v>
      </c>
      <c r="GJ152">
        <v>26.047000000000001</v>
      </c>
      <c r="GK152">
        <v>26.0242</v>
      </c>
      <c r="GL152">
        <v>35.514800000000001</v>
      </c>
      <c r="GM152">
        <v>55.021000000000001</v>
      </c>
      <c r="GN152">
        <v>77.427099999999996</v>
      </c>
      <c r="GO152">
        <v>25.576499999999999</v>
      </c>
      <c r="GP152">
        <v>800</v>
      </c>
      <c r="GQ152">
        <v>9.9122599999999998</v>
      </c>
      <c r="GR152">
        <v>99.828299999999999</v>
      </c>
      <c r="GS152">
        <v>99.703199999999995</v>
      </c>
    </row>
    <row r="153" spans="1:201" x14ac:dyDescent="0.25">
      <c r="A153">
        <v>137</v>
      </c>
      <c r="B153">
        <v>1690233934.5999999</v>
      </c>
      <c r="C153">
        <v>1428.5</v>
      </c>
      <c r="D153" t="s">
        <v>605</v>
      </c>
      <c r="E153" t="s">
        <v>606</v>
      </c>
      <c r="F153" t="s">
        <v>330</v>
      </c>
      <c r="H153">
        <v>1690233934.5999999</v>
      </c>
      <c r="I153">
        <f t="shared" si="60"/>
        <v>1.3975011912496184E-3</v>
      </c>
      <c r="J153">
        <f t="shared" si="61"/>
        <v>1.3975011912496182</v>
      </c>
      <c r="K153">
        <f t="shared" si="62"/>
        <v>22.456162777163581</v>
      </c>
      <c r="L153">
        <f t="shared" si="63"/>
        <v>549.322</v>
      </c>
      <c r="M153">
        <f t="shared" si="64"/>
        <v>128.06863726065194</v>
      </c>
      <c r="N153">
        <f t="shared" si="65"/>
        <v>12.691384159006082</v>
      </c>
      <c r="O153">
        <f t="shared" si="66"/>
        <v>54.436876023006803</v>
      </c>
      <c r="P153">
        <f t="shared" si="67"/>
        <v>8.8817391897604722E-2</v>
      </c>
      <c r="Q153">
        <f t="shared" si="68"/>
        <v>2.1274671499815745</v>
      </c>
      <c r="R153">
        <f t="shared" si="69"/>
        <v>8.6807702008480245E-2</v>
      </c>
      <c r="S153">
        <f t="shared" si="70"/>
        <v>5.4431588959463879E-2</v>
      </c>
      <c r="T153">
        <f t="shared" si="71"/>
        <v>276.11506828800003</v>
      </c>
      <c r="U153">
        <f t="shared" si="72"/>
        <v>28.822011363270256</v>
      </c>
      <c r="V153">
        <f t="shared" si="73"/>
        <v>28.822011363270256</v>
      </c>
      <c r="W153">
        <f t="shared" si="74"/>
        <v>3.9805364579882112</v>
      </c>
      <c r="X153">
        <f t="shared" si="75"/>
        <v>67.588379279781549</v>
      </c>
      <c r="Y153">
        <f t="shared" si="76"/>
        <v>2.4368271822460001</v>
      </c>
      <c r="Z153">
        <f t="shared" si="77"/>
        <v>3.6053937203594919</v>
      </c>
      <c r="AA153">
        <f t="shared" si="78"/>
        <v>1.5437092757422111</v>
      </c>
      <c r="AB153">
        <f t="shared" si="79"/>
        <v>-61.629802534108173</v>
      </c>
      <c r="AC153">
        <f t="shared" si="80"/>
        <v>-194.70924818284311</v>
      </c>
      <c r="AD153">
        <f t="shared" si="81"/>
        <v>-19.944441571208213</v>
      </c>
      <c r="AE153">
        <f t="shared" si="82"/>
        <v>-0.16842400015943326</v>
      </c>
      <c r="AF153">
        <v>0</v>
      </c>
      <c r="AG153">
        <v>0</v>
      </c>
      <c r="AH153">
        <f t="shared" si="83"/>
        <v>1</v>
      </c>
      <c r="AI153">
        <f t="shared" si="84"/>
        <v>0</v>
      </c>
      <c r="AJ153">
        <f t="shared" si="85"/>
        <v>52219.122328046542</v>
      </c>
      <c r="AK153">
        <f t="shared" si="86"/>
        <v>1800</v>
      </c>
      <c r="AL153">
        <f t="shared" si="87"/>
        <v>1499.1132167999999</v>
      </c>
      <c r="AM153">
        <f t="shared" si="88"/>
        <v>0.832840676</v>
      </c>
      <c r="AN153">
        <f t="shared" si="89"/>
        <v>0.15339726016000002</v>
      </c>
      <c r="AO153">
        <v>32.4</v>
      </c>
      <c r="AP153">
        <v>0.5</v>
      </c>
      <c r="AQ153" t="s">
        <v>331</v>
      </c>
      <c r="AR153">
        <v>2</v>
      </c>
      <c r="AS153">
        <v>1690233934.5999999</v>
      </c>
      <c r="AT153">
        <v>549.322</v>
      </c>
      <c r="AU153">
        <v>800.09100000000001</v>
      </c>
      <c r="AV153">
        <v>24.59</v>
      </c>
      <c r="AW153">
        <v>9.8709699999999998</v>
      </c>
      <c r="AX153">
        <v>549.48400000000004</v>
      </c>
      <c r="AY153">
        <v>24.417999999999999</v>
      </c>
      <c r="AZ153">
        <v>300.05799999999999</v>
      </c>
      <c r="BA153">
        <v>98.9983</v>
      </c>
      <c r="BB153">
        <v>9.9999400000000002E-2</v>
      </c>
      <c r="BC153">
        <v>27.124400000000001</v>
      </c>
      <c r="BD153">
        <v>26.997800000000002</v>
      </c>
      <c r="BE153">
        <v>29.011399999999998</v>
      </c>
      <c r="BF153">
        <v>0</v>
      </c>
      <c r="BG153">
        <v>0</v>
      </c>
      <c r="BH153">
        <v>9978.75</v>
      </c>
      <c r="BI153">
        <v>1081.22</v>
      </c>
      <c r="BJ153">
        <v>1.5137799999999999</v>
      </c>
      <c r="BK153">
        <v>-250.76900000000001</v>
      </c>
      <c r="BL153">
        <v>563.16999999999996</v>
      </c>
      <c r="BM153">
        <v>808.06799999999998</v>
      </c>
      <c r="BN153">
        <v>14.718999999999999</v>
      </c>
      <c r="BO153">
        <v>800.09100000000001</v>
      </c>
      <c r="BP153">
        <v>9.8709699999999998</v>
      </c>
      <c r="BQ153">
        <v>2.4343599999999999</v>
      </c>
      <c r="BR153">
        <v>0.97720799999999997</v>
      </c>
      <c r="BS153">
        <v>20.594200000000001</v>
      </c>
      <c r="BT153">
        <v>6.5809199999999999</v>
      </c>
      <c r="BU153">
        <v>1800</v>
      </c>
      <c r="BV153">
        <v>0.91000800000000004</v>
      </c>
      <c r="BW153">
        <v>3.3998E-2</v>
      </c>
      <c r="BX153">
        <v>2.1998799999999999E-2</v>
      </c>
      <c r="BY153">
        <v>3.3995200000000003E-2</v>
      </c>
      <c r="BZ153">
        <v>25</v>
      </c>
      <c r="CA153">
        <v>33528.400000000001</v>
      </c>
      <c r="CB153">
        <v>1690232006</v>
      </c>
      <c r="CC153" t="s">
        <v>332</v>
      </c>
      <c r="CD153">
        <v>1690232006</v>
      </c>
      <c r="CE153">
        <v>1690231998.5</v>
      </c>
      <c r="CF153">
        <v>14</v>
      </c>
      <c r="CG153">
        <v>-0.13200000000000001</v>
      </c>
      <c r="CH153">
        <v>-7.0000000000000001E-3</v>
      </c>
      <c r="CI153">
        <v>-0.33800000000000002</v>
      </c>
      <c r="CJ153">
        <v>0.14299999999999999</v>
      </c>
      <c r="CK153">
        <v>799</v>
      </c>
      <c r="CL153">
        <v>19</v>
      </c>
      <c r="CM153">
        <v>7.0000000000000007E-2</v>
      </c>
      <c r="CN153">
        <v>0.14000000000000001</v>
      </c>
      <c r="CO153">
        <v>-248.69645</v>
      </c>
      <c r="CP153">
        <v>-11.70713696060006</v>
      </c>
      <c r="CQ153">
        <v>1.1286540645831229</v>
      </c>
      <c r="CR153">
        <v>-1</v>
      </c>
      <c r="CS153">
        <v>14.570175000000001</v>
      </c>
      <c r="CT153">
        <v>0.91200900562847464</v>
      </c>
      <c r="CU153">
        <v>8.8634490324026871E-2</v>
      </c>
      <c r="CV153">
        <v>-1</v>
      </c>
      <c r="CW153">
        <v>0</v>
      </c>
      <c r="CX153">
        <v>0</v>
      </c>
      <c r="CY153" t="s">
        <v>333</v>
      </c>
      <c r="CZ153">
        <v>2.3645299999999998</v>
      </c>
      <c r="DA153">
        <v>2.7137699999999998</v>
      </c>
      <c r="DB153">
        <v>0.11318499999999999</v>
      </c>
      <c r="DC153">
        <v>0.14616499999999999</v>
      </c>
      <c r="DD153">
        <v>0.115915</v>
      </c>
      <c r="DE153">
        <v>5.85643E-2</v>
      </c>
      <c r="DF153">
        <v>32409.4</v>
      </c>
      <c r="DG153">
        <v>27553.7</v>
      </c>
      <c r="DH153">
        <v>31198.1</v>
      </c>
      <c r="DI153">
        <v>28118.2</v>
      </c>
      <c r="DJ153">
        <v>37445.699999999997</v>
      </c>
      <c r="DK153">
        <v>37647.599999999999</v>
      </c>
      <c r="DL153">
        <v>44403.3</v>
      </c>
      <c r="DM153">
        <v>42622.400000000001</v>
      </c>
      <c r="DN153">
        <v>1.4841200000000001</v>
      </c>
      <c r="DO153">
        <v>2.0490699999999999</v>
      </c>
      <c r="DP153">
        <v>7.4841099999999994E-2</v>
      </c>
      <c r="DQ153">
        <v>0.20943600000000001</v>
      </c>
      <c r="DR153">
        <v>25.772600000000001</v>
      </c>
      <c r="DS153">
        <v>25.588000000000001</v>
      </c>
      <c r="DT153">
        <v>52.6</v>
      </c>
      <c r="DU153">
        <v>28.7</v>
      </c>
      <c r="DV153">
        <v>21.000699999999998</v>
      </c>
      <c r="DW153">
        <v>62.008000000000003</v>
      </c>
      <c r="DX153">
        <v>36.774799999999999</v>
      </c>
      <c r="DY153">
        <v>1</v>
      </c>
      <c r="DZ153">
        <v>-0.118641</v>
      </c>
      <c r="EA153">
        <v>-0.415632</v>
      </c>
      <c r="EB153">
        <v>20.1892</v>
      </c>
      <c r="EC153">
        <v>5.2411000000000003</v>
      </c>
      <c r="ED153">
        <v>12.039899999999999</v>
      </c>
      <c r="EE153">
        <v>5.0170500000000002</v>
      </c>
      <c r="EF153">
        <v>3.2879999999999998</v>
      </c>
      <c r="EG153">
        <v>9999</v>
      </c>
      <c r="EH153">
        <v>9999</v>
      </c>
      <c r="EI153">
        <v>9999</v>
      </c>
      <c r="EJ153">
        <v>999.9</v>
      </c>
      <c r="EK153">
        <v>1.8689</v>
      </c>
      <c r="EL153">
        <v>1.8646199999999999</v>
      </c>
      <c r="EM153">
        <v>1.8691599999999999</v>
      </c>
      <c r="EN153">
        <v>1.86721</v>
      </c>
      <c r="EO153">
        <v>1.8633599999999999</v>
      </c>
      <c r="EP153">
        <v>1.8644700000000001</v>
      </c>
      <c r="EQ153">
        <v>1.8701399999999999</v>
      </c>
      <c r="ER153">
        <v>1.8693500000000001</v>
      </c>
      <c r="ES153">
        <v>0</v>
      </c>
      <c r="ET153">
        <v>0</v>
      </c>
      <c r="EU153">
        <v>0</v>
      </c>
      <c r="EV153">
        <v>0</v>
      </c>
      <c r="EW153" t="s">
        <v>334</v>
      </c>
      <c r="EX153" t="s">
        <v>335</v>
      </c>
      <c r="EY153" t="s">
        <v>336</v>
      </c>
      <c r="EZ153" t="s">
        <v>336</v>
      </c>
      <c r="FA153" t="s">
        <v>336</v>
      </c>
      <c r="FB153" t="s">
        <v>336</v>
      </c>
      <c r="FC153">
        <v>0</v>
      </c>
      <c r="FD153">
        <v>100</v>
      </c>
      <c r="FE153">
        <v>100</v>
      </c>
      <c r="FF153">
        <v>-0.16200000000000001</v>
      </c>
      <c r="FG153">
        <v>0.17199999999999999</v>
      </c>
      <c r="FH153">
        <v>0.2126736300064915</v>
      </c>
      <c r="FI153">
        <v>-6.1462078757559423E-4</v>
      </c>
      <c r="FJ153">
        <v>-1.8861989874597051E-7</v>
      </c>
      <c r="FK153">
        <v>1.1980462299894961E-10</v>
      </c>
      <c r="FL153">
        <v>0.1719881465068297</v>
      </c>
      <c r="FM153">
        <v>0</v>
      </c>
      <c r="FN153">
        <v>0</v>
      </c>
      <c r="FO153">
        <v>0</v>
      </c>
      <c r="FP153">
        <v>3</v>
      </c>
      <c r="FQ153">
        <v>2158</v>
      </c>
      <c r="FR153">
        <v>1</v>
      </c>
      <c r="FS153">
        <v>19</v>
      </c>
      <c r="FT153">
        <v>32.1</v>
      </c>
      <c r="FU153">
        <v>32.299999999999997</v>
      </c>
      <c r="FV153">
        <v>1.7761199999999999</v>
      </c>
      <c r="FW153">
        <v>2.5842299999999998</v>
      </c>
      <c r="FX153">
        <v>1.5490699999999999</v>
      </c>
      <c r="FY153">
        <v>2.3278799999999999</v>
      </c>
      <c r="FZ153">
        <v>1.50146</v>
      </c>
      <c r="GA153">
        <v>2.3901400000000002</v>
      </c>
      <c r="GB153">
        <v>33.535499999999999</v>
      </c>
      <c r="GC153">
        <v>23.991199999999999</v>
      </c>
      <c r="GD153">
        <v>19</v>
      </c>
      <c r="GE153">
        <v>284.90499999999997</v>
      </c>
      <c r="GF153">
        <v>590.10500000000002</v>
      </c>
      <c r="GG153">
        <v>25.584900000000001</v>
      </c>
      <c r="GH153">
        <v>25.927600000000002</v>
      </c>
      <c r="GI153">
        <v>30.0001</v>
      </c>
      <c r="GJ153">
        <v>26.0459</v>
      </c>
      <c r="GK153">
        <v>26.024100000000001</v>
      </c>
      <c r="GL153">
        <v>35.508400000000002</v>
      </c>
      <c r="GM153">
        <v>55.311</v>
      </c>
      <c r="GN153">
        <v>77.039599999999993</v>
      </c>
      <c r="GO153">
        <v>25.587</v>
      </c>
      <c r="GP153">
        <v>800</v>
      </c>
      <c r="GQ153">
        <v>9.7591400000000004</v>
      </c>
      <c r="GR153">
        <v>99.827799999999996</v>
      </c>
      <c r="GS153">
        <v>99.703999999999994</v>
      </c>
    </row>
    <row r="154" spans="1:201" x14ac:dyDescent="0.25">
      <c r="A154">
        <v>138</v>
      </c>
      <c r="B154">
        <v>1690233944.5999999</v>
      </c>
      <c r="C154">
        <v>1438.5</v>
      </c>
      <c r="D154" t="s">
        <v>607</v>
      </c>
      <c r="E154" t="s">
        <v>608</v>
      </c>
      <c r="F154" t="s">
        <v>330</v>
      </c>
      <c r="H154">
        <v>1690233944.5999999</v>
      </c>
      <c r="I154">
        <f t="shared" si="60"/>
        <v>1.4123916893467115E-3</v>
      </c>
      <c r="J154">
        <f t="shared" si="61"/>
        <v>1.4123916893467114</v>
      </c>
      <c r="K154">
        <f t="shared" si="62"/>
        <v>22.631592715062382</v>
      </c>
      <c r="L154">
        <f t="shared" si="63"/>
        <v>547.48299999999995</v>
      </c>
      <c r="M154">
        <f t="shared" si="64"/>
        <v>128.16424052097526</v>
      </c>
      <c r="N154">
        <f t="shared" si="65"/>
        <v>12.700240220287728</v>
      </c>
      <c r="O154">
        <f t="shared" si="66"/>
        <v>54.251994068390985</v>
      </c>
      <c r="P154">
        <f t="shared" si="67"/>
        <v>8.9946974993868153E-2</v>
      </c>
      <c r="Q154">
        <f t="shared" si="68"/>
        <v>2.1273358969942553</v>
      </c>
      <c r="R154">
        <f t="shared" si="69"/>
        <v>8.7886356256186404E-2</v>
      </c>
      <c r="S154">
        <f t="shared" si="70"/>
        <v>5.5110179228552422E-2</v>
      </c>
      <c r="T154">
        <f t="shared" si="71"/>
        <v>276.11500771800002</v>
      </c>
      <c r="U154">
        <f t="shared" si="72"/>
        <v>28.80892072449047</v>
      </c>
      <c r="V154">
        <f t="shared" si="73"/>
        <v>28.80892072449047</v>
      </c>
      <c r="W154">
        <f t="shared" si="74"/>
        <v>3.9775182351524063</v>
      </c>
      <c r="X154">
        <f t="shared" si="75"/>
        <v>67.612700035386624</v>
      </c>
      <c r="Y154">
        <f t="shared" si="76"/>
        <v>2.4365599592144997</v>
      </c>
      <c r="Z154">
        <f t="shared" si="77"/>
        <v>3.6037016092232248</v>
      </c>
      <c r="AA154">
        <f t="shared" si="78"/>
        <v>1.5409582759379066</v>
      </c>
      <c r="AB154">
        <f t="shared" si="79"/>
        <v>-62.286473500189977</v>
      </c>
      <c r="AC154">
        <f t="shared" si="80"/>
        <v>-194.11339576698825</v>
      </c>
      <c r="AD154">
        <f t="shared" si="81"/>
        <v>-19.882543057642415</v>
      </c>
      <c r="AE154">
        <f t="shared" si="82"/>
        <v>-0.16740460682061098</v>
      </c>
      <c r="AF154">
        <v>0</v>
      </c>
      <c r="AG154">
        <v>0</v>
      </c>
      <c r="AH154">
        <f t="shared" si="83"/>
        <v>1</v>
      </c>
      <c r="AI154">
        <f t="shared" si="84"/>
        <v>0</v>
      </c>
      <c r="AJ154">
        <f t="shared" si="85"/>
        <v>52214.765895112701</v>
      </c>
      <c r="AK154">
        <f t="shared" si="86"/>
        <v>1800</v>
      </c>
      <c r="AL154">
        <f t="shared" si="87"/>
        <v>1499.1136307999998</v>
      </c>
      <c r="AM154">
        <f t="shared" si="88"/>
        <v>0.83284090599999994</v>
      </c>
      <c r="AN154">
        <f t="shared" si="89"/>
        <v>0.15339722651000001</v>
      </c>
      <c r="AO154">
        <v>32.4</v>
      </c>
      <c r="AP154">
        <v>0.5</v>
      </c>
      <c r="AQ154" t="s">
        <v>331</v>
      </c>
      <c r="AR154">
        <v>2</v>
      </c>
      <c r="AS154">
        <v>1690233944.5999999</v>
      </c>
      <c r="AT154">
        <v>547.48299999999995</v>
      </c>
      <c r="AU154">
        <v>800.10299999999995</v>
      </c>
      <c r="AV154">
        <v>24.5885</v>
      </c>
      <c r="AW154">
        <v>9.7187099999999997</v>
      </c>
      <c r="AX154">
        <v>547.64400000000001</v>
      </c>
      <c r="AY154">
        <v>24.416499999999999</v>
      </c>
      <c r="AZ154">
        <v>300.18099999999998</v>
      </c>
      <c r="BA154">
        <v>98.993399999999994</v>
      </c>
      <c r="BB154">
        <v>0.100077</v>
      </c>
      <c r="BC154">
        <v>27.116399999999999</v>
      </c>
      <c r="BD154">
        <v>27.001999999999999</v>
      </c>
      <c r="BE154">
        <v>29.001799999999999</v>
      </c>
      <c r="BF154">
        <v>0</v>
      </c>
      <c r="BG154">
        <v>0</v>
      </c>
      <c r="BH154">
        <v>9978.1200000000008</v>
      </c>
      <c r="BI154">
        <v>1081.25</v>
      </c>
      <c r="BJ154">
        <v>1.47454</v>
      </c>
      <c r="BK154">
        <v>-252.62</v>
      </c>
      <c r="BL154">
        <v>561.28399999999999</v>
      </c>
      <c r="BM154">
        <v>807.95600000000002</v>
      </c>
      <c r="BN154">
        <v>14.8698</v>
      </c>
      <c r="BO154">
        <v>800.10299999999995</v>
      </c>
      <c r="BP154">
        <v>9.7187099999999997</v>
      </c>
      <c r="BQ154">
        <v>2.4340999999999999</v>
      </c>
      <c r="BR154">
        <v>0.96208800000000005</v>
      </c>
      <c r="BS154">
        <v>20.592400000000001</v>
      </c>
      <c r="BT154">
        <v>6.3545400000000001</v>
      </c>
      <c r="BU154">
        <v>1800</v>
      </c>
      <c r="BV154">
        <v>0.91000999999999999</v>
      </c>
      <c r="BW154">
        <v>3.3997300000000001E-2</v>
      </c>
      <c r="BX154">
        <v>2.1998299999999998E-2</v>
      </c>
      <c r="BY154">
        <v>3.3994499999999997E-2</v>
      </c>
      <c r="BZ154">
        <v>25</v>
      </c>
      <c r="CA154">
        <v>33528.5</v>
      </c>
      <c r="CB154">
        <v>1690232006</v>
      </c>
      <c r="CC154" t="s">
        <v>332</v>
      </c>
      <c r="CD154">
        <v>1690232006</v>
      </c>
      <c r="CE154">
        <v>1690231998.5</v>
      </c>
      <c r="CF154">
        <v>14</v>
      </c>
      <c r="CG154">
        <v>-0.13200000000000001</v>
      </c>
      <c r="CH154">
        <v>-7.0000000000000001E-3</v>
      </c>
      <c r="CI154">
        <v>-0.33800000000000002</v>
      </c>
      <c r="CJ154">
        <v>0.14299999999999999</v>
      </c>
      <c r="CK154">
        <v>799</v>
      </c>
      <c r="CL154">
        <v>19</v>
      </c>
      <c r="CM154">
        <v>7.0000000000000007E-2</v>
      </c>
      <c r="CN154">
        <v>0.14000000000000001</v>
      </c>
      <c r="CO154">
        <v>-250.64972499999999</v>
      </c>
      <c r="CP154">
        <v>-11.97610131332072</v>
      </c>
      <c r="CQ154">
        <v>1.1527082455569591</v>
      </c>
      <c r="CR154">
        <v>-1</v>
      </c>
      <c r="CS154">
        <v>14.721187499999999</v>
      </c>
      <c r="CT154">
        <v>0.89120938086301038</v>
      </c>
      <c r="CU154">
        <v>8.6520203384816488E-2</v>
      </c>
      <c r="CV154">
        <v>-1</v>
      </c>
      <c r="CW154">
        <v>0</v>
      </c>
      <c r="CX154">
        <v>0</v>
      </c>
      <c r="CY154" t="s">
        <v>333</v>
      </c>
      <c r="CZ154">
        <v>2.3649300000000002</v>
      </c>
      <c r="DA154">
        <v>2.7138499999999999</v>
      </c>
      <c r="DB154">
        <v>0.11290600000000001</v>
      </c>
      <c r="DC154">
        <v>0.14615300000000001</v>
      </c>
      <c r="DD154">
        <v>0.11590300000000001</v>
      </c>
      <c r="DE154">
        <v>5.7862700000000003E-2</v>
      </c>
      <c r="DF154">
        <v>32419.4</v>
      </c>
      <c r="DG154">
        <v>27554.2</v>
      </c>
      <c r="DH154">
        <v>31197.9</v>
      </c>
      <c r="DI154">
        <v>28118.3</v>
      </c>
      <c r="DJ154">
        <v>37445.9</v>
      </c>
      <c r="DK154">
        <v>37675.800000000003</v>
      </c>
      <c r="DL154">
        <v>44403</v>
      </c>
      <c r="DM154">
        <v>42622.5</v>
      </c>
      <c r="DN154">
        <v>1.4841</v>
      </c>
      <c r="DO154">
        <v>2.0486800000000001</v>
      </c>
      <c r="DP154">
        <v>7.5064599999999995E-2</v>
      </c>
      <c r="DQ154">
        <v>0.208616</v>
      </c>
      <c r="DR154">
        <v>25.773199999999999</v>
      </c>
      <c r="DS154">
        <v>25.591699999999999</v>
      </c>
      <c r="DT154">
        <v>52.4</v>
      </c>
      <c r="DU154">
        <v>28.7</v>
      </c>
      <c r="DV154">
        <v>20.924199999999999</v>
      </c>
      <c r="DW154">
        <v>61.578000000000003</v>
      </c>
      <c r="DX154">
        <v>36.598599999999998</v>
      </c>
      <c r="DY154">
        <v>1</v>
      </c>
      <c r="DZ154">
        <v>-0.118704</v>
      </c>
      <c r="EA154">
        <v>-0.40513900000000003</v>
      </c>
      <c r="EB154">
        <v>20.189499999999999</v>
      </c>
      <c r="EC154">
        <v>5.2411000000000003</v>
      </c>
      <c r="ED154">
        <v>12.039899999999999</v>
      </c>
      <c r="EE154">
        <v>5.0172499999999998</v>
      </c>
      <c r="EF154">
        <v>3.2879999999999998</v>
      </c>
      <c r="EG154">
        <v>9999</v>
      </c>
      <c r="EH154">
        <v>9999</v>
      </c>
      <c r="EI154">
        <v>9999</v>
      </c>
      <c r="EJ154">
        <v>999.9</v>
      </c>
      <c r="EK154">
        <v>1.8689</v>
      </c>
      <c r="EL154">
        <v>1.8646199999999999</v>
      </c>
      <c r="EM154">
        <v>1.8691899999999999</v>
      </c>
      <c r="EN154">
        <v>1.8672299999999999</v>
      </c>
      <c r="EO154">
        <v>1.86337</v>
      </c>
      <c r="EP154">
        <v>1.8644799999999999</v>
      </c>
      <c r="EQ154">
        <v>1.8701399999999999</v>
      </c>
      <c r="ER154">
        <v>1.8693599999999999</v>
      </c>
      <c r="ES154">
        <v>0</v>
      </c>
      <c r="ET154">
        <v>0</v>
      </c>
      <c r="EU154">
        <v>0</v>
      </c>
      <c r="EV154">
        <v>0</v>
      </c>
      <c r="EW154" t="s">
        <v>334</v>
      </c>
      <c r="EX154" t="s">
        <v>335</v>
      </c>
      <c r="EY154" t="s">
        <v>336</v>
      </c>
      <c r="EZ154" t="s">
        <v>336</v>
      </c>
      <c r="FA154" t="s">
        <v>336</v>
      </c>
      <c r="FB154" t="s">
        <v>336</v>
      </c>
      <c r="FC154">
        <v>0</v>
      </c>
      <c r="FD154">
        <v>100</v>
      </c>
      <c r="FE154">
        <v>100</v>
      </c>
      <c r="FF154">
        <v>-0.161</v>
      </c>
      <c r="FG154">
        <v>0.17199999999999999</v>
      </c>
      <c r="FH154">
        <v>0.2126736300064915</v>
      </c>
      <c r="FI154">
        <v>-6.1462078757559423E-4</v>
      </c>
      <c r="FJ154">
        <v>-1.8861989874597051E-7</v>
      </c>
      <c r="FK154">
        <v>1.1980462299894961E-10</v>
      </c>
      <c r="FL154">
        <v>0.1719881465068297</v>
      </c>
      <c r="FM154">
        <v>0</v>
      </c>
      <c r="FN154">
        <v>0</v>
      </c>
      <c r="FO154">
        <v>0</v>
      </c>
      <c r="FP154">
        <v>3</v>
      </c>
      <c r="FQ154">
        <v>2158</v>
      </c>
      <c r="FR154">
        <v>1</v>
      </c>
      <c r="FS154">
        <v>19</v>
      </c>
      <c r="FT154">
        <v>32.299999999999997</v>
      </c>
      <c r="FU154">
        <v>32.4</v>
      </c>
      <c r="FV154">
        <v>1.7761199999999999</v>
      </c>
      <c r="FW154">
        <v>2.5903299999999998</v>
      </c>
      <c r="FX154">
        <v>1.5490699999999999</v>
      </c>
      <c r="FY154">
        <v>2.3278799999999999</v>
      </c>
      <c r="FZ154">
        <v>1.50146</v>
      </c>
      <c r="GA154">
        <v>2.2863799999999999</v>
      </c>
      <c r="GB154">
        <v>33.535499999999999</v>
      </c>
      <c r="GC154">
        <v>23.982399999999998</v>
      </c>
      <c r="GD154">
        <v>19</v>
      </c>
      <c r="GE154">
        <v>284.88900000000001</v>
      </c>
      <c r="GF154">
        <v>589.76199999999994</v>
      </c>
      <c r="GG154">
        <v>25.5913</v>
      </c>
      <c r="GH154">
        <v>25.927</v>
      </c>
      <c r="GI154">
        <v>30.0001</v>
      </c>
      <c r="GJ154">
        <v>26.044799999999999</v>
      </c>
      <c r="GK154">
        <v>26.023199999999999</v>
      </c>
      <c r="GL154">
        <v>35.5045</v>
      </c>
      <c r="GM154">
        <v>55.891199999999998</v>
      </c>
      <c r="GN154">
        <v>76.248099999999994</v>
      </c>
      <c r="GO154">
        <v>25.590900000000001</v>
      </c>
      <c r="GP154">
        <v>800</v>
      </c>
      <c r="GQ154">
        <v>9.6104599999999998</v>
      </c>
      <c r="GR154">
        <v>99.827100000000002</v>
      </c>
      <c r="GS154">
        <v>99.7042</v>
      </c>
    </row>
    <row r="155" spans="1:201" x14ac:dyDescent="0.25">
      <c r="A155">
        <v>139</v>
      </c>
      <c r="B155">
        <v>1690233955</v>
      </c>
      <c r="C155">
        <v>1448.900000095367</v>
      </c>
      <c r="D155" t="s">
        <v>609</v>
      </c>
      <c r="E155" t="s">
        <v>610</v>
      </c>
      <c r="F155" t="s">
        <v>330</v>
      </c>
      <c r="H155">
        <v>1690233955</v>
      </c>
      <c r="I155">
        <f t="shared" si="60"/>
        <v>1.4275624272871298E-3</v>
      </c>
      <c r="J155">
        <f t="shared" si="61"/>
        <v>1.4275624272871297</v>
      </c>
      <c r="K155">
        <f t="shared" si="62"/>
        <v>22.812004575068627</v>
      </c>
      <c r="L155">
        <f t="shared" si="63"/>
        <v>545.38599999999997</v>
      </c>
      <c r="M155">
        <f t="shared" si="64"/>
        <v>126.83916298562404</v>
      </c>
      <c r="N155">
        <f t="shared" si="65"/>
        <v>12.568940795692232</v>
      </c>
      <c r="O155">
        <f t="shared" si="66"/>
        <v>54.044225643276597</v>
      </c>
      <c r="P155">
        <f t="shared" si="67"/>
        <v>9.0842010122027181E-2</v>
      </c>
      <c r="Q155">
        <f t="shared" si="68"/>
        <v>2.1304037060859673</v>
      </c>
      <c r="R155">
        <f t="shared" si="69"/>
        <v>8.8743644857237805E-2</v>
      </c>
      <c r="S155">
        <f t="shared" si="70"/>
        <v>5.5649270781483032E-2</v>
      </c>
      <c r="T155">
        <f t="shared" si="71"/>
        <v>276.1134351539493</v>
      </c>
      <c r="U155">
        <f t="shared" si="72"/>
        <v>28.813887418838846</v>
      </c>
      <c r="V155">
        <f t="shared" si="73"/>
        <v>28.813887418838846</v>
      </c>
      <c r="W155">
        <f t="shared" si="74"/>
        <v>3.9786631382925246</v>
      </c>
      <c r="X155">
        <f t="shared" si="75"/>
        <v>67.553271694167719</v>
      </c>
      <c r="Y155">
        <f t="shared" si="76"/>
        <v>2.4362046019101902</v>
      </c>
      <c r="Z155">
        <f t="shared" si="77"/>
        <v>3.606345837607333</v>
      </c>
      <c r="AA155">
        <f t="shared" si="78"/>
        <v>1.5424585363823344</v>
      </c>
      <c r="AB155">
        <f t="shared" si="79"/>
        <v>-62.955503043362427</v>
      </c>
      <c r="AC155">
        <f t="shared" si="80"/>
        <v>-193.52809195445647</v>
      </c>
      <c r="AD155">
        <f t="shared" si="81"/>
        <v>-19.795768885622483</v>
      </c>
      <c r="AE155">
        <f t="shared" si="82"/>
        <v>-0.16592872949206594</v>
      </c>
      <c r="AF155">
        <v>0</v>
      </c>
      <c r="AG155">
        <v>0</v>
      </c>
      <c r="AH155">
        <f t="shared" si="83"/>
        <v>1</v>
      </c>
      <c r="AI155">
        <f t="shared" si="84"/>
        <v>0</v>
      </c>
      <c r="AJ155">
        <f t="shared" si="85"/>
        <v>52344.613833542717</v>
      </c>
      <c r="AK155">
        <f t="shared" si="86"/>
        <v>1799.99</v>
      </c>
      <c r="AL155">
        <f t="shared" si="87"/>
        <v>1499.1054571900802</v>
      </c>
      <c r="AM155">
        <f t="shared" si="88"/>
        <v>0.83284099200000006</v>
      </c>
      <c r="AN155">
        <f t="shared" si="89"/>
        <v>0.15339720506999999</v>
      </c>
      <c r="AO155">
        <v>32.4</v>
      </c>
      <c r="AP155">
        <v>0.5</v>
      </c>
      <c r="AQ155" t="s">
        <v>331</v>
      </c>
      <c r="AR155">
        <v>2</v>
      </c>
      <c r="AS155">
        <v>1690233955</v>
      </c>
      <c r="AT155">
        <v>545.38599999999997</v>
      </c>
      <c r="AU155">
        <v>800.07</v>
      </c>
      <c r="AV155">
        <v>24.584900000000001</v>
      </c>
      <c r="AW155">
        <v>9.5518300000000007</v>
      </c>
      <c r="AX155">
        <v>545.54499999999996</v>
      </c>
      <c r="AY155">
        <v>24.4129</v>
      </c>
      <c r="AZ155">
        <v>300.11099999999999</v>
      </c>
      <c r="BA155">
        <v>98.993600000000001</v>
      </c>
      <c r="BB155">
        <v>9.9933099999999997E-2</v>
      </c>
      <c r="BC155">
        <v>27.128900000000002</v>
      </c>
      <c r="BD155">
        <v>27.004799999999999</v>
      </c>
      <c r="BE155">
        <v>29.004100000000001</v>
      </c>
      <c r="BF155">
        <v>0</v>
      </c>
      <c r="BG155">
        <v>0</v>
      </c>
      <c r="BH155">
        <v>10004.4</v>
      </c>
      <c r="BI155">
        <v>1081.25</v>
      </c>
      <c r="BJ155">
        <v>1.2054199999999999</v>
      </c>
      <c r="BK155">
        <v>-254.684</v>
      </c>
      <c r="BL155">
        <v>559.13199999999995</v>
      </c>
      <c r="BM155">
        <v>807.78599999999994</v>
      </c>
      <c r="BN155">
        <v>15.032999999999999</v>
      </c>
      <c r="BO155">
        <v>800.07</v>
      </c>
      <c r="BP155">
        <v>9.5518300000000007</v>
      </c>
      <c r="BQ155">
        <v>2.4337399999999998</v>
      </c>
      <c r="BR155">
        <v>0.94557000000000002</v>
      </c>
      <c r="BS155">
        <v>20.5901</v>
      </c>
      <c r="BT155">
        <v>6.1036099999999998</v>
      </c>
      <c r="BU155">
        <v>1799.99</v>
      </c>
      <c r="BV155">
        <v>0.91001100000000001</v>
      </c>
      <c r="BW155">
        <v>3.3996899999999997E-2</v>
      </c>
      <c r="BX155">
        <v>2.19981E-2</v>
      </c>
      <c r="BY155">
        <v>3.3994099999999999E-2</v>
      </c>
      <c r="BZ155">
        <v>25</v>
      </c>
      <c r="CA155">
        <v>33528.300000000003</v>
      </c>
      <c r="CB155">
        <v>1690232006</v>
      </c>
      <c r="CC155" t="s">
        <v>332</v>
      </c>
      <c r="CD155">
        <v>1690232006</v>
      </c>
      <c r="CE155">
        <v>1690231998.5</v>
      </c>
      <c r="CF155">
        <v>14</v>
      </c>
      <c r="CG155">
        <v>-0.13200000000000001</v>
      </c>
      <c r="CH155">
        <v>-7.0000000000000001E-3</v>
      </c>
      <c r="CI155">
        <v>-0.33800000000000002</v>
      </c>
      <c r="CJ155">
        <v>0.14299999999999999</v>
      </c>
      <c r="CK155">
        <v>799</v>
      </c>
      <c r="CL155">
        <v>19</v>
      </c>
      <c r="CM155">
        <v>7.0000000000000007E-2</v>
      </c>
      <c r="CN155">
        <v>0.14000000000000001</v>
      </c>
      <c r="CO155">
        <v>-252.64180487804879</v>
      </c>
      <c r="CP155">
        <v>-11.4791640608629</v>
      </c>
      <c r="CQ155">
        <v>1.12555820773543</v>
      </c>
      <c r="CR155">
        <v>-1</v>
      </c>
      <c r="CS155">
        <v>14.86670243902439</v>
      </c>
      <c r="CT155">
        <v>0.85963121195069669</v>
      </c>
      <c r="CU155">
        <v>8.4912087932037278E-2</v>
      </c>
      <c r="CV155">
        <v>-1</v>
      </c>
      <c r="CW155">
        <v>0</v>
      </c>
      <c r="CX155">
        <v>0</v>
      </c>
      <c r="CY155" t="s">
        <v>333</v>
      </c>
      <c r="CZ155">
        <v>2.36469</v>
      </c>
      <c r="DA155">
        <v>2.71373</v>
      </c>
      <c r="DB155">
        <v>0.112598</v>
      </c>
      <c r="DC155">
        <v>0.14615</v>
      </c>
      <c r="DD155">
        <v>0.115894</v>
      </c>
      <c r="DE155">
        <v>5.7095300000000002E-2</v>
      </c>
      <c r="DF155">
        <v>32430.6</v>
      </c>
      <c r="DG155">
        <v>27554.1</v>
      </c>
      <c r="DH155">
        <v>31197.8</v>
      </c>
      <c r="DI155">
        <v>28118.1</v>
      </c>
      <c r="DJ155">
        <v>37446.199999999997</v>
      </c>
      <c r="DK155">
        <v>37706.400000000001</v>
      </c>
      <c r="DL155">
        <v>44402.9</v>
      </c>
      <c r="DM155">
        <v>42622.3</v>
      </c>
      <c r="DN155">
        <v>1.48438</v>
      </c>
      <c r="DO155">
        <v>2.0487000000000002</v>
      </c>
      <c r="DP155">
        <v>7.5027300000000005E-2</v>
      </c>
      <c r="DQ155">
        <v>0.20854900000000001</v>
      </c>
      <c r="DR155">
        <v>25.776599999999998</v>
      </c>
      <c r="DS155">
        <v>25.595099999999999</v>
      </c>
      <c r="DT155">
        <v>52.2</v>
      </c>
      <c r="DU155">
        <v>28.7</v>
      </c>
      <c r="DV155">
        <v>20.841699999999999</v>
      </c>
      <c r="DW155">
        <v>61.738</v>
      </c>
      <c r="DX155">
        <v>37.251600000000003</v>
      </c>
      <c r="DY155">
        <v>1</v>
      </c>
      <c r="DZ155">
        <v>-0.118786</v>
      </c>
      <c r="EA155">
        <v>-0.34169899999999997</v>
      </c>
      <c r="EB155">
        <v>20.189599999999999</v>
      </c>
      <c r="EC155">
        <v>5.2411000000000003</v>
      </c>
      <c r="ED155">
        <v>12.039899999999999</v>
      </c>
      <c r="EE155">
        <v>5.0169499999999996</v>
      </c>
      <c r="EF155">
        <v>3.2879999999999998</v>
      </c>
      <c r="EG155">
        <v>9999</v>
      </c>
      <c r="EH155">
        <v>9999</v>
      </c>
      <c r="EI155">
        <v>9999</v>
      </c>
      <c r="EJ155">
        <v>999.9</v>
      </c>
      <c r="EK155">
        <v>1.8689</v>
      </c>
      <c r="EL155">
        <v>1.8646199999999999</v>
      </c>
      <c r="EM155">
        <v>1.86917</v>
      </c>
      <c r="EN155">
        <v>1.8672200000000001</v>
      </c>
      <c r="EO155">
        <v>1.8633900000000001</v>
      </c>
      <c r="EP155">
        <v>1.8644700000000001</v>
      </c>
      <c r="EQ155">
        <v>1.87015</v>
      </c>
      <c r="ER155">
        <v>1.8693500000000001</v>
      </c>
      <c r="ES155">
        <v>0</v>
      </c>
      <c r="ET155">
        <v>0</v>
      </c>
      <c r="EU155">
        <v>0</v>
      </c>
      <c r="EV155">
        <v>0</v>
      </c>
      <c r="EW155" t="s">
        <v>334</v>
      </c>
      <c r="EX155" t="s">
        <v>335</v>
      </c>
      <c r="EY155" t="s">
        <v>336</v>
      </c>
      <c r="EZ155" t="s">
        <v>336</v>
      </c>
      <c r="FA155" t="s">
        <v>336</v>
      </c>
      <c r="FB155" t="s">
        <v>336</v>
      </c>
      <c r="FC155">
        <v>0</v>
      </c>
      <c r="FD155">
        <v>100</v>
      </c>
      <c r="FE155">
        <v>100</v>
      </c>
      <c r="FF155">
        <v>-0.159</v>
      </c>
      <c r="FG155">
        <v>0.17199999999999999</v>
      </c>
      <c r="FH155">
        <v>0.2126736300064915</v>
      </c>
      <c r="FI155">
        <v>-6.1462078757559423E-4</v>
      </c>
      <c r="FJ155">
        <v>-1.8861989874597051E-7</v>
      </c>
      <c r="FK155">
        <v>1.1980462299894961E-10</v>
      </c>
      <c r="FL155">
        <v>0.1719881465068297</v>
      </c>
      <c r="FM155">
        <v>0</v>
      </c>
      <c r="FN155">
        <v>0</v>
      </c>
      <c r="FO155">
        <v>0</v>
      </c>
      <c r="FP155">
        <v>3</v>
      </c>
      <c r="FQ155">
        <v>2158</v>
      </c>
      <c r="FR155">
        <v>1</v>
      </c>
      <c r="FS155">
        <v>19</v>
      </c>
      <c r="FT155">
        <v>32.5</v>
      </c>
      <c r="FU155">
        <v>32.6</v>
      </c>
      <c r="FV155">
        <v>1.7761199999999999</v>
      </c>
      <c r="FW155">
        <v>2.5891099999999998</v>
      </c>
      <c r="FX155">
        <v>1.5490699999999999</v>
      </c>
      <c r="FY155">
        <v>2.3278799999999999</v>
      </c>
      <c r="FZ155">
        <v>1.50146</v>
      </c>
      <c r="GA155">
        <v>2.34131</v>
      </c>
      <c r="GB155">
        <v>33.535499999999999</v>
      </c>
      <c r="GC155">
        <v>23.982399999999998</v>
      </c>
      <c r="GD155">
        <v>19</v>
      </c>
      <c r="GE155">
        <v>285.00799999999998</v>
      </c>
      <c r="GF155">
        <v>589.76800000000003</v>
      </c>
      <c r="GG155">
        <v>25.5642</v>
      </c>
      <c r="GH155">
        <v>25.9254</v>
      </c>
      <c r="GI155">
        <v>30</v>
      </c>
      <c r="GJ155">
        <v>26.044799999999999</v>
      </c>
      <c r="GK155">
        <v>26.021999999999998</v>
      </c>
      <c r="GL155">
        <v>35.499200000000002</v>
      </c>
      <c r="GM155">
        <v>56.196599999999997</v>
      </c>
      <c r="GN155">
        <v>75.483099999999993</v>
      </c>
      <c r="GO155">
        <v>25.564599999999999</v>
      </c>
      <c r="GP155">
        <v>800</v>
      </c>
      <c r="GQ155">
        <v>9.4529200000000007</v>
      </c>
      <c r="GR155">
        <v>99.826899999999995</v>
      </c>
      <c r="GS155">
        <v>99.703699999999998</v>
      </c>
    </row>
    <row r="156" spans="1:201" x14ac:dyDescent="0.25">
      <c r="A156">
        <v>140</v>
      </c>
      <c r="B156">
        <v>1690233965</v>
      </c>
      <c r="C156">
        <v>1458.900000095367</v>
      </c>
      <c r="D156" t="s">
        <v>611</v>
      </c>
      <c r="E156" t="s">
        <v>612</v>
      </c>
      <c r="F156" t="s">
        <v>330</v>
      </c>
      <c r="H156">
        <v>1690233965</v>
      </c>
      <c r="I156">
        <f t="shared" si="60"/>
        <v>1.4387302318920442E-3</v>
      </c>
      <c r="J156">
        <f t="shared" si="61"/>
        <v>1.4387302318920443</v>
      </c>
      <c r="K156">
        <f t="shared" si="62"/>
        <v>22.971301970969495</v>
      </c>
      <c r="L156">
        <f t="shared" si="63"/>
        <v>543.60599999999999</v>
      </c>
      <c r="M156">
        <f t="shared" si="64"/>
        <v>125.98161175263705</v>
      </c>
      <c r="N156">
        <f t="shared" si="65"/>
        <v>12.484080429063443</v>
      </c>
      <c r="O156">
        <f t="shared" si="66"/>
        <v>53.868345795150603</v>
      </c>
      <c r="P156">
        <f t="shared" si="67"/>
        <v>9.1688750006690703E-2</v>
      </c>
      <c r="Q156">
        <f t="shared" si="68"/>
        <v>2.1312877940277488</v>
      </c>
      <c r="R156">
        <f t="shared" si="69"/>
        <v>8.9552444642170784E-2</v>
      </c>
      <c r="S156">
        <f t="shared" si="70"/>
        <v>5.6158070747157909E-2</v>
      </c>
      <c r="T156">
        <f t="shared" si="71"/>
        <v>276.11488981800005</v>
      </c>
      <c r="U156">
        <f t="shared" si="72"/>
        <v>28.802383436656918</v>
      </c>
      <c r="V156">
        <f t="shared" si="73"/>
        <v>28.802383436656918</v>
      </c>
      <c r="W156">
        <f t="shared" si="74"/>
        <v>3.9760117228488951</v>
      </c>
      <c r="X156">
        <f t="shared" si="75"/>
        <v>67.561043211316928</v>
      </c>
      <c r="Y156">
        <f t="shared" si="76"/>
        <v>2.4354843065487404</v>
      </c>
      <c r="Z156">
        <f t="shared" si="77"/>
        <v>3.6048648611464609</v>
      </c>
      <c r="AA156">
        <f t="shared" si="78"/>
        <v>1.5405274163001548</v>
      </c>
      <c r="AB156">
        <f t="shared" si="79"/>
        <v>-63.448003226439148</v>
      </c>
      <c r="AC156">
        <f t="shared" si="80"/>
        <v>-193.09088691946346</v>
      </c>
      <c r="AD156">
        <f t="shared" si="81"/>
        <v>-19.741033196231072</v>
      </c>
      <c r="AE156">
        <f t="shared" si="82"/>
        <v>-0.16503352413360517</v>
      </c>
      <c r="AF156">
        <v>0</v>
      </c>
      <c r="AG156">
        <v>0</v>
      </c>
      <c r="AH156">
        <f t="shared" si="83"/>
        <v>1</v>
      </c>
      <c r="AI156">
        <f t="shared" si="84"/>
        <v>0</v>
      </c>
      <c r="AJ156">
        <f t="shared" si="85"/>
        <v>52383.940858419039</v>
      </c>
      <c r="AK156">
        <f t="shared" si="86"/>
        <v>1800</v>
      </c>
      <c r="AL156">
        <f t="shared" si="87"/>
        <v>1499.1137838</v>
      </c>
      <c r="AM156">
        <f t="shared" si="88"/>
        <v>0.83284099099999997</v>
      </c>
      <c r="AN156">
        <f t="shared" si="89"/>
        <v>0.15339716101000003</v>
      </c>
      <c r="AO156">
        <v>32.4</v>
      </c>
      <c r="AP156">
        <v>0.5</v>
      </c>
      <c r="AQ156" t="s">
        <v>331</v>
      </c>
      <c r="AR156">
        <v>2</v>
      </c>
      <c r="AS156">
        <v>1690233965</v>
      </c>
      <c r="AT156">
        <v>543.60599999999999</v>
      </c>
      <c r="AU156">
        <v>800.01199999999994</v>
      </c>
      <c r="AV156">
        <v>24.577400000000001</v>
      </c>
      <c r="AW156">
        <v>9.4287299999999998</v>
      </c>
      <c r="AX156">
        <v>543.76400000000001</v>
      </c>
      <c r="AY156">
        <v>24.4054</v>
      </c>
      <c r="AZ156">
        <v>300.15300000000002</v>
      </c>
      <c r="BA156">
        <v>98.994500000000002</v>
      </c>
      <c r="BB156">
        <v>9.9965100000000001E-2</v>
      </c>
      <c r="BC156">
        <v>27.1219</v>
      </c>
      <c r="BD156">
        <v>26.9923</v>
      </c>
      <c r="BE156">
        <v>29.0014</v>
      </c>
      <c r="BF156">
        <v>0</v>
      </c>
      <c r="BG156">
        <v>0</v>
      </c>
      <c r="BH156">
        <v>10011.9</v>
      </c>
      <c r="BI156">
        <v>1081.3599999999999</v>
      </c>
      <c r="BJ156">
        <v>1.44651</v>
      </c>
      <c r="BK156">
        <v>-256.40699999999998</v>
      </c>
      <c r="BL156">
        <v>557.303</v>
      </c>
      <c r="BM156">
        <v>807.62699999999995</v>
      </c>
      <c r="BN156">
        <v>15.1487</v>
      </c>
      <c r="BO156">
        <v>800.01199999999994</v>
      </c>
      <c r="BP156">
        <v>9.4287299999999998</v>
      </c>
      <c r="BQ156">
        <v>2.43303</v>
      </c>
      <c r="BR156">
        <v>0.93339300000000003</v>
      </c>
      <c r="BS156">
        <v>20.5853</v>
      </c>
      <c r="BT156">
        <v>5.9161400000000004</v>
      </c>
      <c r="BU156">
        <v>1800</v>
      </c>
      <c r="BV156">
        <v>0.91001200000000004</v>
      </c>
      <c r="BW156">
        <v>3.3996499999999999E-2</v>
      </c>
      <c r="BX156">
        <v>2.1997800000000001E-2</v>
      </c>
      <c r="BY156">
        <v>3.3993700000000002E-2</v>
      </c>
      <c r="BZ156">
        <v>25</v>
      </c>
      <c r="CA156">
        <v>33528.400000000001</v>
      </c>
      <c r="CB156">
        <v>1690232006</v>
      </c>
      <c r="CC156" t="s">
        <v>332</v>
      </c>
      <c r="CD156">
        <v>1690232006</v>
      </c>
      <c r="CE156">
        <v>1690231998.5</v>
      </c>
      <c r="CF156">
        <v>14</v>
      </c>
      <c r="CG156">
        <v>-0.13200000000000001</v>
      </c>
      <c r="CH156">
        <v>-7.0000000000000001E-3</v>
      </c>
      <c r="CI156">
        <v>-0.33800000000000002</v>
      </c>
      <c r="CJ156">
        <v>0.14299999999999999</v>
      </c>
      <c r="CK156">
        <v>799</v>
      </c>
      <c r="CL156">
        <v>19</v>
      </c>
      <c r="CM156">
        <v>7.0000000000000007E-2</v>
      </c>
      <c r="CN156">
        <v>0.14000000000000001</v>
      </c>
      <c r="CO156">
        <v>-254.32029268292681</v>
      </c>
      <c r="CP156">
        <v>-11.23071231872653</v>
      </c>
      <c r="CQ156">
        <v>1.102958598694562</v>
      </c>
      <c r="CR156">
        <v>-1</v>
      </c>
      <c r="CS156">
        <v>14.994209756097559</v>
      </c>
      <c r="CT156">
        <v>0.84075404302774792</v>
      </c>
      <c r="CU156">
        <v>8.3267528894720999E-2</v>
      </c>
      <c r="CV156">
        <v>-1</v>
      </c>
      <c r="CW156">
        <v>0</v>
      </c>
      <c r="CX156">
        <v>0</v>
      </c>
      <c r="CY156" t="s">
        <v>333</v>
      </c>
      <c r="CZ156">
        <v>2.36483</v>
      </c>
      <c r="DA156">
        <v>2.7137699999999998</v>
      </c>
      <c r="DB156">
        <v>0.112335</v>
      </c>
      <c r="DC156">
        <v>0.14614099999999999</v>
      </c>
      <c r="DD156">
        <v>0.11587</v>
      </c>
      <c r="DE156">
        <v>5.6525300000000001E-2</v>
      </c>
      <c r="DF156">
        <v>32440.5</v>
      </c>
      <c r="DG156">
        <v>27554.5</v>
      </c>
      <c r="DH156">
        <v>31198</v>
      </c>
      <c r="DI156">
        <v>28118.2</v>
      </c>
      <c r="DJ156">
        <v>37447.5</v>
      </c>
      <c r="DK156">
        <v>37729.4</v>
      </c>
      <c r="DL156">
        <v>44403.199999999997</v>
      </c>
      <c r="DM156">
        <v>42622.5</v>
      </c>
      <c r="DN156">
        <v>1.4843</v>
      </c>
      <c r="DO156">
        <v>2.0483699999999998</v>
      </c>
      <c r="DP156">
        <v>7.4237600000000001E-2</v>
      </c>
      <c r="DQ156">
        <v>0.20835500000000001</v>
      </c>
      <c r="DR156">
        <v>25.777000000000001</v>
      </c>
      <c r="DS156">
        <v>25.595600000000001</v>
      </c>
      <c r="DT156">
        <v>51.9</v>
      </c>
      <c r="DU156">
        <v>28.7</v>
      </c>
      <c r="DV156">
        <v>20.722999999999999</v>
      </c>
      <c r="DW156">
        <v>61.548000000000002</v>
      </c>
      <c r="DX156">
        <v>36.165900000000001</v>
      </c>
      <c r="DY156">
        <v>1</v>
      </c>
      <c r="DZ156">
        <v>-0.11863600000000001</v>
      </c>
      <c r="EA156">
        <v>-0.36439300000000002</v>
      </c>
      <c r="EB156">
        <v>20.189499999999999</v>
      </c>
      <c r="EC156">
        <v>5.24125</v>
      </c>
      <c r="ED156">
        <v>12.039899999999999</v>
      </c>
      <c r="EE156">
        <v>5.0170500000000002</v>
      </c>
      <c r="EF156">
        <v>3.2879999999999998</v>
      </c>
      <c r="EG156">
        <v>9999</v>
      </c>
      <c r="EH156">
        <v>9999</v>
      </c>
      <c r="EI156">
        <v>9999</v>
      </c>
      <c r="EJ156">
        <v>999.9</v>
      </c>
      <c r="EK156">
        <v>1.8689</v>
      </c>
      <c r="EL156">
        <v>1.8646199999999999</v>
      </c>
      <c r="EM156">
        <v>1.8691899999999999</v>
      </c>
      <c r="EN156">
        <v>1.8672200000000001</v>
      </c>
      <c r="EO156">
        <v>1.86338</v>
      </c>
      <c r="EP156">
        <v>1.8644700000000001</v>
      </c>
      <c r="EQ156">
        <v>1.8701399999999999</v>
      </c>
      <c r="ER156">
        <v>1.8693599999999999</v>
      </c>
      <c r="ES156">
        <v>0</v>
      </c>
      <c r="ET156">
        <v>0</v>
      </c>
      <c r="EU156">
        <v>0</v>
      </c>
      <c r="EV156">
        <v>0</v>
      </c>
      <c r="EW156" t="s">
        <v>334</v>
      </c>
      <c r="EX156" t="s">
        <v>335</v>
      </c>
      <c r="EY156" t="s">
        <v>336</v>
      </c>
      <c r="EZ156" t="s">
        <v>336</v>
      </c>
      <c r="FA156" t="s">
        <v>336</v>
      </c>
      <c r="FB156" t="s">
        <v>336</v>
      </c>
      <c r="FC156">
        <v>0</v>
      </c>
      <c r="FD156">
        <v>100</v>
      </c>
      <c r="FE156">
        <v>100</v>
      </c>
      <c r="FF156">
        <v>-0.158</v>
      </c>
      <c r="FG156">
        <v>0.17199999999999999</v>
      </c>
      <c r="FH156">
        <v>0.2126736300064915</v>
      </c>
      <c r="FI156">
        <v>-6.1462078757559423E-4</v>
      </c>
      <c r="FJ156">
        <v>-1.8861989874597051E-7</v>
      </c>
      <c r="FK156">
        <v>1.1980462299894961E-10</v>
      </c>
      <c r="FL156">
        <v>0.1719881465068297</v>
      </c>
      <c r="FM156">
        <v>0</v>
      </c>
      <c r="FN156">
        <v>0</v>
      </c>
      <c r="FO156">
        <v>0</v>
      </c>
      <c r="FP156">
        <v>3</v>
      </c>
      <c r="FQ156">
        <v>2158</v>
      </c>
      <c r="FR156">
        <v>1</v>
      </c>
      <c r="FS156">
        <v>19</v>
      </c>
      <c r="FT156">
        <v>32.6</v>
      </c>
      <c r="FU156">
        <v>32.799999999999997</v>
      </c>
      <c r="FV156">
        <v>1.7748999999999999</v>
      </c>
      <c r="FW156">
        <v>2.5830099999999998</v>
      </c>
      <c r="FX156">
        <v>1.5490699999999999</v>
      </c>
      <c r="FY156">
        <v>2.3278799999999999</v>
      </c>
      <c r="FZ156">
        <v>1.50146</v>
      </c>
      <c r="GA156">
        <v>2.3754900000000001</v>
      </c>
      <c r="GB156">
        <v>33.535499999999999</v>
      </c>
      <c r="GC156">
        <v>23.991199999999999</v>
      </c>
      <c r="GD156">
        <v>19</v>
      </c>
      <c r="GE156">
        <v>284.96499999999997</v>
      </c>
      <c r="GF156">
        <v>589.49800000000005</v>
      </c>
      <c r="GG156">
        <v>25.558599999999998</v>
      </c>
      <c r="GH156">
        <v>25.9254</v>
      </c>
      <c r="GI156">
        <v>30.0001</v>
      </c>
      <c r="GJ156">
        <v>26.0426</v>
      </c>
      <c r="GK156">
        <v>26.021999999999998</v>
      </c>
      <c r="GL156">
        <v>35.495800000000003</v>
      </c>
      <c r="GM156">
        <v>56.775700000000001</v>
      </c>
      <c r="GN156">
        <v>75.081900000000005</v>
      </c>
      <c r="GO156">
        <v>25.560300000000002</v>
      </c>
      <c r="GP156">
        <v>800</v>
      </c>
      <c r="GQ156">
        <v>9.3073099999999993</v>
      </c>
      <c r="GR156">
        <v>99.827600000000004</v>
      </c>
      <c r="GS156">
        <v>99.7042</v>
      </c>
    </row>
    <row r="157" spans="1:201" x14ac:dyDescent="0.25">
      <c r="A157">
        <v>141</v>
      </c>
      <c r="B157">
        <v>1690233975</v>
      </c>
      <c r="C157">
        <v>1468.900000095367</v>
      </c>
      <c r="D157" t="s">
        <v>613</v>
      </c>
      <c r="E157" t="s">
        <v>614</v>
      </c>
      <c r="F157" t="s">
        <v>330</v>
      </c>
      <c r="H157">
        <v>1690233975</v>
      </c>
      <c r="I157">
        <f t="shared" si="60"/>
        <v>1.45236260215874E-3</v>
      </c>
      <c r="J157">
        <f t="shared" si="61"/>
        <v>1.4523626021587399</v>
      </c>
      <c r="K157">
        <f t="shared" si="62"/>
        <v>23.125611392631331</v>
      </c>
      <c r="L157">
        <f t="shared" si="63"/>
        <v>541.81899999999996</v>
      </c>
      <c r="M157">
        <f t="shared" si="64"/>
        <v>125.6105165927402</v>
      </c>
      <c r="N157">
        <f t="shared" si="65"/>
        <v>12.447537937871228</v>
      </c>
      <c r="O157">
        <f t="shared" si="66"/>
        <v>53.692260336975998</v>
      </c>
      <c r="P157">
        <f t="shared" si="67"/>
        <v>9.2638700728411905E-2</v>
      </c>
      <c r="Q157">
        <f t="shared" si="68"/>
        <v>2.1292675717976275</v>
      </c>
      <c r="R157">
        <f t="shared" si="69"/>
        <v>9.0456450128562252E-2</v>
      </c>
      <c r="S157">
        <f t="shared" si="70"/>
        <v>5.6727066286793512E-2</v>
      </c>
      <c r="T157">
        <f t="shared" si="71"/>
        <v>276.11492729400004</v>
      </c>
      <c r="U157">
        <f t="shared" si="72"/>
        <v>28.794783256254576</v>
      </c>
      <c r="V157">
        <f t="shared" si="73"/>
        <v>28.794783256254576</v>
      </c>
      <c r="W157">
        <f t="shared" si="74"/>
        <v>3.9742608934356687</v>
      </c>
      <c r="X157">
        <f t="shared" si="75"/>
        <v>67.554324837915232</v>
      </c>
      <c r="Y157">
        <f t="shared" si="76"/>
        <v>2.4346277255632005</v>
      </c>
      <c r="Z157">
        <f t="shared" si="77"/>
        <v>3.6039553816941603</v>
      </c>
      <c r="AA157">
        <f t="shared" si="78"/>
        <v>1.5396331678724682</v>
      </c>
      <c r="AB157">
        <f t="shared" si="79"/>
        <v>-64.049190755200428</v>
      </c>
      <c r="AC157">
        <f t="shared" si="80"/>
        <v>-192.52902052434382</v>
      </c>
      <c r="AD157">
        <f t="shared" si="81"/>
        <v>-19.701096074561871</v>
      </c>
      <c r="AE157">
        <f t="shared" si="82"/>
        <v>-0.16438006010605477</v>
      </c>
      <c r="AF157">
        <v>0</v>
      </c>
      <c r="AG157">
        <v>0</v>
      </c>
      <c r="AH157">
        <f t="shared" si="83"/>
        <v>1</v>
      </c>
      <c r="AI157">
        <f t="shared" si="84"/>
        <v>0</v>
      </c>
      <c r="AJ157">
        <f t="shared" si="85"/>
        <v>52297.723935915099</v>
      </c>
      <c r="AK157">
        <f t="shared" si="86"/>
        <v>1800</v>
      </c>
      <c r="AL157">
        <f t="shared" si="87"/>
        <v>1499.1146153999998</v>
      </c>
      <c r="AM157">
        <f t="shared" si="88"/>
        <v>0.8328414529999999</v>
      </c>
      <c r="AN157">
        <f t="shared" si="89"/>
        <v>0.15339718183000001</v>
      </c>
      <c r="AO157">
        <v>32.4</v>
      </c>
      <c r="AP157">
        <v>0.5</v>
      </c>
      <c r="AQ157" t="s">
        <v>331</v>
      </c>
      <c r="AR157">
        <v>2</v>
      </c>
      <c r="AS157">
        <v>1690233975</v>
      </c>
      <c r="AT157">
        <v>541.81899999999996</v>
      </c>
      <c r="AU157">
        <v>799.99599999999998</v>
      </c>
      <c r="AV157">
        <v>24.568300000000001</v>
      </c>
      <c r="AW157">
        <v>9.2727900000000005</v>
      </c>
      <c r="AX157">
        <v>541.976</v>
      </c>
      <c r="AY157">
        <v>24.3963</v>
      </c>
      <c r="AZ157">
        <v>300.09100000000001</v>
      </c>
      <c r="BA157">
        <v>98.996300000000005</v>
      </c>
      <c r="BB157">
        <v>0.100004</v>
      </c>
      <c r="BC157">
        <v>27.117599999999999</v>
      </c>
      <c r="BD157">
        <v>26.9985</v>
      </c>
      <c r="BE157">
        <v>28.9636</v>
      </c>
      <c r="BF157">
        <v>0</v>
      </c>
      <c r="BG157">
        <v>0</v>
      </c>
      <c r="BH157">
        <v>9994.3799999999992</v>
      </c>
      <c r="BI157">
        <v>1081.23</v>
      </c>
      <c r="BJ157">
        <v>1.4577199999999999</v>
      </c>
      <c r="BK157">
        <v>-258.17700000000002</v>
      </c>
      <c r="BL157">
        <v>555.46600000000001</v>
      </c>
      <c r="BM157">
        <v>807.48299999999995</v>
      </c>
      <c r="BN157">
        <v>15.295500000000001</v>
      </c>
      <c r="BO157">
        <v>799.99599999999998</v>
      </c>
      <c r="BP157">
        <v>9.2727900000000005</v>
      </c>
      <c r="BQ157">
        <v>2.4321700000000002</v>
      </c>
      <c r="BR157">
        <v>0.91797200000000001</v>
      </c>
      <c r="BS157">
        <v>20.579499999999999</v>
      </c>
      <c r="BT157">
        <v>5.6756099999999998</v>
      </c>
      <c r="BU157">
        <v>1800</v>
      </c>
      <c r="BV157">
        <v>0.91001399999999999</v>
      </c>
      <c r="BW157">
        <v>3.3995900000000003E-2</v>
      </c>
      <c r="BX157">
        <v>2.19974E-2</v>
      </c>
      <c r="BY157">
        <v>3.3993099999999998E-2</v>
      </c>
      <c r="BZ157">
        <v>25</v>
      </c>
      <c r="CA157">
        <v>33528.5</v>
      </c>
      <c r="CB157">
        <v>1690232006</v>
      </c>
      <c r="CC157" t="s">
        <v>332</v>
      </c>
      <c r="CD157">
        <v>1690232006</v>
      </c>
      <c r="CE157">
        <v>1690231998.5</v>
      </c>
      <c r="CF157">
        <v>14</v>
      </c>
      <c r="CG157">
        <v>-0.13200000000000001</v>
      </c>
      <c r="CH157">
        <v>-7.0000000000000001E-3</v>
      </c>
      <c r="CI157">
        <v>-0.33800000000000002</v>
      </c>
      <c r="CJ157">
        <v>0.14299999999999999</v>
      </c>
      <c r="CK157">
        <v>799</v>
      </c>
      <c r="CL157">
        <v>19</v>
      </c>
      <c r="CM157">
        <v>7.0000000000000007E-2</v>
      </c>
      <c r="CN157">
        <v>0.14000000000000001</v>
      </c>
      <c r="CO157">
        <v>-256.17731707317068</v>
      </c>
      <c r="CP157">
        <v>-11.095777003484629</v>
      </c>
      <c r="CQ157">
        <v>1.095195303643665</v>
      </c>
      <c r="CR157">
        <v>-1</v>
      </c>
      <c r="CS157">
        <v>15.138512195121949</v>
      </c>
      <c r="CT157">
        <v>0.84183763066202266</v>
      </c>
      <c r="CU157">
        <v>8.4174578153837762E-2</v>
      </c>
      <c r="CV157">
        <v>-1</v>
      </c>
      <c r="CW157">
        <v>0</v>
      </c>
      <c r="CX157">
        <v>0</v>
      </c>
      <c r="CY157" t="s">
        <v>333</v>
      </c>
      <c r="CZ157">
        <v>2.3646400000000001</v>
      </c>
      <c r="DA157">
        <v>2.7137899999999999</v>
      </c>
      <c r="DB157">
        <v>0.11207</v>
      </c>
      <c r="DC157">
        <v>0.14613799999999999</v>
      </c>
      <c r="DD157">
        <v>0.115841</v>
      </c>
      <c r="DE157">
        <v>5.5800200000000001E-2</v>
      </c>
      <c r="DF157">
        <v>32450.1</v>
      </c>
      <c r="DG157">
        <v>27554.9</v>
      </c>
      <c r="DH157">
        <v>31197.9</v>
      </c>
      <c r="DI157">
        <v>28118.5</v>
      </c>
      <c r="DJ157">
        <v>37448.5</v>
      </c>
      <c r="DK157">
        <v>37758.800000000003</v>
      </c>
      <c r="DL157">
        <v>44403</v>
      </c>
      <c r="DM157">
        <v>42622.8</v>
      </c>
      <c r="DN157">
        <v>1.4843999999999999</v>
      </c>
      <c r="DO157">
        <v>2.0478700000000001</v>
      </c>
      <c r="DP157">
        <v>7.4751700000000004E-2</v>
      </c>
      <c r="DQ157">
        <v>0.20607600000000001</v>
      </c>
      <c r="DR157">
        <v>25.774799999999999</v>
      </c>
      <c r="DS157">
        <v>25.594999999999999</v>
      </c>
      <c r="DT157">
        <v>51.7</v>
      </c>
      <c r="DU157">
        <v>28.7</v>
      </c>
      <c r="DV157">
        <v>20.6404</v>
      </c>
      <c r="DW157">
        <v>61.808</v>
      </c>
      <c r="DX157">
        <v>37.287700000000001</v>
      </c>
      <c r="DY157">
        <v>1</v>
      </c>
      <c r="DZ157">
        <v>-0.118841</v>
      </c>
      <c r="EA157">
        <v>-0.39097500000000002</v>
      </c>
      <c r="EB157">
        <v>20.1891</v>
      </c>
      <c r="EC157">
        <v>5.2409499999999998</v>
      </c>
      <c r="ED157">
        <v>12.039899999999999</v>
      </c>
      <c r="EE157">
        <v>5.0164499999999999</v>
      </c>
      <c r="EF157">
        <v>3.2879999999999998</v>
      </c>
      <c r="EG157">
        <v>9999</v>
      </c>
      <c r="EH157">
        <v>9999</v>
      </c>
      <c r="EI157">
        <v>9999</v>
      </c>
      <c r="EJ157">
        <v>999.9</v>
      </c>
      <c r="EK157">
        <v>1.8689</v>
      </c>
      <c r="EL157">
        <v>1.8646199999999999</v>
      </c>
      <c r="EM157">
        <v>1.86917</v>
      </c>
      <c r="EN157">
        <v>1.8672200000000001</v>
      </c>
      <c r="EO157">
        <v>1.86338</v>
      </c>
      <c r="EP157">
        <v>1.8644700000000001</v>
      </c>
      <c r="EQ157">
        <v>1.8701399999999999</v>
      </c>
      <c r="ER157">
        <v>1.86938</v>
      </c>
      <c r="ES157">
        <v>0</v>
      </c>
      <c r="ET157">
        <v>0</v>
      </c>
      <c r="EU157">
        <v>0</v>
      </c>
      <c r="EV157">
        <v>0</v>
      </c>
      <c r="EW157" t="s">
        <v>334</v>
      </c>
      <c r="EX157" t="s">
        <v>335</v>
      </c>
      <c r="EY157" t="s">
        <v>336</v>
      </c>
      <c r="EZ157" t="s">
        <v>336</v>
      </c>
      <c r="FA157" t="s">
        <v>336</v>
      </c>
      <c r="FB157" t="s">
        <v>336</v>
      </c>
      <c r="FC157">
        <v>0</v>
      </c>
      <c r="FD157">
        <v>100</v>
      </c>
      <c r="FE157">
        <v>100</v>
      </c>
      <c r="FF157">
        <v>-0.157</v>
      </c>
      <c r="FG157">
        <v>0.17199999999999999</v>
      </c>
      <c r="FH157">
        <v>0.2126736300064915</v>
      </c>
      <c r="FI157">
        <v>-6.1462078757559423E-4</v>
      </c>
      <c r="FJ157">
        <v>-1.8861989874597051E-7</v>
      </c>
      <c r="FK157">
        <v>1.1980462299894961E-10</v>
      </c>
      <c r="FL157">
        <v>0.1719881465068297</v>
      </c>
      <c r="FM157">
        <v>0</v>
      </c>
      <c r="FN157">
        <v>0</v>
      </c>
      <c r="FO157">
        <v>0</v>
      </c>
      <c r="FP157">
        <v>3</v>
      </c>
      <c r="FQ157">
        <v>2158</v>
      </c>
      <c r="FR157">
        <v>1</v>
      </c>
      <c r="FS157">
        <v>19</v>
      </c>
      <c r="FT157">
        <v>32.799999999999997</v>
      </c>
      <c r="FU157">
        <v>32.9</v>
      </c>
      <c r="FV157">
        <v>1.7748999999999999</v>
      </c>
      <c r="FW157">
        <v>2.5915499999999998</v>
      </c>
      <c r="FX157">
        <v>1.5490699999999999</v>
      </c>
      <c r="FY157">
        <v>2.3278799999999999</v>
      </c>
      <c r="FZ157">
        <v>1.50146</v>
      </c>
      <c r="GA157">
        <v>2.36816</v>
      </c>
      <c r="GB157">
        <v>33.535499999999999</v>
      </c>
      <c r="GC157">
        <v>23.982399999999998</v>
      </c>
      <c r="GD157">
        <v>19</v>
      </c>
      <c r="GE157">
        <v>285.00799999999998</v>
      </c>
      <c r="GF157">
        <v>589.05700000000002</v>
      </c>
      <c r="GG157">
        <v>25.5626</v>
      </c>
      <c r="GH157">
        <v>25.923200000000001</v>
      </c>
      <c r="GI157">
        <v>29.9999</v>
      </c>
      <c r="GJ157">
        <v>26.0426</v>
      </c>
      <c r="GK157">
        <v>26.0198</v>
      </c>
      <c r="GL157">
        <v>35.486199999999997</v>
      </c>
      <c r="GM157">
        <v>57.058399999999999</v>
      </c>
      <c r="GN157">
        <v>74.308999999999997</v>
      </c>
      <c r="GO157">
        <v>25.565200000000001</v>
      </c>
      <c r="GP157">
        <v>800</v>
      </c>
      <c r="GQ157">
        <v>9.1645500000000002</v>
      </c>
      <c r="GR157">
        <v>99.827299999999994</v>
      </c>
      <c r="GS157">
        <v>99.704999999999998</v>
      </c>
    </row>
    <row r="158" spans="1:201" x14ac:dyDescent="0.25">
      <c r="A158">
        <v>142</v>
      </c>
      <c r="B158">
        <v>1690233985</v>
      </c>
      <c r="C158">
        <v>1478.900000095367</v>
      </c>
      <c r="D158" t="s">
        <v>615</v>
      </c>
      <c r="E158" t="s">
        <v>616</v>
      </c>
      <c r="F158" t="s">
        <v>330</v>
      </c>
      <c r="H158">
        <v>1690233985</v>
      </c>
      <c r="I158">
        <f t="shared" si="60"/>
        <v>1.4656015025442525E-3</v>
      </c>
      <c r="J158">
        <f t="shared" si="61"/>
        <v>1.4656015025442526</v>
      </c>
      <c r="K158">
        <f t="shared" si="62"/>
        <v>23.314893461734879</v>
      </c>
      <c r="L158">
        <f t="shared" si="63"/>
        <v>540.06399999999996</v>
      </c>
      <c r="M158">
        <f t="shared" si="64"/>
        <v>124.48612276812378</v>
      </c>
      <c r="N158">
        <f t="shared" si="65"/>
        <v>12.335620704676172</v>
      </c>
      <c r="O158">
        <f t="shared" si="66"/>
        <v>53.516203349504003</v>
      </c>
      <c r="P158">
        <f t="shared" si="67"/>
        <v>9.3549201401748813E-2</v>
      </c>
      <c r="Q158">
        <f t="shared" si="68"/>
        <v>2.130970792798434</v>
      </c>
      <c r="R158">
        <f t="shared" si="69"/>
        <v>9.1326131040629852E-2</v>
      </c>
      <c r="S158">
        <f t="shared" si="70"/>
        <v>5.7274165914459468E-2</v>
      </c>
      <c r="T158">
        <f t="shared" si="71"/>
        <v>276.11488870200003</v>
      </c>
      <c r="U158">
        <f t="shared" si="72"/>
        <v>28.787553907985316</v>
      </c>
      <c r="V158">
        <f t="shared" si="73"/>
        <v>28.787553907985316</v>
      </c>
      <c r="W158">
        <f t="shared" si="74"/>
        <v>3.9725961154188911</v>
      </c>
      <c r="X158">
        <f t="shared" si="75"/>
        <v>67.535996458093834</v>
      </c>
      <c r="Y158">
        <f t="shared" si="76"/>
        <v>2.4337672275616002</v>
      </c>
      <c r="Z158">
        <f t="shared" si="77"/>
        <v>3.6036593153278726</v>
      </c>
      <c r="AA158">
        <f t="shared" si="78"/>
        <v>1.5388288878572909</v>
      </c>
      <c r="AB158">
        <f t="shared" si="79"/>
        <v>-64.63302626220154</v>
      </c>
      <c r="AC158">
        <f t="shared" si="80"/>
        <v>-192.01332220681007</v>
      </c>
      <c r="AD158">
        <f t="shared" si="81"/>
        <v>-19.631775982744415</v>
      </c>
      <c r="AE158">
        <f t="shared" si="82"/>
        <v>-0.1632357497560406</v>
      </c>
      <c r="AF158">
        <v>0</v>
      </c>
      <c r="AG158">
        <v>0</v>
      </c>
      <c r="AH158">
        <f t="shared" si="83"/>
        <v>1</v>
      </c>
      <c r="AI158">
        <f t="shared" si="84"/>
        <v>0</v>
      </c>
      <c r="AJ158">
        <f t="shared" si="85"/>
        <v>52371.229134487476</v>
      </c>
      <c r="AK158">
        <f t="shared" si="86"/>
        <v>1800</v>
      </c>
      <c r="AL158">
        <f t="shared" si="87"/>
        <v>1499.1147702000001</v>
      </c>
      <c r="AM158">
        <f t="shared" si="88"/>
        <v>0.83284153900000002</v>
      </c>
      <c r="AN158">
        <f t="shared" si="89"/>
        <v>0.15339716039000001</v>
      </c>
      <c r="AO158">
        <v>32.4</v>
      </c>
      <c r="AP158">
        <v>0.5</v>
      </c>
      <c r="AQ158" t="s">
        <v>331</v>
      </c>
      <c r="AR158">
        <v>2</v>
      </c>
      <c r="AS158">
        <v>1690233985</v>
      </c>
      <c r="AT158">
        <v>540.06399999999996</v>
      </c>
      <c r="AU158">
        <v>800.23199999999997</v>
      </c>
      <c r="AV158">
        <v>24.560600000000001</v>
      </c>
      <c r="AW158">
        <v>9.1316100000000002</v>
      </c>
      <c r="AX158">
        <v>540.22</v>
      </c>
      <c r="AY158">
        <v>24.3886</v>
      </c>
      <c r="AZ158">
        <v>300.209</v>
      </c>
      <c r="BA158">
        <v>98.9923</v>
      </c>
      <c r="BB158">
        <v>0.100036</v>
      </c>
      <c r="BC158">
        <v>27.116199999999999</v>
      </c>
      <c r="BD158">
        <v>26.991199999999999</v>
      </c>
      <c r="BE158">
        <v>28.982600000000001</v>
      </c>
      <c r="BF158">
        <v>0</v>
      </c>
      <c r="BG158">
        <v>0</v>
      </c>
      <c r="BH158">
        <v>10009.4</v>
      </c>
      <c r="BI158">
        <v>1081.28</v>
      </c>
      <c r="BJ158">
        <v>1.4577199999999999</v>
      </c>
      <c r="BK158">
        <v>-260.16800000000001</v>
      </c>
      <c r="BL158">
        <v>553.66200000000003</v>
      </c>
      <c r="BM158">
        <v>807.60699999999997</v>
      </c>
      <c r="BN158">
        <v>15.429</v>
      </c>
      <c r="BO158">
        <v>800.23199999999997</v>
      </c>
      <c r="BP158">
        <v>9.1316100000000002</v>
      </c>
      <c r="BQ158">
        <v>2.4313099999999999</v>
      </c>
      <c r="BR158">
        <v>0.90395899999999996</v>
      </c>
      <c r="BS158">
        <v>20.573799999999999</v>
      </c>
      <c r="BT158">
        <v>5.4539200000000001</v>
      </c>
      <c r="BU158">
        <v>1800</v>
      </c>
      <c r="BV158">
        <v>0.91001500000000002</v>
      </c>
      <c r="BW158">
        <v>3.3995499999999998E-2</v>
      </c>
      <c r="BX158">
        <v>2.1997200000000001E-2</v>
      </c>
      <c r="BY158">
        <v>3.3992700000000001E-2</v>
      </c>
      <c r="BZ158">
        <v>25</v>
      </c>
      <c r="CA158">
        <v>33528.5</v>
      </c>
      <c r="CB158">
        <v>1690232006</v>
      </c>
      <c r="CC158" t="s">
        <v>332</v>
      </c>
      <c r="CD158">
        <v>1690232006</v>
      </c>
      <c r="CE158">
        <v>1690231998.5</v>
      </c>
      <c r="CF158">
        <v>14</v>
      </c>
      <c r="CG158">
        <v>-0.13200000000000001</v>
      </c>
      <c r="CH158">
        <v>-7.0000000000000001E-3</v>
      </c>
      <c r="CI158">
        <v>-0.33800000000000002</v>
      </c>
      <c r="CJ158">
        <v>0.14299999999999999</v>
      </c>
      <c r="CK158">
        <v>799</v>
      </c>
      <c r="CL158">
        <v>19</v>
      </c>
      <c r="CM158">
        <v>7.0000000000000007E-2</v>
      </c>
      <c r="CN158">
        <v>0.14000000000000001</v>
      </c>
      <c r="CO158">
        <v>-258.10637500000001</v>
      </c>
      <c r="CP158">
        <v>-10.68638273921111</v>
      </c>
      <c r="CQ158">
        <v>1.030036108286986</v>
      </c>
      <c r="CR158">
        <v>-1</v>
      </c>
      <c r="CS158">
        <v>15.2812675</v>
      </c>
      <c r="CT158">
        <v>0.77211219512194129</v>
      </c>
      <c r="CU158">
        <v>7.5265916547598136E-2</v>
      </c>
      <c r="CV158">
        <v>-1</v>
      </c>
      <c r="CW158">
        <v>0</v>
      </c>
      <c r="CX158">
        <v>0</v>
      </c>
      <c r="CY158" t="s">
        <v>333</v>
      </c>
      <c r="CZ158">
        <v>2.3650199999999999</v>
      </c>
      <c r="DA158">
        <v>2.7138399999999998</v>
      </c>
      <c r="DB158">
        <v>0.111805</v>
      </c>
      <c r="DC158">
        <v>0.14615800000000001</v>
      </c>
      <c r="DD158">
        <v>0.115811</v>
      </c>
      <c r="DE158">
        <v>5.5136699999999997E-2</v>
      </c>
      <c r="DF158">
        <v>32460.2</v>
      </c>
      <c r="DG158">
        <v>27554.2</v>
      </c>
      <c r="DH158">
        <v>31198.3</v>
      </c>
      <c r="DI158">
        <v>28118.5</v>
      </c>
      <c r="DJ158">
        <v>37450.300000000003</v>
      </c>
      <c r="DK158">
        <v>37785.4</v>
      </c>
      <c r="DL158">
        <v>44403.6</v>
      </c>
      <c r="DM158">
        <v>42622.9</v>
      </c>
      <c r="DN158">
        <v>1.4846200000000001</v>
      </c>
      <c r="DO158">
        <v>2.0477799999999999</v>
      </c>
      <c r="DP158">
        <v>7.4565400000000004E-2</v>
      </c>
      <c r="DQ158">
        <v>0.20736499999999999</v>
      </c>
      <c r="DR158">
        <v>25.770499999999998</v>
      </c>
      <c r="DS158">
        <v>25.5929</v>
      </c>
      <c r="DT158">
        <v>51.5</v>
      </c>
      <c r="DU158">
        <v>28.8</v>
      </c>
      <c r="DV158">
        <v>20.683199999999999</v>
      </c>
      <c r="DW158">
        <v>61.738</v>
      </c>
      <c r="DX158">
        <v>36.053699999999999</v>
      </c>
      <c r="DY158">
        <v>1</v>
      </c>
      <c r="DZ158">
        <v>-0.11874999999999999</v>
      </c>
      <c r="EA158">
        <v>-0.37176500000000001</v>
      </c>
      <c r="EB158">
        <v>20.189399999999999</v>
      </c>
      <c r="EC158">
        <v>5.2411000000000003</v>
      </c>
      <c r="ED158">
        <v>12.039899999999999</v>
      </c>
      <c r="EE158">
        <v>5.0171000000000001</v>
      </c>
      <c r="EF158">
        <v>3.2879999999999998</v>
      </c>
      <c r="EG158">
        <v>9999</v>
      </c>
      <c r="EH158">
        <v>9999</v>
      </c>
      <c r="EI158">
        <v>9999</v>
      </c>
      <c r="EJ158">
        <v>999.9</v>
      </c>
      <c r="EK158">
        <v>1.8689</v>
      </c>
      <c r="EL158">
        <v>1.8646199999999999</v>
      </c>
      <c r="EM158">
        <v>1.8691800000000001</v>
      </c>
      <c r="EN158">
        <v>1.8672200000000001</v>
      </c>
      <c r="EO158">
        <v>1.86338</v>
      </c>
      <c r="EP158">
        <v>1.8644700000000001</v>
      </c>
      <c r="EQ158">
        <v>1.87016</v>
      </c>
      <c r="ER158">
        <v>1.86937</v>
      </c>
      <c r="ES158">
        <v>0</v>
      </c>
      <c r="ET158">
        <v>0</v>
      </c>
      <c r="EU158">
        <v>0</v>
      </c>
      <c r="EV158">
        <v>0</v>
      </c>
      <c r="EW158" t="s">
        <v>334</v>
      </c>
      <c r="EX158" t="s">
        <v>335</v>
      </c>
      <c r="EY158" t="s">
        <v>336</v>
      </c>
      <c r="EZ158" t="s">
        <v>336</v>
      </c>
      <c r="FA158" t="s">
        <v>336</v>
      </c>
      <c r="FB158" t="s">
        <v>336</v>
      </c>
      <c r="FC158">
        <v>0</v>
      </c>
      <c r="FD158">
        <v>100</v>
      </c>
      <c r="FE158">
        <v>100</v>
      </c>
      <c r="FF158">
        <v>-0.156</v>
      </c>
      <c r="FG158">
        <v>0.17199999999999999</v>
      </c>
      <c r="FH158">
        <v>0.2126736300064915</v>
      </c>
      <c r="FI158">
        <v>-6.1462078757559423E-4</v>
      </c>
      <c r="FJ158">
        <v>-1.8861989874597051E-7</v>
      </c>
      <c r="FK158">
        <v>1.1980462299894961E-10</v>
      </c>
      <c r="FL158">
        <v>0.1719881465068297</v>
      </c>
      <c r="FM158">
        <v>0</v>
      </c>
      <c r="FN158">
        <v>0</v>
      </c>
      <c r="FO158">
        <v>0</v>
      </c>
      <c r="FP158">
        <v>3</v>
      </c>
      <c r="FQ158">
        <v>2158</v>
      </c>
      <c r="FR158">
        <v>1</v>
      </c>
      <c r="FS158">
        <v>19</v>
      </c>
      <c r="FT158">
        <v>33</v>
      </c>
      <c r="FU158">
        <v>33.1</v>
      </c>
      <c r="FV158">
        <v>1.7748999999999999</v>
      </c>
      <c r="FW158">
        <v>2.5842299999999998</v>
      </c>
      <c r="FX158">
        <v>1.5490699999999999</v>
      </c>
      <c r="FY158">
        <v>2.3290999999999999</v>
      </c>
      <c r="FZ158">
        <v>1.50146</v>
      </c>
      <c r="GA158">
        <v>2.34009</v>
      </c>
      <c r="GB158">
        <v>33.535499999999999</v>
      </c>
      <c r="GC158">
        <v>23.991199999999999</v>
      </c>
      <c r="GD158">
        <v>19</v>
      </c>
      <c r="GE158">
        <v>285.09399999999999</v>
      </c>
      <c r="GF158">
        <v>588.97400000000005</v>
      </c>
      <c r="GG158">
        <v>25.565999999999999</v>
      </c>
      <c r="GH158">
        <v>25.923200000000001</v>
      </c>
      <c r="GI158">
        <v>30</v>
      </c>
      <c r="GJ158">
        <v>26.040500000000002</v>
      </c>
      <c r="GK158">
        <v>26.0198</v>
      </c>
      <c r="GL158">
        <v>35.477400000000003</v>
      </c>
      <c r="GM158">
        <v>57.347299999999997</v>
      </c>
      <c r="GN158">
        <v>73.563000000000002</v>
      </c>
      <c r="GO158">
        <v>25.5641</v>
      </c>
      <c r="GP158">
        <v>800</v>
      </c>
      <c r="GQ158">
        <v>9.0205500000000001</v>
      </c>
      <c r="GR158">
        <v>99.828599999999994</v>
      </c>
      <c r="GS158">
        <v>99.705100000000002</v>
      </c>
    </row>
    <row r="159" spans="1:201" x14ac:dyDescent="0.25">
      <c r="A159">
        <v>143</v>
      </c>
      <c r="B159">
        <v>1690233995</v>
      </c>
      <c r="C159">
        <v>1488.900000095367</v>
      </c>
      <c r="D159" t="s">
        <v>617</v>
      </c>
      <c r="E159" t="s">
        <v>618</v>
      </c>
      <c r="F159" t="s">
        <v>330</v>
      </c>
      <c r="H159">
        <v>1690233995</v>
      </c>
      <c r="I159">
        <f t="shared" si="60"/>
        <v>1.4791894937852968E-3</v>
      </c>
      <c r="J159">
        <f t="shared" si="61"/>
        <v>1.4791894937852967</v>
      </c>
      <c r="K159">
        <f t="shared" si="62"/>
        <v>23.456383925866419</v>
      </c>
      <c r="L159">
        <f t="shared" si="63"/>
        <v>538.25400000000002</v>
      </c>
      <c r="M159">
        <f t="shared" si="64"/>
        <v>124.18135162394884</v>
      </c>
      <c r="N159">
        <f t="shared" si="65"/>
        <v>12.305481565642188</v>
      </c>
      <c r="O159">
        <f t="shared" si="66"/>
        <v>53.337112118820002</v>
      </c>
      <c r="P159">
        <f t="shared" si="67"/>
        <v>9.4481764753399727E-2</v>
      </c>
      <c r="Q159">
        <f t="shared" si="68"/>
        <v>2.1271104250212556</v>
      </c>
      <c r="R159">
        <f t="shared" si="69"/>
        <v>9.2210722013536639E-2</v>
      </c>
      <c r="S159">
        <f t="shared" si="70"/>
        <v>5.7831198766685951E-2</v>
      </c>
      <c r="T159">
        <f t="shared" si="71"/>
        <v>276.11477191800003</v>
      </c>
      <c r="U159">
        <f t="shared" si="72"/>
        <v>28.781569130718395</v>
      </c>
      <c r="V159">
        <f t="shared" si="73"/>
        <v>28.781569130718395</v>
      </c>
      <c r="W159">
        <f t="shared" si="74"/>
        <v>3.9712183979991966</v>
      </c>
      <c r="X159">
        <f t="shared" si="75"/>
        <v>67.530459402381041</v>
      </c>
      <c r="Y159">
        <f t="shared" si="76"/>
        <v>2.4329965271409999</v>
      </c>
      <c r="Z159">
        <f t="shared" si="77"/>
        <v>3.6028135284019935</v>
      </c>
      <c r="AA159">
        <f t="shared" si="78"/>
        <v>1.5382218708581967</v>
      </c>
      <c r="AB159">
        <f t="shared" si="79"/>
        <v>-65.232256675931595</v>
      </c>
      <c r="AC159">
        <f t="shared" si="80"/>
        <v>-191.43787192428536</v>
      </c>
      <c r="AD159">
        <f t="shared" si="81"/>
        <v>-19.607486553973573</v>
      </c>
      <c r="AE159">
        <f t="shared" si="82"/>
        <v>-0.16284323619046859</v>
      </c>
      <c r="AF159">
        <v>0</v>
      </c>
      <c r="AG159">
        <v>0</v>
      </c>
      <c r="AH159">
        <f t="shared" si="83"/>
        <v>1</v>
      </c>
      <c r="AI159">
        <f t="shared" si="84"/>
        <v>0</v>
      </c>
      <c r="AJ159">
        <f t="shared" si="85"/>
        <v>52205.789047707978</v>
      </c>
      <c r="AK159">
        <f t="shared" si="86"/>
        <v>1800</v>
      </c>
      <c r="AL159">
        <f t="shared" si="87"/>
        <v>1499.1139367999999</v>
      </c>
      <c r="AM159">
        <f t="shared" si="88"/>
        <v>0.83284107600000001</v>
      </c>
      <c r="AN159">
        <f t="shared" si="89"/>
        <v>0.15339709551000003</v>
      </c>
      <c r="AO159">
        <v>32.4</v>
      </c>
      <c r="AP159">
        <v>0.5</v>
      </c>
      <c r="AQ159" t="s">
        <v>331</v>
      </c>
      <c r="AR159">
        <v>2</v>
      </c>
      <c r="AS159">
        <v>1690233995</v>
      </c>
      <c r="AT159">
        <v>538.25400000000002</v>
      </c>
      <c r="AU159">
        <v>800.06299999999999</v>
      </c>
      <c r="AV159">
        <v>24.552700000000002</v>
      </c>
      <c r="AW159">
        <v>8.9767499999999991</v>
      </c>
      <c r="AX159">
        <v>538.40800000000002</v>
      </c>
      <c r="AY159">
        <v>24.380700000000001</v>
      </c>
      <c r="AZ159">
        <v>300.13600000000002</v>
      </c>
      <c r="BA159">
        <v>98.992800000000003</v>
      </c>
      <c r="BB159">
        <v>0.10002999999999999</v>
      </c>
      <c r="BC159">
        <v>27.112200000000001</v>
      </c>
      <c r="BD159">
        <v>26.99</v>
      </c>
      <c r="BE159">
        <v>28.974799999999998</v>
      </c>
      <c r="BF159">
        <v>0</v>
      </c>
      <c r="BG159">
        <v>0</v>
      </c>
      <c r="BH159">
        <v>9976.25</v>
      </c>
      <c r="BI159">
        <v>1081.3900000000001</v>
      </c>
      <c r="BJ159">
        <v>1.4577199999999999</v>
      </c>
      <c r="BK159">
        <v>-261.80900000000003</v>
      </c>
      <c r="BL159">
        <v>551.80200000000002</v>
      </c>
      <c r="BM159">
        <v>807.31</v>
      </c>
      <c r="BN159">
        <v>15.575900000000001</v>
      </c>
      <c r="BO159">
        <v>800.06299999999999</v>
      </c>
      <c r="BP159">
        <v>8.9767499999999991</v>
      </c>
      <c r="BQ159">
        <v>2.4305400000000001</v>
      </c>
      <c r="BR159">
        <v>0.88863400000000003</v>
      </c>
      <c r="BS159">
        <v>20.5687</v>
      </c>
      <c r="BT159">
        <v>5.2079800000000001</v>
      </c>
      <c r="BU159">
        <v>1800</v>
      </c>
      <c r="BV159">
        <v>0.91001399999999999</v>
      </c>
      <c r="BW159">
        <v>3.3995699999999997E-2</v>
      </c>
      <c r="BX159">
        <v>2.1997300000000001E-2</v>
      </c>
      <c r="BY159">
        <v>3.39929E-2</v>
      </c>
      <c r="BZ159">
        <v>25</v>
      </c>
      <c r="CA159">
        <v>33528.5</v>
      </c>
      <c r="CB159">
        <v>1690232006</v>
      </c>
      <c r="CC159" t="s">
        <v>332</v>
      </c>
      <c r="CD159">
        <v>1690232006</v>
      </c>
      <c r="CE159">
        <v>1690231998.5</v>
      </c>
      <c r="CF159">
        <v>14</v>
      </c>
      <c r="CG159">
        <v>-0.13200000000000001</v>
      </c>
      <c r="CH159">
        <v>-7.0000000000000001E-3</v>
      </c>
      <c r="CI159">
        <v>-0.33800000000000002</v>
      </c>
      <c r="CJ159">
        <v>0.14299999999999999</v>
      </c>
      <c r="CK159">
        <v>799</v>
      </c>
      <c r="CL159">
        <v>19</v>
      </c>
      <c r="CM159">
        <v>7.0000000000000007E-2</v>
      </c>
      <c r="CN159">
        <v>0.14000000000000001</v>
      </c>
      <c r="CO159">
        <v>-259.7361951219512</v>
      </c>
      <c r="CP159">
        <v>-10.745080139372931</v>
      </c>
      <c r="CQ159">
        <v>1.063682426004503</v>
      </c>
      <c r="CR159">
        <v>-1</v>
      </c>
      <c r="CS159">
        <v>15.40757804878049</v>
      </c>
      <c r="CT159">
        <v>0.83927247386762438</v>
      </c>
      <c r="CU159">
        <v>8.3485028633575056E-2</v>
      </c>
      <c r="CV159">
        <v>-1</v>
      </c>
      <c r="CW159">
        <v>0</v>
      </c>
      <c r="CX159">
        <v>0</v>
      </c>
      <c r="CY159" t="s">
        <v>333</v>
      </c>
      <c r="CZ159">
        <v>2.3647800000000001</v>
      </c>
      <c r="DA159">
        <v>2.7138</v>
      </c>
      <c r="DB159">
        <v>0.111536</v>
      </c>
      <c r="DC159">
        <v>0.14613699999999999</v>
      </c>
      <c r="DD159">
        <v>0.115787</v>
      </c>
      <c r="DE159">
        <v>5.4408699999999997E-2</v>
      </c>
      <c r="DF159">
        <v>32470.3</v>
      </c>
      <c r="DG159">
        <v>27554.9</v>
      </c>
      <c r="DH159">
        <v>31198.7</v>
      </c>
      <c r="DI159">
        <v>28118.5</v>
      </c>
      <c r="DJ159">
        <v>37451.699999999997</v>
      </c>
      <c r="DK159">
        <v>37814.5</v>
      </c>
      <c r="DL159">
        <v>44404.1</v>
      </c>
      <c r="DM159">
        <v>42622.8</v>
      </c>
      <c r="DN159">
        <v>1.48482</v>
      </c>
      <c r="DO159">
        <v>2.0478000000000001</v>
      </c>
      <c r="DP159">
        <v>7.4602699999999994E-2</v>
      </c>
      <c r="DQ159">
        <v>0.20688799999999999</v>
      </c>
      <c r="DR159">
        <v>25.768799999999999</v>
      </c>
      <c r="DS159">
        <v>25.5929</v>
      </c>
      <c r="DT159">
        <v>51.3</v>
      </c>
      <c r="DU159">
        <v>28.7</v>
      </c>
      <c r="DV159">
        <v>20.483599999999999</v>
      </c>
      <c r="DW159">
        <v>61.758000000000003</v>
      </c>
      <c r="DX159">
        <v>37.167499999999997</v>
      </c>
      <c r="DY159">
        <v>1</v>
      </c>
      <c r="DZ159">
        <v>-0.11894100000000001</v>
      </c>
      <c r="EA159">
        <v>-0.38388299999999997</v>
      </c>
      <c r="EB159">
        <v>20.189399999999999</v>
      </c>
      <c r="EC159">
        <v>5.2416999999999998</v>
      </c>
      <c r="ED159">
        <v>12.039899999999999</v>
      </c>
      <c r="EE159">
        <v>5.0170500000000002</v>
      </c>
      <c r="EF159">
        <v>3.2879999999999998</v>
      </c>
      <c r="EG159">
        <v>9999</v>
      </c>
      <c r="EH159">
        <v>9999</v>
      </c>
      <c r="EI159">
        <v>9999</v>
      </c>
      <c r="EJ159">
        <v>999.9</v>
      </c>
      <c r="EK159">
        <v>1.8689</v>
      </c>
      <c r="EL159">
        <v>1.8646199999999999</v>
      </c>
      <c r="EM159">
        <v>1.8691800000000001</v>
      </c>
      <c r="EN159">
        <v>1.8672200000000001</v>
      </c>
      <c r="EO159">
        <v>1.86338</v>
      </c>
      <c r="EP159">
        <v>1.8644700000000001</v>
      </c>
      <c r="EQ159">
        <v>1.87015</v>
      </c>
      <c r="ER159">
        <v>1.86937</v>
      </c>
      <c r="ES159">
        <v>0</v>
      </c>
      <c r="ET159">
        <v>0</v>
      </c>
      <c r="EU159">
        <v>0</v>
      </c>
      <c r="EV159">
        <v>0</v>
      </c>
      <c r="EW159" t="s">
        <v>334</v>
      </c>
      <c r="EX159" t="s">
        <v>335</v>
      </c>
      <c r="EY159" t="s">
        <v>336</v>
      </c>
      <c r="EZ159" t="s">
        <v>336</v>
      </c>
      <c r="FA159" t="s">
        <v>336</v>
      </c>
      <c r="FB159" t="s">
        <v>336</v>
      </c>
      <c r="FC159">
        <v>0</v>
      </c>
      <c r="FD159">
        <v>100</v>
      </c>
      <c r="FE159">
        <v>100</v>
      </c>
      <c r="FF159">
        <v>-0.154</v>
      </c>
      <c r="FG159">
        <v>0.17199999999999999</v>
      </c>
      <c r="FH159">
        <v>0.2126736300064915</v>
      </c>
      <c r="FI159">
        <v>-6.1462078757559423E-4</v>
      </c>
      <c r="FJ159">
        <v>-1.8861989874597051E-7</v>
      </c>
      <c r="FK159">
        <v>1.1980462299894961E-10</v>
      </c>
      <c r="FL159">
        <v>0.1719881465068297</v>
      </c>
      <c r="FM159">
        <v>0</v>
      </c>
      <c r="FN159">
        <v>0</v>
      </c>
      <c r="FO159">
        <v>0</v>
      </c>
      <c r="FP159">
        <v>3</v>
      </c>
      <c r="FQ159">
        <v>2158</v>
      </c>
      <c r="FR159">
        <v>1</v>
      </c>
      <c r="FS159">
        <v>19</v>
      </c>
      <c r="FT159">
        <v>33.1</v>
      </c>
      <c r="FU159">
        <v>33.299999999999997</v>
      </c>
      <c r="FV159">
        <v>1.7748999999999999</v>
      </c>
      <c r="FW159">
        <v>2.5903299999999998</v>
      </c>
      <c r="FX159">
        <v>1.5490699999999999</v>
      </c>
      <c r="FY159">
        <v>2.3290999999999999</v>
      </c>
      <c r="FZ159">
        <v>1.50146</v>
      </c>
      <c r="GA159">
        <v>2.3596200000000001</v>
      </c>
      <c r="GB159">
        <v>33.535499999999999</v>
      </c>
      <c r="GC159">
        <v>23.982399999999998</v>
      </c>
      <c r="GD159">
        <v>19</v>
      </c>
      <c r="GE159">
        <v>285.18</v>
      </c>
      <c r="GF159">
        <v>588.976</v>
      </c>
      <c r="GG159">
        <v>25.565300000000001</v>
      </c>
      <c r="GH159">
        <v>25.923200000000001</v>
      </c>
      <c r="GI159">
        <v>29.9999</v>
      </c>
      <c r="GJ159">
        <v>26.040500000000002</v>
      </c>
      <c r="GK159">
        <v>26.0181</v>
      </c>
      <c r="GL159">
        <v>35.4741</v>
      </c>
      <c r="GM159">
        <v>57.637</v>
      </c>
      <c r="GN159">
        <v>72.781800000000004</v>
      </c>
      <c r="GO159">
        <v>25.566299999999998</v>
      </c>
      <c r="GP159">
        <v>800</v>
      </c>
      <c r="GQ159">
        <v>8.8821399999999997</v>
      </c>
      <c r="GR159">
        <v>99.829700000000003</v>
      </c>
      <c r="GS159">
        <v>99.704899999999995</v>
      </c>
    </row>
    <row r="160" spans="1:201" x14ac:dyDescent="0.25">
      <c r="A160">
        <v>144</v>
      </c>
      <c r="B160">
        <v>1690234005</v>
      </c>
      <c r="C160">
        <v>1498.900000095367</v>
      </c>
      <c r="D160" t="s">
        <v>619</v>
      </c>
      <c r="E160" t="s">
        <v>620</v>
      </c>
      <c r="F160" t="s">
        <v>330</v>
      </c>
      <c r="H160">
        <v>1690234005</v>
      </c>
      <c r="I160">
        <f t="shared" si="60"/>
        <v>1.4941680850322086E-3</v>
      </c>
      <c r="J160">
        <f t="shared" si="61"/>
        <v>1.4941680850322085</v>
      </c>
      <c r="K160">
        <f t="shared" si="62"/>
        <v>23.614468400938168</v>
      </c>
      <c r="L160">
        <f t="shared" si="63"/>
        <v>536.58100000000002</v>
      </c>
      <c r="M160">
        <f t="shared" si="64"/>
        <v>124.08763234933939</v>
      </c>
      <c r="N160">
        <f t="shared" si="65"/>
        <v>12.29604798591415</v>
      </c>
      <c r="O160">
        <f t="shared" si="66"/>
        <v>53.170695575487997</v>
      </c>
      <c r="P160">
        <f t="shared" si="67"/>
        <v>9.5502123024137964E-2</v>
      </c>
      <c r="Q160">
        <f t="shared" si="68"/>
        <v>2.1305211336363317</v>
      </c>
      <c r="R160">
        <f t="shared" si="69"/>
        <v>9.3186028271383836E-2</v>
      </c>
      <c r="S160">
        <f t="shared" si="70"/>
        <v>5.8444681258425293E-2</v>
      </c>
      <c r="T160">
        <f t="shared" si="71"/>
        <v>276.11622658051448</v>
      </c>
      <c r="U160">
        <f t="shared" si="72"/>
        <v>28.774931266526217</v>
      </c>
      <c r="V160">
        <f t="shared" si="73"/>
        <v>28.774931266526217</v>
      </c>
      <c r="W160">
        <f t="shared" si="74"/>
        <v>3.9696908249839504</v>
      </c>
      <c r="X160">
        <f t="shared" si="75"/>
        <v>67.503139225738806</v>
      </c>
      <c r="Y160">
        <f t="shared" si="76"/>
        <v>2.4321549543359997</v>
      </c>
      <c r="Z160">
        <f t="shared" si="77"/>
        <v>3.6030249588875773</v>
      </c>
      <c r="AA160">
        <f t="shared" si="78"/>
        <v>1.5375358706479507</v>
      </c>
      <c r="AB160">
        <f t="shared" si="79"/>
        <v>-65.892812549920407</v>
      </c>
      <c r="AC160">
        <f t="shared" si="80"/>
        <v>-190.8675422997575</v>
      </c>
      <c r="AD160">
        <f t="shared" si="81"/>
        <v>-19.517226600827126</v>
      </c>
      <c r="AE160">
        <f t="shared" si="82"/>
        <v>-0.1613548699905607</v>
      </c>
      <c r="AF160">
        <v>0</v>
      </c>
      <c r="AG160">
        <v>0</v>
      </c>
      <c r="AH160">
        <f t="shared" si="83"/>
        <v>1</v>
      </c>
      <c r="AI160">
        <f t="shared" si="84"/>
        <v>0</v>
      </c>
      <c r="AJ160">
        <f t="shared" si="85"/>
        <v>52352.368854264554</v>
      </c>
      <c r="AK160">
        <f t="shared" si="86"/>
        <v>1800.01</v>
      </c>
      <c r="AL160">
        <f t="shared" si="87"/>
        <v>1499.1222634107501</v>
      </c>
      <c r="AM160">
        <f t="shared" si="88"/>
        <v>0.83284107500000004</v>
      </c>
      <c r="AN160">
        <f t="shared" si="89"/>
        <v>0.15339705144999999</v>
      </c>
      <c r="AO160">
        <v>32.4</v>
      </c>
      <c r="AP160">
        <v>0.5</v>
      </c>
      <c r="AQ160" t="s">
        <v>331</v>
      </c>
      <c r="AR160">
        <v>2</v>
      </c>
      <c r="AS160">
        <v>1690234005</v>
      </c>
      <c r="AT160">
        <v>536.58100000000002</v>
      </c>
      <c r="AU160">
        <v>800.13199999999995</v>
      </c>
      <c r="AV160">
        <v>24.544499999999999</v>
      </c>
      <c r="AW160">
        <v>8.8121600000000004</v>
      </c>
      <c r="AX160">
        <v>536.73400000000004</v>
      </c>
      <c r="AY160">
        <v>24.372499999999999</v>
      </c>
      <c r="AZ160">
        <v>300.16399999999999</v>
      </c>
      <c r="BA160">
        <v>98.991699999999994</v>
      </c>
      <c r="BB160">
        <v>9.9947999999999995E-2</v>
      </c>
      <c r="BC160">
        <v>27.113199999999999</v>
      </c>
      <c r="BD160">
        <v>26.9909</v>
      </c>
      <c r="BE160">
        <v>28.973299999999998</v>
      </c>
      <c r="BF160">
        <v>0</v>
      </c>
      <c r="BG160">
        <v>0</v>
      </c>
      <c r="BH160">
        <v>10005.6</v>
      </c>
      <c r="BI160">
        <v>1081.4100000000001</v>
      </c>
      <c r="BJ160">
        <v>1.4689300000000001</v>
      </c>
      <c r="BK160">
        <v>-263.55099999999999</v>
      </c>
      <c r="BL160">
        <v>550.08199999999999</v>
      </c>
      <c r="BM160">
        <v>807.24599999999998</v>
      </c>
      <c r="BN160">
        <v>15.7323</v>
      </c>
      <c r="BO160">
        <v>800.13199999999995</v>
      </c>
      <c r="BP160">
        <v>8.8121600000000004</v>
      </c>
      <c r="BQ160">
        <v>2.4297</v>
      </c>
      <c r="BR160">
        <v>0.87233099999999997</v>
      </c>
      <c r="BS160">
        <v>20.563099999999999</v>
      </c>
      <c r="BT160">
        <v>4.9421799999999996</v>
      </c>
      <c r="BU160">
        <v>1800.01</v>
      </c>
      <c r="BV160">
        <v>0.91001500000000002</v>
      </c>
      <c r="BW160">
        <v>3.3995299999999999E-2</v>
      </c>
      <c r="BX160">
        <v>2.1996999999999999E-2</v>
      </c>
      <c r="BY160">
        <v>3.3992500000000002E-2</v>
      </c>
      <c r="BZ160">
        <v>25</v>
      </c>
      <c r="CA160">
        <v>33528.6</v>
      </c>
      <c r="CB160">
        <v>1690232006</v>
      </c>
      <c r="CC160" t="s">
        <v>332</v>
      </c>
      <c r="CD160">
        <v>1690232006</v>
      </c>
      <c r="CE160">
        <v>1690231998.5</v>
      </c>
      <c r="CF160">
        <v>14</v>
      </c>
      <c r="CG160">
        <v>-0.13200000000000001</v>
      </c>
      <c r="CH160">
        <v>-7.0000000000000001E-3</v>
      </c>
      <c r="CI160">
        <v>-0.33800000000000002</v>
      </c>
      <c r="CJ160">
        <v>0.14299999999999999</v>
      </c>
      <c r="CK160">
        <v>799</v>
      </c>
      <c r="CL160">
        <v>19</v>
      </c>
      <c r="CM160">
        <v>7.0000000000000007E-2</v>
      </c>
      <c r="CN160">
        <v>0.14000000000000001</v>
      </c>
      <c r="CO160">
        <v>-261.48892682926828</v>
      </c>
      <c r="CP160">
        <v>-10.10489895470347</v>
      </c>
      <c r="CQ160">
        <v>1.0000205215027049</v>
      </c>
      <c r="CR160">
        <v>-1</v>
      </c>
      <c r="CS160">
        <v>15.5472</v>
      </c>
      <c r="CT160">
        <v>0.78550871080138962</v>
      </c>
      <c r="CU160">
        <v>7.8114365812835457E-2</v>
      </c>
      <c r="CV160">
        <v>-1</v>
      </c>
      <c r="CW160">
        <v>0</v>
      </c>
      <c r="CX160">
        <v>0</v>
      </c>
      <c r="CY160" t="s">
        <v>333</v>
      </c>
      <c r="CZ160">
        <v>2.3648600000000002</v>
      </c>
      <c r="DA160">
        <v>2.71374</v>
      </c>
      <c r="DB160">
        <v>0.111286</v>
      </c>
      <c r="DC160">
        <v>0.14614099999999999</v>
      </c>
      <c r="DD160">
        <v>0.115759</v>
      </c>
      <c r="DE160">
        <v>5.3628599999999998E-2</v>
      </c>
      <c r="DF160">
        <v>32479.3</v>
      </c>
      <c r="DG160">
        <v>27555.3</v>
      </c>
      <c r="DH160">
        <v>31198.5</v>
      </c>
      <c r="DI160">
        <v>28119</v>
      </c>
      <c r="DJ160">
        <v>37452.699999999997</v>
      </c>
      <c r="DK160">
        <v>37846.6</v>
      </c>
      <c r="DL160">
        <v>44403.9</v>
      </c>
      <c r="DM160">
        <v>42623.7</v>
      </c>
      <c r="DN160">
        <v>1.48475</v>
      </c>
      <c r="DO160">
        <v>2.0476299999999998</v>
      </c>
      <c r="DP160">
        <v>7.4811299999999997E-2</v>
      </c>
      <c r="DQ160">
        <v>0.206791</v>
      </c>
      <c r="DR160">
        <v>25.766200000000001</v>
      </c>
      <c r="DS160">
        <v>25.5929</v>
      </c>
      <c r="DT160">
        <v>51</v>
      </c>
      <c r="DU160">
        <v>28.8</v>
      </c>
      <c r="DV160">
        <v>20.484400000000001</v>
      </c>
      <c r="DW160">
        <v>61.868000000000002</v>
      </c>
      <c r="DX160">
        <v>36.201900000000002</v>
      </c>
      <c r="DY160">
        <v>1</v>
      </c>
      <c r="DZ160">
        <v>-0.118758</v>
      </c>
      <c r="EA160">
        <v>-0.43428899999999998</v>
      </c>
      <c r="EB160">
        <v>20.1891</v>
      </c>
      <c r="EC160">
        <v>5.2411000000000003</v>
      </c>
      <c r="ED160">
        <v>12.039899999999999</v>
      </c>
      <c r="EE160">
        <v>5.0168999999999997</v>
      </c>
      <c r="EF160">
        <v>3.2879999999999998</v>
      </c>
      <c r="EG160">
        <v>9999</v>
      </c>
      <c r="EH160">
        <v>9999</v>
      </c>
      <c r="EI160">
        <v>9999</v>
      </c>
      <c r="EJ160">
        <v>999.9</v>
      </c>
      <c r="EK160">
        <v>1.8689</v>
      </c>
      <c r="EL160">
        <v>1.8646199999999999</v>
      </c>
      <c r="EM160">
        <v>1.8691899999999999</v>
      </c>
      <c r="EN160">
        <v>1.8672200000000001</v>
      </c>
      <c r="EO160">
        <v>1.8633900000000001</v>
      </c>
      <c r="EP160">
        <v>1.8644700000000001</v>
      </c>
      <c r="EQ160">
        <v>1.8701399999999999</v>
      </c>
      <c r="ER160">
        <v>1.8694</v>
      </c>
      <c r="ES160">
        <v>0</v>
      </c>
      <c r="ET160">
        <v>0</v>
      </c>
      <c r="EU160">
        <v>0</v>
      </c>
      <c r="EV160">
        <v>0</v>
      </c>
      <c r="EW160" t="s">
        <v>334</v>
      </c>
      <c r="EX160" t="s">
        <v>335</v>
      </c>
      <c r="EY160" t="s">
        <v>336</v>
      </c>
      <c r="EZ160" t="s">
        <v>336</v>
      </c>
      <c r="FA160" t="s">
        <v>336</v>
      </c>
      <c r="FB160" t="s">
        <v>336</v>
      </c>
      <c r="FC160">
        <v>0</v>
      </c>
      <c r="FD160">
        <v>100</v>
      </c>
      <c r="FE160">
        <v>100</v>
      </c>
      <c r="FF160">
        <v>-0.153</v>
      </c>
      <c r="FG160">
        <v>0.17199999999999999</v>
      </c>
      <c r="FH160">
        <v>0.2126736300064915</v>
      </c>
      <c r="FI160">
        <v>-6.1462078757559423E-4</v>
      </c>
      <c r="FJ160">
        <v>-1.8861989874597051E-7</v>
      </c>
      <c r="FK160">
        <v>1.1980462299894961E-10</v>
      </c>
      <c r="FL160">
        <v>0.1719881465068297</v>
      </c>
      <c r="FM160">
        <v>0</v>
      </c>
      <c r="FN160">
        <v>0</v>
      </c>
      <c r="FO160">
        <v>0</v>
      </c>
      <c r="FP160">
        <v>3</v>
      </c>
      <c r="FQ160">
        <v>2158</v>
      </c>
      <c r="FR160">
        <v>1</v>
      </c>
      <c r="FS160">
        <v>19</v>
      </c>
      <c r="FT160">
        <v>33.299999999999997</v>
      </c>
      <c r="FU160">
        <v>33.4</v>
      </c>
      <c r="FV160">
        <v>1.7736799999999999</v>
      </c>
      <c r="FW160">
        <v>2.5866699999999998</v>
      </c>
      <c r="FX160">
        <v>1.5490699999999999</v>
      </c>
      <c r="FY160">
        <v>2.3290999999999999</v>
      </c>
      <c r="FZ160">
        <v>1.50146</v>
      </c>
      <c r="GA160">
        <v>2.3290999999999999</v>
      </c>
      <c r="GB160">
        <v>33.535499999999999</v>
      </c>
      <c r="GC160">
        <v>23.991199999999999</v>
      </c>
      <c r="GD160">
        <v>19</v>
      </c>
      <c r="GE160">
        <v>285.14299999999997</v>
      </c>
      <c r="GF160">
        <v>588.82500000000005</v>
      </c>
      <c r="GG160">
        <v>25.575700000000001</v>
      </c>
      <c r="GH160">
        <v>25.920999999999999</v>
      </c>
      <c r="GI160">
        <v>30.0001</v>
      </c>
      <c r="GJ160">
        <v>26.039200000000001</v>
      </c>
      <c r="GK160">
        <v>26.017600000000002</v>
      </c>
      <c r="GL160">
        <v>35.471200000000003</v>
      </c>
      <c r="GM160">
        <v>57.941400000000002</v>
      </c>
      <c r="GN160">
        <v>72.023099999999999</v>
      </c>
      <c r="GO160">
        <v>25.581700000000001</v>
      </c>
      <c r="GP160">
        <v>800</v>
      </c>
      <c r="GQ160">
        <v>8.7422900000000006</v>
      </c>
      <c r="GR160">
        <v>99.8292</v>
      </c>
      <c r="GS160">
        <v>99.706999999999994</v>
      </c>
    </row>
    <row r="161" spans="1:201" x14ac:dyDescent="0.25">
      <c r="A161">
        <v>145</v>
      </c>
      <c r="B161">
        <v>1690234015</v>
      </c>
      <c r="C161">
        <v>1508.900000095367</v>
      </c>
      <c r="D161" t="s">
        <v>621</v>
      </c>
      <c r="E161" t="s">
        <v>622</v>
      </c>
      <c r="F161" t="s">
        <v>330</v>
      </c>
      <c r="H161">
        <v>1690234015</v>
      </c>
      <c r="I161">
        <f t="shared" si="60"/>
        <v>1.501966740103902E-3</v>
      </c>
      <c r="J161">
        <f t="shared" si="61"/>
        <v>1.5019667401039021</v>
      </c>
      <c r="K161">
        <f t="shared" si="62"/>
        <v>23.762109138954177</v>
      </c>
      <c r="L161">
        <f t="shared" si="63"/>
        <v>534.86699999999996</v>
      </c>
      <c r="M161">
        <f t="shared" si="64"/>
        <v>121.8708466793171</v>
      </c>
      <c r="N161">
        <f t="shared" si="65"/>
        <v>12.076608136062674</v>
      </c>
      <c r="O161">
        <f t="shared" si="66"/>
        <v>53.001840390164993</v>
      </c>
      <c r="P161">
        <f t="shared" si="67"/>
        <v>9.5980641048510784E-2</v>
      </c>
      <c r="Q161">
        <f t="shared" si="68"/>
        <v>2.1282850166667142</v>
      </c>
      <c r="R161">
        <f t="shared" si="69"/>
        <v>9.363919152316863E-2</v>
      </c>
      <c r="S161">
        <f t="shared" si="70"/>
        <v>5.8730107157827047E-2</v>
      </c>
      <c r="T161">
        <f t="shared" si="71"/>
        <v>276.11471134800001</v>
      </c>
      <c r="U161">
        <f t="shared" si="72"/>
        <v>28.772984373453447</v>
      </c>
      <c r="V161">
        <f t="shared" si="73"/>
        <v>28.772984373453447</v>
      </c>
      <c r="W161">
        <f t="shared" si="74"/>
        <v>3.9692428832924778</v>
      </c>
      <c r="X161">
        <f t="shared" si="75"/>
        <v>67.477587077811307</v>
      </c>
      <c r="Y161">
        <f t="shared" si="76"/>
        <v>2.4311201689319994</v>
      </c>
      <c r="Z161">
        <f t="shared" si="77"/>
        <v>3.6028558136327105</v>
      </c>
      <c r="AA161">
        <f t="shared" si="78"/>
        <v>1.5381227143604783</v>
      </c>
      <c r="AB161">
        <f t="shared" si="79"/>
        <v>-66.236733238582076</v>
      </c>
      <c r="AC161">
        <f t="shared" si="80"/>
        <v>-190.53562008831804</v>
      </c>
      <c r="AD161">
        <f t="shared" si="81"/>
        <v>-19.503488972666293</v>
      </c>
      <c r="AE161">
        <f t="shared" si="82"/>
        <v>-0.16113095156637769</v>
      </c>
      <c r="AF161">
        <v>0</v>
      </c>
      <c r="AG161">
        <v>0</v>
      </c>
      <c r="AH161">
        <f t="shared" si="83"/>
        <v>1</v>
      </c>
      <c r="AI161">
        <f t="shared" si="84"/>
        <v>0</v>
      </c>
      <c r="AJ161">
        <f t="shared" si="85"/>
        <v>52256.284786646989</v>
      </c>
      <c r="AK161">
        <f t="shared" si="86"/>
        <v>1800</v>
      </c>
      <c r="AL161">
        <f t="shared" si="87"/>
        <v>1499.1143508</v>
      </c>
      <c r="AM161">
        <f t="shared" si="88"/>
        <v>0.83284130599999995</v>
      </c>
      <c r="AN161">
        <f t="shared" si="89"/>
        <v>0.15339706186000002</v>
      </c>
      <c r="AO161">
        <v>32.4</v>
      </c>
      <c r="AP161">
        <v>0.5</v>
      </c>
      <c r="AQ161" t="s">
        <v>331</v>
      </c>
      <c r="AR161">
        <v>2</v>
      </c>
      <c r="AS161">
        <v>1690234015</v>
      </c>
      <c r="AT161">
        <v>534.86699999999996</v>
      </c>
      <c r="AU161">
        <v>800.05200000000002</v>
      </c>
      <c r="AV161">
        <v>24.5336</v>
      </c>
      <c r="AW161">
        <v>8.7175999999999991</v>
      </c>
      <c r="AX161">
        <v>535.01800000000003</v>
      </c>
      <c r="AY161">
        <v>24.361599999999999</v>
      </c>
      <c r="AZ161">
        <v>300.13799999999998</v>
      </c>
      <c r="BA161">
        <v>98.993399999999994</v>
      </c>
      <c r="BB161">
        <v>0.100095</v>
      </c>
      <c r="BC161">
        <v>27.112400000000001</v>
      </c>
      <c r="BD161">
        <v>26.992899999999999</v>
      </c>
      <c r="BE161">
        <v>28.958600000000001</v>
      </c>
      <c r="BF161">
        <v>0</v>
      </c>
      <c r="BG161">
        <v>0</v>
      </c>
      <c r="BH161">
        <v>9986.25</v>
      </c>
      <c r="BI161">
        <v>1081.53</v>
      </c>
      <c r="BJ161">
        <v>1.4577199999999999</v>
      </c>
      <c r="BK161">
        <v>-265.18599999999998</v>
      </c>
      <c r="BL161">
        <v>548.31899999999996</v>
      </c>
      <c r="BM161">
        <v>807.08799999999997</v>
      </c>
      <c r="BN161">
        <v>15.816000000000001</v>
      </c>
      <c r="BO161">
        <v>800.05200000000002</v>
      </c>
      <c r="BP161">
        <v>8.7175999999999991</v>
      </c>
      <c r="BQ161">
        <v>2.4286599999999998</v>
      </c>
      <c r="BR161">
        <v>0.86298600000000003</v>
      </c>
      <c r="BS161">
        <v>20.5562</v>
      </c>
      <c r="BT161">
        <v>4.7878400000000001</v>
      </c>
      <c r="BU161">
        <v>1800</v>
      </c>
      <c r="BV161">
        <v>0.91001600000000005</v>
      </c>
      <c r="BW161">
        <v>3.3994999999999997E-2</v>
      </c>
      <c r="BX161">
        <v>2.19968E-2</v>
      </c>
      <c r="BY161">
        <v>3.39922E-2</v>
      </c>
      <c r="BZ161">
        <v>25</v>
      </c>
      <c r="CA161">
        <v>33528.5</v>
      </c>
      <c r="CB161">
        <v>1690232006</v>
      </c>
      <c r="CC161" t="s">
        <v>332</v>
      </c>
      <c r="CD161">
        <v>1690232006</v>
      </c>
      <c r="CE161">
        <v>1690231998.5</v>
      </c>
      <c r="CF161">
        <v>14</v>
      </c>
      <c r="CG161">
        <v>-0.13200000000000001</v>
      </c>
      <c r="CH161">
        <v>-7.0000000000000001E-3</v>
      </c>
      <c r="CI161">
        <v>-0.33800000000000002</v>
      </c>
      <c r="CJ161">
        <v>0.14299999999999999</v>
      </c>
      <c r="CK161">
        <v>799</v>
      </c>
      <c r="CL161">
        <v>19</v>
      </c>
      <c r="CM161">
        <v>7.0000000000000007E-2</v>
      </c>
      <c r="CN161">
        <v>0.14000000000000001</v>
      </c>
      <c r="CO161">
        <v>-263.32279999999997</v>
      </c>
      <c r="CP161">
        <v>-10.258649155721841</v>
      </c>
      <c r="CQ161">
        <v>0.98809666025141363</v>
      </c>
      <c r="CR161">
        <v>-1</v>
      </c>
      <c r="CS161">
        <v>15.696882499999999</v>
      </c>
      <c r="CT161">
        <v>0.80224052532826939</v>
      </c>
      <c r="CU161">
        <v>7.851628139277847E-2</v>
      </c>
      <c r="CV161">
        <v>-1</v>
      </c>
      <c r="CW161">
        <v>0</v>
      </c>
      <c r="CX161">
        <v>0</v>
      </c>
      <c r="CY161" t="s">
        <v>333</v>
      </c>
      <c r="CZ161">
        <v>2.3647999999999998</v>
      </c>
      <c r="DA161">
        <v>2.71387</v>
      </c>
      <c r="DB161">
        <v>0.11103200000000001</v>
      </c>
      <c r="DC161">
        <v>0.14613300000000001</v>
      </c>
      <c r="DD161">
        <v>0.11572499999999999</v>
      </c>
      <c r="DE161">
        <v>5.3179799999999999E-2</v>
      </c>
      <c r="DF161">
        <v>32488.9</v>
      </c>
      <c r="DG161">
        <v>27555.5</v>
      </c>
      <c r="DH161">
        <v>31198.799999999999</v>
      </c>
      <c r="DI161">
        <v>28118.9</v>
      </c>
      <c r="DJ161">
        <v>37454.400000000001</v>
      </c>
      <c r="DK161">
        <v>37864.5</v>
      </c>
      <c r="DL161">
        <v>44404.2</v>
      </c>
      <c r="DM161">
        <v>42623.6</v>
      </c>
      <c r="DN161">
        <v>1.48512</v>
      </c>
      <c r="DO161">
        <v>2.0471699999999999</v>
      </c>
      <c r="DP161">
        <v>7.5005000000000002E-2</v>
      </c>
      <c r="DQ161">
        <v>0.20606099999999999</v>
      </c>
      <c r="DR161">
        <v>25.765000000000001</v>
      </c>
      <c r="DS161">
        <v>25.5901</v>
      </c>
      <c r="DT161">
        <v>50.8</v>
      </c>
      <c r="DU161">
        <v>28.8</v>
      </c>
      <c r="DV161">
        <v>20.3993</v>
      </c>
      <c r="DW161">
        <v>61.738</v>
      </c>
      <c r="DX161">
        <v>37.1875</v>
      </c>
      <c r="DY161">
        <v>1</v>
      </c>
      <c r="DZ161">
        <v>-0.11926299999999999</v>
      </c>
      <c r="EA161">
        <v>-0.43871700000000002</v>
      </c>
      <c r="EB161">
        <v>20.189</v>
      </c>
      <c r="EC161">
        <v>5.2411000000000003</v>
      </c>
      <c r="ED161">
        <v>12.039899999999999</v>
      </c>
      <c r="EE161">
        <v>5.0167999999999999</v>
      </c>
      <c r="EF161">
        <v>3.2879999999999998</v>
      </c>
      <c r="EG161">
        <v>9999</v>
      </c>
      <c r="EH161">
        <v>9999</v>
      </c>
      <c r="EI161">
        <v>9999</v>
      </c>
      <c r="EJ161">
        <v>999.9</v>
      </c>
      <c r="EK161">
        <v>1.8689</v>
      </c>
      <c r="EL161">
        <v>1.8646199999999999</v>
      </c>
      <c r="EM161">
        <v>1.8691800000000001</v>
      </c>
      <c r="EN161">
        <v>1.8672200000000001</v>
      </c>
      <c r="EO161">
        <v>1.86337</v>
      </c>
      <c r="EP161">
        <v>1.8644700000000001</v>
      </c>
      <c r="EQ161">
        <v>1.8701300000000001</v>
      </c>
      <c r="ER161">
        <v>1.8693900000000001</v>
      </c>
      <c r="ES161">
        <v>0</v>
      </c>
      <c r="ET161">
        <v>0</v>
      </c>
      <c r="EU161">
        <v>0</v>
      </c>
      <c r="EV161">
        <v>0</v>
      </c>
      <c r="EW161" t="s">
        <v>334</v>
      </c>
      <c r="EX161" t="s">
        <v>335</v>
      </c>
      <c r="EY161" t="s">
        <v>336</v>
      </c>
      <c r="EZ161" t="s">
        <v>336</v>
      </c>
      <c r="FA161" t="s">
        <v>336</v>
      </c>
      <c r="FB161" t="s">
        <v>336</v>
      </c>
      <c r="FC161">
        <v>0</v>
      </c>
      <c r="FD161">
        <v>100</v>
      </c>
      <c r="FE161">
        <v>100</v>
      </c>
      <c r="FF161">
        <v>-0.151</v>
      </c>
      <c r="FG161">
        <v>0.17199999999999999</v>
      </c>
      <c r="FH161">
        <v>0.2126736300064915</v>
      </c>
      <c r="FI161">
        <v>-6.1462078757559423E-4</v>
      </c>
      <c r="FJ161">
        <v>-1.8861989874597051E-7</v>
      </c>
      <c r="FK161">
        <v>1.1980462299894961E-10</v>
      </c>
      <c r="FL161">
        <v>0.1719881465068297</v>
      </c>
      <c r="FM161">
        <v>0</v>
      </c>
      <c r="FN161">
        <v>0</v>
      </c>
      <c r="FO161">
        <v>0</v>
      </c>
      <c r="FP161">
        <v>3</v>
      </c>
      <c r="FQ161">
        <v>2158</v>
      </c>
      <c r="FR161">
        <v>1</v>
      </c>
      <c r="FS161">
        <v>19</v>
      </c>
      <c r="FT161">
        <v>33.5</v>
      </c>
      <c r="FU161">
        <v>33.6</v>
      </c>
      <c r="FV161">
        <v>1.7736799999999999</v>
      </c>
      <c r="FW161">
        <v>2.5891099999999998</v>
      </c>
      <c r="FX161">
        <v>1.5490699999999999</v>
      </c>
      <c r="FY161">
        <v>2.3290999999999999</v>
      </c>
      <c r="FZ161">
        <v>1.50146</v>
      </c>
      <c r="GA161">
        <v>2.36572</v>
      </c>
      <c r="GB161">
        <v>33.535499999999999</v>
      </c>
      <c r="GC161">
        <v>23.982399999999998</v>
      </c>
      <c r="GD161">
        <v>19</v>
      </c>
      <c r="GE161">
        <v>285.29899999999998</v>
      </c>
      <c r="GF161">
        <v>588.44399999999996</v>
      </c>
      <c r="GG161">
        <v>25.5929</v>
      </c>
      <c r="GH161">
        <v>25.920999999999999</v>
      </c>
      <c r="GI161">
        <v>30</v>
      </c>
      <c r="GJ161">
        <v>26.0383</v>
      </c>
      <c r="GK161">
        <v>26.016999999999999</v>
      </c>
      <c r="GL161">
        <v>35.465200000000003</v>
      </c>
      <c r="GM161">
        <v>58.236899999999999</v>
      </c>
      <c r="GN161">
        <v>71.650599999999997</v>
      </c>
      <c r="GO161">
        <v>25.595500000000001</v>
      </c>
      <c r="GP161">
        <v>800</v>
      </c>
      <c r="GQ161">
        <v>8.6076200000000007</v>
      </c>
      <c r="GR161">
        <v>99.829899999999995</v>
      </c>
      <c r="GS161">
        <v>99.706699999999998</v>
      </c>
    </row>
    <row r="162" spans="1:201" x14ac:dyDescent="0.25">
      <c r="A162">
        <v>146</v>
      </c>
      <c r="B162">
        <v>1690234025</v>
      </c>
      <c r="C162">
        <v>1518.900000095367</v>
      </c>
      <c r="D162" t="s">
        <v>623</v>
      </c>
      <c r="E162" t="s">
        <v>624</v>
      </c>
      <c r="F162" t="s">
        <v>330</v>
      </c>
      <c r="H162">
        <v>1690234025</v>
      </c>
      <c r="I162">
        <f t="shared" si="60"/>
        <v>1.5174900058828121E-3</v>
      </c>
      <c r="J162">
        <f t="shared" si="61"/>
        <v>1.517490005882812</v>
      </c>
      <c r="K162">
        <f t="shared" si="62"/>
        <v>23.908562467701909</v>
      </c>
      <c r="L162">
        <f t="shared" si="63"/>
        <v>533.37099999999998</v>
      </c>
      <c r="M162">
        <f t="shared" si="64"/>
        <v>122.42264569245405</v>
      </c>
      <c r="N162">
        <f t="shared" si="65"/>
        <v>12.131085219333347</v>
      </c>
      <c r="O162">
        <f t="shared" si="66"/>
        <v>52.852713792640003</v>
      </c>
      <c r="P162">
        <f t="shared" si="67"/>
        <v>9.7082960131820897E-2</v>
      </c>
      <c r="Q162">
        <f t="shared" si="68"/>
        <v>2.1273906355029495</v>
      </c>
      <c r="R162">
        <f t="shared" si="69"/>
        <v>9.4687162272497072E-2</v>
      </c>
      <c r="S162">
        <f t="shared" si="70"/>
        <v>5.9389804980376423E-2</v>
      </c>
      <c r="T162">
        <f t="shared" si="71"/>
        <v>276.114672756</v>
      </c>
      <c r="U162">
        <f t="shared" si="72"/>
        <v>28.764704644853051</v>
      </c>
      <c r="V162">
        <f t="shared" si="73"/>
        <v>28.764704644853051</v>
      </c>
      <c r="W162">
        <f t="shared" si="74"/>
        <v>3.9673383733855974</v>
      </c>
      <c r="X162">
        <f t="shared" si="75"/>
        <v>67.47491555970872</v>
      </c>
      <c r="Y162">
        <f t="shared" si="76"/>
        <v>2.4305246515200003</v>
      </c>
      <c r="Z162">
        <f t="shared" si="77"/>
        <v>3.6021158846345247</v>
      </c>
      <c r="AA162">
        <f t="shared" si="78"/>
        <v>1.5368137218655971</v>
      </c>
      <c r="AB162">
        <f t="shared" si="79"/>
        <v>-66.921309259432007</v>
      </c>
      <c r="AC162">
        <f t="shared" si="80"/>
        <v>-189.90735415684418</v>
      </c>
      <c r="AD162">
        <f t="shared" si="81"/>
        <v>-19.446208617286807</v>
      </c>
      <c r="AE162">
        <f t="shared" si="82"/>
        <v>-0.16019927756298102</v>
      </c>
      <c r="AF162">
        <v>0</v>
      </c>
      <c r="AG162">
        <v>0</v>
      </c>
      <c r="AH162">
        <f t="shared" si="83"/>
        <v>1</v>
      </c>
      <c r="AI162">
        <f t="shared" si="84"/>
        <v>0</v>
      </c>
      <c r="AJ162">
        <f t="shared" si="85"/>
        <v>52218.390572831457</v>
      </c>
      <c r="AK162">
        <f t="shared" si="86"/>
        <v>1800</v>
      </c>
      <c r="AL162">
        <f t="shared" si="87"/>
        <v>1499.1145056</v>
      </c>
      <c r="AM162">
        <f t="shared" si="88"/>
        <v>0.83284139199999996</v>
      </c>
      <c r="AN162">
        <f t="shared" si="89"/>
        <v>0.15339704041999999</v>
      </c>
      <c r="AO162">
        <v>32.4</v>
      </c>
      <c r="AP162">
        <v>0.5</v>
      </c>
      <c r="AQ162" t="s">
        <v>331</v>
      </c>
      <c r="AR162">
        <v>2</v>
      </c>
      <c r="AS162">
        <v>1690234025</v>
      </c>
      <c r="AT162">
        <v>533.37099999999998</v>
      </c>
      <c r="AU162">
        <v>800.10699999999997</v>
      </c>
      <c r="AV162">
        <v>24.527999999999999</v>
      </c>
      <c r="AW162">
        <v>8.5541400000000003</v>
      </c>
      <c r="AX162">
        <v>533.52200000000005</v>
      </c>
      <c r="AY162">
        <v>24.356000000000002</v>
      </c>
      <c r="AZ162">
        <v>300.245</v>
      </c>
      <c r="BA162">
        <v>98.991799999999998</v>
      </c>
      <c r="BB162">
        <v>0.10004</v>
      </c>
      <c r="BC162">
        <v>27.108899999999998</v>
      </c>
      <c r="BD162">
        <v>26.979299999999999</v>
      </c>
      <c r="BE162">
        <v>28.9404</v>
      </c>
      <c r="BF162">
        <v>0</v>
      </c>
      <c r="BG162">
        <v>0</v>
      </c>
      <c r="BH162">
        <v>9978.75</v>
      </c>
      <c r="BI162">
        <v>1081.5899999999999</v>
      </c>
      <c r="BJ162">
        <v>1.4577199999999999</v>
      </c>
      <c r="BK162">
        <v>-266.73599999999999</v>
      </c>
      <c r="BL162">
        <v>546.78300000000002</v>
      </c>
      <c r="BM162">
        <v>807.01</v>
      </c>
      <c r="BN162">
        <v>15.973800000000001</v>
      </c>
      <c r="BO162">
        <v>800.10699999999997</v>
      </c>
      <c r="BP162">
        <v>8.5541400000000003</v>
      </c>
      <c r="BQ162">
        <v>2.42807</v>
      </c>
      <c r="BR162">
        <v>0.84679000000000004</v>
      </c>
      <c r="BS162">
        <v>20.552199999999999</v>
      </c>
      <c r="BT162">
        <v>4.5168400000000002</v>
      </c>
      <c r="BU162">
        <v>1800</v>
      </c>
      <c r="BV162">
        <v>0.91001699999999996</v>
      </c>
      <c r="BW162">
        <v>3.39946E-2</v>
      </c>
      <c r="BX162">
        <v>2.1996600000000002E-2</v>
      </c>
      <c r="BY162">
        <v>3.3991800000000003E-2</v>
      </c>
      <c r="BZ162">
        <v>25</v>
      </c>
      <c r="CA162">
        <v>33528.6</v>
      </c>
      <c r="CB162">
        <v>1690232006</v>
      </c>
      <c r="CC162" t="s">
        <v>332</v>
      </c>
      <c r="CD162">
        <v>1690232006</v>
      </c>
      <c r="CE162">
        <v>1690231998.5</v>
      </c>
      <c r="CF162">
        <v>14</v>
      </c>
      <c r="CG162">
        <v>-0.13200000000000001</v>
      </c>
      <c r="CH162">
        <v>-7.0000000000000001E-3</v>
      </c>
      <c r="CI162">
        <v>-0.33800000000000002</v>
      </c>
      <c r="CJ162">
        <v>0.14299999999999999</v>
      </c>
      <c r="CK162">
        <v>799</v>
      </c>
      <c r="CL162">
        <v>19</v>
      </c>
      <c r="CM162">
        <v>7.0000000000000007E-2</v>
      </c>
      <c r="CN162">
        <v>0.14000000000000001</v>
      </c>
      <c r="CO162">
        <v>-264.98779999999999</v>
      </c>
      <c r="CP162">
        <v>-9.5844652908066266</v>
      </c>
      <c r="CQ162">
        <v>0.92403820808449277</v>
      </c>
      <c r="CR162">
        <v>-1</v>
      </c>
      <c r="CS162">
        <v>15.82287</v>
      </c>
      <c r="CT162">
        <v>0.6374611632269831</v>
      </c>
      <c r="CU162">
        <v>6.1898857824680471E-2</v>
      </c>
      <c r="CV162">
        <v>-1</v>
      </c>
      <c r="CW162">
        <v>0</v>
      </c>
      <c r="CX162">
        <v>0</v>
      </c>
      <c r="CY162" t="s">
        <v>333</v>
      </c>
      <c r="CZ162">
        <v>2.3651399999999998</v>
      </c>
      <c r="DA162">
        <v>2.7138100000000001</v>
      </c>
      <c r="DB162">
        <v>0.110806</v>
      </c>
      <c r="DC162">
        <v>0.14613399999999999</v>
      </c>
      <c r="DD162">
        <v>0.115705</v>
      </c>
      <c r="DE162">
        <v>5.2397100000000002E-2</v>
      </c>
      <c r="DF162">
        <v>32497</v>
      </c>
      <c r="DG162">
        <v>27555.599999999999</v>
      </c>
      <c r="DH162">
        <v>31198.7</v>
      </c>
      <c r="DI162">
        <v>28119.1</v>
      </c>
      <c r="DJ162">
        <v>37454.9</v>
      </c>
      <c r="DK162">
        <v>37896.199999999997</v>
      </c>
      <c r="DL162">
        <v>44403.9</v>
      </c>
      <c r="DM162">
        <v>42624</v>
      </c>
      <c r="DN162">
        <v>1.4851700000000001</v>
      </c>
      <c r="DO162">
        <v>2.04705</v>
      </c>
      <c r="DP162">
        <v>7.4237600000000001E-2</v>
      </c>
      <c r="DQ162">
        <v>0.20504700000000001</v>
      </c>
      <c r="DR162">
        <v>25.763999999999999</v>
      </c>
      <c r="DS162">
        <v>25.5885</v>
      </c>
      <c r="DT162">
        <v>50.5</v>
      </c>
      <c r="DU162">
        <v>28.7</v>
      </c>
      <c r="DV162">
        <v>20.161899999999999</v>
      </c>
      <c r="DW162">
        <v>62.027999999999999</v>
      </c>
      <c r="DX162">
        <v>36.137799999999999</v>
      </c>
      <c r="DY162">
        <v>1</v>
      </c>
      <c r="DZ162">
        <v>-0.1192</v>
      </c>
      <c r="EA162">
        <v>-0.41342299999999998</v>
      </c>
      <c r="EB162">
        <v>20.189</v>
      </c>
      <c r="EC162">
        <v>5.2409499999999998</v>
      </c>
      <c r="ED162">
        <v>12.039899999999999</v>
      </c>
      <c r="EE162">
        <v>5.01675</v>
      </c>
      <c r="EF162">
        <v>3.2879999999999998</v>
      </c>
      <c r="EG162">
        <v>9999</v>
      </c>
      <c r="EH162">
        <v>9999</v>
      </c>
      <c r="EI162">
        <v>9999</v>
      </c>
      <c r="EJ162">
        <v>999.9</v>
      </c>
      <c r="EK162">
        <v>1.8689</v>
      </c>
      <c r="EL162">
        <v>1.8646199999999999</v>
      </c>
      <c r="EM162">
        <v>1.86917</v>
      </c>
      <c r="EN162">
        <v>1.8672200000000001</v>
      </c>
      <c r="EO162">
        <v>1.8633900000000001</v>
      </c>
      <c r="EP162">
        <v>1.8644700000000001</v>
      </c>
      <c r="EQ162">
        <v>1.87015</v>
      </c>
      <c r="ER162">
        <v>1.86938</v>
      </c>
      <c r="ES162">
        <v>0</v>
      </c>
      <c r="ET162">
        <v>0</v>
      </c>
      <c r="EU162">
        <v>0</v>
      </c>
      <c r="EV162">
        <v>0</v>
      </c>
      <c r="EW162" t="s">
        <v>334</v>
      </c>
      <c r="EX162" t="s">
        <v>335</v>
      </c>
      <c r="EY162" t="s">
        <v>336</v>
      </c>
      <c r="EZ162" t="s">
        <v>336</v>
      </c>
      <c r="FA162" t="s">
        <v>336</v>
      </c>
      <c r="FB162" t="s">
        <v>336</v>
      </c>
      <c r="FC162">
        <v>0</v>
      </c>
      <c r="FD162">
        <v>100</v>
      </c>
      <c r="FE162">
        <v>100</v>
      </c>
      <c r="FF162">
        <v>-0.151</v>
      </c>
      <c r="FG162">
        <v>0.17199999999999999</v>
      </c>
      <c r="FH162">
        <v>0.2126736300064915</v>
      </c>
      <c r="FI162">
        <v>-6.1462078757559423E-4</v>
      </c>
      <c r="FJ162">
        <v>-1.8861989874597051E-7</v>
      </c>
      <c r="FK162">
        <v>1.1980462299894961E-10</v>
      </c>
      <c r="FL162">
        <v>0.1719881465068297</v>
      </c>
      <c r="FM162">
        <v>0</v>
      </c>
      <c r="FN162">
        <v>0</v>
      </c>
      <c r="FO162">
        <v>0</v>
      </c>
      <c r="FP162">
        <v>3</v>
      </c>
      <c r="FQ162">
        <v>2158</v>
      </c>
      <c r="FR162">
        <v>1</v>
      </c>
      <c r="FS162">
        <v>19</v>
      </c>
      <c r="FT162">
        <v>33.6</v>
      </c>
      <c r="FU162">
        <v>33.799999999999997</v>
      </c>
      <c r="FV162">
        <v>1.7736799999999999</v>
      </c>
      <c r="FW162">
        <v>2.5866699999999998</v>
      </c>
      <c r="FX162">
        <v>1.5490699999999999</v>
      </c>
      <c r="FY162">
        <v>2.3290999999999999</v>
      </c>
      <c r="FZ162">
        <v>1.50146</v>
      </c>
      <c r="GA162">
        <v>2.34741</v>
      </c>
      <c r="GB162">
        <v>33.535499999999999</v>
      </c>
      <c r="GC162">
        <v>23.991199999999999</v>
      </c>
      <c r="GD162">
        <v>19</v>
      </c>
      <c r="GE162">
        <v>285.31700000000001</v>
      </c>
      <c r="GF162">
        <v>588.322</v>
      </c>
      <c r="GG162">
        <v>25.603899999999999</v>
      </c>
      <c r="GH162">
        <v>25.918900000000001</v>
      </c>
      <c r="GI162">
        <v>30.0001</v>
      </c>
      <c r="GJ162">
        <v>26.037500000000001</v>
      </c>
      <c r="GK162">
        <v>26.0154</v>
      </c>
      <c r="GL162">
        <v>35.460999999999999</v>
      </c>
      <c r="GM162">
        <v>58.511699999999998</v>
      </c>
      <c r="GN162">
        <v>70.862099999999998</v>
      </c>
      <c r="GO162">
        <v>25.602</v>
      </c>
      <c r="GP162">
        <v>800</v>
      </c>
      <c r="GQ162">
        <v>8.4691200000000002</v>
      </c>
      <c r="GR162">
        <v>99.829300000000003</v>
      </c>
      <c r="GS162">
        <v>99.707499999999996</v>
      </c>
    </row>
    <row r="163" spans="1:201" x14ac:dyDescent="0.25">
      <c r="A163">
        <v>147</v>
      </c>
      <c r="B163">
        <v>1690234035</v>
      </c>
      <c r="C163">
        <v>1528.900000095367</v>
      </c>
      <c r="D163" t="s">
        <v>625</v>
      </c>
      <c r="E163" t="s">
        <v>626</v>
      </c>
      <c r="F163" t="s">
        <v>330</v>
      </c>
      <c r="H163">
        <v>1690234035</v>
      </c>
      <c r="I163">
        <f t="shared" si="60"/>
        <v>1.5258791934454133E-3</v>
      </c>
      <c r="J163">
        <f t="shared" si="61"/>
        <v>1.5258791934454132</v>
      </c>
      <c r="K163">
        <f t="shared" si="62"/>
        <v>24.042370404000142</v>
      </c>
      <c r="L163">
        <f t="shared" si="63"/>
        <v>531.73</v>
      </c>
      <c r="M163">
        <f t="shared" si="64"/>
        <v>120.79316832838953</v>
      </c>
      <c r="N163">
        <f t="shared" si="65"/>
        <v>11.96966586794351</v>
      </c>
      <c r="O163">
        <f t="shared" si="66"/>
        <v>52.690317838660008</v>
      </c>
      <c r="P163">
        <f t="shared" si="67"/>
        <v>9.7627290864419347E-2</v>
      </c>
      <c r="Q163">
        <f t="shared" si="68"/>
        <v>2.1307483373841154</v>
      </c>
      <c r="R163">
        <f t="shared" si="69"/>
        <v>9.5208628300558998E-2</v>
      </c>
      <c r="S163">
        <f t="shared" si="70"/>
        <v>5.9717709086995377E-2</v>
      </c>
      <c r="T163">
        <f t="shared" si="71"/>
        <v>276.11473008600001</v>
      </c>
      <c r="U163">
        <f t="shared" si="72"/>
        <v>28.761309014031035</v>
      </c>
      <c r="V163">
        <f t="shared" si="73"/>
        <v>28.761309014031035</v>
      </c>
      <c r="W163">
        <f t="shared" si="74"/>
        <v>3.9665575380864362</v>
      </c>
      <c r="X163">
        <f t="shared" si="75"/>
        <v>67.444285783485157</v>
      </c>
      <c r="Y163">
        <f t="shared" si="76"/>
        <v>2.4296922277190003</v>
      </c>
      <c r="Z163">
        <f t="shared" si="77"/>
        <v>3.6025175439161523</v>
      </c>
      <c r="AA163">
        <f t="shared" si="78"/>
        <v>1.5368653103674359</v>
      </c>
      <c r="AB163">
        <f t="shared" si="79"/>
        <v>-67.291272430942726</v>
      </c>
      <c r="AC163">
        <f t="shared" si="80"/>
        <v>-189.59876412244392</v>
      </c>
      <c r="AD163">
        <f t="shared" si="81"/>
        <v>-19.383869884099227</v>
      </c>
      <c r="AE163">
        <f t="shared" si="82"/>
        <v>-0.15917635148588261</v>
      </c>
      <c r="AF163">
        <v>0</v>
      </c>
      <c r="AG163">
        <v>0</v>
      </c>
      <c r="AH163">
        <f t="shared" si="83"/>
        <v>1</v>
      </c>
      <c r="AI163">
        <f t="shared" si="84"/>
        <v>0</v>
      </c>
      <c r="AJ163">
        <f t="shared" si="85"/>
        <v>52362.58552037261</v>
      </c>
      <c r="AK163">
        <f t="shared" si="86"/>
        <v>1800</v>
      </c>
      <c r="AL163">
        <f t="shared" si="87"/>
        <v>1499.1147665999999</v>
      </c>
      <c r="AM163">
        <f t="shared" si="88"/>
        <v>0.83284153699999997</v>
      </c>
      <c r="AN163">
        <f t="shared" si="89"/>
        <v>0.15339707226999999</v>
      </c>
      <c r="AO163">
        <v>32.4</v>
      </c>
      <c r="AP163">
        <v>0.5</v>
      </c>
      <c r="AQ163" t="s">
        <v>331</v>
      </c>
      <c r="AR163">
        <v>2</v>
      </c>
      <c r="AS163">
        <v>1690234035</v>
      </c>
      <c r="AT163">
        <v>531.73</v>
      </c>
      <c r="AU163">
        <v>800.07600000000002</v>
      </c>
      <c r="AV163">
        <v>24.519500000000001</v>
      </c>
      <c r="AW163">
        <v>8.4485200000000003</v>
      </c>
      <c r="AX163">
        <v>531.88</v>
      </c>
      <c r="AY163">
        <v>24.3475</v>
      </c>
      <c r="AZ163">
        <v>300.08300000000003</v>
      </c>
      <c r="BA163">
        <v>98.992199999999997</v>
      </c>
      <c r="BB163">
        <v>0.10004200000000001</v>
      </c>
      <c r="BC163">
        <v>27.110800000000001</v>
      </c>
      <c r="BD163">
        <v>26.994599999999998</v>
      </c>
      <c r="BE163">
        <v>28.951000000000001</v>
      </c>
      <c r="BF163">
        <v>0</v>
      </c>
      <c r="BG163">
        <v>0</v>
      </c>
      <c r="BH163">
        <v>10007.5</v>
      </c>
      <c r="BI163">
        <v>1081.6199999999999</v>
      </c>
      <c r="BJ163">
        <v>1.4577199999999999</v>
      </c>
      <c r="BK163">
        <v>-268.346</v>
      </c>
      <c r="BL163">
        <v>545.096</v>
      </c>
      <c r="BM163">
        <v>806.89300000000003</v>
      </c>
      <c r="BN163">
        <v>16.071000000000002</v>
      </c>
      <c r="BO163">
        <v>800.07600000000002</v>
      </c>
      <c r="BP163">
        <v>8.4485200000000003</v>
      </c>
      <c r="BQ163">
        <v>2.4272399999999998</v>
      </c>
      <c r="BR163">
        <v>0.83633800000000003</v>
      </c>
      <c r="BS163">
        <v>20.546700000000001</v>
      </c>
      <c r="BT163">
        <v>4.3395000000000001</v>
      </c>
      <c r="BU163">
        <v>1800</v>
      </c>
      <c r="BV163">
        <v>0.91001699999999996</v>
      </c>
      <c r="BW163">
        <v>3.3994700000000003E-2</v>
      </c>
      <c r="BX163">
        <v>2.1996600000000002E-2</v>
      </c>
      <c r="BY163">
        <v>3.3991899999999999E-2</v>
      </c>
      <c r="BZ163">
        <v>25</v>
      </c>
      <c r="CA163">
        <v>33528.400000000001</v>
      </c>
      <c r="CB163">
        <v>1690232006</v>
      </c>
      <c r="CC163" t="s">
        <v>332</v>
      </c>
      <c r="CD163">
        <v>1690232006</v>
      </c>
      <c r="CE163">
        <v>1690231998.5</v>
      </c>
      <c r="CF163">
        <v>14</v>
      </c>
      <c r="CG163">
        <v>-0.13200000000000001</v>
      </c>
      <c r="CH163">
        <v>-7.0000000000000001E-3</v>
      </c>
      <c r="CI163">
        <v>-0.33800000000000002</v>
      </c>
      <c r="CJ163">
        <v>0.14299999999999999</v>
      </c>
      <c r="CK163">
        <v>799</v>
      </c>
      <c r="CL163">
        <v>19</v>
      </c>
      <c r="CM163">
        <v>7.0000000000000007E-2</v>
      </c>
      <c r="CN163">
        <v>0.14000000000000001</v>
      </c>
      <c r="CO163">
        <v>-266.58607499999999</v>
      </c>
      <c r="CP163">
        <v>-9.4894221388363</v>
      </c>
      <c r="CQ163">
        <v>0.91444590839207174</v>
      </c>
      <c r="CR163">
        <v>-1</v>
      </c>
      <c r="CS163">
        <v>15.9560575</v>
      </c>
      <c r="CT163">
        <v>0.88537598499059733</v>
      </c>
      <c r="CU163">
        <v>8.6515264224008306E-2</v>
      </c>
      <c r="CV163">
        <v>-1</v>
      </c>
      <c r="CW163">
        <v>0</v>
      </c>
      <c r="CX163">
        <v>0</v>
      </c>
      <c r="CY163" t="s">
        <v>333</v>
      </c>
      <c r="CZ163">
        <v>2.3646400000000001</v>
      </c>
      <c r="DA163">
        <v>2.7138399999999998</v>
      </c>
      <c r="DB163">
        <v>0.11056000000000001</v>
      </c>
      <c r="DC163">
        <v>0.14612800000000001</v>
      </c>
      <c r="DD163">
        <v>0.115677</v>
      </c>
      <c r="DE163">
        <v>5.1889200000000003E-2</v>
      </c>
      <c r="DF163">
        <v>32506</v>
      </c>
      <c r="DG163">
        <v>27555.3</v>
      </c>
      <c r="DH163">
        <v>31198.7</v>
      </c>
      <c r="DI163">
        <v>28118.6</v>
      </c>
      <c r="DJ163">
        <v>37456.400000000001</v>
      </c>
      <c r="DK163">
        <v>37915.9</v>
      </c>
      <c r="DL163">
        <v>44404.2</v>
      </c>
      <c r="DM163">
        <v>42623.199999999997</v>
      </c>
      <c r="DN163">
        <v>1.48512</v>
      </c>
      <c r="DO163">
        <v>2.0471499999999998</v>
      </c>
      <c r="DP163">
        <v>7.5302999999999995E-2</v>
      </c>
      <c r="DQ163">
        <v>0.205822</v>
      </c>
      <c r="DR163">
        <v>25.761800000000001</v>
      </c>
      <c r="DS163">
        <v>25.586500000000001</v>
      </c>
      <c r="DT163">
        <v>50.2</v>
      </c>
      <c r="DU163">
        <v>28.7</v>
      </c>
      <c r="DV163">
        <v>20.041899999999998</v>
      </c>
      <c r="DW163">
        <v>61.628</v>
      </c>
      <c r="DX163">
        <v>37.151400000000002</v>
      </c>
      <c r="DY163">
        <v>1</v>
      </c>
      <c r="DZ163">
        <v>-0.11928900000000001</v>
      </c>
      <c r="EA163">
        <v>-0.434031</v>
      </c>
      <c r="EB163">
        <v>20.1889</v>
      </c>
      <c r="EC163">
        <v>5.2409499999999998</v>
      </c>
      <c r="ED163">
        <v>12.039899999999999</v>
      </c>
      <c r="EE163">
        <v>5.0169499999999996</v>
      </c>
      <c r="EF163">
        <v>3.2879999999999998</v>
      </c>
      <c r="EG163">
        <v>9999</v>
      </c>
      <c r="EH163">
        <v>9999</v>
      </c>
      <c r="EI163">
        <v>9999</v>
      </c>
      <c r="EJ163">
        <v>999.9</v>
      </c>
      <c r="EK163">
        <v>1.8689</v>
      </c>
      <c r="EL163">
        <v>1.8646199999999999</v>
      </c>
      <c r="EM163">
        <v>1.8691800000000001</v>
      </c>
      <c r="EN163">
        <v>1.8672200000000001</v>
      </c>
      <c r="EO163">
        <v>1.86338</v>
      </c>
      <c r="EP163">
        <v>1.8644700000000001</v>
      </c>
      <c r="EQ163">
        <v>1.87015</v>
      </c>
      <c r="ER163">
        <v>1.86937</v>
      </c>
      <c r="ES163">
        <v>0</v>
      </c>
      <c r="ET163">
        <v>0</v>
      </c>
      <c r="EU163">
        <v>0</v>
      </c>
      <c r="EV163">
        <v>0</v>
      </c>
      <c r="EW163" t="s">
        <v>334</v>
      </c>
      <c r="EX163" t="s">
        <v>335</v>
      </c>
      <c r="EY163" t="s">
        <v>336</v>
      </c>
      <c r="EZ163" t="s">
        <v>336</v>
      </c>
      <c r="FA163" t="s">
        <v>336</v>
      </c>
      <c r="FB163" t="s">
        <v>336</v>
      </c>
      <c r="FC163">
        <v>0</v>
      </c>
      <c r="FD163">
        <v>100</v>
      </c>
      <c r="FE163">
        <v>100</v>
      </c>
      <c r="FF163">
        <v>-0.15</v>
      </c>
      <c r="FG163">
        <v>0.17199999999999999</v>
      </c>
      <c r="FH163">
        <v>0.2126736300064915</v>
      </c>
      <c r="FI163">
        <v>-6.1462078757559423E-4</v>
      </c>
      <c r="FJ163">
        <v>-1.8861989874597051E-7</v>
      </c>
      <c r="FK163">
        <v>1.1980462299894961E-10</v>
      </c>
      <c r="FL163">
        <v>0.1719881465068297</v>
      </c>
      <c r="FM163">
        <v>0</v>
      </c>
      <c r="FN163">
        <v>0</v>
      </c>
      <c r="FO163">
        <v>0</v>
      </c>
      <c r="FP163">
        <v>3</v>
      </c>
      <c r="FQ163">
        <v>2158</v>
      </c>
      <c r="FR163">
        <v>1</v>
      </c>
      <c r="FS163">
        <v>19</v>
      </c>
      <c r="FT163">
        <v>33.799999999999997</v>
      </c>
      <c r="FU163">
        <v>33.9</v>
      </c>
      <c r="FV163">
        <v>1.7736799999999999</v>
      </c>
      <c r="FW163">
        <v>2.5854499999999998</v>
      </c>
      <c r="FX163">
        <v>1.5490699999999999</v>
      </c>
      <c r="FY163">
        <v>2.3290999999999999</v>
      </c>
      <c r="FZ163">
        <v>1.50146</v>
      </c>
      <c r="GA163">
        <v>2.34375</v>
      </c>
      <c r="GB163">
        <v>33.535499999999999</v>
      </c>
      <c r="GC163">
        <v>23.982399999999998</v>
      </c>
      <c r="GD163">
        <v>19</v>
      </c>
      <c r="GE163">
        <v>285.28899999999999</v>
      </c>
      <c r="GF163">
        <v>588.39800000000002</v>
      </c>
      <c r="GG163">
        <v>25.614000000000001</v>
      </c>
      <c r="GH163">
        <v>25.918900000000001</v>
      </c>
      <c r="GI163">
        <v>30.0001</v>
      </c>
      <c r="GJ163">
        <v>26.036100000000001</v>
      </c>
      <c r="GK163">
        <v>26.014800000000001</v>
      </c>
      <c r="GL163">
        <v>35.457299999999996</v>
      </c>
      <c r="GM163">
        <v>58.809800000000003</v>
      </c>
      <c r="GN163">
        <v>70.107299999999995</v>
      </c>
      <c r="GO163">
        <v>25.615100000000002</v>
      </c>
      <c r="GP163">
        <v>800</v>
      </c>
      <c r="GQ163">
        <v>8.3340099999999993</v>
      </c>
      <c r="GR163">
        <v>99.829700000000003</v>
      </c>
      <c r="GS163">
        <v>99.705699999999993</v>
      </c>
    </row>
    <row r="164" spans="1:201" x14ac:dyDescent="0.25">
      <c r="A164">
        <v>148</v>
      </c>
      <c r="B164">
        <v>1690234045</v>
      </c>
      <c r="C164">
        <v>1538.900000095367</v>
      </c>
      <c r="D164" t="s">
        <v>627</v>
      </c>
      <c r="E164" t="s">
        <v>628</v>
      </c>
      <c r="F164" t="s">
        <v>330</v>
      </c>
      <c r="H164">
        <v>1690234045</v>
      </c>
      <c r="I164">
        <f t="shared" si="60"/>
        <v>1.5387850521118524E-3</v>
      </c>
      <c r="J164">
        <f t="shared" si="61"/>
        <v>1.5387850521118525</v>
      </c>
      <c r="K164">
        <f t="shared" si="62"/>
        <v>24.178995538517864</v>
      </c>
      <c r="L164">
        <f t="shared" si="63"/>
        <v>530.30700000000002</v>
      </c>
      <c r="M164">
        <f t="shared" si="64"/>
        <v>120.59973094973067</v>
      </c>
      <c r="N164">
        <f t="shared" si="65"/>
        <v>11.951150410149502</v>
      </c>
      <c r="O164">
        <f t="shared" si="66"/>
        <v>52.552179599778007</v>
      </c>
      <c r="P164">
        <f t="shared" si="67"/>
        <v>9.8497685613330985E-2</v>
      </c>
      <c r="Q164">
        <f t="shared" si="68"/>
        <v>2.1289913106401972</v>
      </c>
      <c r="R164">
        <f t="shared" si="69"/>
        <v>9.6034312659372859E-2</v>
      </c>
      <c r="S164">
        <f t="shared" si="70"/>
        <v>6.0237638374539007E-2</v>
      </c>
      <c r="T164">
        <f t="shared" si="71"/>
        <v>276.11459344799999</v>
      </c>
      <c r="U164">
        <f t="shared" si="72"/>
        <v>28.756345325785198</v>
      </c>
      <c r="V164">
        <f t="shared" si="73"/>
        <v>28.756345325785198</v>
      </c>
      <c r="W164">
        <f t="shared" si="74"/>
        <v>3.9654163645178291</v>
      </c>
      <c r="X164">
        <f t="shared" si="75"/>
        <v>67.42553720317332</v>
      </c>
      <c r="Y164">
        <f t="shared" si="76"/>
        <v>2.4287744921206005</v>
      </c>
      <c r="Z164">
        <f t="shared" si="77"/>
        <v>3.6021581627180463</v>
      </c>
      <c r="AA164">
        <f t="shared" si="78"/>
        <v>1.5366418723972286</v>
      </c>
      <c r="AB164">
        <f t="shared" si="79"/>
        <v>-67.860420798132694</v>
      </c>
      <c r="AC164">
        <f t="shared" si="80"/>
        <v>-189.06781974813774</v>
      </c>
      <c r="AD164">
        <f t="shared" si="81"/>
        <v>-19.344897429110034</v>
      </c>
      <c r="AE164">
        <f t="shared" si="82"/>
        <v>-0.15854452738048508</v>
      </c>
      <c r="AF164">
        <v>0</v>
      </c>
      <c r="AG164">
        <v>0</v>
      </c>
      <c r="AH164">
        <f t="shared" si="83"/>
        <v>1</v>
      </c>
      <c r="AI164">
        <f t="shared" si="84"/>
        <v>0</v>
      </c>
      <c r="AJ164">
        <f t="shared" si="85"/>
        <v>52287.342105092517</v>
      </c>
      <c r="AK164">
        <f t="shared" si="86"/>
        <v>1800</v>
      </c>
      <c r="AL164">
        <f t="shared" si="87"/>
        <v>1499.1145038</v>
      </c>
      <c r="AM164">
        <f t="shared" si="88"/>
        <v>0.83284139099999999</v>
      </c>
      <c r="AN164">
        <f t="shared" si="89"/>
        <v>0.15339699635999998</v>
      </c>
      <c r="AO164">
        <v>32.4</v>
      </c>
      <c r="AP164">
        <v>0.5</v>
      </c>
      <c r="AQ164" t="s">
        <v>331</v>
      </c>
      <c r="AR164">
        <v>2</v>
      </c>
      <c r="AS164">
        <v>1690234045</v>
      </c>
      <c r="AT164">
        <v>530.30700000000002</v>
      </c>
      <c r="AU164">
        <v>800.024</v>
      </c>
      <c r="AV164">
        <v>24.508900000000001</v>
      </c>
      <c r="AW164">
        <v>8.3110999999999997</v>
      </c>
      <c r="AX164">
        <v>530.45600000000002</v>
      </c>
      <c r="AY164">
        <v>24.3369</v>
      </c>
      <c r="AZ164">
        <v>300.255</v>
      </c>
      <c r="BA164">
        <v>98.997600000000006</v>
      </c>
      <c r="BB164">
        <v>0.100054</v>
      </c>
      <c r="BC164">
        <v>27.109100000000002</v>
      </c>
      <c r="BD164">
        <v>26.987400000000001</v>
      </c>
      <c r="BE164">
        <v>28.922499999999999</v>
      </c>
      <c r="BF164">
        <v>0</v>
      </c>
      <c r="BG164">
        <v>0</v>
      </c>
      <c r="BH164">
        <v>9991.8799999999992</v>
      </c>
      <c r="BI164">
        <v>1081.6300000000001</v>
      </c>
      <c r="BJ164">
        <v>1.4577199999999999</v>
      </c>
      <c r="BK164">
        <v>-269.71699999999998</v>
      </c>
      <c r="BL164">
        <v>543.63099999999997</v>
      </c>
      <c r="BM164">
        <v>806.72900000000004</v>
      </c>
      <c r="BN164">
        <v>16.197800000000001</v>
      </c>
      <c r="BO164">
        <v>800.024</v>
      </c>
      <c r="BP164">
        <v>8.3110999999999997</v>
      </c>
      <c r="BQ164">
        <v>2.42632</v>
      </c>
      <c r="BR164">
        <v>0.82277900000000004</v>
      </c>
      <c r="BS164">
        <v>20.540500000000002</v>
      </c>
      <c r="BT164">
        <v>4.10649</v>
      </c>
      <c r="BU164">
        <v>1800</v>
      </c>
      <c r="BV164">
        <v>0.91001799999999999</v>
      </c>
      <c r="BW164">
        <v>3.3994200000000002E-2</v>
      </c>
      <c r="BX164">
        <v>2.19963E-2</v>
      </c>
      <c r="BY164">
        <v>3.3991399999999998E-2</v>
      </c>
      <c r="BZ164">
        <v>25</v>
      </c>
      <c r="CA164">
        <v>33528.5</v>
      </c>
      <c r="CB164">
        <v>1690232006</v>
      </c>
      <c r="CC164" t="s">
        <v>332</v>
      </c>
      <c r="CD164">
        <v>1690232006</v>
      </c>
      <c r="CE164">
        <v>1690231998.5</v>
      </c>
      <c r="CF164">
        <v>14</v>
      </c>
      <c r="CG164">
        <v>-0.13200000000000001</v>
      </c>
      <c r="CH164">
        <v>-7.0000000000000001E-3</v>
      </c>
      <c r="CI164">
        <v>-0.33800000000000002</v>
      </c>
      <c r="CJ164">
        <v>0.14299999999999999</v>
      </c>
      <c r="CK164">
        <v>799</v>
      </c>
      <c r="CL164">
        <v>19</v>
      </c>
      <c r="CM164">
        <v>7.0000000000000007E-2</v>
      </c>
      <c r="CN164">
        <v>0.14000000000000001</v>
      </c>
      <c r="CO164">
        <v>-268.18262499999997</v>
      </c>
      <c r="CP164">
        <v>-9.5765515947468192</v>
      </c>
      <c r="CQ164">
        <v>0.9220000728714729</v>
      </c>
      <c r="CR164">
        <v>-1</v>
      </c>
      <c r="CS164">
        <v>16.083842499999999</v>
      </c>
      <c r="CT164">
        <v>0.61349831144460543</v>
      </c>
      <c r="CU164">
        <v>6.0312643315892131E-2</v>
      </c>
      <c r="CV164">
        <v>-1</v>
      </c>
      <c r="CW164">
        <v>0</v>
      </c>
      <c r="CX164">
        <v>0</v>
      </c>
      <c r="CY164" t="s">
        <v>333</v>
      </c>
      <c r="CZ164">
        <v>2.3651800000000001</v>
      </c>
      <c r="DA164">
        <v>2.7138399999999998</v>
      </c>
      <c r="DB164">
        <v>0.11035200000000001</v>
      </c>
      <c r="DC164">
        <v>0.14612700000000001</v>
      </c>
      <c r="DD164">
        <v>0.115648</v>
      </c>
      <c r="DE164">
        <v>5.1228000000000003E-2</v>
      </c>
      <c r="DF164">
        <v>32513.7</v>
      </c>
      <c r="DG164">
        <v>27555.4</v>
      </c>
      <c r="DH164">
        <v>31198.7</v>
      </c>
      <c r="DI164">
        <v>28118.7</v>
      </c>
      <c r="DJ164">
        <v>37457.699999999997</v>
      </c>
      <c r="DK164">
        <v>37942.5</v>
      </c>
      <c r="DL164">
        <v>44404.3</v>
      </c>
      <c r="DM164">
        <v>42623.3</v>
      </c>
      <c r="DN164">
        <v>1.48505</v>
      </c>
      <c r="DO164">
        <v>2.0467499999999998</v>
      </c>
      <c r="DP164">
        <v>7.4997499999999995E-2</v>
      </c>
      <c r="DQ164">
        <v>0.204042</v>
      </c>
      <c r="DR164">
        <v>25.759599999999999</v>
      </c>
      <c r="DS164">
        <v>25.587</v>
      </c>
      <c r="DT164">
        <v>50</v>
      </c>
      <c r="DU164">
        <v>28.7</v>
      </c>
      <c r="DV164">
        <v>19.962900000000001</v>
      </c>
      <c r="DW164">
        <v>61.618000000000002</v>
      </c>
      <c r="DX164">
        <v>36.101799999999997</v>
      </c>
      <c r="DY164">
        <v>1</v>
      </c>
      <c r="DZ164">
        <v>-0.119454</v>
      </c>
      <c r="EA164">
        <v>-0.47952099999999998</v>
      </c>
      <c r="EB164">
        <v>20.188800000000001</v>
      </c>
      <c r="EC164">
        <v>5.2411000000000003</v>
      </c>
      <c r="ED164">
        <v>12.039899999999999</v>
      </c>
      <c r="EE164">
        <v>5.0168499999999998</v>
      </c>
      <c r="EF164">
        <v>3.2879999999999998</v>
      </c>
      <c r="EG164">
        <v>9999</v>
      </c>
      <c r="EH164">
        <v>9999</v>
      </c>
      <c r="EI164">
        <v>9999</v>
      </c>
      <c r="EJ164">
        <v>999.9</v>
      </c>
      <c r="EK164">
        <v>1.8689</v>
      </c>
      <c r="EL164">
        <v>1.8646199999999999</v>
      </c>
      <c r="EM164">
        <v>1.8691899999999999</v>
      </c>
      <c r="EN164">
        <v>1.8672200000000001</v>
      </c>
      <c r="EO164">
        <v>1.8633599999999999</v>
      </c>
      <c r="EP164">
        <v>1.8644700000000001</v>
      </c>
      <c r="EQ164">
        <v>1.87015</v>
      </c>
      <c r="ER164">
        <v>1.86937</v>
      </c>
      <c r="ES164">
        <v>0</v>
      </c>
      <c r="ET164">
        <v>0</v>
      </c>
      <c r="EU164">
        <v>0</v>
      </c>
      <c r="EV164">
        <v>0</v>
      </c>
      <c r="EW164" t="s">
        <v>334</v>
      </c>
      <c r="EX164" t="s">
        <v>335</v>
      </c>
      <c r="EY164" t="s">
        <v>336</v>
      </c>
      <c r="EZ164" t="s">
        <v>336</v>
      </c>
      <c r="FA164" t="s">
        <v>336</v>
      </c>
      <c r="FB164" t="s">
        <v>336</v>
      </c>
      <c r="FC164">
        <v>0</v>
      </c>
      <c r="FD164">
        <v>100</v>
      </c>
      <c r="FE164">
        <v>100</v>
      </c>
      <c r="FF164">
        <v>-0.14899999999999999</v>
      </c>
      <c r="FG164">
        <v>0.17199999999999999</v>
      </c>
      <c r="FH164">
        <v>0.2126736300064915</v>
      </c>
      <c r="FI164">
        <v>-6.1462078757559423E-4</v>
      </c>
      <c r="FJ164">
        <v>-1.8861989874597051E-7</v>
      </c>
      <c r="FK164">
        <v>1.1980462299894961E-10</v>
      </c>
      <c r="FL164">
        <v>0.1719881465068297</v>
      </c>
      <c r="FM164">
        <v>0</v>
      </c>
      <c r="FN164">
        <v>0</v>
      </c>
      <c r="FO164">
        <v>0</v>
      </c>
      <c r="FP164">
        <v>3</v>
      </c>
      <c r="FQ164">
        <v>2158</v>
      </c>
      <c r="FR164">
        <v>1</v>
      </c>
      <c r="FS164">
        <v>19</v>
      </c>
      <c r="FT164">
        <v>34</v>
      </c>
      <c r="FU164">
        <v>34.1</v>
      </c>
      <c r="FV164">
        <v>1.7724599999999999</v>
      </c>
      <c r="FW164">
        <v>2.5866699999999998</v>
      </c>
      <c r="FX164">
        <v>1.5490699999999999</v>
      </c>
      <c r="FY164">
        <v>2.3278799999999999</v>
      </c>
      <c r="FZ164">
        <v>1.50146</v>
      </c>
      <c r="GA164">
        <v>2.34497</v>
      </c>
      <c r="GB164">
        <v>33.535499999999999</v>
      </c>
      <c r="GC164">
        <v>23.991199999999999</v>
      </c>
      <c r="GD164">
        <v>19</v>
      </c>
      <c r="GE164">
        <v>285.25599999999997</v>
      </c>
      <c r="GF164">
        <v>588.048</v>
      </c>
      <c r="GG164">
        <v>25.625800000000002</v>
      </c>
      <c r="GH164">
        <v>25.917000000000002</v>
      </c>
      <c r="GI164">
        <v>29.9999</v>
      </c>
      <c r="GJ164">
        <v>26.035900000000002</v>
      </c>
      <c r="GK164">
        <v>26.013300000000001</v>
      </c>
      <c r="GL164">
        <v>35.452300000000001</v>
      </c>
      <c r="GM164">
        <v>59.080399999999997</v>
      </c>
      <c r="GN164">
        <v>69.327100000000002</v>
      </c>
      <c r="GO164">
        <v>25.632899999999999</v>
      </c>
      <c r="GP164">
        <v>800</v>
      </c>
      <c r="GQ164">
        <v>8.2038899999999995</v>
      </c>
      <c r="GR164">
        <v>99.829899999999995</v>
      </c>
      <c r="GS164">
        <v>99.706000000000003</v>
      </c>
    </row>
    <row r="165" spans="1:201" x14ac:dyDescent="0.25">
      <c r="A165">
        <v>149</v>
      </c>
      <c r="B165">
        <v>1690234055</v>
      </c>
      <c r="C165">
        <v>1548.900000095367</v>
      </c>
      <c r="D165" t="s">
        <v>629</v>
      </c>
      <c r="E165" t="s">
        <v>630</v>
      </c>
      <c r="F165" t="s">
        <v>330</v>
      </c>
      <c r="H165">
        <v>1690234055</v>
      </c>
      <c r="I165">
        <f t="shared" si="60"/>
        <v>1.553483275541925E-3</v>
      </c>
      <c r="J165">
        <f t="shared" si="61"/>
        <v>1.553483275541925</v>
      </c>
      <c r="K165">
        <f t="shared" si="62"/>
        <v>24.319182943675983</v>
      </c>
      <c r="L165">
        <f t="shared" si="63"/>
        <v>528.70100000000002</v>
      </c>
      <c r="M165">
        <f t="shared" si="64"/>
        <v>120.94044118362962</v>
      </c>
      <c r="N165">
        <f t="shared" si="65"/>
        <v>11.984131873189545</v>
      </c>
      <c r="O165">
        <f t="shared" si="66"/>
        <v>52.389609658087004</v>
      </c>
      <c r="P165">
        <f t="shared" si="67"/>
        <v>9.9566075595686407E-2</v>
      </c>
      <c r="Q165">
        <f t="shared" si="68"/>
        <v>2.1313886390503907</v>
      </c>
      <c r="R165">
        <f t="shared" si="69"/>
        <v>9.7052461760874398E-2</v>
      </c>
      <c r="S165">
        <f t="shared" si="70"/>
        <v>6.0878341379367963E-2</v>
      </c>
      <c r="T165">
        <f t="shared" si="71"/>
        <v>276.11451414000004</v>
      </c>
      <c r="U165">
        <f t="shared" si="72"/>
        <v>28.746545151491471</v>
      </c>
      <c r="V165">
        <f t="shared" si="73"/>
        <v>28.746545151491471</v>
      </c>
      <c r="W165">
        <f t="shared" si="74"/>
        <v>3.9631641024033439</v>
      </c>
      <c r="X165">
        <f t="shared" si="75"/>
        <v>67.421452284419075</v>
      </c>
      <c r="Y165">
        <f t="shared" si="76"/>
        <v>2.4281998100789002</v>
      </c>
      <c r="Z165">
        <f t="shared" si="77"/>
        <v>3.6015240369422457</v>
      </c>
      <c r="AA165">
        <f t="shared" si="78"/>
        <v>1.5349642923244438</v>
      </c>
      <c r="AB165">
        <f t="shared" si="79"/>
        <v>-68.508612451398889</v>
      </c>
      <c r="AC165">
        <f t="shared" si="80"/>
        <v>-188.49932707722675</v>
      </c>
      <c r="AD165">
        <f t="shared" si="81"/>
        <v>-19.263807319659406</v>
      </c>
      <c r="AE165">
        <f t="shared" si="82"/>
        <v>-0.15723270828502223</v>
      </c>
      <c r="AF165">
        <v>0</v>
      </c>
      <c r="AG165">
        <v>0</v>
      </c>
      <c r="AH165">
        <f t="shared" si="83"/>
        <v>1</v>
      </c>
      <c r="AI165">
        <f t="shared" si="84"/>
        <v>0</v>
      </c>
      <c r="AJ165">
        <f t="shared" si="85"/>
        <v>52390.972641286105</v>
      </c>
      <c r="AK165">
        <f t="shared" si="86"/>
        <v>1800</v>
      </c>
      <c r="AL165">
        <f t="shared" si="87"/>
        <v>1499.1145020000001</v>
      </c>
      <c r="AM165">
        <f t="shared" si="88"/>
        <v>0.83284139000000001</v>
      </c>
      <c r="AN165">
        <f t="shared" si="89"/>
        <v>0.15339695230000003</v>
      </c>
      <c r="AO165">
        <v>32.4</v>
      </c>
      <c r="AP165">
        <v>0.5</v>
      </c>
      <c r="AQ165" t="s">
        <v>331</v>
      </c>
      <c r="AR165">
        <v>2</v>
      </c>
      <c r="AS165">
        <v>1690234055</v>
      </c>
      <c r="AT165">
        <v>528.70100000000002</v>
      </c>
      <c r="AU165">
        <v>800.11900000000003</v>
      </c>
      <c r="AV165">
        <v>24.5047</v>
      </c>
      <c r="AW165">
        <v>8.1442099999999993</v>
      </c>
      <c r="AX165">
        <v>528.84799999999996</v>
      </c>
      <c r="AY165">
        <v>24.332699999999999</v>
      </c>
      <c r="AZ165">
        <v>300.11</v>
      </c>
      <c r="BA165">
        <v>98.991200000000006</v>
      </c>
      <c r="BB165">
        <v>9.9987000000000006E-2</v>
      </c>
      <c r="BC165">
        <v>27.106100000000001</v>
      </c>
      <c r="BD165">
        <v>26.994199999999999</v>
      </c>
      <c r="BE165">
        <v>28.928100000000001</v>
      </c>
      <c r="BF165">
        <v>0</v>
      </c>
      <c r="BG165">
        <v>0</v>
      </c>
      <c r="BH165">
        <v>10013.1</v>
      </c>
      <c r="BI165">
        <v>1081.54</v>
      </c>
      <c r="BJ165">
        <v>1.4577199999999999</v>
      </c>
      <c r="BK165">
        <v>-271.41800000000001</v>
      </c>
      <c r="BL165">
        <v>541.98199999999997</v>
      </c>
      <c r="BM165">
        <v>806.68899999999996</v>
      </c>
      <c r="BN165">
        <v>16.360499999999998</v>
      </c>
      <c r="BO165">
        <v>800.11900000000003</v>
      </c>
      <c r="BP165">
        <v>8.1442099999999993</v>
      </c>
      <c r="BQ165">
        <v>2.4257499999999999</v>
      </c>
      <c r="BR165">
        <v>0.80620499999999995</v>
      </c>
      <c r="BS165">
        <v>20.5367</v>
      </c>
      <c r="BT165">
        <v>3.8170299999999999</v>
      </c>
      <c r="BU165">
        <v>1800</v>
      </c>
      <c r="BV165">
        <v>0.91001900000000002</v>
      </c>
      <c r="BW165">
        <v>3.3993799999999998E-2</v>
      </c>
      <c r="BX165">
        <v>2.1996000000000002E-2</v>
      </c>
      <c r="BY165">
        <v>3.3991E-2</v>
      </c>
      <c r="BZ165">
        <v>25</v>
      </c>
      <c r="CA165">
        <v>33528.5</v>
      </c>
      <c r="CB165">
        <v>1690232006</v>
      </c>
      <c r="CC165" t="s">
        <v>332</v>
      </c>
      <c r="CD165">
        <v>1690232006</v>
      </c>
      <c r="CE165">
        <v>1690231998.5</v>
      </c>
      <c r="CF165">
        <v>14</v>
      </c>
      <c r="CG165">
        <v>-0.13200000000000001</v>
      </c>
      <c r="CH165">
        <v>-7.0000000000000001E-3</v>
      </c>
      <c r="CI165">
        <v>-0.33800000000000002</v>
      </c>
      <c r="CJ165">
        <v>0.14299999999999999</v>
      </c>
      <c r="CK165">
        <v>799</v>
      </c>
      <c r="CL165">
        <v>19</v>
      </c>
      <c r="CM165">
        <v>7.0000000000000007E-2</v>
      </c>
      <c r="CN165">
        <v>0.14000000000000001</v>
      </c>
      <c r="CO165">
        <v>-269.61456097560978</v>
      </c>
      <c r="CP165">
        <v>-9.0751358885022224</v>
      </c>
      <c r="CQ165">
        <v>0.89715199921563404</v>
      </c>
      <c r="CR165">
        <v>-1</v>
      </c>
      <c r="CS165">
        <v>16.185970731707322</v>
      </c>
      <c r="CT165">
        <v>0.76442508710800972</v>
      </c>
      <c r="CU165">
        <v>7.5649262063050768E-2</v>
      </c>
      <c r="CV165">
        <v>-1</v>
      </c>
      <c r="CW165">
        <v>0</v>
      </c>
      <c r="CX165">
        <v>0</v>
      </c>
      <c r="CY165" t="s">
        <v>333</v>
      </c>
      <c r="CZ165">
        <v>2.3647</v>
      </c>
      <c r="DA165">
        <v>2.7137899999999999</v>
      </c>
      <c r="DB165">
        <v>0.11010399999999999</v>
      </c>
      <c r="DC165">
        <v>0.14612700000000001</v>
      </c>
      <c r="DD165">
        <v>0.11562699999999999</v>
      </c>
      <c r="DE165">
        <v>5.0413300000000001E-2</v>
      </c>
      <c r="DF165">
        <v>32522.799999999999</v>
      </c>
      <c r="DG165">
        <v>27555.5</v>
      </c>
      <c r="DH165">
        <v>31198.799999999999</v>
      </c>
      <c r="DI165">
        <v>28118.799999999999</v>
      </c>
      <c r="DJ165">
        <v>37458.300000000003</v>
      </c>
      <c r="DK165">
        <v>37975.300000000003</v>
      </c>
      <c r="DL165">
        <v>44404</v>
      </c>
      <c r="DM165">
        <v>42623.4</v>
      </c>
      <c r="DN165">
        <v>1.48542</v>
      </c>
      <c r="DO165">
        <v>2.0465499999999999</v>
      </c>
      <c r="DP165">
        <v>7.5414800000000004E-2</v>
      </c>
      <c r="DQ165">
        <v>0.20441400000000001</v>
      </c>
      <c r="DR165">
        <v>25.759599999999999</v>
      </c>
      <c r="DS165">
        <v>25.586500000000001</v>
      </c>
      <c r="DT165">
        <v>49.6</v>
      </c>
      <c r="DU165">
        <v>28.8</v>
      </c>
      <c r="DV165">
        <v>19.920200000000001</v>
      </c>
      <c r="DW165">
        <v>61.728000000000002</v>
      </c>
      <c r="DX165">
        <v>37.103400000000001</v>
      </c>
      <c r="DY165">
        <v>1</v>
      </c>
      <c r="DZ165">
        <v>-0.11944100000000001</v>
      </c>
      <c r="EA165">
        <v>-0.47194700000000001</v>
      </c>
      <c r="EB165">
        <v>20.188800000000001</v>
      </c>
      <c r="EC165">
        <v>5.2411000000000003</v>
      </c>
      <c r="ED165">
        <v>12.039899999999999</v>
      </c>
      <c r="EE165">
        <v>5.0166000000000004</v>
      </c>
      <c r="EF165">
        <v>3.2879999999999998</v>
      </c>
      <c r="EG165">
        <v>9999</v>
      </c>
      <c r="EH165">
        <v>9999</v>
      </c>
      <c r="EI165">
        <v>9999</v>
      </c>
      <c r="EJ165">
        <v>999.9</v>
      </c>
      <c r="EK165">
        <v>1.8689</v>
      </c>
      <c r="EL165">
        <v>1.8646199999999999</v>
      </c>
      <c r="EM165">
        <v>1.86917</v>
      </c>
      <c r="EN165">
        <v>1.8672200000000001</v>
      </c>
      <c r="EO165">
        <v>1.86338</v>
      </c>
      <c r="EP165">
        <v>1.8644700000000001</v>
      </c>
      <c r="EQ165">
        <v>1.8701300000000001</v>
      </c>
      <c r="ER165">
        <v>1.8693599999999999</v>
      </c>
      <c r="ES165">
        <v>0</v>
      </c>
      <c r="ET165">
        <v>0</v>
      </c>
      <c r="EU165">
        <v>0</v>
      </c>
      <c r="EV165">
        <v>0</v>
      </c>
      <c r="EW165" t="s">
        <v>334</v>
      </c>
      <c r="EX165" t="s">
        <v>335</v>
      </c>
      <c r="EY165" t="s">
        <v>336</v>
      </c>
      <c r="EZ165" t="s">
        <v>336</v>
      </c>
      <c r="FA165" t="s">
        <v>336</v>
      </c>
      <c r="FB165" t="s">
        <v>336</v>
      </c>
      <c r="FC165">
        <v>0</v>
      </c>
      <c r="FD165">
        <v>100</v>
      </c>
      <c r="FE165">
        <v>100</v>
      </c>
      <c r="FF165">
        <v>-0.14699999999999999</v>
      </c>
      <c r="FG165">
        <v>0.17199999999999999</v>
      </c>
      <c r="FH165">
        <v>0.2126736300064915</v>
      </c>
      <c r="FI165">
        <v>-6.1462078757559423E-4</v>
      </c>
      <c r="FJ165">
        <v>-1.8861989874597051E-7</v>
      </c>
      <c r="FK165">
        <v>1.1980462299894961E-10</v>
      </c>
      <c r="FL165">
        <v>0.1719881465068297</v>
      </c>
      <c r="FM165">
        <v>0</v>
      </c>
      <c r="FN165">
        <v>0</v>
      </c>
      <c r="FO165">
        <v>0</v>
      </c>
      <c r="FP165">
        <v>3</v>
      </c>
      <c r="FQ165">
        <v>2158</v>
      </c>
      <c r="FR165">
        <v>1</v>
      </c>
      <c r="FS165">
        <v>19</v>
      </c>
      <c r="FT165">
        <v>34.1</v>
      </c>
      <c r="FU165">
        <v>34.299999999999997</v>
      </c>
      <c r="FV165">
        <v>1.7724599999999999</v>
      </c>
      <c r="FW165">
        <v>2.5842299999999998</v>
      </c>
      <c r="FX165">
        <v>1.5490699999999999</v>
      </c>
      <c r="FY165">
        <v>2.3278799999999999</v>
      </c>
      <c r="FZ165">
        <v>1.50146</v>
      </c>
      <c r="GA165">
        <v>2.36816</v>
      </c>
      <c r="GB165">
        <v>33.535499999999999</v>
      </c>
      <c r="GC165">
        <v>23.982399999999998</v>
      </c>
      <c r="GD165">
        <v>19</v>
      </c>
      <c r="GE165">
        <v>285.40800000000002</v>
      </c>
      <c r="GF165">
        <v>587.86900000000003</v>
      </c>
      <c r="GG165">
        <v>25.647500000000001</v>
      </c>
      <c r="GH165">
        <v>25.916699999999999</v>
      </c>
      <c r="GI165">
        <v>30</v>
      </c>
      <c r="GJ165">
        <v>26.033899999999999</v>
      </c>
      <c r="GK165">
        <v>26.0121</v>
      </c>
      <c r="GL165">
        <v>35.443399999999997</v>
      </c>
      <c r="GM165">
        <v>59.367199999999997</v>
      </c>
      <c r="GN165">
        <v>68.938000000000002</v>
      </c>
      <c r="GO165">
        <v>25.648800000000001</v>
      </c>
      <c r="GP165">
        <v>800</v>
      </c>
      <c r="GQ165">
        <v>8.0676299999999994</v>
      </c>
      <c r="GR165">
        <v>99.829599999999999</v>
      </c>
      <c r="GS165">
        <v>99.706299999999999</v>
      </c>
    </row>
    <row r="166" spans="1:201" x14ac:dyDescent="0.25">
      <c r="A166">
        <v>150</v>
      </c>
      <c r="B166">
        <v>1690234065</v>
      </c>
      <c r="C166">
        <v>1558.900000095367</v>
      </c>
      <c r="D166" t="s">
        <v>631</v>
      </c>
      <c r="E166" t="s">
        <v>632</v>
      </c>
      <c r="F166" t="s">
        <v>330</v>
      </c>
      <c r="H166">
        <v>1690234065</v>
      </c>
      <c r="I166">
        <f t="shared" si="60"/>
        <v>1.5641456574284607E-3</v>
      </c>
      <c r="J166">
        <f t="shared" si="61"/>
        <v>1.5641456574284607</v>
      </c>
      <c r="K166">
        <f t="shared" si="62"/>
        <v>24.447563692576331</v>
      </c>
      <c r="L166">
        <f t="shared" si="63"/>
        <v>527.30399999999997</v>
      </c>
      <c r="M166">
        <f t="shared" si="64"/>
        <v>119.51618919538927</v>
      </c>
      <c r="N166">
        <f t="shared" si="65"/>
        <v>11.8430196259035</v>
      </c>
      <c r="O166">
        <f t="shared" si="66"/>
        <v>52.251261212889602</v>
      </c>
      <c r="P166">
        <f t="shared" si="67"/>
        <v>0.10009650433148773</v>
      </c>
      <c r="Q166">
        <f t="shared" si="68"/>
        <v>2.1259253494459722</v>
      </c>
      <c r="R166">
        <f t="shared" si="69"/>
        <v>9.7550056256692677E-2</v>
      </c>
      <c r="S166">
        <f t="shared" si="70"/>
        <v>6.1192177712163495E-2</v>
      </c>
      <c r="T166">
        <f t="shared" si="71"/>
        <v>276.11292284079553</v>
      </c>
      <c r="U166">
        <f t="shared" si="72"/>
        <v>28.751527784777068</v>
      </c>
      <c r="V166">
        <f t="shared" si="73"/>
        <v>28.751527784777068</v>
      </c>
      <c r="W166">
        <f t="shared" si="74"/>
        <v>3.9643090646455077</v>
      </c>
      <c r="X166">
        <f t="shared" si="75"/>
        <v>67.360089428071191</v>
      </c>
      <c r="Y166">
        <f t="shared" si="76"/>
        <v>2.4266875205705603</v>
      </c>
      <c r="Z166">
        <f t="shared" si="77"/>
        <v>3.6025598261145997</v>
      </c>
      <c r="AA166">
        <f t="shared" si="78"/>
        <v>1.5376215440749474</v>
      </c>
      <c r="AB166">
        <f t="shared" si="79"/>
        <v>-68.978823492595112</v>
      </c>
      <c r="AC166">
        <f t="shared" si="80"/>
        <v>-188.02562633774946</v>
      </c>
      <c r="AD166">
        <f t="shared" si="81"/>
        <v>-19.265726714040586</v>
      </c>
      <c r="AE166">
        <f t="shared" si="82"/>
        <v>-0.15725370358958912</v>
      </c>
      <c r="AF166">
        <v>0</v>
      </c>
      <c r="AG166">
        <v>0</v>
      </c>
      <c r="AH166">
        <f t="shared" si="83"/>
        <v>1</v>
      </c>
      <c r="AI166">
        <f t="shared" si="84"/>
        <v>0</v>
      </c>
      <c r="AJ166">
        <f t="shared" si="85"/>
        <v>52155.03148020208</v>
      </c>
      <c r="AK166">
        <f t="shared" si="86"/>
        <v>1799.99</v>
      </c>
      <c r="AL166">
        <f t="shared" si="87"/>
        <v>1499.1059125875499</v>
      </c>
      <c r="AM166">
        <f t="shared" si="88"/>
        <v>0.83284124500000001</v>
      </c>
      <c r="AN166">
        <f t="shared" si="89"/>
        <v>0.15339692045000003</v>
      </c>
      <c r="AO166">
        <v>32.4</v>
      </c>
      <c r="AP166">
        <v>0.5</v>
      </c>
      <c r="AQ166" t="s">
        <v>331</v>
      </c>
      <c r="AR166">
        <v>2</v>
      </c>
      <c r="AS166">
        <v>1690234065</v>
      </c>
      <c r="AT166">
        <v>527.30399999999997</v>
      </c>
      <c r="AU166">
        <v>800.13800000000003</v>
      </c>
      <c r="AV166">
        <v>24.4894</v>
      </c>
      <c r="AW166">
        <v>8.0167999999999999</v>
      </c>
      <c r="AX166">
        <v>527.45000000000005</v>
      </c>
      <c r="AY166">
        <v>24.317399999999999</v>
      </c>
      <c r="AZ166">
        <v>300.11799999999999</v>
      </c>
      <c r="BA166">
        <v>98.991399999999999</v>
      </c>
      <c r="BB166">
        <v>9.9942400000000001E-2</v>
      </c>
      <c r="BC166">
        <v>27.111000000000001</v>
      </c>
      <c r="BD166">
        <v>26.997</v>
      </c>
      <c r="BE166">
        <v>28.954599999999999</v>
      </c>
      <c r="BF166">
        <v>0</v>
      </c>
      <c r="BG166">
        <v>0</v>
      </c>
      <c r="BH166">
        <v>9966.25</v>
      </c>
      <c r="BI166">
        <v>1081.6199999999999</v>
      </c>
      <c r="BJ166">
        <v>1.4577199999999999</v>
      </c>
      <c r="BK166">
        <v>-272.83499999999998</v>
      </c>
      <c r="BL166">
        <v>540.54100000000005</v>
      </c>
      <c r="BM166">
        <v>806.60500000000002</v>
      </c>
      <c r="BN166">
        <v>16.4726</v>
      </c>
      <c r="BO166">
        <v>800.13800000000003</v>
      </c>
      <c r="BP166">
        <v>8.0167999999999999</v>
      </c>
      <c r="BQ166">
        <v>2.4242400000000002</v>
      </c>
      <c r="BR166">
        <v>0.79359400000000002</v>
      </c>
      <c r="BS166">
        <v>20.526599999999998</v>
      </c>
      <c r="BT166">
        <v>3.5932300000000001</v>
      </c>
      <c r="BU166">
        <v>1799.99</v>
      </c>
      <c r="BV166">
        <v>0.91001900000000002</v>
      </c>
      <c r="BW166">
        <v>3.3993700000000002E-2</v>
      </c>
      <c r="BX166">
        <v>2.1996000000000002E-2</v>
      </c>
      <c r="BY166">
        <v>3.3990899999999998E-2</v>
      </c>
      <c r="BZ166">
        <v>25</v>
      </c>
      <c r="CA166">
        <v>33528.400000000001</v>
      </c>
      <c r="CB166">
        <v>1690232006</v>
      </c>
      <c r="CC166" t="s">
        <v>332</v>
      </c>
      <c r="CD166">
        <v>1690232006</v>
      </c>
      <c r="CE166">
        <v>1690231998.5</v>
      </c>
      <c r="CF166">
        <v>14</v>
      </c>
      <c r="CG166">
        <v>-0.13200000000000001</v>
      </c>
      <c r="CH166">
        <v>-7.0000000000000001E-3</v>
      </c>
      <c r="CI166">
        <v>-0.33800000000000002</v>
      </c>
      <c r="CJ166">
        <v>0.14299999999999999</v>
      </c>
      <c r="CK166">
        <v>799</v>
      </c>
      <c r="CL166">
        <v>19</v>
      </c>
      <c r="CM166">
        <v>7.0000000000000007E-2</v>
      </c>
      <c r="CN166">
        <v>0.14000000000000001</v>
      </c>
      <c r="CO166">
        <v>-271.18742500000002</v>
      </c>
      <c r="CP166">
        <v>-8.7755009380857878</v>
      </c>
      <c r="CQ166">
        <v>0.84927559977607336</v>
      </c>
      <c r="CR166">
        <v>-1</v>
      </c>
      <c r="CS166">
        <v>16.341899999999999</v>
      </c>
      <c r="CT166">
        <v>0.9413651031894239</v>
      </c>
      <c r="CU166">
        <v>9.1304274270156568E-2</v>
      </c>
      <c r="CV166">
        <v>-1</v>
      </c>
      <c r="CW166">
        <v>0</v>
      </c>
      <c r="CX166">
        <v>0</v>
      </c>
      <c r="CY166" t="s">
        <v>333</v>
      </c>
      <c r="CZ166">
        <v>2.3647399999999998</v>
      </c>
      <c r="DA166">
        <v>2.7136999999999998</v>
      </c>
      <c r="DB166">
        <v>0.10989400000000001</v>
      </c>
      <c r="DC166">
        <v>0.14612700000000001</v>
      </c>
      <c r="DD166">
        <v>0.115577</v>
      </c>
      <c r="DE166">
        <v>4.9790599999999997E-2</v>
      </c>
      <c r="DF166">
        <v>32530.7</v>
      </c>
      <c r="DG166">
        <v>27555.9</v>
      </c>
      <c r="DH166">
        <v>31199</v>
      </c>
      <c r="DI166">
        <v>28119.200000000001</v>
      </c>
      <c r="DJ166">
        <v>37460.800000000003</v>
      </c>
      <c r="DK166">
        <v>38001</v>
      </c>
      <c r="DL166">
        <v>44404.5</v>
      </c>
      <c r="DM166">
        <v>42624.2</v>
      </c>
      <c r="DN166">
        <v>1.4851700000000001</v>
      </c>
      <c r="DO166">
        <v>2.0464000000000002</v>
      </c>
      <c r="DP166">
        <v>7.5623399999999993E-2</v>
      </c>
      <c r="DQ166">
        <v>0.20627699999999999</v>
      </c>
      <c r="DR166">
        <v>25.759</v>
      </c>
      <c r="DS166">
        <v>25.582599999999999</v>
      </c>
      <c r="DT166">
        <v>49.3</v>
      </c>
      <c r="DU166">
        <v>28.7</v>
      </c>
      <c r="DV166">
        <v>19.6861</v>
      </c>
      <c r="DW166">
        <v>61.688000000000002</v>
      </c>
      <c r="DX166">
        <v>36.398200000000003</v>
      </c>
      <c r="DY166">
        <v>1</v>
      </c>
      <c r="DZ166">
        <v>-0.11941300000000001</v>
      </c>
      <c r="EA166">
        <v>-0.45757399999999998</v>
      </c>
      <c r="EB166">
        <v>20.188700000000001</v>
      </c>
      <c r="EC166">
        <v>5.2416999999999998</v>
      </c>
      <c r="ED166">
        <v>12.039899999999999</v>
      </c>
      <c r="EE166">
        <v>5.01675</v>
      </c>
      <c r="EF166">
        <v>3.2879999999999998</v>
      </c>
      <c r="EG166">
        <v>9999</v>
      </c>
      <c r="EH166">
        <v>9999</v>
      </c>
      <c r="EI166">
        <v>9999</v>
      </c>
      <c r="EJ166">
        <v>999.9</v>
      </c>
      <c r="EK166">
        <v>1.8689</v>
      </c>
      <c r="EL166">
        <v>1.8646100000000001</v>
      </c>
      <c r="EM166">
        <v>1.86917</v>
      </c>
      <c r="EN166">
        <v>1.8672200000000001</v>
      </c>
      <c r="EO166">
        <v>1.8633999999999999</v>
      </c>
      <c r="EP166">
        <v>1.8644700000000001</v>
      </c>
      <c r="EQ166">
        <v>1.87015</v>
      </c>
      <c r="ER166">
        <v>1.86937</v>
      </c>
      <c r="ES166">
        <v>0</v>
      </c>
      <c r="ET166">
        <v>0</v>
      </c>
      <c r="EU166">
        <v>0</v>
      </c>
      <c r="EV166">
        <v>0</v>
      </c>
      <c r="EW166" t="s">
        <v>334</v>
      </c>
      <c r="EX166" t="s">
        <v>335</v>
      </c>
      <c r="EY166" t="s">
        <v>336</v>
      </c>
      <c r="EZ166" t="s">
        <v>336</v>
      </c>
      <c r="FA166" t="s">
        <v>336</v>
      </c>
      <c r="FB166" t="s">
        <v>336</v>
      </c>
      <c r="FC166">
        <v>0</v>
      </c>
      <c r="FD166">
        <v>100</v>
      </c>
      <c r="FE166">
        <v>100</v>
      </c>
      <c r="FF166">
        <v>-0.14599999999999999</v>
      </c>
      <c r="FG166">
        <v>0.17199999999999999</v>
      </c>
      <c r="FH166">
        <v>0.2126736300064915</v>
      </c>
      <c r="FI166">
        <v>-6.1462078757559423E-4</v>
      </c>
      <c r="FJ166">
        <v>-1.8861989874597051E-7</v>
      </c>
      <c r="FK166">
        <v>1.1980462299894961E-10</v>
      </c>
      <c r="FL166">
        <v>0.1719881465068297</v>
      </c>
      <c r="FM166">
        <v>0</v>
      </c>
      <c r="FN166">
        <v>0</v>
      </c>
      <c r="FO166">
        <v>0</v>
      </c>
      <c r="FP166">
        <v>3</v>
      </c>
      <c r="FQ166">
        <v>2158</v>
      </c>
      <c r="FR166">
        <v>1</v>
      </c>
      <c r="FS166">
        <v>19</v>
      </c>
      <c r="FT166">
        <v>34.299999999999997</v>
      </c>
      <c r="FU166">
        <v>34.4</v>
      </c>
      <c r="FV166">
        <v>1.7724599999999999</v>
      </c>
      <c r="FW166">
        <v>2.5878899999999998</v>
      </c>
      <c r="FX166">
        <v>1.5490699999999999</v>
      </c>
      <c r="FY166">
        <v>2.3278799999999999</v>
      </c>
      <c r="FZ166">
        <v>1.50146</v>
      </c>
      <c r="GA166">
        <v>2.32178</v>
      </c>
      <c r="GB166">
        <v>33.535499999999999</v>
      </c>
      <c r="GC166">
        <v>23.991199999999999</v>
      </c>
      <c r="GD166">
        <v>19</v>
      </c>
      <c r="GE166">
        <v>285.29700000000003</v>
      </c>
      <c r="GF166">
        <v>587.73299999999995</v>
      </c>
      <c r="GG166">
        <v>25.657299999999999</v>
      </c>
      <c r="GH166">
        <v>25.9148</v>
      </c>
      <c r="GI166">
        <v>30</v>
      </c>
      <c r="GJ166">
        <v>26.033100000000001</v>
      </c>
      <c r="GK166">
        <v>26.011099999999999</v>
      </c>
      <c r="GL166">
        <v>35.440800000000003</v>
      </c>
      <c r="GM166">
        <v>59.367199999999997</v>
      </c>
      <c r="GN166">
        <v>68.158799999999999</v>
      </c>
      <c r="GO166">
        <v>25.657299999999999</v>
      </c>
      <c r="GP166">
        <v>800</v>
      </c>
      <c r="GQ166">
        <v>7.9407800000000002</v>
      </c>
      <c r="GR166">
        <v>99.830500000000001</v>
      </c>
      <c r="GS166">
        <v>99.707999999999998</v>
      </c>
    </row>
    <row r="167" spans="1:201" x14ac:dyDescent="0.25">
      <c r="A167">
        <v>151</v>
      </c>
      <c r="B167">
        <v>1690234075</v>
      </c>
      <c r="C167">
        <v>1568.900000095367</v>
      </c>
      <c r="D167" t="s">
        <v>633</v>
      </c>
      <c r="E167" t="s">
        <v>634</v>
      </c>
      <c r="F167" t="s">
        <v>330</v>
      </c>
      <c r="H167">
        <v>1690234075</v>
      </c>
      <c r="I167">
        <f t="shared" si="60"/>
        <v>1.5729997802235089E-3</v>
      </c>
      <c r="J167">
        <f t="shared" si="61"/>
        <v>1.5729997802235089</v>
      </c>
      <c r="K167">
        <f t="shared" si="62"/>
        <v>24.569590497833996</v>
      </c>
      <c r="L167">
        <f t="shared" si="63"/>
        <v>525.87400000000002</v>
      </c>
      <c r="M167">
        <f t="shared" si="64"/>
        <v>118.29654712395822</v>
      </c>
      <c r="N167">
        <f t="shared" si="65"/>
        <v>11.722378553305385</v>
      </c>
      <c r="O167">
        <f t="shared" si="66"/>
        <v>52.110515895966003</v>
      </c>
      <c r="P167">
        <f t="shared" si="67"/>
        <v>0.10064882433179678</v>
      </c>
      <c r="Q167">
        <f t="shared" si="68"/>
        <v>2.1301065219888553</v>
      </c>
      <c r="R167">
        <f t="shared" si="69"/>
        <v>9.8079499991559987E-2</v>
      </c>
      <c r="S167">
        <f t="shared" si="70"/>
        <v>6.1525068144500011E-2</v>
      </c>
      <c r="T167">
        <f t="shared" si="71"/>
        <v>276.11437750199997</v>
      </c>
      <c r="U167">
        <f t="shared" si="72"/>
        <v>28.749522588675983</v>
      </c>
      <c r="V167">
        <f t="shared" si="73"/>
        <v>28.749522588675983</v>
      </c>
      <c r="W167">
        <f t="shared" si="74"/>
        <v>3.9638482547691831</v>
      </c>
      <c r="X167">
        <f t="shared" si="75"/>
        <v>67.320489441604138</v>
      </c>
      <c r="Y167">
        <f t="shared" si="76"/>
        <v>2.4258302602676998</v>
      </c>
      <c r="Z167">
        <f t="shared" si="77"/>
        <v>3.6034055610542457</v>
      </c>
      <c r="AA167">
        <f t="shared" si="78"/>
        <v>1.5380179945014834</v>
      </c>
      <c r="AB167">
        <f t="shared" si="79"/>
        <v>-69.369290307856744</v>
      </c>
      <c r="AC167">
        <f t="shared" si="80"/>
        <v>-187.70579999381846</v>
      </c>
      <c r="AD167">
        <f t="shared" si="81"/>
        <v>-19.195393821359001</v>
      </c>
      <c r="AE167">
        <f t="shared" si="82"/>
        <v>-0.15610662103424033</v>
      </c>
      <c r="AF167">
        <v>0</v>
      </c>
      <c r="AG167">
        <v>0</v>
      </c>
      <c r="AH167">
        <f t="shared" si="83"/>
        <v>1</v>
      </c>
      <c r="AI167">
        <f t="shared" si="84"/>
        <v>0</v>
      </c>
      <c r="AJ167">
        <f t="shared" si="85"/>
        <v>52334.228451940166</v>
      </c>
      <c r="AK167">
        <f t="shared" si="86"/>
        <v>1800</v>
      </c>
      <c r="AL167">
        <f t="shared" si="87"/>
        <v>1499.1142392000002</v>
      </c>
      <c r="AM167">
        <f t="shared" si="88"/>
        <v>0.83284124400000004</v>
      </c>
      <c r="AN167">
        <f t="shared" si="89"/>
        <v>0.15339687638999999</v>
      </c>
      <c r="AO167">
        <v>32.4</v>
      </c>
      <c r="AP167">
        <v>0.5</v>
      </c>
      <c r="AQ167" t="s">
        <v>331</v>
      </c>
      <c r="AR167">
        <v>2</v>
      </c>
      <c r="AS167">
        <v>1690234075</v>
      </c>
      <c r="AT167">
        <v>525.87400000000002</v>
      </c>
      <c r="AU167">
        <v>800.02499999999998</v>
      </c>
      <c r="AV167">
        <v>24.4803</v>
      </c>
      <c r="AW167">
        <v>7.9158999999999997</v>
      </c>
      <c r="AX167">
        <v>526.01900000000001</v>
      </c>
      <c r="AY167">
        <v>24.308299999999999</v>
      </c>
      <c r="AZ167">
        <v>300.14699999999999</v>
      </c>
      <c r="BA167">
        <v>98.993099999999998</v>
      </c>
      <c r="BB167">
        <v>0.100059</v>
      </c>
      <c r="BC167">
        <v>27.114999999999998</v>
      </c>
      <c r="BD167">
        <v>26.9877</v>
      </c>
      <c r="BE167">
        <v>28.933299999999999</v>
      </c>
      <c r="BF167">
        <v>0</v>
      </c>
      <c r="BG167">
        <v>0</v>
      </c>
      <c r="BH167">
        <v>10001.9</v>
      </c>
      <c r="BI167">
        <v>1081.69</v>
      </c>
      <c r="BJ167">
        <v>1.4577199999999999</v>
      </c>
      <c r="BK167">
        <v>-274.15100000000001</v>
      </c>
      <c r="BL167">
        <v>539.07100000000003</v>
      </c>
      <c r="BM167">
        <v>806.40899999999999</v>
      </c>
      <c r="BN167">
        <v>16.564399999999999</v>
      </c>
      <c r="BO167">
        <v>800.02499999999998</v>
      </c>
      <c r="BP167">
        <v>7.9158999999999997</v>
      </c>
      <c r="BQ167">
        <v>2.4233799999999999</v>
      </c>
      <c r="BR167">
        <v>0.78361899999999995</v>
      </c>
      <c r="BS167">
        <v>20.520800000000001</v>
      </c>
      <c r="BT167">
        <v>3.41398</v>
      </c>
      <c r="BU167">
        <v>1800</v>
      </c>
      <c r="BV167">
        <v>0.91002000000000005</v>
      </c>
      <c r="BW167">
        <v>3.3993299999999997E-2</v>
      </c>
      <c r="BX167">
        <v>2.19957E-2</v>
      </c>
      <c r="BY167">
        <v>3.39905E-2</v>
      </c>
      <c r="BZ167">
        <v>25</v>
      </c>
      <c r="CA167">
        <v>33528.5</v>
      </c>
      <c r="CB167">
        <v>1690232006</v>
      </c>
      <c r="CC167" t="s">
        <v>332</v>
      </c>
      <c r="CD167">
        <v>1690232006</v>
      </c>
      <c r="CE167">
        <v>1690231998.5</v>
      </c>
      <c r="CF167">
        <v>14</v>
      </c>
      <c r="CG167">
        <v>-0.13200000000000001</v>
      </c>
      <c r="CH167">
        <v>-7.0000000000000001E-3</v>
      </c>
      <c r="CI167">
        <v>-0.33800000000000002</v>
      </c>
      <c r="CJ167">
        <v>0.14299999999999999</v>
      </c>
      <c r="CK167">
        <v>799</v>
      </c>
      <c r="CL167">
        <v>19</v>
      </c>
      <c r="CM167">
        <v>7.0000000000000007E-2</v>
      </c>
      <c r="CN167">
        <v>0.14000000000000001</v>
      </c>
      <c r="CO167">
        <v>-272.65287499999999</v>
      </c>
      <c r="CP167">
        <v>-8.9434333958718355</v>
      </c>
      <c r="CQ167">
        <v>0.86318193874466542</v>
      </c>
      <c r="CR167">
        <v>-1</v>
      </c>
      <c r="CS167">
        <v>16.461690000000001</v>
      </c>
      <c r="CT167">
        <v>0.4829696060037173</v>
      </c>
      <c r="CU167">
        <v>4.8174297088800611E-2</v>
      </c>
      <c r="CV167">
        <v>-1</v>
      </c>
      <c r="CW167">
        <v>0</v>
      </c>
      <c r="CX167">
        <v>0</v>
      </c>
      <c r="CY167" t="s">
        <v>333</v>
      </c>
      <c r="CZ167">
        <v>2.3648500000000001</v>
      </c>
      <c r="DA167">
        <v>2.7138499999999999</v>
      </c>
      <c r="DB167">
        <v>0.10968</v>
      </c>
      <c r="DC167">
        <v>0.14611399999999999</v>
      </c>
      <c r="DD167">
        <v>0.115549</v>
      </c>
      <c r="DE167">
        <v>4.9295699999999998E-2</v>
      </c>
      <c r="DF167">
        <v>32538.400000000001</v>
      </c>
      <c r="DG167">
        <v>27556.6</v>
      </c>
      <c r="DH167">
        <v>31198.9</v>
      </c>
      <c r="DI167">
        <v>28119.5</v>
      </c>
      <c r="DJ167">
        <v>37461.9</v>
      </c>
      <c r="DK167">
        <v>38021.1</v>
      </c>
      <c r="DL167">
        <v>44404.4</v>
      </c>
      <c r="DM167">
        <v>42624.5</v>
      </c>
      <c r="DN167">
        <v>1.4854499999999999</v>
      </c>
      <c r="DO167">
        <v>2.0459999999999998</v>
      </c>
      <c r="DP167">
        <v>7.5146599999999994E-2</v>
      </c>
      <c r="DQ167">
        <v>0.205234</v>
      </c>
      <c r="DR167">
        <v>25.7575</v>
      </c>
      <c r="DS167">
        <v>25.578199999999999</v>
      </c>
      <c r="DT167">
        <v>49</v>
      </c>
      <c r="DU167">
        <v>28.8</v>
      </c>
      <c r="DV167">
        <v>19.6767</v>
      </c>
      <c r="DW167">
        <v>61.677999999999997</v>
      </c>
      <c r="DX167">
        <v>36.963099999999997</v>
      </c>
      <c r="DY167">
        <v>1</v>
      </c>
      <c r="DZ167">
        <v>-0.119548</v>
      </c>
      <c r="EA167">
        <v>-0.46988000000000002</v>
      </c>
      <c r="EB167">
        <v>20.188600000000001</v>
      </c>
      <c r="EC167">
        <v>5.2408000000000001</v>
      </c>
      <c r="ED167">
        <v>12.039899999999999</v>
      </c>
      <c r="EE167">
        <v>5.0166500000000003</v>
      </c>
      <c r="EF167">
        <v>3.2879999999999998</v>
      </c>
      <c r="EG167">
        <v>9999</v>
      </c>
      <c r="EH167">
        <v>9999</v>
      </c>
      <c r="EI167">
        <v>9999</v>
      </c>
      <c r="EJ167">
        <v>999.9</v>
      </c>
      <c r="EK167">
        <v>1.8689</v>
      </c>
      <c r="EL167">
        <v>1.8646100000000001</v>
      </c>
      <c r="EM167">
        <v>1.8691800000000001</v>
      </c>
      <c r="EN167">
        <v>1.8672200000000001</v>
      </c>
      <c r="EO167">
        <v>1.86338</v>
      </c>
      <c r="EP167">
        <v>1.8644700000000001</v>
      </c>
      <c r="EQ167">
        <v>1.8701300000000001</v>
      </c>
      <c r="ER167">
        <v>1.86937</v>
      </c>
      <c r="ES167">
        <v>0</v>
      </c>
      <c r="ET167">
        <v>0</v>
      </c>
      <c r="EU167">
        <v>0</v>
      </c>
      <c r="EV167">
        <v>0</v>
      </c>
      <c r="EW167" t="s">
        <v>334</v>
      </c>
      <c r="EX167" t="s">
        <v>335</v>
      </c>
      <c r="EY167" t="s">
        <v>336</v>
      </c>
      <c r="EZ167" t="s">
        <v>336</v>
      </c>
      <c r="FA167" t="s">
        <v>336</v>
      </c>
      <c r="FB167" t="s">
        <v>336</v>
      </c>
      <c r="FC167">
        <v>0</v>
      </c>
      <c r="FD167">
        <v>100</v>
      </c>
      <c r="FE167">
        <v>100</v>
      </c>
      <c r="FF167">
        <v>-0.14499999999999999</v>
      </c>
      <c r="FG167">
        <v>0.17199999999999999</v>
      </c>
      <c r="FH167">
        <v>0.2126736300064915</v>
      </c>
      <c r="FI167">
        <v>-6.1462078757559423E-4</v>
      </c>
      <c r="FJ167">
        <v>-1.8861989874597051E-7</v>
      </c>
      <c r="FK167">
        <v>1.1980462299894961E-10</v>
      </c>
      <c r="FL167">
        <v>0.1719881465068297</v>
      </c>
      <c r="FM167">
        <v>0</v>
      </c>
      <c r="FN167">
        <v>0</v>
      </c>
      <c r="FO167">
        <v>0</v>
      </c>
      <c r="FP167">
        <v>3</v>
      </c>
      <c r="FQ167">
        <v>2158</v>
      </c>
      <c r="FR167">
        <v>1</v>
      </c>
      <c r="FS167">
        <v>19</v>
      </c>
      <c r="FT167">
        <v>34.5</v>
      </c>
      <c r="FU167">
        <v>34.6</v>
      </c>
      <c r="FV167">
        <v>1.7724599999999999</v>
      </c>
      <c r="FW167">
        <v>2.5878899999999998</v>
      </c>
      <c r="FX167">
        <v>1.5490699999999999</v>
      </c>
      <c r="FY167">
        <v>2.3278799999999999</v>
      </c>
      <c r="FZ167">
        <v>1.50146</v>
      </c>
      <c r="GA167">
        <v>2.3584000000000001</v>
      </c>
      <c r="GB167">
        <v>33.535499999999999</v>
      </c>
      <c r="GC167">
        <v>23.991199999999999</v>
      </c>
      <c r="GD167">
        <v>19</v>
      </c>
      <c r="GE167">
        <v>285.40800000000002</v>
      </c>
      <c r="GF167">
        <v>587.39499999999998</v>
      </c>
      <c r="GG167">
        <v>25.6633</v>
      </c>
      <c r="GH167">
        <v>25.9145</v>
      </c>
      <c r="GI167">
        <v>30.0002</v>
      </c>
      <c r="GJ167">
        <v>26.031700000000001</v>
      </c>
      <c r="GK167">
        <v>26.0106</v>
      </c>
      <c r="GL167">
        <v>35.441400000000002</v>
      </c>
      <c r="GM167">
        <v>59.658499999999997</v>
      </c>
      <c r="GN167">
        <v>67.391099999999994</v>
      </c>
      <c r="GO167">
        <v>25.6662</v>
      </c>
      <c r="GP167">
        <v>800</v>
      </c>
      <c r="GQ167">
        <v>7.8132299999999999</v>
      </c>
      <c r="GR167">
        <v>99.830299999999994</v>
      </c>
      <c r="GS167">
        <v>99.708799999999997</v>
      </c>
    </row>
    <row r="168" spans="1:201" x14ac:dyDescent="0.25">
      <c r="A168">
        <v>152</v>
      </c>
      <c r="B168">
        <v>1690234085</v>
      </c>
      <c r="C168">
        <v>1578.900000095367</v>
      </c>
      <c r="D168" t="s">
        <v>635</v>
      </c>
      <c r="E168" t="s">
        <v>636</v>
      </c>
      <c r="F168" t="s">
        <v>330</v>
      </c>
      <c r="H168">
        <v>1690234085</v>
      </c>
      <c r="I168">
        <f t="shared" si="60"/>
        <v>1.5883741384626019E-3</v>
      </c>
      <c r="J168">
        <f t="shared" si="61"/>
        <v>1.5883741384626018</v>
      </c>
      <c r="K168">
        <f t="shared" si="62"/>
        <v>24.690795524272691</v>
      </c>
      <c r="L168">
        <f t="shared" si="63"/>
        <v>524.55700000000002</v>
      </c>
      <c r="M168">
        <f t="shared" si="64"/>
        <v>119.3300314024939</v>
      </c>
      <c r="N168">
        <f t="shared" si="65"/>
        <v>11.824524146592418</v>
      </c>
      <c r="O168">
        <f t="shared" si="66"/>
        <v>51.978842541680997</v>
      </c>
      <c r="P168">
        <f t="shared" si="67"/>
        <v>0.10176633104758107</v>
      </c>
      <c r="Q168">
        <f t="shared" si="68"/>
        <v>2.129567774962696</v>
      </c>
      <c r="R168">
        <f t="shared" si="69"/>
        <v>9.9139791172641337E-2</v>
      </c>
      <c r="S168">
        <f t="shared" si="70"/>
        <v>6.2192707375531231E-2</v>
      </c>
      <c r="T168">
        <f t="shared" si="71"/>
        <v>276.11457035399997</v>
      </c>
      <c r="U168">
        <f t="shared" si="72"/>
        <v>28.740244426325283</v>
      </c>
      <c r="V168">
        <f t="shared" si="73"/>
        <v>28.740244426325283</v>
      </c>
      <c r="W168">
        <f t="shared" si="74"/>
        <v>3.9617166679720333</v>
      </c>
      <c r="X168">
        <f t="shared" si="75"/>
        <v>67.322488359528037</v>
      </c>
      <c r="Y168">
        <f t="shared" si="76"/>
        <v>2.4252902215481997</v>
      </c>
      <c r="Z168">
        <f t="shared" si="77"/>
        <v>3.6024964029793654</v>
      </c>
      <c r="AA168">
        <f t="shared" si="78"/>
        <v>1.5364264464238335</v>
      </c>
      <c r="AB168">
        <f t="shared" si="79"/>
        <v>-70.047299506200744</v>
      </c>
      <c r="AC168">
        <f t="shared" si="80"/>
        <v>-187.0867862750701</v>
      </c>
      <c r="AD168">
        <f t="shared" si="81"/>
        <v>-19.135635601386237</v>
      </c>
      <c r="AE168">
        <f t="shared" si="82"/>
        <v>-0.15515102865711583</v>
      </c>
      <c r="AF168">
        <v>0</v>
      </c>
      <c r="AG168">
        <v>0</v>
      </c>
      <c r="AH168">
        <f t="shared" si="83"/>
        <v>1</v>
      </c>
      <c r="AI168">
        <f t="shared" si="84"/>
        <v>0</v>
      </c>
      <c r="AJ168">
        <f t="shared" si="85"/>
        <v>52311.733341567815</v>
      </c>
      <c r="AK168">
        <f t="shared" si="86"/>
        <v>1800</v>
      </c>
      <c r="AL168">
        <f t="shared" si="87"/>
        <v>1499.1157494000001</v>
      </c>
      <c r="AM168">
        <f t="shared" si="88"/>
        <v>0.83284208300000007</v>
      </c>
      <c r="AN168">
        <f t="shared" si="89"/>
        <v>0.15339698352999998</v>
      </c>
      <c r="AO168">
        <v>32.4</v>
      </c>
      <c r="AP168">
        <v>0.5</v>
      </c>
      <c r="AQ168" t="s">
        <v>331</v>
      </c>
      <c r="AR168">
        <v>2</v>
      </c>
      <c r="AS168">
        <v>1690234085</v>
      </c>
      <c r="AT168">
        <v>524.55700000000002</v>
      </c>
      <c r="AU168">
        <v>800.02599999999995</v>
      </c>
      <c r="AV168">
        <v>24.4754</v>
      </c>
      <c r="AW168">
        <v>7.7523600000000004</v>
      </c>
      <c r="AX168">
        <v>524.70100000000002</v>
      </c>
      <c r="AY168">
        <v>24.3034</v>
      </c>
      <c r="AZ168">
        <v>300.20699999999999</v>
      </c>
      <c r="BA168">
        <v>98.990899999999996</v>
      </c>
      <c r="BB168">
        <v>0.100033</v>
      </c>
      <c r="BC168">
        <v>27.110700000000001</v>
      </c>
      <c r="BD168">
        <v>26.996700000000001</v>
      </c>
      <c r="BE168">
        <v>28.949200000000001</v>
      </c>
      <c r="BF168">
        <v>0</v>
      </c>
      <c r="BG168">
        <v>0</v>
      </c>
      <c r="BH168">
        <v>9997.5</v>
      </c>
      <c r="BI168">
        <v>1081.6600000000001</v>
      </c>
      <c r="BJ168">
        <v>1.4577199999999999</v>
      </c>
      <c r="BK168">
        <v>-275.47000000000003</v>
      </c>
      <c r="BL168">
        <v>537.71699999999998</v>
      </c>
      <c r="BM168">
        <v>806.27700000000004</v>
      </c>
      <c r="BN168">
        <v>16.723099999999999</v>
      </c>
      <c r="BO168">
        <v>800.02599999999995</v>
      </c>
      <c r="BP168">
        <v>7.7523600000000004</v>
      </c>
      <c r="BQ168">
        <v>2.4228399999999999</v>
      </c>
      <c r="BR168">
        <v>0.76741300000000001</v>
      </c>
      <c r="BS168">
        <v>20.517299999999999</v>
      </c>
      <c r="BT168">
        <v>3.1183900000000002</v>
      </c>
      <c r="BU168">
        <v>1800</v>
      </c>
      <c r="BV168">
        <v>0.910022</v>
      </c>
      <c r="BW168">
        <v>3.39929E-2</v>
      </c>
      <c r="BX168">
        <v>2.1995399999999998E-2</v>
      </c>
      <c r="BY168">
        <v>3.3990100000000002E-2</v>
      </c>
      <c r="BZ168">
        <v>25</v>
      </c>
      <c r="CA168">
        <v>33528.5</v>
      </c>
      <c r="CB168">
        <v>1690232006</v>
      </c>
      <c r="CC168" t="s">
        <v>332</v>
      </c>
      <c r="CD168">
        <v>1690232006</v>
      </c>
      <c r="CE168">
        <v>1690231998.5</v>
      </c>
      <c r="CF168">
        <v>14</v>
      </c>
      <c r="CG168">
        <v>-0.13200000000000001</v>
      </c>
      <c r="CH168">
        <v>-7.0000000000000001E-3</v>
      </c>
      <c r="CI168">
        <v>-0.33800000000000002</v>
      </c>
      <c r="CJ168">
        <v>0.14299999999999999</v>
      </c>
      <c r="CK168">
        <v>799</v>
      </c>
      <c r="CL168">
        <v>19</v>
      </c>
      <c r="CM168">
        <v>7.0000000000000007E-2</v>
      </c>
      <c r="CN168">
        <v>0.14000000000000001</v>
      </c>
      <c r="CO168">
        <v>-274.00075609756101</v>
      </c>
      <c r="CP168">
        <v>-8.6203902439027331</v>
      </c>
      <c r="CQ168">
        <v>0.85393570273999109</v>
      </c>
      <c r="CR168">
        <v>-1</v>
      </c>
      <c r="CS168">
        <v>16.55474146341464</v>
      </c>
      <c r="CT168">
        <v>0.7334132404181416</v>
      </c>
      <c r="CU168">
        <v>7.4630144879181681E-2</v>
      </c>
      <c r="CV168">
        <v>-1</v>
      </c>
      <c r="CW168">
        <v>0</v>
      </c>
      <c r="CX168">
        <v>0</v>
      </c>
      <c r="CY168" t="s">
        <v>333</v>
      </c>
      <c r="CZ168">
        <v>2.3650199999999999</v>
      </c>
      <c r="DA168">
        <v>2.7138200000000001</v>
      </c>
      <c r="DB168">
        <v>0.10947900000000001</v>
      </c>
      <c r="DC168">
        <v>0.14610799999999999</v>
      </c>
      <c r="DD168">
        <v>0.11552999999999999</v>
      </c>
      <c r="DE168">
        <v>4.8486799999999997E-2</v>
      </c>
      <c r="DF168">
        <v>32545.7</v>
      </c>
      <c r="DG168">
        <v>27556.9</v>
      </c>
      <c r="DH168">
        <v>31198.799999999999</v>
      </c>
      <c r="DI168">
        <v>28119.599999999999</v>
      </c>
      <c r="DJ168">
        <v>37462.5</v>
      </c>
      <c r="DK168">
        <v>38053.699999999997</v>
      </c>
      <c r="DL168">
        <v>44404.2</v>
      </c>
      <c r="DM168">
        <v>42624.7</v>
      </c>
      <c r="DN168">
        <v>1.4854700000000001</v>
      </c>
      <c r="DO168">
        <v>2.0460799999999999</v>
      </c>
      <c r="DP168">
        <v>7.5831999999999997E-2</v>
      </c>
      <c r="DQ168">
        <v>0.20641100000000001</v>
      </c>
      <c r="DR168">
        <v>25.755299999999998</v>
      </c>
      <c r="DS168">
        <v>25.574999999999999</v>
      </c>
      <c r="DT168">
        <v>48.7</v>
      </c>
      <c r="DU168">
        <v>28.7</v>
      </c>
      <c r="DV168">
        <v>19.4438</v>
      </c>
      <c r="DW168">
        <v>61.578000000000003</v>
      </c>
      <c r="DX168">
        <v>36.350200000000001</v>
      </c>
      <c r="DY168">
        <v>1</v>
      </c>
      <c r="DZ168">
        <v>-0.119827</v>
      </c>
      <c r="EA168">
        <v>-0.46892200000000001</v>
      </c>
      <c r="EB168">
        <v>20.1889</v>
      </c>
      <c r="EC168">
        <v>5.24125</v>
      </c>
      <c r="ED168">
        <v>12.039899999999999</v>
      </c>
      <c r="EE168">
        <v>5.0164499999999999</v>
      </c>
      <c r="EF168">
        <v>3.2879999999999998</v>
      </c>
      <c r="EG168">
        <v>9999</v>
      </c>
      <c r="EH168">
        <v>9999</v>
      </c>
      <c r="EI168">
        <v>9999</v>
      </c>
      <c r="EJ168">
        <v>999.9</v>
      </c>
      <c r="EK168">
        <v>1.8689</v>
      </c>
      <c r="EL168">
        <v>1.8646</v>
      </c>
      <c r="EM168">
        <v>1.8691500000000001</v>
      </c>
      <c r="EN168">
        <v>1.8672200000000001</v>
      </c>
      <c r="EO168">
        <v>1.86337</v>
      </c>
      <c r="EP168">
        <v>1.8644700000000001</v>
      </c>
      <c r="EQ168">
        <v>1.8701399999999999</v>
      </c>
      <c r="ER168">
        <v>1.8693500000000001</v>
      </c>
      <c r="ES168">
        <v>0</v>
      </c>
      <c r="ET168">
        <v>0</v>
      </c>
      <c r="EU168">
        <v>0</v>
      </c>
      <c r="EV168">
        <v>0</v>
      </c>
      <c r="EW168" t="s">
        <v>334</v>
      </c>
      <c r="EX168" t="s">
        <v>335</v>
      </c>
      <c r="EY168" t="s">
        <v>336</v>
      </c>
      <c r="EZ168" t="s">
        <v>336</v>
      </c>
      <c r="FA168" t="s">
        <v>336</v>
      </c>
      <c r="FB168" t="s">
        <v>336</v>
      </c>
      <c r="FC168">
        <v>0</v>
      </c>
      <c r="FD168">
        <v>100</v>
      </c>
      <c r="FE168">
        <v>100</v>
      </c>
      <c r="FF168">
        <v>-0.14399999999999999</v>
      </c>
      <c r="FG168">
        <v>0.17199999999999999</v>
      </c>
      <c r="FH168">
        <v>0.2126736300064915</v>
      </c>
      <c r="FI168">
        <v>-6.1462078757559423E-4</v>
      </c>
      <c r="FJ168">
        <v>-1.8861989874597051E-7</v>
      </c>
      <c r="FK168">
        <v>1.1980462299894961E-10</v>
      </c>
      <c r="FL168">
        <v>0.1719881465068297</v>
      </c>
      <c r="FM168">
        <v>0</v>
      </c>
      <c r="FN168">
        <v>0</v>
      </c>
      <c r="FO168">
        <v>0</v>
      </c>
      <c r="FP168">
        <v>3</v>
      </c>
      <c r="FQ168">
        <v>2158</v>
      </c>
      <c r="FR168">
        <v>1</v>
      </c>
      <c r="FS168">
        <v>19</v>
      </c>
      <c r="FT168">
        <v>34.6</v>
      </c>
      <c r="FU168">
        <v>34.799999999999997</v>
      </c>
      <c r="FV168">
        <v>1.7724599999999999</v>
      </c>
      <c r="FW168">
        <v>2.5866699999999998</v>
      </c>
      <c r="FX168">
        <v>1.5490699999999999</v>
      </c>
      <c r="FY168">
        <v>2.3278799999999999</v>
      </c>
      <c r="FZ168">
        <v>1.50146</v>
      </c>
      <c r="GA168">
        <v>2.2973599999999998</v>
      </c>
      <c r="GB168">
        <v>33.512999999999998</v>
      </c>
      <c r="GC168">
        <v>23.991199999999999</v>
      </c>
      <c r="GD168">
        <v>19</v>
      </c>
      <c r="GE168">
        <v>285.41800000000001</v>
      </c>
      <c r="GF168">
        <v>587.43899999999996</v>
      </c>
      <c r="GG168">
        <v>25.677800000000001</v>
      </c>
      <c r="GH168">
        <v>25.912299999999998</v>
      </c>
      <c r="GI168">
        <v>30.0001</v>
      </c>
      <c r="GJ168">
        <v>26.031500000000001</v>
      </c>
      <c r="GK168">
        <v>26.009</v>
      </c>
      <c r="GL168">
        <v>35.433599999999998</v>
      </c>
      <c r="GM168">
        <v>59.948599999999999</v>
      </c>
      <c r="GN168">
        <v>66.638800000000003</v>
      </c>
      <c r="GO168">
        <v>25.677099999999999</v>
      </c>
      <c r="GP168">
        <v>800</v>
      </c>
      <c r="GQ168">
        <v>7.6856299999999997</v>
      </c>
      <c r="GR168">
        <v>99.829899999999995</v>
      </c>
      <c r="GS168">
        <v>99.709199999999996</v>
      </c>
    </row>
    <row r="169" spans="1:201" x14ac:dyDescent="0.25">
      <c r="A169">
        <v>153</v>
      </c>
      <c r="B169">
        <v>1690234095</v>
      </c>
      <c r="C169">
        <v>1588.900000095367</v>
      </c>
      <c r="D169" t="s">
        <v>637</v>
      </c>
      <c r="E169" t="s">
        <v>638</v>
      </c>
      <c r="F169" t="s">
        <v>330</v>
      </c>
      <c r="H169">
        <v>1690234095</v>
      </c>
      <c r="I169">
        <f t="shared" si="60"/>
        <v>1.5945025791843897E-3</v>
      </c>
      <c r="J169">
        <f t="shared" si="61"/>
        <v>1.5945025791843896</v>
      </c>
      <c r="K169">
        <f t="shared" si="62"/>
        <v>24.810852976496658</v>
      </c>
      <c r="L169">
        <f t="shared" si="63"/>
        <v>523.20000000000005</v>
      </c>
      <c r="M169">
        <f t="shared" si="64"/>
        <v>117.22104276958179</v>
      </c>
      <c r="N169">
        <f t="shared" si="65"/>
        <v>11.615531710934828</v>
      </c>
      <c r="O169">
        <f t="shared" si="66"/>
        <v>51.844328011200005</v>
      </c>
      <c r="P169">
        <f t="shared" si="67"/>
        <v>0.10206692686275268</v>
      </c>
      <c r="Q169">
        <f t="shared" si="68"/>
        <v>2.1279626267120206</v>
      </c>
      <c r="R169">
        <f t="shared" si="69"/>
        <v>9.9423127327886926E-2</v>
      </c>
      <c r="S169">
        <f t="shared" si="70"/>
        <v>6.2371285574673779E-2</v>
      </c>
      <c r="T169">
        <f t="shared" si="71"/>
        <v>276.11457035399997</v>
      </c>
      <c r="U169">
        <f t="shared" si="72"/>
        <v>28.740819248809807</v>
      </c>
      <c r="V169">
        <f t="shared" si="73"/>
        <v>28.740819248809807</v>
      </c>
      <c r="W169">
        <f t="shared" si="74"/>
        <v>3.9618486999845874</v>
      </c>
      <c r="X169">
        <f t="shared" si="75"/>
        <v>67.277049913067074</v>
      </c>
      <c r="Y169">
        <f t="shared" si="76"/>
        <v>2.4238808798692002</v>
      </c>
      <c r="Z169">
        <f t="shared" si="77"/>
        <v>3.6028346709632033</v>
      </c>
      <c r="AA169">
        <f t="shared" si="78"/>
        <v>1.5379678201153872</v>
      </c>
      <c r="AB169">
        <f t="shared" si="79"/>
        <v>-70.317563742031581</v>
      </c>
      <c r="AC169">
        <f t="shared" si="80"/>
        <v>-186.82815963815898</v>
      </c>
      <c r="AD169">
        <f t="shared" si="81"/>
        <v>-19.123804143626828</v>
      </c>
      <c r="AE169">
        <f t="shared" si="82"/>
        <v>-0.15495716981743612</v>
      </c>
      <c r="AF169">
        <v>0</v>
      </c>
      <c r="AG169">
        <v>0</v>
      </c>
      <c r="AH169">
        <f t="shared" si="83"/>
        <v>1</v>
      </c>
      <c r="AI169">
        <f t="shared" si="84"/>
        <v>0</v>
      </c>
      <c r="AJ169">
        <f t="shared" si="85"/>
        <v>52242.377892613396</v>
      </c>
      <c r="AK169">
        <f t="shared" si="86"/>
        <v>1800</v>
      </c>
      <c r="AL169">
        <f t="shared" si="87"/>
        <v>1499.1157494000001</v>
      </c>
      <c r="AM169">
        <f t="shared" si="88"/>
        <v>0.83284208300000007</v>
      </c>
      <c r="AN169">
        <f t="shared" si="89"/>
        <v>0.15339698352999998</v>
      </c>
      <c r="AO169">
        <v>32.4</v>
      </c>
      <c r="AP169">
        <v>0.5</v>
      </c>
      <c r="AQ169" t="s">
        <v>331</v>
      </c>
      <c r="AR169">
        <v>2</v>
      </c>
      <c r="AS169">
        <v>1690234095</v>
      </c>
      <c r="AT169">
        <v>523.20000000000005</v>
      </c>
      <c r="AU169">
        <v>800.048</v>
      </c>
      <c r="AV169">
        <v>24.461200000000002</v>
      </c>
      <c r="AW169">
        <v>7.6690300000000002</v>
      </c>
      <c r="AX169">
        <v>523.34400000000005</v>
      </c>
      <c r="AY169">
        <v>24.289200000000001</v>
      </c>
      <c r="AZ169">
        <v>300.12900000000002</v>
      </c>
      <c r="BA169">
        <v>98.990799999999993</v>
      </c>
      <c r="BB169">
        <v>0.100041</v>
      </c>
      <c r="BC169">
        <v>27.112300000000001</v>
      </c>
      <c r="BD169">
        <v>27.009399999999999</v>
      </c>
      <c r="BE169">
        <v>28.921500000000002</v>
      </c>
      <c r="BF169">
        <v>0</v>
      </c>
      <c r="BG169">
        <v>0</v>
      </c>
      <c r="BH169">
        <v>9983.75</v>
      </c>
      <c r="BI169">
        <v>1081.6500000000001</v>
      </c>
      <c r="BJ169">
        <v>1.4577199999999999</v>
      </c>
      <c r="BK169">
        <v>-276.84800000000001</v>
      </c>
      <c r="BL169">
        <v>536.31899999999996</v>
      </c>
      <c r="BM169">
        <v>806.23099999999999</v>
      </c>
      <c r="BN169">
        <v>16.792200000000001</v>
      </c>
      <c r="BO169">
        <v>800.048</v>
      </c>
      <c r="BP169">
        <v>7.6690300000000002</v>
      </c>
      <c r="BQ169">
        <v>2.42143</v>
      </c>
      <c r="BR169">
        <v>0.75916300000000003</v>
      </c>
      <c r="BS169">
        <v>20.5078</v>
      </c>
      <c r="BT169">
        <v>2.9658099999999998</v>
      </c>
      <c r="BU169">
        <v>1800</v>
      </c>
      <c r="BV169">
        <v>0.910022</v>
      </c>
      <c r="BW169">
        <v>3.39929E-2</v>
      </c>
      <c r="BX169">
        <v>2.1995399999999998E-2</v>
      </c>
      <c r="BY169">
        <v>3.3990100000000002E-2</v>
      </c>
      <c r="BZ169">
        <v>25</v>
      </c>
      <c r="CA169">
        <v>33528.5</v>
      </c>
      <c r="CB169">
        <v>1690232006</v>
      </c>
      <c r="CC169" t="s">
        <v>332</v>
      </c>
      <c r="CD169">
        <v>1690232006</v>
      </c>
      <c r="CE169">
        <v>1690231998.5</v>
      </c>
      <c r="CF169">
        <v>14</v>
      </c>
      <c r="CG169">
        <v>-0.13200000000000001</v>
      </c>
      <c r="CH169">
        <v>-7.0000000000000001E-3</v>
      </c>
      <c r="CI169">
        <v>-0.33800000000000002</v>
      </c>
      <c r="CJ169">
        <v>0.14299999999999999</v>
      </c>
      <c r="CK169">
        <v>799</v>
      </c>
      <c r="CL169">
        <v>19</v>
      </c>
      <c r="CM169">
        <v>7.0000000000000007E-2</v>
      </c>
      <c r="CN169">
        <v>0.14000000000000001</v>
      </c>
      <c r="CO169">
        <v>-275.35226829268288</v>
      </c>
      <c r="CP169">
        <v>-8.0102926829267229</v>
      </c>
      <c r="CQ169">
        <v>0.79602411485687286</v>
      </c>
      <c r="CR169">
        <v>-1</v>
      </c>
      <c r="CS169">
        <v>16.68017317073171</v>
      </c>
      <c r="CT169">
        <v>0.7527993031359006</v>
      </c>
      <c r="CU169">
        <v>7.650551717516324E-2</v>
      </c>
      <c r="CV169">
        <v>-1</v>
      </c>
      <c r="CW169">
        <v>0</v>
      </c>
      <c r="CX169">
        <v>0</v>
      </c>
      <c r="CY169" t="s">
        <v>333</v>
      </c>
      <c r="CZ169">
        <v>2.36477</v>
      </c>
      <c r="DA169">
        <v>2.7138200000000001</v>
      </c>
      <c r="DB169">
        <v>0.109274</v>
      </c>
      <c r="DC169">
        <v>0.14610899999999999</v>
      </c>
      <c r="DD169">
        <v>0.115483</v>
      </c>
      <c r="DE169">
        <v>4.8072900000000002E-2</v>
      </c>
      <c r="DF169">
        <v>32553.599999999999</v>
      </c>
      <c r="DG169">
        <v>27556.7</v>
      </c>
      <c r="DH169">
        <v>31199.200000000001</v>
      </c>
      <c r="DI169">
        <v>28119.4</v>
      </c>
      <c r="DJ169">
        <v>37465.1</v>
      </c>
      <c r="DK169">
        <v>38070.1</v>
      </c>
      <c r="DL169">
        <v>44404.9</v>
      </c>
      <c r="DM169">
        <v>42624.5</v>
      </c>
      <c r="DN169">
        <v>1.4855</v>
      </c>
      <c r="DO169">
        <v>2.04583</v>
      </c>
      <c r="DP169">
        <v>7.6606900000000006E-2</v>
      </c>
      <c r="DQ169">
        <v>0.20480200000000001</v>
      </c>
      <c r="DR169">
        <v>25.755299999999998</v>
      </c>
      <c r="DS169">
        <v>25.573499999999999</v>
      </c>
      <c r="DT169">
        <v>48.4</v>
      </c>
      <c r="DU169">
        <v>28.8</v>
      </c>
      <c r="DV169">
        <v>19.437200000000001</v>
      </c>
      <c r="DW169">
        <v>61.957999999999998</v>
      </c>
      <c r="DX169">
        <v>36.959099999999999</v>
      </c>
      <c r="DY169">
        <v>1</v>
      </c>
      <c r="DZ169">
        <v>-0.119492</v>
      </c>
      <c r="EA169">
        <v>-0.212059</v>
      </c>
      <c r="EB169">
        <v>20.189599999999999</v>
      </c>
      <c r="EC169">
        <v>5.2411000000000003</v>
      </c>
      <c r="ED169">
        <v>12.039899999999999</v>
      </c>
      <c r="EE169">
        <v>5.0166000000000004</v>
      </c>
      <c r="EF169">
        <v>3.2879999999999998</v>
      </c>
      <c r="EG169">
        <v>9999</v>
      </c>
      <c r="EH169">
        <v>9999</v>
      </c>
      <c r="EI169">
        <v>9999</v>
      </c>
      <c r="EJ169">
        <v>999.9</v>
      </c>
      <c r="EK169">
        <v>1.8689</v>
      </c>
      <c r="EL169">
        <v>1.8646100000000001</v>
      </c>
      <c r="EM169">
        <v>1.8691800000000001</v>
      </c>
      <c r="EN169">
        <v>1.8672200000000001</v>
      </c>
      <c r="EO169">
        <v>1.86337</v>
      </c>
      <c r="EP169">
        <v>1.8644700000000001</v>
      </c>
      <c r="EQ169">
        <v>1.8701399999999999</v>
      </c>
      <c r="ER169">
        <v>1.8693500000000001</v>
      </c>
      <c r="ES169">
        <v>0</v>
      </c>
      <c r="ET169">
        <v>0</v>
      </c>
      <c r="EU169">
        <v>0</v>
      </c>
      <c r="EV169">
        <v>0</v>
      </c>
      <c r="EW169" t="s">
        <v>334</v>
      </c>
      <c r="EX169" t="s">
        <v>335</v>
      </c>
      <c r="EY169" t="s">
        <v>336</v>
      </c>
      <c r="EZ169" t="s">
        <v>336</v>
      </c>
      <c r="FA169" t="s">
        <v>336</v>
      </c>
      <c r="FB169" t="s">
        <v>336</v>
      </c>
      <c r="FC169">
        <v>0</v>
      </c>
      <c r="FD169">
        <v>100</v>
      </c>
      <c r="FE169">
        <v>100</v>
      </c>
      <c r="FF169">
        <v>-0.14399999999999999</v>
      </c>
      <c r="FG169">
        <v>0.17199999999999999</v>
      </c>
      <c r="FH169">
        <v>0.2126736300064915</v>
      </c>
      <c r="FI169">
        <v>-6.1462078757559423E-4</v>
      </c>
      <c r="FJ169">
        <v>-1.8861989874597051E-7</v>
      </c>
      <c r="FK169">
        <v>1.1980462299894961E-10</v>
      </c>
      <c r="FL169">
        <v>0.1719881465068297</v>
      </c>
      <c r="FM169">
        <v>0</v>
      </c>
      <c r="FN169">
        <v>0</v>
      </c>
      <c r="FO169">
        <v>0</v>
      </c>
      <c r="FP169">
        <v>3</v>
      </c>
      <c r="FQ169">
        <v>2158</v>
      </c>
      <c r="FR169">
        <v>1</v>
      </c>
      <c r="FS169">
        <v>19</v>
      </c>
      <c r="FT169">
        <v>34.799999999999997</v>
      </c>
      <c r="FU169">
        <v>34.9</v>
      </c>
      <c r="FV169">
        <v>1.7724599999999999</v>
      </c>
      <c r="FW169">
        <v>2.5866699999999998</v>
      </c>
      <c r="FX169">
        <v>1.5490699999999999</v>
      </c>
      <c r="FY169">
        <v>2.3278799999999999</v>
      </c>
      <c r="FZ169">
        <v>1.50146</v>
      </c>
      <c r="GA169">
        <v>2.3803700000000001</v>
      </c>
      <c r="GB169">
        <v>33.512999999999998</v>
      </c>
      <c r="GC169">
        <v>23.991199999999999</v>
      </c>
      <c r="GD169">
        <v>19</v>
      </c>
      <c r="GE169">
        <v>285.42</v>
      </c>
      <c r="GF169">
        <v>587.23199999999997</v>
      </c>
      <c r="GG169">
        <v>25.659700000000001</v>
      </c>
      <c r="GH169">
        <v>25.912099999999999</v>
      </c>
      <c r="GI169">
        <v>30.0002</v>
      </c>
      <c r="GJ169">
        <v>26.029499999999999</v>
      </c>
      <c r="GK169">
        <v>26.009</v>
      </c>
      <c r="GL169">
        <v>35.428400000000003</v>
      </c>
      <c r="GM169">
        <v>60.2196</v>
      </c>
      <c r="GN169">
        <v>65.878600000000006</v>
      </c>
      <c r="GO169">
        <v>25.6234</v>
      </c>
      <c r="GP169">
        <v>800</v>
      </c>
      <c r="GQ169">
        <v>7.56358</v>
      </c>
      <c r="GR169">
        <v>99.831400000000002</v>
      </c>
      <c r="GS169">
        <v>99.708699999999993</v>
      </c>
    </row>
    <row r="170" spans="1:201" x14ac:dyDescent="0.25">
      <c r="A170">
        <v>154</v>
      </c>
      <c r="B170">
        <v>1690234105</v>
      </c>
      <c r="C170">
        <v>1598.900000095367</v>
      </c>
      <c r="D170" t="s">
        <v>639</v>
      </c>
      <c r="E170" t="s">
        <v>640</v>
      </c>
      <c r="F170" t="s">
        <v>330</v>
      </c>
      <c r="H170">
        <v>1690234105</v>
      </c>
      <c r="I170">
        <f t="shared" si="60"/>
        <v>1.6080661885532E-3</v>
      </c>
      <c r="J170">
        <f t="shared" si="61"/>
        <v>1.6080661885531999</v>
      </c>
      <c r="K170">
        <f t="shared" si="62"/>
        <v>24.937370531707572</v>
      </c>
      <c r="L170">
        <f t="shared" si="63"/>
        <v>521.84299999999996</v>
      </c>
      <c r="M170">
        <f t="shared" si="64"/>
        <v>117.8807073259901</v>
      </c>
      <c r="N170">
        <f t="shared" si="65"/>
        <v>11.680586867897759</v>
      </c>
      <c r="O170">
        <f t="shared" si="66"/>
        <v>51.708482508914003</v>
      </c>
      <c r="P170">
        <f t="shared" si="67"/>
        <v>0.10312469247633912</v>
      </c>
      <c r="Q170">
        <f t="shared" si="68"/>
        <v>2.1310622493730325</v>
      </c>
      <c r="R170">
        <f t="shared" si="69"/>
        <v>0.10043040522444881</v>
      </c>
      <c r="S170">
        <f t="shared" si="70"/>
        <v>6.3005211192149718E-2</v>
      </c>
      <c r="T170">
        <f t="shared" si="71"/>
        <v>276.11451302399996</v>
      </c>
      <c r="U170">
        <f t="shared" si="72"/>
        <v>28.725254051325884</v>
      </c>
      <c r="V170">
        <f t="shared" si="73"/>
        <v>28.725254051325884</v>
      </c>
      <c r="W170">
        <f t="shared" si="74"/>
        <v>3.9582748563113075</v>
      </c>
      <c r="X170">
        <f t="shared" si="75"/>
        <v>67.280994800089445</v>
      </c>
      <c r="Y170">
        <f t="shared" si="76"/>
        <v>2.4227857116584</v>
      </c>
      <c r="Z170">
        <f t="shared" si="77"/>
        <v>3.6009956732316017</v>
      </c>
      <c r="AA170">
        <f t="shared" si="78"/>
        <v>1.5354891446529075</v>
      </c>
      <c r="AB170">
        <f t="shared" si="79"/>
        <v>-70.915718915196123</v>
      </c>
      <c r="AC170">
        <f t="shared" si="80"/>
        <v>-186.31155501319668</v>
      </c>
      <c r="AD170">
        <f t="shared" si="81"/>
        <v>-19.040881308704538</v>
      </c>
      <c r="AE170">
        <f t="shared" si="82"/>
        <v>-0.15364221309735626</v>
      </c>
      <c r="AF170">
        <v>0</v>
      </c>
      <c r="AG170">
        <v>0</v>
      </c>
      <c r="AH170">
        <f t="shared" si="83"/>
        <v>1</v>
      </c>
      <c r="AI170">
        <f t="shared" si="84"/>
        <v>0</v>
      </c>
      <c r="AJ170">
        <f t="shared" si="85"/>
        <v>52377.279295501874</v>
      </c>
      <c r="AK170">
        <f t="shared" si="86"/>
        <v>1800</v>
      </c>
      <c r="AL170">
        <f t="shared" si="87"/>
        <v>1499.1154884</v>
      </c>
      <c r="AM170">
        <f t="shared" si="88"/>
        <v>0.83284193800000006</v>
      </c>
      <c r="AN170">
        <f t="shared" si="89"/>
        <v>0.15339695167999998</v>
      </c>
      <c r="AO170">
        <v>32.4</v>
      </c>
      <c r="AP170">
        <v>0.5</v>
      </c>
      <c r="AQ170" t="s">
        <v>331</v>
      </c>
      <c r="AR170">
        <v>2</v>
      </c>
      <c r="AS170">
        <v>1690234105</v>
      </c>
      <c r="AT170">
        <v>521.84299999999996</v>
      </c>
      <c r="AU170">
        <v>800.10799999999995</v>
      </c>
      <c r="AV170">
        <v>24.450800000000001</v>
      </c>
      <c r="AW170">
        <v>7.51572</v>
      </c>
      <c r="AX170">
        <v>521.98500000000001</v>
      </c>
      <c r="AY170">
        <v>24.2788</v>
      </c>
      <c r="AZ170">
        <v>300.13099999999997</v>
      </c>
      <c r="BA170">
        <v>98.988200000000006</v>
      </c>
      <c r="BB170">
        <v>9.9998000000000004E-2</v>
      </c>
      <c r="BC170">
        <v>27.1036</v>
      </c>
      <c r="BD170">
        <v>26.9864</v>
      </c>
      <c r="BE170">
        <v>28.94</v>
      </c>
      <c r="BF170">
        <v>0</v>
      </c>
      <c r="BG170">
        <v>0</v>
      </c>
      <c r="BH170">
        <v>10010.6</v>
      </c>
      <c r="BI170">
        <v>1081.69</v>
      </c>
      <c r="BJ170">
        <v>1.4577199999999999</v>
      </c>
      <c r="BK170">
        <v>-278.26499999999999</v>
      </c>
      <c r="BL170">
        <v>534.92200000000003</v>
      </c>
      <c r="BM170">
        <v>806.16700000000003</v>
      </c>
      <c r="BN170">
        <v>16.934999999999999</v>
      </c>
      <c r="BO170">
        <v>800.10799999999995</v>
      </c>
      <c r="BP170">
        <v>7.51572</v>
      </c>
      <c r="BQ170">
        <v>2.4203399999999999</v>
      </c>
      <c r="BR170">
        <v>0.74396799999999996</v>
      </c>
      <c r="BS170">
        <v>20.500499999999999</v>
      </c>
      <c r="BT170">
        <v>2.6808800000000002</v>
      </c>
      <c r="BU170">
        <v>1800</v>
      </c>
      <c r="BV170">
        <v>0.910022</v>
      </c>
      <c r="BW170">
        <v>3.3992799999999997E-2</v>
      </c>
      <c r="BX170">
        <v>2.1995399999999998E-2</v>
      </c>
      <c r="BY170">
        <v>3.3989999999999999E-2</v>
      </c>
      <c r="BZ170">
        <v>25</v>
      </c>
      <c r="CA170">
        <v>33528.5</v>
      </c>
      <c r="CB170">
        <v>1690232006</v>
      </c>
      <c r="CC170" t="s">
        <v>332</v>
      </c>
      <c r="CD170">
        <v>1690232006</v>
      </c>
      <c r="CE170">
        <v>1690231998.5</v>
      </c>
      <c r="CF170">
        <v>14</v>
      </c>
      <c r="CG170">
        <v>-0.13200000000000001</v>
      </c>
      <c r="CH170">
        <v>-7.0000000000000001E-3</v>
      </c>
      <c r="CI170">
        <v>-0.33800000000000002</v>
      </c>
      <c r="CJ170">
        <v>0.14299999999999999</v>
      </c>
      <c r="CK170">
        <v>799</v>
      </c>
      <c r="CL170">
        <v>19</v>
      </c>
      <c r="CM170">
        <v>7.0000000000000007E-2</v>
      </c>
      <c r="CN170">
        <v>0.14000000000000001</v>
      </c>
      <c r="CO170">
        <v>-276.78769999999997</v>
      </c>
      <c r="CP170">
        <v>-8.3439174484052909</v>
      </c>
      <c r="CQ170">
        <v>0.80473878370562257</v>
      </c>
      <c r="CR170">
        <v>-1</v>
      </c>
      <c r="CS170">
        <v>16.796949999999999</v>
      </c>
      <c r="CT170">
        <v>0.55073020637896453</v>
      </c>
      <c r="CU170">
        <v>5.3821194709890802E-2</v>
      </c>
      <c r="CV170">
        <v>-1</v>
      </c>
      <c r="CW170">
        <v>0</v>
      </c>
      <c r="CX170">
        <v>0</v>
      </c>
      <c r="CY170" t="s">
        <v>333</v>
      </c>
      <c r="CZ170">
        <v>2.3647999999999998</v>
      </c>
      <c r="DA170">
        <v>2.7138</v>
      </c>
      <c r="DB170">
        <v>0.109066</v>
      </c>
      <c r="DC170">
        <v>0.14610999999999999</v>
      </c>
      <c r="DD170">
        <v>0.11544599999999999</v>
      </c>
      <c r="DE170">
        <v>4.73067E-2</v>
      </c>
      <c r="DF170">
        <v>32560.5</v>
      </c>
      <c r="DG170">
        <v>27556.7</v>
      </c>
      <c r="DH170">
        <v>31198.6</v>
      </c>
      <c r="DI170">
        <v>28119.5</v>
      </c>
      <c r="DJ170">
        <v>37465.800000000003</v>
      </c>
      <c r="DK170">
        <v>38101</v>
      </c>
      <c r="DL170">
        <v>44403.9</v>
      </c>
      <c r="DM170">
        <v>42624.7</v>
      </c>
      <c r="DN170">
        <v>1.48553</v>
      </c>
      <c r="DO170">
        <v>2.0455299999999998</v>
      </c>
      <c r="DP170">
        <v>7.5265799999999994E-2</v>
      </c>
      <c r="DQ170">
        <v>0.206068</v>
      </c>
      <c r="DR170">
        <v>25.754200000000001</v>
      </c>
      <c r="DS170">
        <v>25.571300000000001</v>
      </c>
      <c r="DT170">
        <v>48.1</v>
      </c>
      <c r="DU170">
        <v>28.8</v>
      </c>
      <c r="DV170">
        <v>19.3156</v>
      </c>
      <c r="DW170">
        <v>61.648000000000003</v>
      </c>
      <c r="DX170">
        <v>36.710700000000003</v>
      </c>
      <c r="DY170">
        <v>1</v>
      </c>
      <c r="DZ170">
        <v>-0.119898</v>
      </c>
      <c r="EA170">
        <v>-0.387797</v>
      </c>
      <c r="EB170">
        <v>20.189399999999999</v>
      </c>
      <c r="EC170">
        <v>5.2415500000000002</v>
      </c>
      <c r="ED170">
        <v>12.039899999999999</v>
      </c>
      <c r="EE170">
        <v>5.0169499999999996</v>
      </c>
      <c r="EF170">
        <v>3.2879999999999998</v>
      </c>
      <c r="EG170">
        <v>9999</v>
      </c>
      <c r="EH170">
        <v>9999</v>
      </c>
      <c r="EI170">
        <v>9999</v>
      </c>
      <c r="EJ170">
        <v>999.9</v>
      </c>
      <c r="EK170">
        <v>1.8688800000000001</v>
      </c>
      <c r="EL170">
        <v>1.8646100000000001</v>
      </c>
      <c r="EM170">
        <v>1.8691599999999999</v>
      </c>
      <c r="EN170">
        <v>1.8672200000000001</v>
      </c>
      <c r="EO170">
        <v>1.86338</v>
      </c>
      <c r="EP170">
        <v>1.8644700000000001</v>
      </c>
      <c r="EQ170">
        <v>1.8701399999999999</v>
      </c>
      <c r="ER170">
        <v>1.8693599999999999</v>
      </c>
      <c r="ES170">
        <v>0</v>
      </c>
      <c r="ET170">
        <v>0</v>
      </c>
      <c r="EU170">
        <v>0</v>
      </c>
      <c r="EV170">
        <v>0</v>
      </c>
      <c r="EW170" t="s">
        <v>334</v>
      </c>
      <c r="EX170" t="s">
        <v>335</v>
      </c>
      <c r="EY170" t="s">
        <v>336</v>
      </c>
      <c r="EZ170" t="s">
        <v>336</v>
      </c>
      <c r="FA170" t="s">
        <v>336</v>
      </c>
      <c r="FB170" t="s">
        <v>336</v>
      </c>
      <c r="FC170">
        <v>0</v>
      </c>
      <c r="FD170">
        <v>100</v>
      </c>
      <c r="FE170">
        <v>100</v>
      </c>
      <c r="FF170">
        <v>-0.14199999999999999</v>
      </c>
      <c r="FG170">
        <v>0.17199999999999999</v>
      </c>
      <c r="FH170">
        <v>0.2126736300064915</v>
      </c>
      <c r="FI170">
        <v>-6.1462078757559423E-4</v>
      </c>
      <c r="FJ170">
        <v>-1.8861989874597051E-7</v>
      </c>
      <c r="FK170">
        <v>1.1980462299894961E-10</v>
      </c>
      <c r="FL170">
        <v>0.1719881465068297</v>
      </c>
      <c r="FM170">
        <v>0</v>
      </c>
      <c r="FN170">
        <v>0</v>
      </c>
      <c r="FO170">
        <v>0</v>
      </c>
      <c r="FP170">
        <v>3</v>
      </c>
      <c r="FQ170">
        <v>2158</v>
      </c>
      <c r="FR170">
        <v>1</v>
      </c>
      <c r="FS170">
        <v>19</v>
      </c>
      <c r="FT170">
        <v>35</v>
      </c>
      <c r="FU170">
        <v>35.1</v>
      </c>
      <c r="FV170">
        <v>1.7712399999999999</v>
      </c>
      <c r="FW170">
        <v>2.5903299999999998</v>
      </c>
      <c r="FX170">
        <v>1.5490699999999999</v>
      </c>
      <c r="FY170">
        <v>2.3278799999999999</v>
      </c>
      <c r="FZ170">
        <v>1.50146</v>
      </c>
      <c r="GA170">
        <v>2.2827099999999998</v>
      </c>
      <c r="GB170">
        <v>33.512999999999998</v>
      </c>
      <c r="GC170">
        <v>23.982399999999998</v>
      </c>
      <c r="GD170">
        <v>19</v>
      </c>
      <c r="GE170">
        <v>285.43099999999998</v>
      </c>
      <c r="GF170">
        <v>586.95799999999997</v>
      </c>
      <c r="GG170">
        <v>25.607900000000001</v>
      </c>
      <c r="GH170">
        <v>25.9101</v>
      </c>
      <c r="GI170">
        <v>30.0001</v>
      </c>
      <c r="GJ170">
        <v>26.029499999999999</v>
      </c>
      <c r="GK170">
        <v>26.006799999999998</v>
      </c>
      <c r="GL170">
        <v>35.421500000000002</v>
      </c>
      <c r="GM170">
        <v>60.491399999999999</v>
      </c>
      <c r="GN170">
        <v>65.474000000000004</v>
      </c>
      <c r="GO170">
        <v>25.618500000000001</v>
      </c>
      <c r="GP170">
        <v>800</v>
      </c>
      <c r="GQ170">
        <v>7.4437600000000002</v>
      </c>
      <c r="GR170">
        <v>99.8292</v>
      </c>
      <c r="GS170">
        <v>99.709199999999996</v>
      </c>
    </row>
    <row r="171" spans="1:201" x14ac:dyDescent="0.25">
      <c r="A171">
        <v>155</v>
      </c>
      <c r="B171">
        <v>1690234115</v>
      </c>
      <c r="C171">
        <v>1608.900000095367</v>
      </c>
      <c r="D171" t="s">
        <v>641</v>
      </c>
      <c r="E171" t="s">
        <v>642</v>
      </c>
      <c r="F171" t="s">
        <v>330</v>
      </c>
      <c r="H171">
        <v>1690234115</v>
      </c>
      <c r="I171">
        <f t="shared" si="60"/>
        <v>1.6136615398668326E-3</v>
      </c>
      <c r="J171">
        <f t="shared" si="61"/>
        <v>1.6136615398668326</v>
      </c>
      <c r="K171">
        <f t="shared" si="62"/>
        <v>25.038991930936028</v>
      </c>
      <c r="L171">
        <f t="shared" si="63"/>
        <v>520.59</v>
      </c>
      <c r="M171">
        <f t="shared" si="64"/>
        <v>115.96701791977259</v>
      </c>
      <c r="N171">
        <f t="shared" si="65"/>
        <v>11.490998539348791</v>
      </c>
      <c r="O171">
        <f t="shared" si="66"/>
        <v>51.584485286481005</v>
      </c>
      <c r="P171">
        <f t="shared" si="67"/>
        <v>0.10336541357897858</v>
      </c>
      <c r="Q171">
        <f t="shared" si="68"/>
        <v>2.134996485052191</v>
      </c>
      <c r="R171">
        <f t="shared" si="69"/>
        <v>0.1006635583554413</v>
      </c>
      <c r="S171">
        <f t="shared" si="70"/>
        <v>6.3151592597239736E-2</v>
      </c>
      <c r="T171">
        <f t="shared" si="71"/>
        <v>276.114376386</v>
      </c>
      <c r="U171">
        <f t="shared" si="72"/>
        <v>28.725285500203515</v>
      </c>
      <c r="V171">
        <f t="shared" si="73"/>
        <v>28.725285500203515</v>
      </c>
      <c r="W171">
        <f t="shared" si="74"/>
        <v>3.958282074288288</v>
      </c>
      <c r="X171">
        <f t="shared" si="75"/>
        <v>67.212856632591695</v>
      </c>
      <c r="Y171">
        <f t="shared" si="76"/>
        <v>2.42099973810293</v>
      </c>
      <c r="Z171">
        <f t="shared" si="77"/>
        <v>3.6019890529827308</v>
      </c>
      <c r="AA171">
        <f t="shared" si="78"/>
        <v>1.537282336185358</v>
      </c>
      <c r="AB171">
        <f t="shared" si="79"/>
        <v>-71.162473908127325</v>
      </c>
      <c r="AC171">
        <f t="shared" si="80"/>
        <v>-186.11815266738299</v>
      </c>
      <c r="AD171">
        <f t="shared" si="81"/>
        <v>-18.986511854648715</v>
      </c>
      <c r="AE171">
        <f t="shared" si="82"/>
        <v>-0.15276204415900452</v>
      </c>
      <c r="AF171">
        <v>0</v>
      </c>
      <c r="AG171">
        <v>0</v>
      </c>
      <c r="AH171">
        <f t="shared" si="83"/>
        <v>1</v>
      </c>
      <c r="AI171">
        <f t="shared" si="84"/>
        <v>0</v>
      </c>
      <c r="AJ171">
        <f t="shared" si="85"/>
        <v>52546.159480085131</v>
      </c>
      <c r="AK171">
        <f t="shared" si="86"/>
        <v>1800</v>
      </c>
      <c r="AL171">
        <f t="shared" si="87"/>
        <v>1499.1152256000003</v>
      </c>
      <c r="AM171">
        <f t="shared" si="88"/>
        <v>0.83284179200000008</v>
      </c>
      <c r="AN171">
        <f t="shared" si="89"/>
        <v>0.15339687577</v>
      </c>
      <c r="AO171">
        <v>32.4</v>
      </c>
      <c r="AP171">
        <v>0.5</v>
      </c>
      <c r="AQ171" t="s">
        <v>331</v>
      </c>
      <c r="AR171">
        <v>2</v>
      </c>
      <c r="AS171">
        <v>1690234115</v>
      </c>
      <c r="AT171">
        <v>520.59</v>
      </c>
      <c r="AU171">
        <v>800.01199999999994</v>
      </c>
      <c r="AV171">
        <v>24.432700000000001</v>
      </c>
      <c r="AW171">
        <v>7.4353199999999999</v>
      </c>
      <c r="AX171">
        <v>520.73199999999997</v>
      </c>
      <c r="AY171">
        <v>24.2607</v>
      </c>
      <c r="AZ171">
        <v>300.077</v>
      </c>
      <c r="BA171">
        <v>98.988600000000005</v>
      </c>
      <c r="BB171">
        <v>9.9905900000000006E-2</v>
      </c>
      <c r="BC171">
        <v>27.1083</v>
      </c>
      <c r="BD171">
        <v>26.977499999999999</v>
      </c>
      <c r="BE171">
        <v>28.937899999999999</v>
      </c>
      <c r="BF171">
        <v>0</v>
      </c>
      <c r="BG171">
        <v>0</v>
      </c>
      <c r="BH171">
        <v>10044.4</v>
      </c>
      <c r="BI171">
        <v>1081.71</v>
      </c>
      <c r="BJ171">
        <v>1.4577199999999999</v>
      </c>
      <c r="BK171">
        <v>-279.42200000000003</v>
      </c>
      <c r="BL171">
        <v>533.62800000000004</v>
      </c>
      <c r="BM171">
        <v>806.005</v>
      </c>
      <c r="BN171">
        <v>16.997399999999999</v>
      </c>
      <c r="BO171">
        <v>800.01199999999994</v>
      </c>
      <c r="BP171">
        <v>7.4353199999999999</v>
      </c>
      <c r="BQ171">
        <v>2.4185599999999998</v>
      </c>
      <c r="BR171">
        <v>0.73601099999999997</v>
      </c>
      <c r="BS171">
        <v>20.488600000000002</v>
      </c>
      <c r="BT171">
        <v>2.5296099999999999</v>
      </c>
      <c r="BU171">
        <v>1800</v>
      </c>
      <c r="BV171">
        <v>0.91002300000000003</v>
      </c>
      <c r="BW171">
        <v>3.3992300000000003E-2</v>
      </c>
      <c r="BX171">
        <v>2.19951E-2</v>
      </c>
      <c r="BY171">
        <v>3.3989499999999999E-2</v>
      </c>
      <c r="BZ171">
        <v>25</v>
      </c>
      <c r="CA171">
        <v>33528.5</v>
      </c>
      <c r="CB171">
        <v>1690232006</v>
      </c>
      <c r="CC171" t="s">
        <v>332</v>
      </c>
      <c r="CD171">
        <v>1690232006</v>
      </c>
      <c r="CE171">
        <v>1690231998.5</v>
      </c>
      <c r="CF171">
        <v>14</v>
      </c>
      <c r="CG171">
        <v>-0.13200000000000001</v>
      </c>
      <c r="CH171">
        <v>-7.0000000000000001E-3</v>
      </c>
      <c r="CI171">
        <v>-0.33800000000000002</v>
      </c>
      <c r="CJ171">
        <v>0.14299999999999999</v>
      </c>
      <c r="CK171">
        <v>799</v>
      </c>
      <c r="CL171">
        <v>19</v>
      </c>
      <c r="CM171">
        <v>7.0000000000000007E-2</v>
      </c>
      <c r="CN171">
        <v>0.14000000000000001</v>
      </c>
      <c r="CO171">
        <v>-278.10997560975608</v>
      </c>
      <c r="CP171">
        <v>-7.3967665505223312</v>
      </c>
      <c r="CQ171">
        <v>0.73475871227143352</v>
      </c>
      <c r="CR171">
        <v>-1</v>
      </c>
      <c r="CS171">
        <v>16.907336585365851</v>
      </c>
      <c r="CT171">
        <v>0.6772243902439401</v>
      </c>
      <c r="CU171">
        <v>6.8093489377893626E-2</v>
      </c>
      <c r="CV171">
        <v>-1</v>
      </c>
      <c r="CW171">
        <v>0</v>
      </c>
      <c r="CX171">
        <v>0</v>
      </c>
      <c r="CY171" t="s">
        <v>333</v>
      </c>
      <c r="CZ171">
        <v>2.3646099999999999</v>
      </c>
      <c r="DA171">
        <v>2.71373</v>
      </c>
      <c r="DB171">
        <v>0.108877</v>
      </c>
      <c r="DC171">
        <v>0.146097</v>
      </c>
      <c r="DD171">
        <v>0.115387</v>
      </c>
      <c r="DE171">
        <v>4.6903599999999997E-2</v>
      </c>
      <c r="DF171">
        <v>32568.1</v>
      </c>
      <c r="DG171">
        <v>27557.1</v>
      </c>
      <c r="DH171">
        <v>31199.200000000001</v>
      </c>
      <c r="DI171">
        <v>28119.5</v>
      </c>
      <c r="DJ171">
        <v>37469.1</v>
      </c>
      <c r="DK171">
        <v>38117.1</v>
      </c>
      <c r="DL171">
        <v>44404.800000000003</v>
      </c>
      <c r="DM171">
        <v>42624.7</v>
      </c>
      <c r="DN171">
        <v>1.4853499999999999</v>
      </c>
      <c r="DO171">
        <v>2.04542</v>
      </c>
      <c r="DP171">
        <v>7.4654799999999993E-2</v>
      </c>
      <c r="DQ171">
        <v>0.20594100000000001</v>
      </c>
      <c r="DR171">
        <v>25.755299999999998</v>
      </c>
      <c r="DS171">
        <v>25.571300000000001</v>
      </c>
      <c r="DT171">
        <v>47.8</v>
      </c>
      <c r="DU171">
        <v>28.8</v>
      </c>
      <c r="DV171">
        <v>19.197600000000001</v>
      </c>
      <c r="DW171">
        <v>61.457999999999998</v>
      </c>
      <c r="DX171">
        <v>36.722799999999999</v>
      </c>
      <c r="DY171">
        <v>1</v>
      </c>
      <c r="DZ171">
        <v>-0.11956600000000001</v>
      </c>
      <c r="EA171">
        <v>-0.48013899999999998</v>
      </c>
      <c r="EB171">
        <v>20.189</v>
      </c>
      <c r="EC171">
        <v>5.24125</v>
      </c>
      <c r="ED171">
        <v>12.039899999999999</v>
      </c>
      <c r="EE171">
        <v>5.0164999999999997</v>
      </c>
      <c r="EF171">
        <v>3.2879999999999998</v>
      </c>
      <c r="EG171">
        <v>9999</v>
      </c>
      <c r="EH171">
        <v>9999</v>
      </c>
      <c r="EI171">
        <v>9999</v>
      </c>
      <c r="EJ171">
        <v>999.9</v>
      </c>
      <c r="EK171">
        <v>1.8689</v>
      </c>
      <c r="EL171">
        <v>1.8646199999999999</v>
      </c>
      <c r="EM171">
        <v>1.8691199999999999</v>
      </c>
      <c r="EN171">
        <v>1.8672200000000001</v>
      </c>
      <c r="EO171">
        <v>1.86338</v>
      </c>
      <c r="EP171">
        <v>1.8644700000000001</v>
      </c>
      <c r="EQ171">
        <v>1.8701300000000001</v>
      </c>
      <c r="ER171">
        <v>1.8693599999999999</v>
      </c>
      <c r="ES171">
        <v>0</v>
      </c>
      <c r="ET171">
        <v>0</v>
      </c>
      <c r="EU171">
        <v>0</v>
      </c>
      <c r="EV171">
        <v>0</v>
      </c>
      <c r="EW171" t="s">
        <v>334</v>
      </c>
      <c r="EX171" t="s">
        <v>335</v>
      </c>
      <c r="EY171" t="s">
        <v>336</v>
      </c>
      <c r="EZ171" t="s">
        <v>336</v>
      </c>
      <c r="FA171" t="s">
        <v>336</v>
      </c>
      <c r="FB171" t="s">
        <v>336</v>
      </c>
      <c r="FC171">
        <v>0</v>
      </c>
      <c r="FD171">
        <v>100</v>
      </c>
      <c r="FE171">
        <v>100</v>
      </c>
      <c r="FF171">
        <v>-0.14199999999999999</v>
      </c>
      <c r="FG171">
        <v>0.17199999999999999</v>
      </c>
      <c r="FH171">
        <v>0.2126736300064915</v>
      </c>
      <c r="FI171">
        <v>-6.1462078757559423E-4</v>
      </c>
      <c r="FJ171">
        <v>-1.8861989874597051E-7</v>
      </c>
      <c r="FK171">
        <v>1.1980462299894961E-10</v>
      </c>
      <c r="FL171">
        <v>0.1719881465068297</v>
      </c>
      <c r="FM171">
        <v>0</v>
      </c>
      <c r="FN171">
        <v>0</v>
      </c>
      <c r="FO171">
        <v>0</v>
      </c>
      <c r="FP171">
        <v>3</v>
      </c>
      <c r="FQ171">
        <v>2158</v>
      </c>
      <c r="FR171">
        <v>1</v>
      </c>
      <c r="FS171">
        <v>19</v>
      </c>
      <c r="FT171">
        <v>35.1</v>
      </c>
      <c r="FU171">
        <v>35.299999999999997</v>
      </c>
      <c r="FV171">
        <v>1.7712399999999999</v>
      </c>
      <c r="FW171">
        <v>2.5842299999999998</v>
      </c>
      <c r="FX171">
        <v>1.5490699999999999</v>
      </c>
      <c r="FY171">
        <v>2.3278799999999999</v>
      </c>
      <c r="FZ171">
        <v>1.50146</v>
      </c>
      <c r="GA171">
        <v>2.3913600000000002</v>
      </c>
      <c r="GB171">
        <v>33.535499999999999</v>
      </c>
      <c r="GC171">
        <v>23.991199999999999</v>
      </c>
      <c r="GD171">
        <v>19</v>
      </c>
      <c r="GE171">
        <v>285.346</v>
      </c>
      <c r="GF171">
        <v>586.875</v>
      </c>
      <c r="GG171">
        <v>25.625599999999999</v>
      </c>
      <c r="GH171">
        <v>25.9099</v>
      </c>
      <c r="GI171">
        <v>30.0002</v>
      </c>
      <c r="GJ171">
        <v>26.0273</v>
      </c>
      <c r="GK171">
        <v>26.006799999999998</v>
      </c>
      <c r="GL171">
        <v>35.425199999999997</v>
      </c>
      <c r="GM171">
        <v>60.7744</v>
      </c>
      <c r="GN171">
        <v>64.704700000000003</v>
      </c>
      <c r="GO171">
        <v>25.635999999999999</v>
      </c>
      <c r="GP171">
        <v>800</v>
      </c>
      <c r="GQ171">
        <v>7.3306800000000001</v>
      </c>
      <c r="GR171">
        <v>99.831299999999999</v>
      </c>
      <c r="GS171">
        <v>99.709100000000007</v>
      </c>
    </row>
    <row r="172" spans="1:201" x14ac:dyDescent="0.25">
      <c r="A172">
        <v>156</v>
      </c>
      <c r="B172">
        <v>1690234125</v>
      </c>
      <c r="C172">
        <v>1618.900000095367</v>
      </c>
      <c r="D172" t="s">
        <v>643</v>
      </c>
      <c r="E172" t="s">
        <v>644</v>
      </c>
      <c r="F172" t="s">
        <v>330</v>
      </c>
      <c r="H172">
        <v>1690234125</v>
      </c>
      <c r="I172">
        <f t="shared" si="60"/>
        <v>1.6251136244402333E-3</v>
      </c>
      <c r="J172">
        <f t="shared" si="61"/>
        <v>1.6251136244402333</v>
      </c>
      <c r="K172">
        <f t="shared" si="62"/>
        <v>25.164740796104773</v>
      </c>
      <c r="L172">
        <f t="shared" si="63"/>
        <v>519.41099999999994</v>
      </c>
      <c r="M172">
        <f t="shared" si="64"/>
        <v>115.26540174410574</v>
      </c>
      <c r="N172">
        <f t="shared" si="65"/>
        <v>11.421402117655648</v>
      </c>
      <c r="O172">
        <f t="shared" si="66"/>
        <v>51.467325021812094</v>
      </c>
      <c r="P172">
        <f t="shared" si="67"/>
        <v>0.10403085469038321</v>
      </c>
      <c r="Q172">
        <f t="shared" si="68"/>
        <v>2.1255181630144033</v>
      </c>
      <c r="R172">
        <f t="shared" si="69"/>
        <v>0.10128274095677516</v>
      </c>
      <c r="S172">
        <f t="shared" si="70"/>
        <v>6.3542573618820222E-2</v>
      </c>
      <c r="T172">
        <f t="shared" si="71"/>
        <v>276.11433567</v>
      </c>
      <c r="U172">
        <f t="shared" si="72"/>
        <v>28.728828354242125</v>
      </c>
      <c r="V172">
        <f t="shared" si="73"/>
        <v>28.728828354242125</v>
      </c>
      <c r="W172">
        <f t="shared" si="74"/>
        <v>3.9590952845506791</v>
      </c>
      <c r="X172">
        <f t="shared" si="75"/>
        <v>67.191695393708954</v>
      </c>
      <c r="Y172">
        <f t="shared" si="76"/>
        <v>2.4203795479452603</v>
      </c>
      <c r="Z172">
        <f t="shared" si="77"/>
        <v>3.6022004412347015</v>
      </c>
      <c r="AA172">
        <f t="shared" si="78"/>
        <v>1.5387157366054187</v>
      </c>
      <c r="AB172">
        <f t="shared" si="79"/>
        <v>-71.667510837814291</v>
      </c>
      <c r="AC172">
        <f t="shared" si="80"/>
        <v>-185.58326870270051</v>
      </c>
      <c r="AD172">
        <f t="shared" si="81"/>
        <v>-19.016800899607372</v>
      </c>
      <c r="AE172">
        <f t="shared" si="82"/>
        <v>-0.15324477012214288</v>
      </c>
      <c r="AF172">
        <v>0</v>
      </c>
      <c r="AG172">
        <v>0</v>
      </c>
      <c r="AH172">
        <f t="shared" si="83"/>
        <v>1</v>
      </c>
      <c r="AI172">
        <f t="shared" si="84"/>
        <v>0</v>
      </c>
      <c r="AJ172">
        <f t="shared" si="85"/>
        <v>52137.758972942371</v>
      </c>
      <c r="AK172">
        <f t="shared" si="86"/>
        <v>1800</v>
      </c>
      <c r="AL172">
        <f t="shared" si="87"/>
        <v>1499.1150689999999</v>
      </c>
      <c r="AM172">
        <f t="shared" si="88"/>
        <v>0.83284170499999999</v>
      </c>
      <c r="AN172">
        <f t="shared" si="89"/>
        <v>0.15339685315000001</v>
      </c>
      <c r="AO172">
        <v>32.4</v>
      </c>
      <c r="AP172">
        <v>0.5</v>
      </c>
      <c r="AQ172" t="s">
        <v>331</v>
      </c>
      <c r="AR172">
        <v>2</v>
      </c>
      <c r="AS172">
        <v>1690234125</v>
      </c>
      <c r="AT172">
        <v>519.41099999999994</v>
      </c>
      <c r="AU172">
        <v>800.13900000000001</v>
      </c>
      <c r="AV172">
        <v>24.426600000000001</v>
      </c>
      <c r="AW172">
        <v>7.3143000000000002</v>
      </c>
      <c r="AX172">
        <v>519.55200000000002</v>
      </c>
      <c r="AY172">
        <v>24.2547</v>
      </c>
      <c r="AZ172">
        <v>300.17899999999997</v>
      </c>
      <c r="BA172">
        <v>98.987899999999996</v>
      </c>
      <c r="BB172">
        <v>9.9961099999999997E-2</v>
      </c>
      <c r="BC172">
        <v>27.109300000000001</v>
      </c>
      <c r="BD172">
        <v>26.9893</v>
      </c>
      <c r="BE172">
        <v>28.924399999999999</v>
      </c>
      <c r="BF172">
        <v>0</v>
      </c>
      <c r="BG172">
        <v>0</v>
      </c>
      <c r="BH172">
        <v>9963.1200000000008</v>
      </c>
      <c r="BI172">
        <v>1081.77</v>
      </c>
      <c r="BJ172">
        <v>1.4577199999999999</v>
      </c>
      <c r="BK172">
        <v>-280.72699999999998</v>
      </c>
      <c r="BL172">
        <v>532.41600000000005</v>
      </c>
      <c r="BM172">
        <v>806.03399999999999</v>
      </c>
      <c r="BN172">
        <v>17.112300000000001</v>
      </c>
      <c r="BO172">
        <v>800.13900000000001</v>
      </c>
      <c r="BP172">
        <v>7.3143000000000002</v>
      </c>
      <c r="BQ172">
        <v>2.4179400000000002</v>
      </c>
      <c r="BR172">
        <v>0.724028</v>
      </c>
      <c r="BS172">
        <v>20.484400000000001</v>
      </c>
      <c r="BT172">
        <v>2.2990499999999998</v>
      </c>
      <c r="BU172">
        <v>1800</v>
      </c>
      <c r="BV172">
        <v>0.91002300000000003</v>
      </c>
      <c r="BW172">
        <v>3.3992300000000003E-2</v>
      </c>
      <c r="BX172">
        <v>2.1995000000000001E-2</v>
      </c>
      <c r="BY172">
        <v>3.3989499999999999E-2</v>
      </c>
      <c r="BZ172">
        <v>25</v>
      </c>
      <c r="CA172">
        <v>33528.5</v>
      </c>
      <c r="CB172">
        <v>1690232006</v>
      </c>
      <c r="CC172" t="s">
        <v>332</v>
      </c>
      <c r="CD172">
        <v>1690232006</v>
      </c>
      <c r="CE172">
        <v>1690231998.5</v>
      </c>
      <c r="CF172">
        <v>14</v>
      </c>
      <c r="CG172">
        <v>-0.13200000000000001</v>
      </c>
      <c r="CH172">
        <v>-7.0000000000000001E-3</v>
      </c>
      <c r="CI172">
        <v>-0.33800000000000002</v>
      </c>
      <c r="CJ172">
        <v>0.14299999999999999</v>
      </c>
      <c r="CK172">
        <v>799</v>
      </c>
      <c r="CL172">
        <v>19</v>
      </c>
      <c r="CM172">
        <v>7.0000000000000007E-2</v>
      </c>
      <c r="CN172">
        <v>0.14000000000000001</v>
      </c>
      <c r="CO172">
        <v>-279.22443902439028</v>
      </c>
      <c r="CP172">
        <v>-7.3362857142861921</v>
      </c>
      <c r="CQ172">
        <v>0.72696341535017073</v>
      </c>
      <c r="CR172">
        <v>-1</v>
      </c>
      <c r="CS172">
        <v>17.00051707317073</v>
      </c>
      <c r="CT172">
        <v>0.51241045296167231</v>
      </c>
      <c r="CU172">
        <v>5.1513014706155637E-2</v>
      </c>
      <c r="CV172">
        <v>-1</v>
      </c>
      <c r="CW172">
        <v>0</v>
      </c>
      <c r="CX172">
        <v>0</v>
      </c>
      <c r="CY172" t="s">
        <v>333</v>
      </c>
      <c r="CZ172">
        <v>2.3649499999999999</v>
      </c>
      <c r="DA172">
        <v>2.7137199999999999</v>
      </c>
      <c r="DB172">
        <v>0.108697</v>
      </c>
      <c r="DC172">
        <v>0.14610999999999999</v>
      </c>
      <c r="DD172">
        <v>0.115366</v>
      </c>
      <c r="DE172">
        <v>4.6293899999999999E-2</v>
      </c>
      <c r="DF172">
        <v>32575</v>
      </c>
      <c r="DG172">
        <v>27556.5</v>
      </c>
      <c r="DH172">
        <v>31199.5</v>
      </c>
      <c r="DI172">
        <v>28119.3</v>
      </c>
      <c r="DJ172">
        <v>37470.300000000003</v>
      </c>
      <c r="DK172">
        <v>38141.300000000003</v>
      </c>
      <c r="DL172">
        <v>44405.2</v>
      </c>
      <c r="DM172">
        <v>42624.4</v>
      </c>
      <c r="DN172">
        <v>1.4857499999999999</v>
      </c>
      <c r="DO172">
        <v>2.04522</v>
      </c>
      <c r="DP172">
        <v>7.53775E-2</v>
      </c>
      <c r="DQ172">
        <v>0.20500299999999999</v>
      </c>
      <c r="DR172">
        <v>25.755299999999998</v>
      </c>
      <c r="DS172">
        <v>25.5731</v>
      </c>
      <c r="DT172">
        <v>47.4</v>
      </c>
      <c r="DU172">
        <v>28.8</v>
      </c>
      <c r="DV172">
        <v>19.0349</v>
      </c>
      <c r="DW172">
        <v>61.628</v>
      </c>
      <c r="DX172">
        <v>36.883000000000003</v>
      </c>
      <c r="DY172">
        <v>1</v>
      </c>
      <c r="DZ172">
        <v>-0.119881</v>
      </c>
      <c r="EA172">
        <v>-0.50157700000000005</v>
      </c>
      <c r="EB172">
        <v>20.188800000000001</v>
      </c>
      <c r="EC172">
        <v>5.2413999999999996</v>
      </c>
      <c r="ED172">
        <v>12.039899999999999</v>
      </c>
      <c r="EE172">
        <v>5.0164</v>
      </c>
      <c r="EF172">
        <v>3.2879999999999998</v>
      </c>
      <c r="EG172">
        <v>9999</v>
      </c>
      <c r="EH172">
        <v>9999</v>
      </c>
      <c r="EI172">
        <v>9999</v>
      </c>
      <c r="EJ172">
        <v>999.9</v>
      </c>
      <c r="EK172">
        <v>1.8689</v>
      </c>
      <c r="EL172">
        <v>1.8646199999999999</v>
      </c>
      <c r="EM172">
        <v>1.86917</v>
      </c>
      <c r="EN172">
        <v>1.8672200000000001</v>
      </c>
      <c r="EO172">
        <v>1.86338</v>
      </c>
      <c r="EP172">
        <v>1.8644700000000001</v>
      </c>
      <c r="EQ172">
        <v>1.8701399999999999</v>
      </c>
      <c r="ER172">
        <v>1.8693500000000001</v>
      </c>
      <c r="ES172">
        <v>0</v>
      </c>
      <c r="ET172">
        <v>0</v>
      </c>
      <c r="EU172">
        <v>0</v>
      </c>
      <c r="EV172">
        <v>0</v>
      </c>
      <c r="EW172" t="s">
        <v>334</v>
      </c>
      <c r="EX172" t="s">
        <v>335</v>
      </c>
      <c r="EY172" t="s">
        <v>336</v>
      </c>
      <c r="EZ172" t="s">
        <v>336</v>
      </c>
      <c r="FA172" t="s">
        <v>336</v>
      </c>
      <c r="FB172" t="s">
        <v>336</v>
      </c>
      <c r="FC172">
        <v>0</v>
      </c>
      <c r="FD172">
        <v>100</v>
      </c>
      <c r="FE172">
        <v>100</v>
      </c>
      <c r="FF172">
        <v>-0.14099999999999999</v>
      </c>
      <c r="FG172">
        <v>0.1719</v>
      </c>
      <c r="FH172">
        <v>0.2126736300064915</v>
      </c>
      <c r="FI172">
        <v>-6.1462078757559423E-4</v>
      </c>
      <c r="FJ172">
        <v>-1.8861989874597051E-7</v>
      </c>
      <c r="FK172">
        <v>1.1980462299894961E-10</v>
      </c>
      <c r="FL172">
        <v>0.1719881465068297</v>
      </c>
      <c r="FM172">
        <v>0</v>
      </c>
      <c r="FN172">
        <v>0</v>
      </c>
      <c r="FO172">
        <v>0</v>
      </c>
      <c r="FP172">
        <v>3</v>
      </c>
      <c r="FQ172">
        <v>2158</v>
      </c>
      <c r="FR172">
        <v>1</v>
      </c>
      <c r="FS172">
        <v>19</v>
      </c>
      <c r="FT172">
        <v>35.299999999999997</v>
      </c>
      <c r="FU172">
        <v>35.4</v>
      </c>
      <c r="FV172">
        <v>1.7712399999999999</v>
      </c>
      <c r="FW172">
        <v>2.5927699999999998</v>
      </c>
      <c r="FX172">
        <v>1.5490699999999999</v>
      </c>
      <c r="FY172">
        <v>2.3278799999999999</v>
      </c>
      <c r="FZ172">
        <v>1.50146</v>
      </c>
      <c r="GA172">
        <v>2.2888199999999999</v>
      </c>
      <c r="GB172">
        <v>33.535499999999999</v>
      </c>
      <c r="GC172">
        <v>23.982399999999998</v>
      </c>
      <c r="GD172">
        <v>19</v>
      </c>
      <c r="GE172">
        <v>285.517</v>
      </c>
      <c r="GF172">
        <v>586.68399999999997</v>
      </c>
      <c r="GG172">
        <v>25.657599999999999</v>
      </c>
      <c r="GH172">
        <v>25.907900000000001</v>
      </c>
      <c r="GI172">
        <v>30.0001</v>
      </c>
      <c r="GJ172">
        <v>26.0273</v>
      </c>
      <c r="GK172">
        <v>26.0046</v>
      </c>
      <c r="GL172">
        <v>35.417000000000002</v>
      </c>
      <c r="GM172">
        <v>61.063699999999997</v>
      </c>
      <c r="GN172">
        <v>63.9407</v>
      </c>
      <c r="GO172">
        <v>25.660900000000002</v>
      </c>
      <c r="GP172">
        <v>800</v>
      </c>
      <c r="GQ172">
        <v>7.2122299999999999</v>
      </c>
      <c r="GR172">
        <v>99.8322</v>
      </c>
      <c r="GS172">
        <v>99.708299999999994</v>
      </c>
    </row>
    <row r="173" spans="1:201" x14ac:dyDescent="0.25">
      <c r="A173">
        <v>157</v>
      </c>
      <c r="B173">
        <v>1690234135</v>
      </c>
      <c r="C173">
        <v>1628.900000095367</v>
      </c>
      <c r="D173" t="s">
        <v>645</v>
      </c>
      <c r="E173" t="s">
        <v>646</v>
      </c>
      <c r="F173" t="s">
        <v>330</v>
      </c>
      <c r="H173">
        <v>1690234135</v>
      </c>
      <c r="I173">
        <f t="shared" si="60"/>
        <v>1.6375538852064068E-3</v>
      </c>
      <c r="J173">
        <f t="shared" si="61"/>
        <v>1.6375538852064069</v>
      </c>
      <c r="K173">
        <f t="shared" si="62"/>
        <v>25.265987194263953</v>
      </c>
      <c r="L173">
        <f t="shared" si="63"/>
        <v>518.20600000000002</v>
      </c>
      <c r="M173">
        <f t="shared" si="64"/>
        <v>116.08832372429556</v>
      </c>
      <c r="N173">
        <f t="shared" si="65"/>
        <v>11.503774877313866</v>
      </c>
      <c r="O173">
        <f t="shared" si="66"/>
        <v>51.351634452326003</v>
      </c>
      <c r="P173">
        <f t="shared" si="67"/>
        <v>0.10499496117138332</v>
      </c>
      <c r="Q173">
        <f t="shared" si="68"/>
        <v>2.1340499634162611</v>
      </c>
      <c r="R173">
        <f t="shared" si="69"/>
        <v>0.10220728144299503</v>
      </c>
      <c r="S173">
        <f t="shared" si="70"/>
        <v>6.412384802421435E-2</v>
      </c>
      <c r="T173">
        <f t="shared" si="71"/>
        <v>276.11427834</v>
      </c>
      <c r="U173">
        <f t="shared" si="72"/>
        <v>28.71692078801923</v>
      </c>
      <c r="V173">
        <f t="shared" si="73"/>
        <v>28.71692078801923</v>
      </c>
      <c r="W173">
        <f t="shared" si="74"/>
        <v>3.9563626550607296</v>
      </c>
      <c r="X173">
        <f t="shared" si="75"/>
        <v>67.180969715349235</v>
      </c>
      <c r="Y173">
        <f t="shared" si="76"/>
        <v>2.4197517702885003</v>
      </c>
      <c r="Z173">
        <f t="shared" si="77"/>
        <v>3.6018410876490301</v>
      </c>
      <c r="AA173">
        <f t="shared" si="78"/>
        <v>1.5366108847722293</v>
      </c>
      <c r="AB173">
        <f t="shared" si="79"/>
        <v>-72.216126337602546</v>
      </c>
      <c r="AC173">
        <f t="shared" si="80"/>
        <v>-185.15380766980888</v>
      </c>
      <c r="AD173">
        <f t="shared" si="81"/>
        <v>-18.8956583082884</v>
      </c>
      <c r="AE173">
        <f t="shared" si="82"/>
        <v>-0.15131397569979299</v>
      </c>
      <c r="AF173">
        <v>0</v>
      </c>
      <c r="AG173">
        <v>0</v>
      </c>
      <c r="AH173">
        <f t="shared" si="83"/>
        <v>1</v>
      </c>
      <c r="AI173">
        <f t="shared" si="84"/>
        <v>0</v>
      </c>
      <c r="AJ173">
        <f t="shared" si="85"/>
        <v>52505.565238425006</v>
      </c>
      <c r="AK173">
        <f t="shared" si="86"/>
        <v>1800</v>
      </c>
      <c r="AL173">
        <f t="shared" si="87"/>
        <v>1499.114808</v>
      </c>
      <c r="AM173">
        <f t="shared" si="88"/>
        <v>0.83284155999999998</v>
      </c>
      <c r="AN173">
        <f t="shared" si="89"/>
        <v>0.15339682130000001</v>
      </c>
      <c r="AO173">
        <v>32.4</v>
      </c>
      <c r="AP173">
        <v>0.5</v>
      </c>
      <c r="AQ173" t="s">
        <v>331</v>
      </c>
      <c r="AR173">
        <v>2</v>
      </c>
      <c r="AS173">
        <v>1690234135</v>
      </c>
      <c r="AT173">
        <v>518.20600000000002</v>
      </c>
      <c r="AU173">
        <v>800.14099999999996</v>
      </c>
      <c r="AV173">
        <v>24.418500000000002</v>
      </c>
      <c r="AW173">
        <v>7.1710399999999996</v>
      </c>
      <c r="AX173">
        <v>518.346</v>
      </c>
      <c r="AY173">
        <v>24.246500000000001</v>
      </c>
      <c r="AZ173">
        <v>300.10899999999998</v>
      </c>
      <c r="BA173">
        <v>98.995000000000005</v>
      </c>
      <c r="BB173">
        <v>0.100021</v>
      </c>
      <c r="BC173">
        <v>27.107600000000001</v>
      </c>
      <c r="BD173">
        <v>26.998000000000001</v>
      </c>
      <c r="BE173">
        <v>28.933399999999999</v>
      </c>
      <c r="BF173">
        <v>0</v>
      </c>
      <c r="BG173">
        <v>0</v>
      </c>
      <c r="BH173">
        <v>10035.6</v>
      </c>
      <c r="BI173">
        <v>1081.82</v>
      </c>
      <c r="BJ173">
        <v>1.4577199999999999</v>
      </c>
      <c r="BK173">
        <v>-281.935</v>
      </c>
      <c r="BL173">
        <v>531.17600000000004</v>
      </c>
      <c r="BM173">
        <v>805.92</v>
      </c>
      <c r="BN173">
        <v>17.247399999999999</v>
      </c>
      <c r="BO173">
        <v>800.14099999999996</v>
      </c>
      <c r="BP173">
        <v>7.1710399999999996</v>
      </c>
      <c r="BQ173">
        <v>2.4173100000000001</v>
      </c>
      <c r="BR173">
        <v>0.709897</v>
      </c>
      <c r="BS173">
        <v>20.4802</v>
      </c>
      <c r="BT173">
        <v>2.0227900000000001</v>
      </c>
      <c r="BU173">
        <v>1800</v>
      </c>
      <c r="BV173">
        <v>0.91002300000000003</v>
      </c>
      <c r="BW173">
        <v>3.39922E-2</v>
      </c>
      <c r="BX173">
        <v>2.1995000000000001E-2</v>
      </c>
      <c r="BY173">
        <v>3.3989400000000003E-2</v>
      </c>
      <c r="BZ173">
        <v>25</v>
      </c>
      <c r="CA173">
        <v>33528.5</v>
      </c>
      <c r="CB173">
        <v>1690232006</v>
      </c>
      <c r="CC173" t="s">
        <v>332</v>
      </c>
      <c r="CD173">
        <v>1690232006</v>
      </c>
      <c r="CE173">
        <v>1690231998.5</v>
      </c>
      <c r="CF173">
        <v>14</v>
      </c>
      <c r="CG173">
        <v>-0.13200000000000001</v>
      </c>
      <c r="CH173">
        <v>-7.0000000000000001E-3</v>
      </c>
      <c r="CI173">
        <v>-0.33800000000000002</v>
      </c>
      <c r="CJ173">
        <v>0.14299999999999999</v>
      </c>
      <c r="CK173">
        <v>799</v>
      </c>
      <c r="CL173">
        <v>19</v>
      </c>
      <c r="CM173">
        <v>7.0000000000000007E-2</v>
      </c>
      <c r="CN173">
        <v>0.14000000000000001</v>
      </c>
      <c r="CO173">
        <v>-280.58052500000002</v>
      </c>
      <c r="CP173">
        <v>-7.4382776735447838</v>
      </c>
      <c r="CQ173">
        <v>0.71908455648484004</v>
      </c>
      <c r="CR173">
        <v>-1</v>
      </c>
      <c r="CS173">
        <v>17.119547499999999</v>
      </c>
      <c r="CT173">
        <v>0.83993583489679469</v>
      </c>
      <c r="CU173">
        <v>8.1336292598999133E-2</v>
      </c>
      <c r="CV173">
        <v>-1</v>
      </c>
      <c r="CW173">
        <v>0</v>
      </c>
      <c r="CX173">
        <v>0</v>
      </c>
      <c r="CY173" t="s">
        <v>333</v>
      </c>
      <c r="CZ173">
        <v>2.3647300000000002</v>
      </c>
      <c r="DA173">
        <v>2.7138399999999998</v>
      </c>
      <c r="DB173">
        <v>0.10852199999999999</v>
      </c>
      <c r="DC173">
        <v>0.146118</v>
      </c>
      <c r="DD173">
        <v>0.11534700000000001</v>
      </c>
      <c r="DE173">
        <v>4.5571199999999999E-2</v>
      </c>
      <c r="DF173">
        <v>32581.1</v>
      </c>
      <c r="DG173">
        <v>27556.3</v>
      </c>
      <c r="DH173">
        <v>31199.3</v>
      </c>
      <c r="DI173">
        <v>28119.3</v>
      </c>
      <c r="DJ173">
        <v>37470.800000000003</v>
      </c>
      <c r="DK173">
        <v>38170.300000000003</v>
      </c>
      <c r="DL173">
        <v>44404.9</v>
      </c>
      <c r="DM173">
        <v>42624.3</v>
      </c>
      <c r="DN173">
        <v>1.4855700000000001</v>
      </c>
      <c r="DO173">
        <v>2.0448</v>
      </c>
      <c r="DP173">
        <v>7.5913999999999995E-2</v>
      </c>
      <c r="DQ173">
        <v>0.205427</v>
      </c>
      <c r="DR173">
        <v>25.755299999999998</v>
      </c>
      <c r="DS173">
        <v>25.575199999999999</v>
      </c>
      <c r="DT173">
        <v>47.1</v>
      </c>
      <c r="DU173">
        <v>28.7</v>
      </c>
      <c r="DV173">
        <v>18.805800000000001</v>
      </c>
      <c r="DW173">
        <v>61.107999999999997</v>
      </c>
      <c r="DX173">
        <v>36.634599999999999</v>
      </c>
      <c r="DY173">
        <v>1</v>
      </c>
      <c r="DZ173">
        <v>-0.119868</v>
      </c>
      <c r="EA173">
        <v>-0.47886200000000001</v>
      </c>
      <c r="EB173">
        <v>20.1889</v>
      </c>
      <c r="EC173">
        <v>5.2409499999999998</v>
      </c>
      <c r="ED173">
        <v>12.039899999999999</v>
      </c>
      <c r="EE173">
        <v>5.0164</v>
      </c>
      <c r="EF173">
        <v>3.2879999999999998</v>
      </c>
      <c r="EG173">
        <v>9999</v>
      </c>
      <c r="EH173">
        <v>9999</v>
      </c>
      <c r="EI173">
        <v>9999</v>
      </c>
      <c r="EJ173">
        <v>999.9</v>
      </c>
      <c r="EK173">
        <v>1.8689</v>
      </c>
      <c r="EL173">
        <v>1.8646</v>
      </c>
      <c r="EM173">
        <v>1.86913</v>
      </c>
      <c r="EN173">
        <v>1.8672200000000001</v>
      </c>
      <c r="EO173">
        <v>1.86338</v>
      </c>
      <c r="EP173">
        <v>1.8644700000000001</v>
      </c>
      <c r="EQ173">
        <v>1.8701300000000001</v>
      </c>
      <c r="ER173">
        <v>1.8693599999999999</v>
      </c>
      <c r="ES173">
        <v>0</v>
      </c>
      <c r="ET173">
        <v>0</v>
      </c>
      <c r="EU173">
        <v>0</v>
      </c>
      <c r="EV173">
        <v>0</v>
      </c>
      <c r="EW173" t="s">
        <v>334</v>
      </c>
      <c r="EX173" t="s">
        <v>335</v>
      </c>
      <c r="EY173" t="s">
        <v>336</v>
      </c>
      <c r="EZ173" t="s">
        <v>336</v>
      </c>
      <c r="FA173" t="s">
        <v>336</v>
      </c>
      <c r="FB173" t="s">
        <v>336</v>
      </c>
      <c r="FC173">
        <v>0</v>
      </c>
      <c r="FD173">
        <v>100</v>
      </c>
      <c r="FE173">
        <v>100</v>
      </c>
      <c r="FF173">
        <v>-0.14000000000000001</v>
      </c>
      <c r="FG173">
        <v>0.17199999999999999</v>
      </c>
      <c r="FH173">
        <v>0.2126736300064915</v>
      </c>
      <c r="FI173">
        <v>-6.1462078757559423E-4</v>
      </c>
      <c r="FJ173">
        <v>-1.8861989874597051E-7</v>
      </c>
      <c r="FK173">
        <v>1.1980462299894961E-10</v>
      </c>
      <c r="FL173">
        <v>0.1719881465068297</v>
      </c>
      <c r="FM173">
        <v>0</v>
      </c>
      <c r="FN173">
        <v>0</v>
      </c>
      <c r="FO173">
        <v>0</v>
      </c>
      <c r="FP173">
        <v>3</v>
      </c>
      <c r="FQ173">
        <v>2158</v>
      </c>
      <c r="FR173">
        <v>1</v>
      </c>
      <c r="FS173">
        <v>19</v>
      </c>
      <c r="FT173">
        <v>35.5</v>
      </c>
      <c r="FU173">
        <v>35.6</v>
      </c>
      <c r="FV173">
        <v>1.7712399999999999</v>
      </c>
      <c r="FW173">
        <v>2.5854499999999998</v>
      </c>
      <c r="FX173">
        <v>1.5490699999999999</v>
      </c>
      <c r="FY173">
        <v>2.3278799999999999</v>
      </c>
      <c r="FZ173">
        <v>1.50146</v>
      </c>
      <c r="GA173">
        <v>2.3840300000000001</v>
      </c>
      <c r="GB173">
        <v>33.512999999999998</v>
      </c>
      <c r="GC173">
        <v>23.991199999999999</v>
      </c>
      <c r="GD173">
        <v>19</v>
      </c>
      <c r="GE173">
        <v>285.43299999999999</v>
      </c>
      <c r="GF173">
        <v>586.33299999999997</v>
      </c>
      <c r="GG173">
        <v>25.674800000000001</v>
      </c>
      <c r="GH173">
        <v>25.907900000000001</v>
      </c>
      <c r="GI173">
        <v>30.0001</v>
      </c>
      <c r="GJ173">
        <v>26.025200000000002</v>
      </c>
      <c r="GK173">
        <v>26.0046</v>
      </c>
      <c r="GL173">
        <v>35.4133</v>
      </c>
      <c r="GM173">
        <v>61.063699999999997</v>
      </c>
      <c r="GN173">
        <v>63.186300000000003</v>
      </c>
      <c r="GO173">
        <v>25.673500000000001</v>
      </c>
      <c r="GP173">
        <v>800</v>
      </c>
      <c r="GQ173">
        <v>7.0949200000000001</v>
      </c>
      <c r="GR173">
        <v>99.831500000000005</v>
      </c>
      <c r="GS173">
        <v>99.708299999999994</v>
      </c>
    </row>
    <row r="174" spans="1:201" x14ac:dyDescent="0.25">
      <c r="A174">
        <v>158</v>
      </c>
      <c r="B174">
        <v>1690234145</v>
      </c>
      <c r="C174">
        <v>1638.900000095367</v>
      </c>
      <c r="D174" t="s">
        <v>647</v>
      </c>
      <c r="E174" t="s">
        <v>648</v>
      </c>
      <c r="F174" t="s">
        <v>330</v>
      </c>
      <c r="H174">
        <v>1690234145</v>
      </c>
      <c r="I174">
        <f t="shared" si="60"/>
        <v>1.6462308082686998E-3</v>
      </c>
      <c r="J174">
        <f t="shared" si="61"/>
        <v>1.6462308082686998</v>
      </c>
      <c r="K174">
        <f t="shared" si="62"/>
        <v>25.378704608077932</v>
      </c>
      <c r="L174">
        <f t="shared" si="63"/>
        <v>517.04</v>
      </c>
      <c r="M174">
        <f t="shared" si="64"/>
        <v>114.96399991900033</v>
      </c>
      <c r="N174">
        <f t="shared" si="65"/>
        <v>11.391690780773807</v>
      </c>
      <c r="O174">
        <f t="shared" si="66"/>
        <v>51.233079967999991</v>
      </c>
      <c r="P174">
        <f t="shared" si="67"/>
        <v>0.1054835296081225</v>
      </c>
      <c r="Q174">
        <f t="shared" si="68"/>
        <v>2.1305615904802906</v>
      </c>
      <c r="R174">
        <f t="shared" si="69"/>
        <v>0.10266574653419848</v>
      </c>
      <c r="S174">
        <f t="shared" si="70"/>
        <v>6.4412988665496967E-2</v>
      </c>
      <c r="T174">
        <f t="shared" si="71"/>
        <v>276.11419903199999</v>
      </c>
      <c r="U174">
        <f t="shared" si="72"/>
        <v>28.717885470661589</v>
      </c>
      <c r="V174">
        <f t="shared" si="73"/>
        <v>28.717885470661589</v>
      </c>
      <c r="W174">
        <f t="shared" si="74"/>
        <v>3.956583975762948</v>
      </c>
      <c r="X174">
        <f t="shared" si="75"/>
        <v>67.148709541172678</v>
      </c>
      <c r="Y174">
        <f t="shared" si="76"/>
        <v>2.4188169166</v>
      </c>
      <c r="Z174">
        <f t="shared" si="77"/>
        <v>3.6021793019222303</v>
      </c>
      <c r="AA174">
        <f t="shared" si="78"/>
        <v>1.537767059162948</v>
      </c>
      <c r="AB174">
        <f t="shared" si="79"/>
        <v>-72.59877864464967</v>
      </c>
      <c r="AC174">
        <f t="shared" si="80"/>
        <v>-184.7781761417894</v>
      </c>
      <c r="AD174">
        <f t="shared" si="81"/>
        <v>-18.888440171413031</v>
      </c>
      <c r="AE174">
        <f t="shared" si="82"/>
        <v>-0.15119592585210739</v>
      </c>
      <c r="AF174">
        <v>0</v>
      </c>
      <c r="AG174">
        <v>0</v>
      </c>
      <c r="AH174">
        <f t="shared" si="83"/>
        <v>1</v>
      </c>
      <c r="AI174">
        <f t="shared" si="84"/>
        <v>0</v>
      </c>
      <c r="AJ174">
        <f t="shared" si="85"/>
        <v>52354.755057360468</v>
      </c>
      <c r="AK174">
        <f t="shared" si="86"/>
        <v>1800</v>
      </c>
      <c r="AL174">
        <f t="shared" si="87"/>
        <v>1499.1148062</v>
      </c>
      <c r="AM174">
        <f t="shared" si="88"/>
        <v>0.83284155900000001</v>
      </c>
      <c r="AN174">
        <f t="shared" si="89"/>
        <v>0.15339677724</v>
      </c>
      <c r="AO174">
        <v>32.4</v>
      </c>
      <c r="AP174">
        <v>0.5</v>
      </c>
      <c r="AQ174" t="s">
        <v>331</v>
      </c>
      <c r="AR174">
        <v>2</v>
      </c>
      <c r="AS174">
        <v>1690234145</v>
      </c>
      <c r="AT174">
        <v>517.04</v>
      </c>
      <c r="AU174">
        <v>800.13199999999995</v>
      </c>
      <c r="AV174">
        <v>24.410499999999999</v>
      </c>
      <c r="AW174">
        <v>7.0768800000000001</v>
      </c>
      <c r="AX174">
        <v>517.17999999999995</v>
      </c>
      <c r="AY174">
        <v>24.238499999999998</v>
      </c>
      <c r="AZ174">
        <v>300.202</v>
      </c>
      <c r="BA174">
        <v>98.989199999999997</v>
      </c>
      <c r="BB174">
        <v>0.1</v>
      </c>
      <c r="BC174">
        <v>27.109200000000001</v>
      </c>
      <c r="BD174">
        <v>26.994900000000001</v>
      </c>
      <c r="BE174">
        <v>28.924099999999999</v>
      </c>
      <c r="BF174">
        <v>0</v>
      </c>
      <c r="BG174">
        <v>0</v>
      </c>
      <c r="BH174">
        <v>10006.200000000001</v>
      </c>
      <c r="BI174">
        <v>1081.74</v>
      </c>
      <c r="BJ174">
        <v>1.4577199999999999</v>
      </c>
      <c r="BK174">
        <v>-283.09199999999998</v>
      </c>
      <c r="BL174">
        <v>529.97699999999998</v>
      </c>
      <c r="BM174">
        <v>805.83500000000004</v>
      </c>
      <c r="BN174">
        <v>17.333600000000001</v>
      </c>
      <c r="BO174">
        <v>800.13199999999995</v>
      </c>
      <c r="BP174">
        <v>7.0768800000000001</v>
      </c>
      <c r="BQ174">
        <v>2.4163700000000001</v>
      </c>
      <c r="BR174">
        <v>0.70053399999999999</v>
      </c>
      <c r="BS174">
        <v>20.4739</v>
      </c>
      <c r="BT174">
        <v>1.8370599999999999</v>
      </c>
      <c r="BU174">
        <v>1800</v>
      </c>
      <c r="BV174">
        <v>0.91002400000000006</v>
      </c>
      <c r="BW174">
        <v>3.3991800000000003E-2</v>
      </c>
      <c r="BX174">
        <v>2.1994699999999999E-2</v>
      </c>
      <c r="BY174">
        <v>3.3988999999999998E-2</v>
      </c>
      <c r="BZ174">
        <v>25</v>
      </c>
      <c r="CA174">
        <v>33528.5</v>
      </c>
      <c r="CB174">
        <v>1690232006</v>
      </c>
      <c r="CC174" t="s">
        <v>332</v>
      </c>
      <c r="CD174">
        <v>1690232006</v>
      </c>
      <c r="CE174">
        <v>1690231998.5</v>
      </c>
      <c r="CF174">
        <v>14</v>
      </c>
      <c r="CG174">
        <v>-0.13200000000000001</v>
      </c>
      <c r="CH174">
        <v>-7.0000000000000001E-3</v>
      </c>
      <c r="CI174">
        <v>-0.33800000000000002</v>
      </c>
      <c r="CJ174">
        <v>0.14299999999999999</v>
      </c>
      <c r="CK174">
        <v>799</v>
      </c>
      <c r="CL174">
        <v>19</v>
      </c>
      <c r="CM174">
        <v>7.0000000000000007E-2</v>
      </c>
      <c r="CN174">
        <v>0.14000000000000001</v>
      </c>
      <c r="CO174">
        <v>-281.77215000000001</v>
      </c>
      <c r="CP174">
        <v>-6.7173658536586682</v>
      </c>
      <c r="CQ174">
        <v>0.65134363242454607</v>
      </c>
      <c r="CR174">
        <v>-1</v>
      </c>
      <c r="CS174">
        <v>17.23377</v>
      </c>
      <c r="CT174">
        <v>0.55511369606002625</v>
      </c>
      <c r="CU174">
        <v>5.544240344718103E-2</v>
      </c>
      <c r="CV174">
        <v>-1</v>
      </c>
      <c r="CW174">
        <v>0</v>
      </c>
      <c r="CX174">
        <v>0</v>
      </c>
      <c r="CY174" t="s">
        <v>333</v>
      </c>
      <c r="CZ174">
        <v>2.36504</v>
      </c>
      <c r="DA174">
        <v>2.7138</v>
      </c>
      <c r="DB174">
        <v>0.108339</v>
      </c>
      <c r="DC174">
        <v>0.14610699999999999</v>
      </c>
      <c r="DD174">
        <v>0.115314</v>
      </c>
      <c r="DE174">
        <v>4.5088999999999997E-2</v>
      </c>
      <c r="DF174">
        <v>32588.400000000001</v>
      </c>
      <c r="DG174">
        <v>27556.9</v>
      </c>
      <c r="DH174">
        <v>31199.8</v>
      </c>
      <c r="DI174">
        <v>28119.599999999999</v>
      </c>
      <c r="DJ174">
        <v>37472.800000000003</v>
      </c>
      <c r="DK174">
        <v>38190.1</v>
      </c>
      <c r="DL174">
        <v>44405.5</v>
      </c>
      <c r="DM174">
        <v>42624.9</v>
      </c>
      <c r="DN174">
        <v>1.4861</v>
      </c>
      <c r="DO174">
        <v>2.0446800000000001</v>
      </c>
      <c r="DP174">
        <v>7.5660599999999995E-2</v>
      </c>
      <c r="DQ174">
        <v>0.20483100000000001</v>
      </c>
      <c r="DR174">
        <v>25.7563</v>
      </c>
      <c r="DS174">
        <v>25.575700000000001</v>
      </c>
      <c r="DT174">
        <v>46.8</v>
      </c>
      <c r="DU174">
        <v>28.8</v>
      </c>
      <c r="DV174">
        <v>18.795200000000001</v>
      </c>
      <c r="DW174">
        <v>61.427999999999997</v>
      </c>
      <c r="DX174">
        <v>36.999200000000002</v>
      </c>
      <c r="DY174">
        <v>1</v>
      </c>
      <c r="DZ174">
        <v>-0.120145</v>
      </c>
      <c r="EA174">
        <v>-0.45611699999999999</v>
      </c>
      <c r="EB174">
        <v>20.188800000000001</v>
      </c>
      <c r="EC174">
        <v>5.2409499999999998</v>
      </c>
      <c r="ED174">
        <v>12.039899999999999</v>
      </c>
      <c r="EE174">
        <v>5.0166500000000003</v>
      </c>
      <c r="EF174">
        <v>3.2879999999999998</v>
      </c>
      <c r="EG174">
        <v>9999</v>
      </c>
      <c r="EH174">
        <v>9999</v>
      </c>
      <c r="EI174">
        <v>9999</v>
      </c>
      <c r="EJ174">
        <v>999.9</v>
      </c>
      <c r="EK174">
        <v>1.8688800000000001</v>
      </c>
      <c r="EL174">
        <v>1.86459</v>
      </c>
      <c r="EM174">
        <v>1.8691500000000001</v>
      </c>
      <c r="EN174">
        <v>1.8672200000000001</v>
      </c>
      <c r="EO174">
        <v>1.86337</v>
      </c>
      <c r="EP174">
        <v>1.8644700000000001</v>
      </c>
      <c r="EQ174">
        <v>1.87012</v>
      </c>
      <c r="ER174">
        <v>1.8693599999999999</v>
      </c>
      <c r="ES174">
        <v>0</v>
      </c>
      <c r="ET174">
        <v>0</v>
      </c>
      <c r="EU174">
        <v>0</v>
      </c>
      <c r="EV174">
        <v>0</v>
      </c>
      <c r="EW174" t="s">
        <v>334</v>
      </c>
      <c r="EX174" t="s">
        <v>335</v>
      </c>
      <c r="EY174" t="s">
        <v>336</v>
      </c>
      <c r="EZ174" t="s">
        <v>336</v>
      </c>
      <c r="FA174" t="s">
        <v>336</v>
      </c>
      <c r="FB174" t="s">
        <v>336</v>
      </c>
      <c r="FC174">
        <v>0</v>
      </c>
      <c r="FD174">
        <v>100</v>
      </c>
      <c r="FE174">
        <v>100</v>
      </c>
      <c r="FF174">
        <v>-0.14000000000000001</v>
      </c>
      <c r="FG174">
        <v>0.17199999999999999</v>
      </c>
      <c r="FH174">
        <v>0.2126736300064915</v>
      </c>
      <c r="FI174">
        <v>-6.1462078757559423E-4</v>
      </c>
      <c r="FJ174">
        <v>-1.8861989874597051E-7</v>
      </c>
      <c r="FK174">
        <v>1.1980462299894961E-10</v>
      </c>
      <c r="FL174">
        <v>0.1719881465068297</v>
      </c>
      <c r="FM174">
        <v>0</v>
      </c>
      <c r="FN174">
        <v>0</v>
      </c>
      <c r="FO174">
        <v>0</v>
      </c>
      <c r="FP174">
        <v>3</v>
      </c>
      <c r="FQ174">
        <v>2158</v>
      </c>
      <c r="FR174">
        <v>1</v>
      </c>
      <c r="FS174">
        <v>19</v>
      </c>
      <c r="FT174">
        <v>35.6</v>
      </c>
      <c r="FU174">
        <v>35.799999999999997</v>
      </c>
      <c r="FV174">
        <v>1.7712399999999999</v>
      </c>
      <c r="FW174">
        <v>2.5952099999999998</v>
      </c>
      <c r="FX174">
        <v>1.5490699999999999</v>
      </c>
      <c r="FY174">
        <v>2.3290999999999999</v>
      </c>
      <c r="FZ174">
        <v>1.50146</v>
      </c>
      <c r="GA174">
        <v>2.2875999999999999</v>
      </c>
      <c r="GB174">
        <v>33.512999999999998</v>
      </c>
      <c r="GC174">
        <v>23.982399999999998</v>
      </c>
      <c r="GD174">
        <v>19</v>
      </c>
      <c r="GE174">
        <v>285.65699999999998</v>
      </c>
      <c r="GF174">
        <v>586.22199999999998</v>
      </c>
      <c r="GG174">
        <v>25.6785</v>
      </c>
      <c r="GH174">
        <v>25.9057</v>
      </c>
      <c r="GI174">
        <v>29.9999</v>
      </c>
      <c r="GJ174">
        <v>26.025200000000002</v>
      </c>
      <c r="GK174">
        <v>26.004000000000001</v>
      </c>
      <c r="GL174">
        <v>35.410299999999999</v>
      </c>
      <c r="GM174">
        <v>61.3504</v>
      </c>
      <c r="GN174">
        <v>62.434899999999999</v>
      </c>
      <c r="GO174">
        <v>25.677199999999999</v>
      </c>
      <c r="GP174">
        <v>800</v>
      </c>
      <c r="GQ174">
        <v>6.9812200000000004</v>
      </c>
      <c r="GR174">
        <v>99.832999999999998</v>
      </c>
      <c r="GS174">
        <v>99.709400000000002</v>
      </c>
    </row>
    <row r="175" spans="1:201" x14ac:dyDescent="0.25">
      <c r="A175">
        <v>159</v>
      </c>
      <c r="B175">
        <v>1690234155</v>
      </c>
      <c r="C175">
        <v>1648.900000095367</v>
      </c>
      <c r="D175" t="s">
        <v>649</v>
      </c>
      <c r="E175" t="s">
        <v>650</v>
      </c>
      <c r="F175" t="s">
        <v>330</v>
      </c>
      <c r="H175">
        <v>1690234155</v>
      </c>
      <c r="I175">
        <f t="shared" si="60"/>
        <v>1.65854073534591E-3</v>
      </c>
      <c r="J175">
        <f t="shared" si="61"/>
        <v>1.6585407353459101</v>
      </c>
      <c r="K175">
        <f t="shared" si="62"/>
        <v>25.475774336385658</v>
      </c>
      <c r="L175">
        <f t="shared" si="63"/>
        <v>515.899</v>
      </c>
      <c r="M175">
        <f t="shared" si="64"/>
        <v>115.07279574742962</v>
      </c>
      <c r="N175">
        <f t="shared" si="65"/>
        <v>11.402380825158746</v>
      </c>
      <c r="O175">
        <f t="shared" si="66"/>
        <v>51.119613694186</v>
      </c>
      <c r="P175">
        <f t="shared" si="67"/>
        <v>0.10623628857267788</v>
      </c>
      <c r="Q175">
        <f t="shared" si="68"/>
        <v>2.1327402142170246</v>
      </c>
      <c r="R175">
        <f t="shared" si="69"/>
        <v>0.10338156627697224</v>
      </c>
      <c r="S175">
        <f t="shared" si="70"/>
        <v>6.4863574969898363E-2</v>
      </c>
      <c r="T175">
        <f t="shared" si="71"/>
        <v>276.11437636799997</v>
      </c>
      <c r="U175">
        <f t="shared" si="72"/>
        <v>28.71560246002328</v>
      </c>
      <c r="V175">
        <f t="shared" si="73"/>
        <v>28.71560246002328</v>
      </c>
      <c r="W175">
        <f t="shared" si="74"/>
        <v>3.9560602173239263</v>
      </c>
      <c r="X175">
        <f t="shared" si="75"/>
        <v>67.098908602490454</v>
      </c>
      <c r="Y175">
        <f t="shared" si="76"/>
        <v>2.4175194894064003</v>
      </c>
      <c r="Z175">
        <f t="shared" si="77"/>
        <v>3.6029192422910303</v>
      </c>
      <c r="AA175">
        <f t="shared" si="78"/>
        <v>1.5385407279175261</v>
      </c>
      <c r="AB175">
        <f t="shared" si="79"/>
        <v>-73.141646428754626</v>
      </c>
      <c r="AC175">
        <f t="shared" si="80"/>
        <v>-184.30219038262413</v>
      </c>
      <c r="AD175">
        <f t="shared" si="81"/>
        <v>-18.82065194623965</v>
      </c>
      <c r="AE175">
        <f t="shared" si="82"/>
        <v>-0.15011238961844242</v>
      </c>
      <c r="AF175">
        <v>0</v>
      </c>
      <c r="AG175">
        <v>0</v>
      </c>
      <c r="AH175">
        <f t="shared" si="83"/>
        <v>1</v>
      </c>
      <c r="AI175">
        <f t="shared" si="84"/>
        <v>0</v>
      </c>
      <c r="AJ175">
        <f t="shared" si="85"/>
        <v>52448.024424576259</v>
      </c>
      <c r="AK175">
        <f t="shared" si="86"/>
        <v>1800</v>
      </c>
      <c r="AL175">
        <f t="shared" si="87"/>
        <v>1499.1152597999999</v>
      </c>
      <c r="AM175">
        <f t="shared" si="88"/>
        <v>0.83284181099999999</v>
      </c>
      <c r="AN175">
        <f t="shared" si="89"/>
        <v>0.15339687576</v>
      </c>
      <c r="AO175">
        <v>32.4</v>
      </c>
      <c r="AP175">
        <v>0.5</v>
      </c>
      <c r="AQ175" t="s">
        <v>331</v>
      </c>
      <c r="AR175">
        <v>2</v>
      </c>
      <c r="AS175">
        <v>1690234155</v>
      </c>
      <c r="AT175">
        <v>515.899</v>
      </c>
      <c r="AU175">
        <v>800.12099999999998</v>
      </c>
      <c r="AV175">
        <v>24.397600000000001</v>
      </c>
      <c r="AW175">
        <v>6.9320399999999998</v>
      </c>
      <c r="AX175">
        <v>516.03700000000003</v>
      </c>
      <c r="AY175">
        <v>24.2256</v>
      </c>
      <c r="AZ175">
        <v>300.166</v>
      </c>
      <c r="BA175">
        <v>98.988399999999999</v>
      </c>
      <c r="BB175">
        <v>0.10001400000000001</v>
      </c>
      <c r="BC175">
        <v>27.1127</v>
      </c>
      <c r="BD175">
        <v>26.9892</v>
      </c>
      <c r="BE175">
        <v>28.929400000000001</v>
      </c>
      <c r="BF175">
        <v>0</v>
      </c>
      <c r="BG175">
        <v>0</v>
      </c>
      <c r="BH175">
        <v>10025</v>
      </c>
      <c r="BI175">
        <v>1081.77</v>
      </c>
      <c r="BJ175">
        <v>1.4577199999999999</v>
      </c>
      <c r="BK175">
        <v>-284.22199999999998</v>
      </c>
      <c r="BL175">
        <v>528.79999999999995</v>
      </c>
      <c r="BM175">
        <v>805.70600000000002</v>
      </c>
      <c r="BN175">
        <v>17.465599999999998</v>
      </c>
      <c r="BO175">
        <v>800.12099999999998</v>
      </c>
      <c r="BP175">
        <v>6.9320399999999998</v>
      </c>
      <c r="BQ175">
        <v>2.4150800000000001</v>
      </c>
      <c r="BR175">
        <v>0.686191</v>
      </c>
      <c r="BS175">
        <v>20.465299999999999</v>
      </c>
      <c r="BT175">
        <v>1.5482199999999999</v>
      </c>
      <c r="BU175">
        <v>1800</v>
      </c>
      <c r="BV175">
        <v>0.91002300000000003</v>
      </c>
      <c r="BW175">
        <v>3.3994499999999997E-2</v>
      </c>
      <c r="BX175">
        <v>2.1994300000000001E-2</v>
      </c>
      <c r="BY175">
        <v>3.3988400000000002E-2</v>
      </c>
      <c r="BZ175">
        <v>25</v>
      </c>
      <c r="CA175">
        <v>33528.5</v>
      </c>
      <c r="CB175">
        <v>1690232006</v>
      </c>
      <c r="CC175" t="s">
        <v>332</v>
      </c>
      <c r="CD175">
        <v>1690232006</v>
      </c>
      <c r="CE175">
        <v>1690231998.5</v>
      </c>
      <c r="CF175">
        <v>14</v>
      </c>
      <c r="CG175">
        <v>-0.13200000000000001</v>
      </c>
      <c r="CH175">
        <v>-7.0000000000000001E-3</v>
      </c>
      <c r="CI175">
        <v>-0.33800000000000002</v>
      </c>
      <c r="CJ175">
        <v>0.14299999999999999</v>
      </c>
      <c r="CK175">
        <v>799</v>
      </c>
      <c r="CL175">
        <v>19</v>
      </c>
      <c r="CM175">
        <v>7.0000000000000007E-2</v>
      </c>
      <c r="CN175">
        <v>0.14000000000000001</v>
      </c>
      <c r="CO175">
        <v>-282.89710000000002</v>
      </c>
      <c r="CP175">
        <v>-6.8549268292677974</v>
      </c>
      <c r="CQ175">
        <v>0.66394012531251312</v>
      </c>
      <c r="CR175">
        <v>-1</v>
      </c>
      <c r="CS175">
        <v>17.326215000000001</v>
      </c>
      <c r="CT175">
        <v>0.57269043151967447</v>
      </c>
      <c r="CU175">
        <v>5.5562579808716352E-2</v>
      </c>
      <c r="CV175">
        <v>-1</v>
      </c>
      <c r="CW175">
        <v>0</v>
      </c>
      <c r="CX175">
        <v>0</v>
      </c>
      <c r="CY175" t="s">
        <v>333</v>
      </c>
      <c r="CZ175">
        <v>2.3649200000000001</v>
      </c>
      <c r="DA175">
        <v>2.7138300000000002</v>
      </c>
      <c r="DB175">
        <v>0.108164</v>
      </c>
      <c r="DC175">
        <v>0.14610200000000001</v>
      </c>
      <c r="DD175">
        <v>0.115271</v>
      </c>
      <c r="DE175">
        <v>4.4346999999999998E-2</v>
      </c>
      <c r="DF175">
        <v>32594.400000000001</v>
      </c>
      <c r="DG175">
        <v>27557.1</v>
      </c>
      <c r="DH175">
        <v>31199.5</v>
      </c>
      <c r="DI175">
        <v>28119.599999999999</v>
      </c>
      <c r="DJ175">
        <v>37474.400000000001</v>
      </c>
      <c r="DK175">
        <v>38220</v>
      </c>
      <c r="DL175">
        <v>44405.3</v>
      </c>
      <c r="DM175">
        <v>42625.1</v>
      </c>
      <c r="DN175">
        <v>1.4861500000000001</v>
      </c>
      <c r="DO175">
        <v>2.0445199999999999</v>
      </c>
      <c r="DP175">
        <v>7.5504199999999994E-2</v>
      </c>
      <c r="DQ175">
        <v>0.205152</v>
      </c>
      <c r="DR175">
        <v>25.7532</v>
      </c>
      <c r="DS175">
        <v>25.575700000000001</v>
      </c>
      <c r="DT175">
        <v>46.5</v>
      </c>
      <c r="DU175">
        <v>28.8</v>
      </c>
      <c r="DV175">
        <v>18.675899999999999</v>
      </c>
      <c r="DW175">
        <v>61.238</v>
      </c>
      <c r="DX175">
        <v>36.350200000000001</v>
      </c>
      <c r="DY175">
        <v>1</v>
      </c>
      <c r="DZ175">
        <v>-0.12003800000000001</v>
      </c>
      <c r="EA175">
        <v>-0.47020200000000001</v>
      </c>
      <c r="EB175">
        <v>20.1889</v>
      </c>
      <c r="EC175">
        <v>5.2411000000000003</v>
      </c>
      <c r="ED175">
        <v>12.039899999999999</v>
      </c>
      <c r="EE175">
        <v>5.0164499999999999</v>
      </c>
      <c r="EF175">
        <v>3.2879999999999998</v>
      </c>
      <c r="EG175">
        <v>9999</v>
      </c>
      <c r="EH175">
        <v>9999</v>
      </c>
      <c r="EI175">
        <v>9999</v>
      </c>
      <c r="EJ175">
        <v>999.9</v>
      </c>
      <c r="EK175">
        <v>1.8689</v>
      </c>
      <c r="EL175">
        <v>1.86456</v>
      </c>
      <c r="EM175">
        <v>1.86913</v>
      </c>
      <c r="EN175">
        <v>1.86721</v>
      </c>
      <c r="EO175">
        <v>1.86337</v>
      </c>
      <c r="EP175">
        <v>1.8644700000000001</v>
      </c>
      <c r="EQ175">
        <v>1.87012</v>
      </c>
      <c r="ER175">
        <v>1.8693599999999999</v>
      </c>
      <c r="ES175">
        <v>0</v>
      </c>
      <c r="ET175">
        <v>0</v>
      </c>
      <c r="EU175">
        <v>0</v>
      </c>
      <c r="EV175">
        <v>0</v>
      </c>
      <c r="EW175" t="s">
        <v>334</v>
      </c>
      <c r="EX175" t="s">
        <v>335</v>
      </c>
      <c r="EY175" t="s">
        <v>336</v>
      </c>
      <c r="EZ175" t="s">
        <v>336</v>
      </c>
      <c r="FA175" t="s">
        <v>336</v>
      </c>
      <c r="FB175" t="s">
        <v>336</v>
      </c>
      <c r="FC175">
        <v>0</v>
      </c>
      <c r="FD175">
        <v>100</v>
      </c>
      <c r="FE175">
        <v>100</v>
      </c>
      <c r="FF175">
        <v>-0.13800000000000001</v>
      </c>
      <c r="FG175">
        <v>0.17199999999999999</v>
      </c>
      <c r="FH175">
        <v>0.2126736300064915</v>
      </c>
      <c r="FI175">
        <v>-6.1462078757559423E-4</v>
      </c>
      <c r="FJ175">
        <v>-1.8861989874597051E-7</v>
      </c>
      <c r="FK175">
        <v>1.1980462299894961E-10</v>
      </c>
      <c r="FL175">
        <v>0.1719881465068297</v>
      </c>
      <c r="FM175">
        <v>0</v>
      </c>
      <c r="FN175">
        <v>0</v>
      </c>
      <c r="FO175">
        <v>0</v>
      </c>
      <c r="FP175">
        <v>3</v>
      </c>
      <c r="FQ175">
        <v>2158</v>
      </c>
      <c r="FR175">
        <v>1</v>
      </c>
      <c r="FS175">
        <v>19</v>
      </c>
      <c r="FT175">
        <v>35.799999999999997</v>
      </c>
      <c r="FU175">
        <v>35.9</v>
      </c>
      <c r="FV175">
        <v>1.7712399999999999</v>
      </c>
      <c r="FW175">
        <v>2.5842299999999998</v>
      </c>
      <c r="FX175">
        <v>1.5490699999999999</v>
      </c>
      <c r="FY175">
        <v>2.3278799999999999</v>
      </c>
      <c r="FZ175">
        <v>1.50146</v>
      </c>
      <c r="GA175">
        <v>2.3913600000000002</v>
      </c>
      <c r="GB175">
        <v>33.512999999999998</v>
      </c>
      <c r="GC175">
        <v>23.991199999999999</v>
      </c>
      <c r="GD175">
        <v>19</v>
      </c>
      <c r="GE175">
        <v>285.67099999999999</v>
      </c>
      <c r="GF175">
        <v>586.07899999999995</v>
      </c>
      <c r="GG175">
        <v>25.682200000000002</v>
      </c>
      <c r="GH175">
        <v>25.9057</v>
      </c>
      <c r="GI175">
        <v>30</v>
      </c>
      <c r="GJ175">
        <v>26.023499999999999</v>
      </c>
      <c r="GK175">
        <v>26.002400000000002</v>
      </c>
      <c r="GL175">
        <v>35.407499999999999</v>
      </c>
      <c r="GM175">
        <v>61.6297</v>
      </c>
      <c r="GN175">
        <v>61.677799999999998</v>
      </c>
      <c r="GO175">
        <v>25.6844</v>
      </c>
      <c r="GP175">
        <v>800</v>
      </c>
      <c r="GQ175">
        <v>6.8681900000000002</v>
      </c>
      <c r="GR175">
        <v>99.8322</v>
      </c>
      <c r="GS175">
        <v>99.709800000000001</v>
      </c>
    </row>
    <row r="176" spans="1:201" x14ac:dyDescent="0.25">
      <c r="A176">
        <v>160</v>
      </c>
      <c r="B176">
        <v>1690234165</v>
      </c>
      <c r="C176">
        <v>1658.900000095367</v>
      </c>
      <c r="D176" t="s">
        <v>651</v>
      </c>
      <c r="E176" t="s">
        <v>652</v>
      </c>
      <c r="F176" t="s">
        <v>330</v>
      </c>
      <c r="H176">
        <v>1690234165</v>
      </c>
      <c r="I176">
        <f t="shared" si="60"/>
        <v>1.6658379817337376E-3</v>
      </c>
      <c r="J176">
        <f t="shared" si="61"/>
        <v>1.6658379817337376</v>
      </c>
      <c r="K176">
        <f t="shared" si="62"/>
        <v>25.556498074511648</v>
      </c>
      <c r="L176">
        <f t="shared" si="63"/>
        <v>514.85799999999995</v>
      </c>
      <c r="M176">
        <f t="shared" si="64"/>
        <v>114.27312749934951</v>
      </c>
      <c r="N176">
        <f t="shared" si="65"/>
        <v>11.32331426214845</v>
      </c>
      <c r="O176">
        <f t="shared" si="66"/>
        <v>51.017234427353998</v>
      </c>
      <c r="P176">
        <f t="shared" si="67"/>
        <v>0.10664693579414276</v>
      </c>
      <c r="Q176">
        <f t="shared" si="68"/>
        <v>2.1293368139610642</v>
      </c>
      <c r="R176">
        <f t="shared" si="69"/>
        <v>0.10376595934730556</v>
      </c>
      <c r="S176">
        <f t="shared" si="70"/>
        <v>6.5106086446908934E-2</v>
      </c>
      <c r="T176">
        <f t="shared" si="71"/>
        <v>276.11436542399997</v>
      </c>
      <c r="U176">
        <f t="shared" si="72"/>
        <v>28.716980932875849</v>
      </c>
      <c r="V176">
        <f t="shared" si="73"/>
        <v>28.716980932875849</v>
      </c>
      <c r="W176">
        <f t="shared" si="74"/>
        <v>3.9563764533782986</v>
      </c>
      <c r="X176">
        <f t="shared" si="75"/>
        <v>67.071623717401366</v>
      </c>
      <c r="Y176">
        <f t="shared" si="76"/>
        <v>2.4167633421048005</v>
      </c>
      <c r="Z176">
        <f t="shared" si="77"/>
        <v>3.6032575449307105</v>
      </c>
      <c r="AA176">
        <f t="shared" si="78"/>
        <v>1.5396131112734981</v>
      </c>
      <c r="AB176">
        <f t="shared" si="79"/>
        <v>-73.463454994457834</v>
      </c>
      <c r="AC176">
        <f t="shared" si="80"/>
        <v>-183.98265263492064</v>
      </c>
      <c r="AD176">
        <f t="shared" si="81"/>
        <v>-18.818330218443258</v>
      </c>
      <c r="AE176">
        <f t="shared" si="82"/>
        <v>-0.15007242382174013</v>
      </c>
      <c r="AF176">
        <v>0</v>
      </c>
      <c r="AG176">
        <v>0</v>
      </c>
      <c r="AH176">
        <f t="shared" si="83"/>
        <v>1</v>
      </c>
      <c r="AI176">
        <f t="shared" si="84"/>
        <v>0</v>
      </c>
      <c r="AJ176">
        <f t="shared" si="85"/>
        <v>52301.141756073863</v>
      </c>
      <c r="AK176">
        <f t="shared" si="86"/>
        <v>1800</v>
      </c>
      <c r="AL176">
        <f t="shared" si="87"/>
        <v>1499.1145343999997</v>
      </c>
      <c r="AM176">
        <f t="shared" si="88"/>
        <v>0.83284140799999984</v>
      </c>
      <c r="AN176">
        <f t="shared" si="89"/>
        <v>0.15339686967999999</v>
      </c>
      <c r="AO176">
        <v>32.4</v>
      </c>
      <c r="AP176">
        <v>0.5</v>
      </c>
      <c r="AQ176" t="s">
        <v>331</v>
      </c>
      <c r="AR176">
        <v>2</v>
      </c>
      <c r="AS176">
        <v>1690234165</v>
      </c>
      <c r="AT176">
        <v>514.85799999999995</v>
      </c>
      <c r="AU176">
        <v>799.99699999999996</v>
      </c>
      <c r="AV176">
        <v>24.389600000000002</v>
      </c>
      <c r="AW176">
        <v>6.8455899999999996</v>
      </c>
      <c r="AX176">
        <v>514.99599999999998</v>
      </c>
      <c r="AY176">
        <v>24.217600000000001</v>
      </c>
      <c r="AZ176">
        <v>300.14100000000002</v>
      </c>
      <c r="BA176">
        <v>98.989900000000006</v>
      </c>
      <c r="BB176">
        <v>0.100013</v>
      </c>
      <c r="BC176">
        <v>27.1143</v>
      </c>
      <c r="BD176">
        <v>26.990400000000001</v>
      </c>
      <c r="BE176">
        <v>28.9209</v>
      </c>
      <c r="BF176">
        <v>0</v>
      </c>
      <c r="BG176">
        <v>0</v>
      </c>
      <c r="BH176">
        <v>9995.6200000000008</v>
      </c>
      <c r="BI176">
        <v>1081.74</v>
      </c>
      <c r="BJ176">
        <v>1.4577199999999999</v>
      </c>
      <c r="BK176">
        <v>-285.13900000000001</v>
      </c>
      <c r="BL176">
        <v>527.73</v>
      </c>
      <c r="BM176">
        <v>805.51099999999997</v>
      </c>
      <c r="BN176">
        <v>17.544</v>
      </c>
      <c r="BO176">
        <v>799.99699999999996</v>
      </c>
      <c r="BP176">
        <v>6.8455899999999996</v>
      </c>
      <c r="BQ176">
        <v>2.41432</v>
      </c>
      <c r="BR176">
        <v>0.67764500000000005</v>
      </c>
      <c r="BS176">
        <v>20.4602</v>
      </c>
      <c r="BT176">
        <v>1.37357</v>
      </c>
      <c r="BU176">
        <v>1800</v>
      </c>
      <c r="BV176">
        <v>0.91002099999999997</v>
      </c>
      <c r="BW176">
        <v>3.3996199999999997E-2</v>
      </c>
      <c r="BX176">
        <v>2.1994400000000001E-2</v>
      </c>
      <c r="BY176">
        <v>3.3988400000000002E-2</v>
      </c>
      <c r="BZ176">
        <v>25</v>
      </c>
      <c r="CA176">
        <v>33528.5</v>
      </c>
      <c r="CB176">
        <v>1690232006</v>
      </c>
      <c r="CC176" t="s">
        <v>332</v>
      </c>
      <c r="CD176">
        <v>1690232006</v>
      </c>
      <c r="CE176">
        <v>1690231998.5</v>
      </c>
      <c r="CF176">
        <v>14</v>
      </c>
      <c r="CG176">
        <v>-0.13200000000000001</v>
      </c>
      <c r="CH176">
        <v>-7.0000000000000001E-3</v>
      </c>
      <c r="CI176">
        <v>-0.33800000000000002</v>
      </c>
      <c r="CJ176">
        <v>0.14299999999999999</v>
      </c>
      <c r="CK176">
        <v>799</v>
      </c>
      <c r="CL176">
        <v>19</v>
      </c>
      <c r="CM176">
        <v>7.0000000000000007E-2</v>
      </c>
      <c r="CN176">
        <v>0.14000000000000001</v>
      </c>
      <c r="CO176">
        <v>-284.00389999999999</v>
      </c>
      <c r="CP176">
        <v>-6.2947767354593553</v>
      </c>
      <c r="CQ176">
        <v>0.6101012538915167</v>
      </c>
      <c r="CR176">
        <v>-1</v>
      </c>
      <c r="CS176">
        <v>17.438545000000001</v>
      </c>
      <c r="CT176">
        <v>0.70368630393994458</v>
      </c>
      <c r="CU176">
        <v>6.8578633516569953E-2</v>
      </c>
      <c r="CV176">
        <v>-1</v>
      </c>
      <c r="CW176">
        <v>0</v>
      </c>
      <c r="CX176">
        <v>0</v>
      </c>
      <c r="CY176" t="s">
        <v>333</v>
      </c>
      <c r="CZ176">
        <v>2.36483</v>
      </c>
      <c r="DA176">
        <v>2.7138</v>
      </c>
      <c r="DB176">
        <v>0.10800800000000001</v>
      </c>
      <c r="DC176">
        <v>0.14608699999999999</v>
      </c>
      <c r="DD176">
        <v>0.115246</v>
      </c>
      <c r="DE176">
        <v>4.3902700000000003E-2</v>
      </c>
      <c r="DF176">
        <v>32600.1</v>
      </c>
      <c r="DG176">
        <v>27557.599999999999</v>
      </c>
      <c r="DH176">
        <v>31199.5</v>
      </c>
      <c r="DI176">
        <v>28119.599999999999</v>
      </c>
      <c r="DJ176">
        <v>37475.300000000003</v>
      </c>
      <c r="DK176">
        <v>38237.599999999999</v>
      </c>
      <c r="DL176">
        <v>44405.2</v>
      </c>
      <c r="DM176">
        <v>42624.800000000003</v>
      </c>
      <c r="DN176">
        <v>1.486</v>
      </c>
      <c r="DO176">
        <v>2.0445500000000001</v>
      </c>
      <c r="DP176">
        <v>7.5578699999999999E-2</v>
      </c>
      <c r="DQ176">
        <v>0.20463000000000001</v>
      </c>
      <c r="DR176">
        <v>25.7532</v>
      </c>
      <c r="DS176">
        <v>25.575700000000001</v>
      </c>
      <c r="DT176">
        <v>46.1</v>
      </c>
      <c r="DU176">
        <v>28.8</v>
      </c>
      <c r="DV176">
        <v>18.516300000000001</v>
      </c>
      <c r="DW176">
        <v>61.738</v>
      </c>
      <c r="DX176">
        <v>37.091299999999997</v>
      </c>
      <c r="DY176">
        <v>1</v>
      </c>
      <c r="DZ176">
        <v>-0.120084</v>
      </c>
      <c r="EA176">
        <v>-0.47675400000000001</v>
      </c>
      <c r="EB176">
        <v>20.189</v>
      </c>
      <c r="EC176">
        <v>5.2404999999999999</v>
      </c>
      <c r="ED176">
        <v>12.039899999999999</v>
      </c>
      <c r="EE176">
        <v>5.0166000000000004</v>
      </c>
      <c r="EF176">
        <v>3.2879999999999998</v>
      </c>
      <c r="EG176">
        <v>9999</v>
      </c>
      <c r="EH176">
        <v>9999</v>
      </c>
      <c r="EI176">
        <v>9999</v>
      </c>
      <c r="EJ176">
        <v>999.9</v>
      </c>
      <c r="EK176">
        <v>1.8689</v>
      </c>
      <c r="EL176">
        <v>1.86456</v>
      </c>
      <c r="EM176">
        <v>1.8691500000000001</v>
      </c>
      <c r="EN176">
        <v>1.8672200000000001</v>
      </c>
      <c r="EO176">
        <v>1.86338</v>
      </c>
      <c r="EP176">
        <v>1.8644700000000001</v>
      </c>
      <c r="EQ176">
        <v>1.87012</v>
      </c>
      <c r="ER176">
        <v>1.8693500000000001</v>
      </c>
      <c r="ES176">
        <v>0</v>
      </c>
      <c r="ET176">
        <v>0</v>
      </c>
      <c r="EU176">
        <v>0</v>
      </c>
      <c r="EV176">
        <v>0</v>
      </c>
      <c r="EW176" t="s">
        <v>334</v>
      </c>
      <c r="EX176" t="s">
        <v>335</v>
      </c>
      <c r="EY176" t="s">
        <v>336</v>
      </c>
      <c r="EZ176" t="s">
        <v>336</v>
      </c>
      <c r="FA176" t="s">
        <v>336</v>
      </c>
      <c r="FB176" t="s">
        <v>336</v>
      </c>
      <c r="FC176">
        <v>0</v>
      </c>
      <c r="FD176">
        <v>100</v>
      </c>
      <c r="FE176">
        <v>100</v>
      </c>
      <c r="FF176">
        <v>-0.13800000000000001</v>
      </c>
      <c r="FG176">
        <v>0.17199999999999999</v>
      </c>
      <c r="FH176">
        <v>0.2126736300064915</v>
      </c>
      <c r="FI176">
        <v>-6.1462078757559423E-4</v>
      </c>
      <c r="FJ176">
        <v>-1.8861989874597051E-7</v>
      </c>
      <c r="FK176">
        <v>1.1980462299894961E-10</v>
      </c>
      <c r="FL176">
        <v>0.1719881465068297</v>
      </c>
      <c r="FM176">
        <v>0</v>
      </c>
      <c r="FN176">
        <v>0</v>
      </c>
      <c r="FO176">
        <v>0</v>
      </c>
      <c r="FP176">
        <v>3</v>
      </c>
      <c r="FQ176">
        <v>2158</v>
      </c>
      <c r="FR176">
        <v>1</v>
      </c>
      <c r="FS176">
        <v>19</v>
      </c>
      <c r="FT176">
        <v>36</v>
      </c>
      <c r="FU176">
        <v>36.1</v>
      </c>
      <c r="FV176">
        <v>1.7712399999999999</v>
      </c>
      <c r="FW176">
        <v>2.5952099999999998</v>
      </c>
      <c r="FX176">
        <v>1.5490699999999999</v>
      </c>
      <c r="FY176">
        <v>2.3278799999999999</v>
      </c>
      <c r="FZ176">
        <v>1.50146</v>
      </c>
      <c r="GA176">
        <v>2.2900399999999999</v>
      </c>
      <c r="GB176">
        <v>33.512999999999998</v>
      </c>
      <c r="GC176">
        <v>23.982399999999998</v>
      </c>
      <c r="GD176">
        <v>19</v>
      </c>
      <c r="GE176">
        <v>285.60399999999998</v>
      </c>
      <c r="GF176">
        <v>586.1</v>
      </c>
      <c r="GG176">
        <v>25.696899999999999</v>
      </c>
      <c r="GH176">
        <v>25.904399999999999</v>
      </c>
      <c r="GI176">
        <v>30</v>
      </c>
      <c r="GJ176">
        <v>26.023</v>
      </c>
      <c r="GK176">
        <v>26.002400000000002</v>
      </c>
      <c r="GL176">
        <v>35.405500000000004</v>
      </c>
      <c r="GM176">
        <v>61.6297</v>
      </c>
      <c r="GN176">
        <v>61.304600000000001</v>
      </c>
      <c r="GO176">
        <v>25.696200000000001</v>
      </c>
      <c r="GP176">
        <v>800</v>
      </c>
      <c r="GQ176">
        <v>6.7605300000000002</v>
      </c>
      <c r="GR176">
        <v>99.832099999999997</v>
      </c>
      <c r="GS176">
        <v>99.709500000000006</v>
      </c>
    </row>
    <row r="177" spans="1:201" x14ac:dyDescent="0.25">
      <c r="A177">
        <v>161</v>
      </c>
      <c r="B177">
        <v>1690234175</v>
      </c>
      <c r="C177">
        <v>1668.900000095367</v>
      </c>
      <c r="D177" t="s">
        <v>653</v>
      </c>
      <c r="E177" t="s">
        <v>654</v>
      </c>
      <c r="F177" t="s">
        <v>330</v>
      </c>
      <c r="H177">
        <v>1690234175</v>
      </c>
      <c r="I177">
        <f t="shared" si="60"/>
        <v>1.6752477591574521E-3</v>
      </c>
      <c r="J177">
        <f t="shared" si="61"/>
        <v>1.6752477591574522</v>
      </c>
      <c r="K177">
        <f t="shared" si="62"/>
        <v>25.653491501118282</v>
      </c>
      <c r="L177">
        <f t="shared" si="63"/>
        <v>513.77599999999995</v>
      </c>
      <c r="M177">
        <f t="shared" si="64"/>
        <v>114.11898188074844</v>
      </c>
      <c r="N177">
        <f t="shared" si="65"/>
        <v>11.307818321501534</v>
      </c>
      <c r="O177">
        <f t="shared" si="66"/>
        <v>50.909021182985597</v>
      </c>
      <c r="P177">
        <f t="shared" si="67"/>
        <v>0.10730946399897344</v>
      </c>
      <c r="Q177">
        <f t="shared" si="68"/>
        <v>2.1344100746980859</v>
      </c>
      <c r="R177">
        <f t="shared" si="69"/>
        <v>0.10439983760451224</v>
      </c>
      <c r="S177">
        <f t="shared" si="70"/>
        <v>6.5504745681702781E-2</v>
      </c>
      <c r="T177">
        <f t="shared" si="71"/>
        <v>276.11443486799999</v>
      </c>
      <c r="U177">
        <f t="shared" si="72"/>
        <v>28.709049258390049</v>
      </c>
      <c r="V177">
        <f t="shared" si="73"/>
        <v>28.709049258390049</v>
      </c>
      <c r="W177">
        <f t="shared" si="74"/>
        <v>3.9545571459795048</v>
      </c>
      <c r="X177">
        <f t="shared" si="75"/>
        <v>67.045605562995078</v>
      </c>
      <c r="Y177">
        <f t="shared" si="76"/>
        <v>2.4156557264603404</v>
      </c>
      <c r="Z177">
        <f t="shared" si="77"/>
        <v>3.6030038153516641</v>
      </c>
      <c r="AA177">
        <f t="shared" si="78"/>
        <v>1.5389014195191644</v>
      </c>
      <c r="AB177">
        <f t="shared" si="79"/>
        <v>-73.87842617884364</v>
      </c>
      <c r="AC177">
        <f t="shared" si="80"/>
        <v>-183.64638539852001</v>
      </c>
      <c r="AD177">
        <f t="shared" si="81"/>
        <v>-18.738434264817784</v>
      </c>
      <c r="AE177">
        <f t="shared" si="82"/>
        <v>-0.14881097418145828</v>
      </c>
      <c r="AF177">
        <v>0</v>
      </c>
      <c r="AG177">
        <v>0</v>
      </c>
      <c r="AH177">
        <f t="shared" si="83"/>
        <v>1</v>
      </c>
      <c r="AI177">
        <f t="shared" si="84"/>
        <v>0</v>
      </c>
      <c r="AJ177">
        <f t="shared" si="85"/>
        <v>52519.992397576221</v>
      </c>
      <c r="AK177">
        <f t="shared" si="86"/>
        <v>1800</v>
      </c>
      <c r="AL177">
        <f t="shared" si="87"/>
        <v>1499.1128928000001</v>
      </c>
      <c r="AM177">
        <f t="shared" si="88"/>
        <v>0.83284049599999999</v>
      </c>
      <c r="AN177">
        <f t="shared" si="89"/>
        <v>0.15339690825999999</v>
      </c>
      <c r="AO177">
        <v>32.4</v>
      </c>
      <c r="AP177">
        <v>0.5</v>
      </c>
      <c r="AQ177" t="s">
        <v>331</v>
      </c>
      <c r="AR177">
        <v>2</v>
      </c>
      <c r="AS177">
        <v>1690234175</v>
      </c>
      <c r="AT177">
        <v>513.77599999999995</v>
      </c>
      <c r="AU177">
        <v>799.99</v>
      </c>
      <c r="AV177">
        <v>24.378900000000002</v>
      </c>
      <c r="AW177">
        <v>6.7358900000000004</v>
      </c>
      <c r="AX177">
        <v>513.91300000000001</v>
      </c>
      <c r="AY177">
        <v>24.206900000000001</v>
      </c>
      <c r="AZ177">
        <v>300.14600000000002</v>
      </c>
      <c r="BA177">
        <v>98.988100000000003</v>
      </c>
      <c r="BB177">
        <v>9.9870600000000004E-2</v>
      </c>
      <c r="BC177">
        <v>27.113099999999999</v>
      </c>
      <c r="BD177">
        <v>26.9955</v>
      </c>
      <c r="BE177">
        <v>28.909300000000002</v>
      </c>
      <c r="BF177">
        <v>0</v>
      </c>
      <c r="BG177">
        <v>0</v>
      </c>
      <c r="BH177">
        <v>10039.4</v>
      </c>
      <c r="BI177">
        <v>1081.71</v>
      </c>
      <c r="BJ177">
        <v>1.4577199999999999</v>
      </c>
      <c r="BK177">
        <v>-286.214</v>
      </c>
      <c r="BL177">
        <v>526.61400000000003</v>
      </c>
      <c r="BM177">
        <v>805.41499999999996</v>
      </c>
      <c r="BN177">
        <v>17.643000000000001</v>
      </c>
      <c r="BO177">
        <v>799.99</v>
      </c>
      <c r="BP177">
        <v>6.7358900000000004</v>
      </c>
      <c r="BQ177">
        <v>2.4132199999999999</v>
      </c>
      <c r="BR177">
        <v>0.66677299999999995</v>
      </c>
      <c r="BS177">
        <v>20.4528</v>
      </c>
      <c r="BT177">
        <v>1.14855</v>
      </c>
      <c r="BU177">
        <v>1800</v>
      </c>
      <c r="BV177">
        <v>0.91001500000000002</v>
      </c>
      <c r="BW177">
        <v>3.4003699999999998E-2</v>
      </c>
      <c r="BX177">
        <v>2.1993800000000001E-2</v>
      </c>
      <c r="BY177">
        <v>3.39876E-2</v>
      </c>
      <c r="BZ177">
        <v>25</v>
      </c>
      <c r="CA177">
        <v>33528.400000000001</v>
      </c>
      <c r="CB177">
        <v>1690232006</v>
      </c>
      <c r="CC177" t="s">
        <v>332</v>
      </c>
      <c r="CD177">
        <v>1690232006</v>
      </c>
      <c r="CE177">
        <v>1690231998.5</v>
      </c>
      <c r="CF177">
        <v>14</v>
      </c>
      <c r="CG177">
        <v>-0.13200000000000001</v>
      </c>
      <c r="CH177">
        <v>-7.0000000000000001E-3</v>
      </c>
      <c r="CI177">
        <v>-0.33800000000000002</v>
      </c>
      <c r="CJ177">
        <v>0.14299999999999999</v>
      </c>
      <c r="CK177">
        <v>799</v>
      </c>
      <c r="CL177">
        <v>19</v>
      </c>
      <c r="CM177">
        <v>7.0000000000000007E-2</v>
      </c>
      <c r="CN177">
        <v>0.14000000000000001</v>
      </c>
      <c r="CO177">
        <v>-285.12348780487798</v>
      </c>
      <c r="CP177">
        <v>-6.3764320557487641</v>
      </c>
      <c r="CQ177">
        <v>0.63485539440292782</v>
      </c>
      <c r="CR177">
        <v>-1</v>
      </c>
      <c r="CS177">
        <v>17.544031707317071</v>
      </c>
      <c r="CT177">
        <v>0.50147456445993532</v>
      </c>
      <c r="CU177">
        <v>4.9922600771762617E-2</v>
      </c>
      <c r="CV177">
        <v>-1</v>
      </c>
      <c r="CW177">
        <v>0</v>
      </c>
      <c r="CX177">
        <v>0</v>
      </c>
      <c r="CY177" t="s">
        <v>333</v>
      </c>
      <c r="CZ177">
        <v>2.3648600000000002</v>
      </c>
      <c r="DA177">
        <v>2.7136999999999998</v>
      </c>
      <c r="DB177">
        <v>0.10784000000000001</v>
      </c>
      <c r="DC177">
        <v>0.14608199999999999</v>
      </c>
      <c r="DD177">
        <v>0.115208</v>
      </c>
      <c r="DE177">
        <v>4.3334900000000003E-2</v>
      </c>
      <c r="DF177">
        <v>32605.599999999999</v>
      </c>
      <c r="DG177">
        <v>27557.7</v>
      </c>
      <c r="DH177">
        <v>31198.9</v>
      </c>
      <c r="DI177">
        <v>28119.599999999999</v>
      </c>
      <c r="DJ177">
        <v>37476.300000000003</v>
      </c>
      <c r="DK177">
        <v>38260.5</v>
      </c>
      <c r="DL177">
        <v>44404.4</v>
      </c>
      <c r="DM177">
        <v>42625</v>
      </c>
      <c r="DN177">
        <v>1.4862500000000001</v>
      </c>
      <c r="DO177">
        <v>2.0444300000000002</v>
      </c>
      <c r="DP177">
        <v>7.5891600000000004E-2</v>
      </c>
      <c r="DQ177">
        <v>0.20392199999999999</v>
      </c>
      <c r="DR177">
        <v>25.7532</v>
      </c>
      <c r="DS177">
        <v>25.575700000000001</v>
      </c>
      <c r="DT177">
        <v>45.8</v>
      </c>
      <c r="DU177">
        <v>28.8</v>
      </c>
      <c r="DV177">
        <v>18.394500000000001</v>
      </c>
      <c r="DW177">
        <v>61.158000000000001</v>
      </c>
      <c r="DX177">
        <v>36.358199999999997</v>
      </c>
      <c r="DY177">
        <v>1</v>
      </c>
      <c r="DZ177">
        <v>-0.12024899999999999</v>
      </c>
      <c r="EA177">
        <v>-0.48569699999999999</v>
      </c>
      <c r="EB177">
        <v>20.1892</v>
      </c>
      <c r="EC177">
        <v>5.2409499999999998</v>
      </c>
      <c r="ED177">
        <v>12.039899999999999</v>
      </c>
      <c r="EE177">
        <v>5.0172499999999998</v>
      </c>
      <c r="EF177">
        <v>3.2879999999999998</v>
      </c>
      <c r="EG177">
        <v>9999</v>
      </c>
      <c r="EH177">
        <v>9999</v>
      </c>
      <c r="EI177">
        <v>9999</v>
      </c>
      <c r="EJ177">
        <v>999.9</v>
      </c>
      <c r="EK177">
        <v>1.8689</v>
      </c>
      <c r="EL177">
        <v>1.8645799999999999</v>
      </c>
      <c r="EM177">
        <v>1.86914</v>
      </c>
      <c r="EN177">
        <v>1.8672200000000001</v>
      </c>
      <c r="EO177">
        <v>1.8633599999999999</v>
      </c>
      <c r="EP177">
        <v>1.8644700000000001</v>
      </c>
      <c r="EQ177">
        <v>1.8701300000000001</v>
      </c>
      <c r="ER177">
        <v>1.8693599999999999</v>
      </c>
      <c r="ES177">
        <v>0</v>
      </c>
      <c r="ET177">
        <v>0</v>
      </c>
      <c r="EU177">
        <v>0</v>
      </c>
      <c r="EV177">
        <v>0</v>
      </c>
      <c r="EW177" t="s">
        <v>334</v>
      </c>
      <c r="EX177" t="s">
        <v>335</v>
      </c>
      <c r="EY177" t="s">
        <v>336</v>
      </c>
      <c r="EZ177" t="s">
        <v>336</v>
      </c>
      <c r="FA177" t="s">
        <v>336</v>
      </c>
      <c r="FB177" t="s">
        <v>336</v>
      </c>
      <c r="FC177">
        <v>0</v>
      </c>
      <c r="FD177">
        <v>100</v>
      </c>
      <c r="FE177">
        <v>100</v>
      </c>
      <c r="FF177">
        <v>-0.13700000000000001</v>
      </c>
      <c r="FG177">
        <v>0.17199999999999999</v>
      </c>
      <c r="FH177">
        <v>0.2126736300064915</v>
      </c>
      <c r="FI177">
        <v>-6.1462078757559423E-4</v>
      </c>
      <c r="FJ177">
        <v>-1.8861989874597051E-7</v>
      </c>
      <c r="FK177">
        <v>1.1980462299894961E-10</v>
      </c>
      <c r="FL177">
        <v>0.1719881465068297</v>
      </c>
      <c r="FM177">
        <v>0</v>
      </c>
      <c r="FN177">
        <v>0</v>
      </c>
      <c r="FO177">
        <v>0</v>
      </c>
      <c r="FP177">
        <v>3</v>
      </c>
      <c r="FQ177">
        <v>2158</v>
      </c>
      <c r="FR177">
        <v>1</v>
      </c>
      <c r="FS177">
        <v>19</v>
      </c>
      <c r="FT177">
        <v>36.1</v>
      </c>
      <c r="FU177">
        <v>36.299999999999997</v>
      </c>
      <c r="FV177">
        <v>1.7700199999999999</v>
      </c>
      <c r="FW177">
        <v>2.5878899999999998</v>
      </c>
      <c r="FX177">
        <v>1.5490699999999999</v>
      </c>
      <c r="FY177">
        <v>2.3278799999999999</v>
      </c>
      <c r="FZ177">
        <v>1.50146</v>
      </c>
      <c r="GA177">
        <v>2.3877000000000002</v>
      </c>
      <c r="GB177">
        <v>33.512999999999998</v>
      </c>
      <c r="GC177">
        <v>23.991199999999999</v>
      </c>
      <c r="GD177">
        <v>19</v>
      </c>
      <c r="GE177">
        <v>285.71100000000001</v>
      </c>
      <c r="GF177">
        <v>585.97199999999998</v>
      </c>
      <c r="GG177">
        <v>25.703399999999998</v>
      </c>
      <c r="GH177">
        <v>25.903600000000001</v>
      </c>
      <c r="GI177">
        <v>30.0001</v>
      </c>
      <c r="GJ177">
        <v>26.023</v>
      </c>
      <c r="GK177">
        <v>26.000299999999999</v>
      </c>
      <c r="GL177">
        <v>35.403399999999998</v>
      </c>
      <c r="GM177">
        <v>61.923900000000003</v>
      </c>
      <c r="GN177">
        <v>60.549500000000002</v>
      </c>
      <c r="GO177">
        <v>25.704899999999999</v>
      </c>
      <c r="GP177">
        <v>800</v>
      </c>
      <c r="GQ177">
        <v>6.6508200000000004</v>
      </c>
      <c r="GR177">
        <v>99.830299999999994</v>
      </c>
      <c r="GS177">
        <v>99.709599999999995</v>
      </c>
    </row>
    <row r="178" spans="1:201" x14ac:dyDescent="0.25">
      <c r="A178">
        <v>162</v>
      </c>
      <c r="B178">
        <v>1690234185</v>
      </c>
      <c r="C178">
        <v>1678.900000095367</v>
      </c>
      <c r="D178" t="s">
        <v>655</v>
      </c>
      <c r="E178" t="s">
        <v>656</v>
      </c>
      <c r="F178" t="s">
        <v>330</v>
      </c>
      <c r="H178">
        <v>1690234185</v>
      </c>
      <c r="I178">
        <f t="shared" si="60"/>
        <v>1.6862426781618755E-3</v>
      </c>
      <c r="J178">
        <f t="shared" si="61"/>
        <v>1.6862426781618756</v>
      </c>
      <c r="K178">
        <f t="shared" si="62"/>
        <v>25.752432101628322</v>
      </c>
      <c r="L178">
        <f t="shared" si="63"/>
        <v>512.78300000000002</v>
      </c>
      <c r="M178">
        <f t="shared" si="64"/>
        <v>113.95509270634946</v>
      </c>
      <c r="N178">
        <f t="shared" si="65"/>
        <v>11.29195463132972</v>
      </c>
      <c r="O178">
        <f t="shared" si="66"/>
        <v>50.812317678844003</v>
      </c>
      <c r="P178">
        <f t="shared" si="67"/>
        <v>0.10797077595126127</v>
      </c>
      <c r="Q178">
        <f t="shared" si="68"/>
        <v>2.1292075286154608</v>
      </c>
      <c r="R178">
        <f t="shared" si="69"/>
        <v>0.1050187227361901</v>
      </c>
      <c r="S178">
        <f t="shared" si="70"/>
        <v>6.589520913904795E-2</v>
      </c>
      <c r="T178">
        <f t="shared" si="71"/>
        <v>276.11428406400006</v>
      </c>
      <c r="U178">
        <f t="shared" si="72"/>
        <v>28.708553790978641</v>
      </c>
      <c r="V178">
        <f t="shared" si="73"/>
        <v>28.708553790978641</v>
      </c>
      <c r="W178">
        <f t="shared" si="74"/>
        <v>3.9544435236341609</v>
      </c>
      <c r="X178">
        <f t="shared" si="75"/>
        <v>67.014520209351886</v>
      </c>
      <c r="Y178">
        <f t="shared" si="76"/>
        <v>2.4145073817220002</v>
      </c>
      <c r="Z178">
        <f t="shared" si="77"/>
        <v>3.6029615286047445</v>
      </c>
      <c r="AA178">
        <f t="shared" si="78"/>
        <v>1.5399361419121607</v>
      </c>
      <c r="AB178">
        <f t="shared" si="79"/>
        <v>-74.363302106938704</v>
      </c>
      <c r="AC178">
        <f t="shared" si="80"/>
        <v>-183.1648374303345</v>
      </c>
      <c r="AD178">
        <f t="shared" si="81"/>
        <v>-18.734900110053811</v>
      </c>
      <c r="AE178">
        <f t="shared" si="82"/>
        <v>-0.14875558332693117</v>
      </c>
      <c r="AF178">
        <v>0</v>
      </c>
      <c r="AG178">
        <v>0</v>
      </c>
      <c r="AH178">
        <f t="shared" si="83"/>
        <v>1</v>
      </c>
      <c r="AI178">
        <f t="shared" si="84"/>
        <v>0</v>
      </c>
      <c r="AJ178">
        <f t="shared" si="85"/>
        <v>52295.848690638435</v>
      </c>
      <c r="AK178">
        <f t="shared" si="86"/>
        <v>1800</v>
      </c>
      <c r="AL178">
        <f t="shared" si="87"/>
        <v>1499.1125454</v>
      </c>
      <c r="AM178">
        <f t="shared" si="88"/>
        <v>0.832840303</v>
      </c>
      <c r="AN178">
        <f t="shared" si="89"/>
        <v>0.15339682448000003</v>
      </c>
      <c r="AO178">
        <v>32.4</v>
      </c>
      <c r="AP178">
        <v>0.5</v>
      </c>
      <c r="AQ178" t="s">
        <v>331</v>
      </c>
      <c r="AR178">
        <v>2</v>
      </c>
      <c r="AS178">
        <v>1690234185</v>
      </c>
      <c r="AT178">
        <v>512.78300000000002</v>
      </c>
      <c r="AU178">
        <v>800.06200000000001</v>
      </c>
      <c r="AV178">
        <v>24.366499999999998</v>
      </c>
      <c r="AW178">
        <v>6.6103100000000001</v>
      </c>
      <c r="AX178">
        <v>512.91899999999998</v>
      </c>
      <c r="AY178">
        <v>24.194500000000001</v>
      </c>
      <c r="AZ178">
        <v>300.19400000000002</v>
      </c>
      <c r="BA178">
        <v>98.991200000000006</v>
      </c>
      <c r="BB178">
        <v>0.100068</v>
      </c>
      <c r="BC178">
        <v>27.1129</v>
      </c>
      <c r="BD178">
        <v>26.998999999999999</v>
      </c>
      <c r="BE178">
        <v>28.934899999999999</v>
      </c>
      <c r="BF178">
        <v>0</v>
      </c>
      <c r="BG178">
        <v>0</v>
      </c>
      <c r="BH178">
        <v>9994.3799999999992</v>
      </c>
      <c r="BI178">
        <v>1081.72</v>
      </c>
      <c r="BJ178">
        <v>1.4577199999999999</v>
      </c>
      <c r="BK178">
        <v>-287.279</v>
      </c>
      <c r="BL178">
        <v>525.59</v>
      </c>
      <c r="BM178">
        <v>805.38499999999999</v>
      </c>
      <c r="BN178">
        <v>17.7562</v>
      </c>
      <c r="BO178">
        <v>800.06200000000001</v>
      </c>
      <c r="BP178">
        <v>6.6103100000000001</v>
      </c>
      <c r="BQ178">
        <v>2.4120699999999999</v>
      </c>
      <c r="BR178">
        <v>0.65436300000000003</v>
      </c>
      <c r="BS178">
        <v>20.445</v>
      </c>
      <c r="BT178">
        <v>0.88768999999999998</v>
      </c>
      <c r="BU178">
        <v>1800</v>
      </c>
      <c r="BV178">
        <v>0.91001600000000005</v>
      </c>
      <c r="BW178">
        <v>3.40021E-2</v>
      </c>
      <c r="BX178">
        <v>2.19939E-2</v>
      </c>
      <c r="BY178">
        <v>3.39876E-2</v>
      </c>
      <c r="BZ178">
        <v>25</v>
      </c>
      <c r="CA178">
        <v>33528.5</v>
      </c>
      <c r="CB178">
        <v>1690232006</v>
      </c>
      <c r="CC178" t="s">
        <v>332</v>
      </c>
      <c r="CD178">
        <v>1690232006</v>
      </c>
      <c r="CE178">
        <v>1690231998.5</v>
      </c>
      <c r="CF178">
        <v>14</v>
      </c>
      <c r="CG178">
        <v>-0.13200000000000001</v>
      </c>
      <c r="CH178">
        <v>-7.0000000000000001E-3</v>
      </c>
      <c r="CI178">
        <v>-0.33800000000000002</v>
      </c>
      <c r="CJ178">
        <v>0.14299999999999999</v>
      </c>
      <c r="CK178">
        <v>799</v>
      </c>
      <c r="CL178">
        <v>19</v>
      </c>
      <c r="CM178">
        <v>7.0000000000000007E-2</v>
      </c>
      <c r="CN178">
        <v>0.14000000000000001</v>
      </c>
      <c r="CO178">
        <v>-286.10034146341468</v>
      </c>
      <c r="CP178">
        <v>-6.4801463414641232</v>
      </c>
      <c r="CQ178">
        <v>0.64364691160399989</v>
      </c>
      <c r="CR178">
        <v>-1</v>
      </c>
      <c r="CS178">
        <v>17.62363414634147</v>
      </c>
      <c r="CT178">
        <v>0.58526341463416409</v>
      </c>
      <c r="CU178">
        <v>5.8094727562944447E-2</v>
      </c>
      <c r="CV178">
        <v>-1</v>
      </c>
      <c r="CW178">
        <v>0</v>
      </c>
      <c r="CX178">
        <v>0</v>
      </c>
      <c r="CY178" t="s">
        <v>333</v>
      </c>
      <c r="CZ178">
        <v>2.3650099999999998</v>
      </c>
      <c r="DA178">
        <v>2.7138499999999999</v>
      </c>
      <c r="DB178">
        <v>0.107693</v>
      </c>
      <c r="DC178">
        <v>0.146093</v>
      </c>
      <c r="DD178">
        <v>0.115171</v>
      </c>
      <c r="DE178">
        <v>4.2683400000000003E-2</v>
      </c>
      <c r="DF178">
        <v>32611.1</v>
      </c>
      <c r="DG178">
        <v>27557.4</v>
      </c>
      <c r="DH178">
        <v>31199</v>
      </c>
      <c r="DI178">
        <v>28119.7</v>
      </c>
      <c r="DJ178">
        <v>37478.1</v>
      </c>
      <c r="DK178">
        <v>38286.9</v>
      </c>
      <c r="DL178">
        <v>44404.6</v>
      </c>
      <c r="DM178">
        <v>42625.3</v>
      </c>
      <c r="DN178">
        <v>1.4863500000000001</v>
      </c>
      <c r="DO178">
        <v>2.044</v>
      </c>
      <c r="DP178">
        <v>7.6100200000000007E-2</v>
      </c>
      <c r="DQ178">
        <v>0.20549400000000001</v>
      </c>
      <c r="DR178">
        <v>25.7532</v>
      </c>
      <c r="DS178">
        <v>25.575700000000001</v>
      </c>
      <c r="DT178">
        <v>45.5</v>
      </c>
      <c r="DU178">
        <v>28.8</v>
      </c>
      <c r="DV178">
        <v>18.271999999999998</v>
      </c>
      <c r="DW178">
        <v>61.597999999999999</v>
      </c>
      <c r="DX178">
        <v>37.335700000000003</v>
      </c>
      <c r="DY178">
        <v>1</v>
      </c>
      <c r="DZ178">
        <v>-0.12021800000000001</v>
      </c>
      <c r="EA178">
        <v>-0.49298700000000001</v>
      </c>
      <c r="EB178">
        <v>20.189</v>
      </c>
      <c r="EC178">
        <v>5.2411000000000003</v>
      </c>
      <c r="ED178">
        <v>12.039899999999999</v>
      </c>
      <c r="EE178">
        <v>5.0168999999999997</v>
      </c>
      <c r="EF178">
        <v>3.2879999999999998</v>
      </c>
      <c r="EG178">
        <v>9999</v>
      </c>
      <c r="EH178">
        <v>9999</v>
      </c>
      <c r="EI178">
        <v>9999</v>
      </c>
      <c r="EJ178">
        <v>999.9</v>
      </c>
      <c r="EK178">
        <v>1.8688899999999999</v>
      </c>
      <c r="EL178">
        <v>1.86459</v>
      </c>
      <c r="EM178">
        <v>1.86914</v>
      </c>
      <c r="EN178">
        <v>1.8672200000000001</v>
      </c>
      <c r="EO178">
        <v>1.86338</v>
      </c>
      <c r="EP178">
        <v>1.8644700000000001</v>
      </c>
      <c r="EQ178">
        <v>1.8701399999999999</v>
      </c>
      <c r="ER178">
        <v>1.8693599999999999</v>
      </c>
      <c r="ES178">
        <v>0</v>
      </c>
      <c r="ET178">
        <v>0</v>
      </c>
      <c r="EU178">
        <v>0</v>
      </c>
      <c r="EV178">
        <v>0</v>
      </c>
      <c r="EW178" t="s">
        <v>334</v>
      </c>
      <c r="EX178" t="s">
        <v>335</v>
      </c>
      <c r="EY178" t="s">
        <v>336</v>
      </c>
      <c r="EZ178" t="s">
        <v>336</v>
      </c>
      <c r="FA178" t="s">
        <v>336</v>
      </c>
      <c r="FB178" t="s">
        <v>336</v>
      </c>
      <c r="FC178">
        <v>0</v>
      </c>
      <c r="FD178">
        <v>100</v>
      </c>
      <c r="FE178">
        <v>100</v>
      </c>
      <c r="FF178">
        <v>-0.13600000000000001</v>
      </c>
      <c r="FG178">
        <v>0.17199999999999999</v>
      </c>
      <c r="FH178">
        <v>0.2126736300064915</v>
      </c>
      <c r="FI178">
        <v>-6.1462078757559423E-4</v>
      </c>
      <c r="FJ178">
        <v>-1.8861989874597051E-7</v>
      </c>
      <c r="FK178">
        <v>1.1980462299894961E-10</v>
      </c>
      <c r="FL178">
        <v>0.1719881465068297</v>
      </c>
      <c r="FM178">
        <v>0</v>
      </c>
      <c r="FN178">
        <v>0</v>
      </c>
      <c r="FO178">
        <v>0</v>
      </c>
      <c r="FP178">
        <v>3</v>
      </c>
      <c r="FQ178">
        <v>2158</v>
      </c>
      <c r="FR178">
        <v>1</v>
      </c>
      <c r="FS178">
        <v>19</v>
      </c>
      <c r="FT178">
        <v>36.299999999999997</v>
      </c>
      <c r="FU178">
        <v>36.4</v>
      </c>
      <c r="FV178">
        <v>1.7712399999999999</v>
      </c>
      <c r="FW178">
        <v>2.5915499999999998</v>
      </c>
      <c r="FX178">
        <v>1.5490699999999999</v>
      </c>
      <c r="FY178">
        <v>2.3278799999999999</v>
      </c>
      <c r="FZ178">
        <v>1.50146</v>
      </c>
      <c r="GA178">
        <v>2.3156699999999999</v>
      </c>
      <c r="GB178">
        <v>33.512999999999998</v>
      </c>
      <c r="GC178">
        <v>23.982399999999998</v>
      </c>
      <c r="GD178">
        <v>19</v>
      </c>
      <c r="GE178">
        <v>285.74400000000003</v>
      </c>
      <c r="GF178">
        <v>585.62</v>
      </c>
      <c r="GG178">
        <v>25.7148</v>
      </c>
      <c r="GH178">
        <v>25.903600000000001</v>
      </c>
      <c r="GI178">
        <v>30.0001</v>
      </c>
      <c r="GJ178">
        <v>26.020800000000001</v>
      </c>
      <c r="GK178">
        <v>26.000299999999999</v>
      </c>
      <c r="GL178">
        <v>35.398600000000002</v>
      </c>
      <c r="GM178">
        <v>62.2166</v>
      </c>
      <c r="GN178">
        <v>59.804299999999998</v>
      </c>
      <c r="GO178">
        <v>25.715900000000001</v>
      </c>
      <c r="GP178">
        <v>800</v>
      </c>
      <c r="GQ178">
        <v>6.5466800000000003</v>
      </c>
      <c r="GR178">
        <v>99.830699999999993</v>
      </c>
      <c r="GS178">
        <v>99.710099999999997</v>
      </c>
    </row>
    <row r="179" spans="1:201" x14ac:dyDescent="0.25">
      <c r="A179">
        <v>163</v>
      </c>
      <c r="B179">
        <v>1690234195</v>
      </c>
      <c r="C179">
        <v>1688.900000095367</v>
      </c>
      <c r="D179" t="s">
        <v>657</v>
      </c>
      <c r="E179" t="s">
        <v>658</v>
      </c>
      <c r="F179" t="s">
        <v>330</v>
      </c>
      <c r="H179">
        <v>1690234195</v>
      </c>
      <c r="I179">
        <f t="shared" si="60"/>
        <v>1.6921872344375696E-3</v>
      </c>
      <c r="J179">
        <f t="shared" si="61"/>
        <v>1.6921872344375695</v>
      </c>
      <c r="K179">
        <f t="shared" si="62"/>
        <v>25.840030260695062</v>
      </c>
      <c r="L179">
        <f t="shared" si="63"/>
        <v>511.84399999999999</v>
      </c>
      <c r="M179">
        <f t="shared" si="64"/>
        <v>112.57533913793297</v>
      </c>
      <c r="N179">
        <f t="shared" si="65"/>
        <v>11.155095308492699</v>
      </c>
      <c r="O179">
        <f t="shared" si="66"/>
        <v>50.718644481135996</v>
      </c>
      <c r="P179">
        <f t="shared" si="67"/>
        <v>0.10821762306192127</v>
      </c>
      <c r="Q179">
        <f t="shared" si="68"/>
        <v>2.1282449898810412</v>
      </c>
      <c r="R179">
        <f t="shared" si="69"/>
        <v>0.10525095426593502</v>
      </c>
      <c r="S179">
        <f t="shared" si="70"/>
        <v>6.6041615740828091E-2</v>
      </c>
      <c r="T179">
        <f t="shared" si="71"/>
        <v>276.11435350800002</v>
      </c>
      <c r="U179">
        <f t="shared" si="72"/>
        <v>28.709931140793195</v>
      </c>
      <c r="V179">
        <f t="shared" si="73"/>
        <v>28.709931140793195</v>
      </c>
      <c r="W179">
        <f t="shared" si="74"/>
        <v>3.9547593894261048</v>
      </c>
      <c r="X179">
        <f t="shared" si="75"/>
        <v>66.956485845366828</v>
      </c>
      <c r="Y179">
        <f t="shared" si="76"/>
        <v>2.4128128443867993</v>
      </c>
      <c r="Z179">
        <f t="shared" si="77"/>
        <v>3.6035535824850315</v>
      </c>
      <c r="AA179">
        <f t="shared" si="78"/>
        <v>1.5419465450393055</v>
      </c>
      <c r="AB179">
        <f t="shared" si="79"/>
        <v>-74.625457038696823</v>
      </c>
      <c r="AC179">
        <f t="shared" si="80"/>
        <v>-182.91880318714121</v>
      </c>
      <c r="AD179">
        <f t="shared" si="81"/>
        <v>-18.71858602628792</v>
      </c>
      <c r="AE179">
        <f t="shared" si="82"/>
        <v>-0.14849274412594582</v>
      </c>
      <c r="AF179">
        <v>0</v>
      </c>
      <c r="AG179">
        <v>0</v>
      </c>
      <c r="AH179">
        <f t="shared" si="83"/>
        <v>1</v>
      </c>
      <c r="AI179">
        <f t="shared" si="84"/>
        <v>0</v>
      </c>
      <c r="AJ179">
        <f t="shared" si="85"/>
        <v>52253.915428914806</v>
      </c>
      <c r="AK179">
        <f t="shared" si="86"/>
        <v>1800</v>
      </c>
      <c r="AL179">
        <f t="shared" si="87"/>
        <v>1499.1109038</v>
      </c>
      <c r="AM179">
        <f t="shared" si="88"/>
        <v>0.83283939099999993</v>
      </c>
      <c r="AN179">
        <f t="shared" si="89"/>
        <v>0.15339686306</v>
      </c>
      <c r="AO179">
        <v>32.4</v>
      </c>
      <c r="AP179">
        <v>0.5</v>
      </c>
      <c r="AQ179" t="s">
        <v>331</v>
      </c>
      <c r="AR179">
        <v>2</v>
      </c>
      <c r="AS179">
        <v>1690234195</v>
      </c>
      <c r="AT179">
        <v>511.84399999999999</v>
      </c>
      <c r="AU179">
        <v>800.08900000000006</v>
      </c>
      <c r="AV179">
        <v>24.349699999999999</v>
      </c>
      <c r="AW179">
        <v>6.5303100000000001</v>
      </c>
      <c r="AX179">
        <v>511.98</v>
      </c>
      <c r="AY179">
        <v>24.177700000000002</v>
      </c>
      <c r="AZ179">
        <v>300.18900000000002</v>
      </c>
      <c r="BA179">
        <v>98.99</v>
      </c>
      <c r="BB179">
        <v>0.10004399999999999</v>
      </c>
      <c r="BC179">
        <v>27.1157</v>
      </c>
      <c r="BD179">
        <v>26.991700000000002</v>
      </c>
      <c r="BE179">
        <v>28.920300000000001</v>
      </c>
      <c r="BF179">
        <v>0</v>
      </c>
      <c r="BG179">
        <v>0</v>
      </c>
      <c r="BH179">
        <v>9986.25</v>
      </c>
      <c r="BI179">
        <v>1081.78</v>
      </c>
      <c r="BJ179">
        <v>1.4577199999999999</v>
      </c>
      <c r="BK179">
        <v>-288.24400000000003</v>
      </c>
      <c r="BL179">
        <v>524.61900000000003</v>
      </c>
      <c r="BM179">
        <v>805.34799999999996</v>
      </c>
      <c r="BN179">
        <v>17.819400000000002</v>
      </c>
      <c r="BO179">
        <v>800.08900000000006</v>
      </c>
      <c r="BP179">
        <v>6.5303100000000001</v>
      </c>
      <c r="BQ179">
        <v>2.4103699999999999</v>
      </c>
      <c r="BR179">
        <v>0.64643600000000001</v>
      </c>
      <c r="BS179">
        <v>20.433599999999998</v>
      </c>
      <c r="BT179">
        <v>0.71875500000000003</v>
      </c>
      <c r="BU179">
        <v>1800</v>
      </c>
      <c r="BV179">
        <v>0.91000999999999999</v>
      </c>
      <c r="BW179">
        <v>3.4009600000000001E-2</v>
      </c>
      <c r="BX179">
        <v>2.19933E-2</v>
      </c>
      <c r="BY179">
        <v>3.3986799999999998E-2</v>
      </c>
      <c r="BZ179">
        <v>25</v>
      </c>
      <c r="CA179">
        <v>33528.5</v>
      </c>
      <c r="CB179">
        <v>1690232006</v>
      </c>
      <c r="CC179" t="s">
        <v>332</v>
      </c>
      <c r="CD179">
        <v>1690232006</v>
      </c>
      <c r="CE179">
        <v>1690231998.5</v>
      </c>
      <c r="CF179">
        <v>14</v>
      </c>
      <c r="CG179">
        <v>-0.13200000000000001</v>
      </c>
      <c r="CH179">
        <v>-7.0000000000000001E-3</v>
      </c>
      <c r="CI179">
        <v>-0.33800000000000002</v>
      </c>
      <c r="CJ179">
        <v>0.14299999999999999</v>
      </c>
      <c r="CK179">
        <v>799</v>
      </c>
      <c r="CL179">
        <v>19</v>
      </c>
      <c r="CM179">
        <v>7.0000000000000007E-2</v>
      </c>
      <c r="CN179">
        <v>0.14000000000000001</v>
      </c>
      <c r="CO179">
        <v>-287.13747499999999</v>
      </c>
      <c r="CP179">
        <v>-5.3555459662279672</v>
      </c>
      <c r="CQ179">
        <v>0.52421331476318067</v>
      </c>
      <c r="CR179">
        <v>-1</v>
      </c>
      <c r="CS179">
        <v>17.733035000000001</v>
      </c>
      <c r="CT179">
        <v>0.59301613508440887</v>
      </c>
      <c r="CU179">
        <v>5.7927223953854461E-2</v>
      </c>
      <c r="CV179">
        <v>-1</v>
      </c>
      <c r="CW179">
        <v>0</v>
      </c>
      <c r="CX179">
        <v>0</v>
      </c>
      <c r="CY179" t="s">
        <v>333</v>
      </c>
      <c r="CZ179">
        <v>2.36497</v>
      </c>
      <c r="DA179">
        <v>2.7138200000000001</v>
      </c>
      <c r="DB179">
        <v>0.107548</v>
      </c>
      <c r="DC179">
        <v>0.146093</v>
      </c>
      <c r="DD179">
        <v>0.11511399999999999</v>
      </c>
      <c r="DE179">
        <v>4.2264999999999997E-2</v>
      </c>
      <c r="DF179">
        <v>32616.400000000001</v>
      </c>
      <c r="DG179">
        <v>27557.599999999999</v>
      </c>
      <c r="DH179">
        <v>31198.9</v>
      </c>
      <c r="DI179">
        <v>28119.8</v>
      </c>
      <c r="DJ179">
        <v>37480.400000000001</v>
      </c>
      <c r="DK179">
        <v>38303.699999999997</v>
      </c>
      <c r="DL179">
        <v>44404.5</v>
      </c>
      <c r="DM179">
        <v>42625.3</v>
      </c>
      <c r="DN179">
        <v>1.48637</v>
      </c>
      <c r="DO179">
        <v>2.0440999999999998</v>
      </c>
      <c r="DP179">
        <v>7.5526499999999996E-2</v>
      </c>
      <c r="DQ179">
        <v>0.20472699999999999</v>
      </c>
      <c r="DR179">
        <v>25.755299999999998</v>
      </c>
      <c r="DS179">
        <v>25.573499999999999</v>
      </c>
      <c r="DT179">
        <v>45.3</v>
      </c>
      <c r="DU179">
        <v>28.8</v>
      </c>
      <c r="DV179">
        <v>18.193200000000001</v>
      </c>
      <c r="DW179">
        <v>61.768000000000001</v>
      </c>
      <c r="DX179">
        <v>36.253999999999998</v>
      </c>
      <c r="DY179">
        <v>1</v>
      </c>
      <c r="DZ179">
        <v>-0.11999</v>
      </c>
      <c r="EA179">
        <v>-0.49276700000000001</v>
      </c>
      <c r="EB179">
        <v>20.188800000000001</v>
      </c>
      <c r="EC179">
        <v>5.2411000000000003</v>
      </c>
      <c r="ED179">
        <v>12.039899999999999</v>
      </c>
      <c r="EE179">
        <v>5.0168499999999998</v>
      </c>
      <c r="EF179">
        <v>3.2879999999999998</v>
      </c>
      <c r="EG179">
        <v>9999</v>
      </c>
      <c r="EH179">
        <v>9999</v>
      </c>
      <c r="EI179">
        <v>9999</v>
      </c>
      <c r="EJ179">
        <v>999.9</v>
      </c>
      <c r="EK179">
        <v>1.8689</v>
      </c>
      <c r="EL179">
        <v>1.8645799999999999</v>
      </c>
      <c r="EM179">
        <v>1.86914</v>
      </c>
      <c r="EN179">
        <v>1.86721</v>
      </c>
      <c r="EO179">
        <v>1.8633500000000001</v>
      </c>
      <c r="EP179">
        <v>1.8644700000000001</v>
      </c>
      <c r="EQ179">
        <v>1.8701300000000001</v>
      </c>
      <c r="ER179">
        <v>1.8693599999999999</v>
      </c>
      <c r="ES179">
        <v>0</v>
      </c>
      <c r="ET179">
        <v>0</v>
      </c>
      <c r="EU179">
        <v>0</v>
      </c>
      <c r="EV179">
        <v>0</v>
      </c>
      <c r="EW179" t="s">
        <v>334</v>
      </c>
      <c r="EX179" t="s">
        <v>335</v>
      </c>
      <c r="EY179" t="s">
        <v>336</v>
      </c>
      <c r="EZ179" t="s">
        <v>336</v>
      </c>
      <c r="FA179" t="s">
        <v>336</v>
      </c>
      <c r="FB179" t="s">
        <v>336</v>
      </c>
      <c r="FC179">
        <v>0</v>
      </c>
      <c r="FD179">
        <v>100</v>
      </c>
      <c r="FE179">
        <v>100</v>
      </c>
      <c r="FF179">
        <v>-0.13600000000000001</v>
      </c>
      <c r="FG179">
        <v>0.17199999999999999</v>
      </c>
      <c r="FH179">
        <v>0.2126736300064915</v>
      </c>
      <c r="FI179">
        <v>-6.1462078757559423E-4</v>
      </c>
      <c r="FJ179">
        <v>-1.8861989874597051E-7</v>
      </c>
      <c r="FK179">
        <v>1.1980462299894961E-10</v>
      </c>
      <c r="FL179">
        <v>0.1719881465068297</v>
      </c>
      <c r="FM179">
        <v>0</v>
      </c>
      <c r="FN179">
        <v>0</v>
      </c>
      <c r="FO179">
        <v>0</v>
      </c>
      <c r="FP179">
        <v>3</v>
      </c>
      <c r="FQ179">
        <v>2158</v>
      </c>
      <c r="FR179">
        <v>1</v>
      </c>
      <c r="FS179">
        <v>19</v>
      </c>
      <c r="FT179">
        <v>36.5</v>
      </c>
      <c r="FU179">
        <v>36.6</v>
      </c>
      <c r="FV179">
        <v>1.7700199999999999</v>
      </c>
      <c r="FW179">
        <v>2.5854499999999998</v>
      </c>
      <c r="FX179">
        <v>1.5490699999999999</v>
      </c>
      <c r="FY179">
        <v>2.3278799999999999</v>
      </c>
      <c r="FZ179">
        <v>1.50146</v>
      </c>
      <c r="GA179">
        <v>2.3803700000000001</v>
      </c>
      <c r="GB179">
        <v>33.512999999999998</v>
      </c>
      <c r="GC179">
        <v>23.991199999999999</v>
      </c>
      <c r="GD179">
        <v>19</v>
      </c>
      <c r="GE179">
        <v>285.755</v>
      </c>
      <c r="GF179">
        <v>585.70299999999997</v>
      </c>
      <c r="GG179">
        <v>25.724</v>
      </c>
      <c r="GH179">
        <v>25.903600000000001</v>
      </c>
      <c r="GI179">
        <v>30.0002</v>
      </c>
      <c r="GJ179">
        <v>26.020800000000001</v>
      </c>
      <c r="GK179">
        <v>26.000299999999999</v>
      </c>
      <c r="GL179">
        <v>35.398800000000001</v>
      </c>
      <c r="GM179">
        <v>62.2166</v>
      </c>
      <c r="GN179">
        <v>59.056199999999997</v>
      </c>
      <c r="GO179">
        <v>25.724900000000002</v>
      </c>
      <c r="GP179">
        <v>800</v>
      </c>
      <c r="GQ179">
        <v>6.4482999999999997</v>
      </c>
      <c r="GR179">
        <v>99.830399999999997</v>
      </c>
      <c r="GS179">
        <v>99.710400000000007</v>
      </c>
    </row>
    <row r="180" spans="1:201" x14ac:dyDescent="0.25">
      <c r="A180">
        <v>164</v>
      </c>
      <c r="B180">
        <v>1690234205</v>
      </c>
      <c r="C180">
        <v>1698.900000095367</v>
      </c>
      <c r="D180" t="s">
        <v>659</v>
      </c>
      <c r="E180" t="s">
        <v>660</v>
      </c>
      <c r="F180" t="s">
        <v>330</v>
      </c>
      <c r="H180">
        <v>1690234205</v>
      </c>
      <c r="I180">
        <f t="shared" si="60"/>
        <v>1.6997917348652411E-3</v>
      </c>
      <c r="J180">
        <f t="shared" si="61"/>
        <v>1.6997917348652412</v>
      </c>
      <c r="K180">
        <f t="shared" si="62"/>
        <v>25.910990631200583</v>
      </c>
      <c r="L180">
        <f t="shared" si="63"/>
        <v>510.87700000000001</v>
      </c>
      <c r="M180">
        <f t="shared" si="64"/>
        <v>112.53222151294692</v>
      </c>
      <c r="N180">
        <f t="shared" si="65"/>
        <v>11.150915822776401</v>
      </c>
      <c r="O180">
        <f t="shared" si="66"/>
        <v>50.623246801691593</v>
      </c>
      <c r="P180">
        <f t="shared" si="67"/>
        <v>0.10877634087417053</v>
      </c>
      <c r="Q180">
        <f t="shared" si="68"/>
        <v>2.1312454040677729</v>
      </c>
      <c r="R180">
        <f t="shared" si="69"/>
        <v>0.10578351060999723</v>
      </c>
      <c r="S180">
        <f t="shared" si="70"/>
        <v>6.6376729356685149E-2</v>
      </c>
      <c r="T180">
        <f t="shared" si="71"/>
        <v>276.11447029200002</v>
      </c>
      <c r="U180">
        <f t="shared" si="72"/>
        <v>28.702448304408144</v>
      </c>
      <c r="V180">
        <f t="shared" si="73"/>
        <v>28.702448304408144</v>
      </c>
      <c r="W180">
        <f t="shared" si="74"/>
        <v>3.9530436254715968</v>
      </c>
      <c r="X180">
        <f t="shared" si="75"/>
        <v>66.943019808721232</v>
      </c>
      <c r="Y180">
        <f t="shared" si="76"/>
        <v>2.4119312497944798</v>
      </c>
      <c r="Z180">
        <f t="shared" si="77"/>
        <v>3.6029615286047445</v>
      </c>
      <c r="AA180">
        <f t="shared" si="78"/>
        <v>1.541112375677117</v>
      </c>
      <c r="AB180">
        <f t="shared" si="79"/>
        <v>-74.960815507557129</v>
      </c>
      <c r="AC180">
        <f t="shared" si="80"/>
        <v>-182.6386268473216</v>
      </c>
      <c r="AD180">
        <f t="shared" si="81"/>
        <v>-18.662645324243044</v>
      </c>
      <c r="AE180">
        <f t="shared" si="82"/>
        <v>-0.14761738712175543</v>
      </c>
      <c r="AF180">
        <v>0</v>
      </c>
      <c r="AG180">
        <v>0</v>
      </c>
      <c r="AH180">
        <f t="shared" si="83"/>
        <v>1</v>
      </c>
      <c r="AI180">
        <f t="shared" si="84"/>
        <v>0</v>
      </c>
      <c r="AJ180">
        <f t="shared" si="85"/>
        <v>52383.606751916108</v>
      </c>
      <c r="AK180">
        <f t="shared" si="86"/>
        <v>1800</v>
      </c>
      <c r="AL180">
        <f t="shared" si="87"/>
        <v>1499.1117372000001</v>
      </c>
      <c r="AM180">
        <f t="shared" si="88"/>
        <v>0.83283985400000005</v>
      </c>
      <c r="AN180">
        <f t="shared" si="89"/>
        <v>0.15339692794000001</v>
      </c>
      <c r="AO180">
        <v>32.4</v>
      </c>
      <c r="AP180">
        <v>0.5</v>
      </c>
      <c r="AQ180" t="s">
        <v>331</v>
      </c>
      <c r="AR180">
        <v>2</v>
      </c>
      <c r="AS180">
        <v>1690234205</v>
      </c>
      <c r="AT180">
        <v>510.87700000000001</v>
      </c>
      <c r="AU180">
        <v>800.101</v>
      </c>
      <c r="AV180">
        <v>24.340599999999998</v>
      </c>
      <c r="AW180">
        <v>6.4292699999999998</v>
      </c>
      <c r="AX180">
        <v>511.012</v>
      </c>
      <c r="AY180">
        <v>24.168600000000001</v>
      </c>
      <c r="AZ180">
        <v>299.99299999999999</v>
      </c>
      <c r="BA180">
        <v>98.990899999999996</v>
      </c>
      <c r="BB180">
        <v>9.9970799999999999E-2</v>
      </c>
      <c r="BC180">
        <v>27.1129</v>
      </c>
      <c r="BD180">
        <v>26.9985</v>
      </c>
      <c r="BE180">
        <v>28.9008</v>
      </c>
      <c r="BF180">
        <v>0</v>
      </c>
      <c r="BG180">
        <v>0</v>
      </c>
      <c r="BH180">
        <v>10011.9</v>
      </c>
      <c r="BI180">
        <v>1081.74</v>
      </c>
      <c r="BJ180">
        <v>1.4577199999999999</v>
      </c>
      <c r="BK180">
        <v>-289.22300000000001</v>
      </c>
      <c r="BL180">
        <v>523.62199999999996</v>
      </c>
      <c r="BM180">
        <v>805.27800000000002</v>
      </c>
      <c r="BN180">
        <v>17.911300000000001</v>
      </c>
      <c r="BO180">
        <v>800.101</v>
      </c>
      <c r="BP180">
        <v>6.4292699999999998</v>
      </c>
      <c r="BQ180">
        <v>2.4095</v>
      </c>
      <c r="BR180">
        <v>0.63643899999999998</v>
      </c>
      <c r="BS180">
        <v>20.427700000000002</v>
      </c>
      <c r="BT180">
        <v>0.50309199999999998</v>
      </c>
      <c r="BU180">
        <v>1800</v>
      </c>
      <c r="BV180">
        <v>0.91001100000000001</v>
      </c>
      <c r="BW180">
        <v>3.4009400000000002E-2</v>
      </c>
      <c r="BX180">
        <v>2.1993200000000001E-2</v>
      </c>
      <c r="BY180">
        <v>3.3986599999999999E-2</v>
      </c>
      <c r="BZ180">
        <v>25</v>
      </c>
      <c r="CA180">
        <v>33528.5</v>
      </c>
      <c r="CB180">
        <v>1690232006</v>
      </c>
      <c r="CC180" t="s">
        <v>332</v>
      </c>
      <c r="CD180">
        <v>1690232006</v>
      </c>
      <c r="CE180">
        <v>1690231998.5</v>
      </c>
      <c r="CF180">
        <v>14</v>
      </c>
      <c r="CG180">
        <v>-0.13200000000000001</v>
      </c>
      <c r="CH180">
        <v>-7.0000000000000001E-3</v>
      </c>
      <c r="CI180">
        <v>-0.33800000000000002</v>
      </c>
      <c r="CJ180">
        <v>0.14299999999999999</v>
      </c>
      <c r="CK180">
        <v>799</v>
      </c>
      <c r="CL180">
        <v>19</v>
      </c>
      <c r="CM180">
        <v>7.0000000000000007E-2</v>
      </c>
      <c r="CN180">
        <v>0.14000000000000001</v>
      </c>
      <c r="CO180">
        <v>-288.09963414634149</v>
      </c>
      <c r="CP180">
        <v>-6.0362299651562656</v>
      </c>
      <c r="CQ180">
        <v>0.60158278047235969</v>
      </c>
      <c r="CR180">
        <v>-1</v>
      </c>
      <c r="CS180">
        <v>17.819846341463411</v>
      </c>
      <c r="CT180">
        <v>0.40729128919859359</v>
      </c>
      <c r="CU180">
        <v>4.0642271023309903E-2</v>
      </c>
      <c r="CV180">
        <v>-1</v>
      </c>
      <c r="CW180">
        <v>0</v>
      </c>
      <c r="CX180">
        <v>0</v>
      </c>
      <c r="CY180" t="s">
        <v>333</v>
      </c>
      <c r="CZ180">
        <v>2.36435</v>
      </c>
      <c r="DA180">
        <v>2.7137699999999998</v>
      </c>
      <c r="DB180">
        <v>0.107401</v>
      </c>
      <c r="DC180">
        <v>0.146094</v>
      </c>
      <c r="DD180">
        <v>0.11508500000000001</v>
      </c>
      <c r="DE180">
        <v>4.1735500000000002E-2</v>
      </c>
      <c r="DF180">
        <v>32622.400000000001</v>
      </c>
      <c r="DG180">
        <v>27557</v>
      </c>
      <c r="DH180">
        <v>31199.599999999999</v>
      </c>
      <c r="DI180">
        <v>28119.3</v>
      </c>
      <c r="DJ180">
        <v>37482.1</v>
      </c>
      <c r="DK180">
        <v>38324.400000000001</v>
      </c>
      <c r="DL180">
        <v>44405.1</v>
      </c>
      <c r="DM180">
        <v>42624.7</v>
      </c>
      <c r="DN180">
        <v>1.4857</v>
      </c>
      <c r="DO180">
        <v>2.0437799999999999</v>
      </c>
      <c r="DP180">
        <v>7.5936299999999998E-2</v>
      </c>
      <c r="DQ180">
        <v>0.20346</v>
      </c>
      <c r="DR180">
        <v>25.755400000000002</v>
      </c>
      <c r="DS180">
        <v>25.5747</v>
      </c>
      <c r="DT180">
        <v>45</v>
      </c>
      <c r="DU180">
        <v>28.8</v>
      </c>
      <c r="DV180">
        <v>18.0715</v>
      </c>
      <c r="DW180">
        <v>61.578000000000003</v>
      </c>
      <c r="DX180">
        <v>37.411900000000003</v>
      </c>
      <c r="DY180">
        <v>1</v>
      </c>
      <c r="DZ180">
        <v>-0.12049</v>
      </c>
      <c r="EA180">
        <v>-0.49553399999999997</v>
      </c>
      <c r="EB180">
        <v>20.189</v>
      </c>
      <c r="EC180">
        <v>5.2411000000000003</v>
      </c>
      <c r="ED180">
        <v>12.039899999999999</v>
      </c>
      <c r="EE180">
        <v>5.0166000000000004</v>
      </c>
      <c r="EF180">
        <v>3.2879999999999998</v>
      </c>
      <c r="EG180">
        <v>9999</v>
      </c>
      <c r="EH180">
        <v>9999</v>
      </c>
      <c r="EI180">
        <v>9999</v>
      </c>
      <c r="EJ180">
        <v>999.9</v>
      </c>
      <c r="EK180">
        <v>1.8689</v>
      </c>
      <c r="EL180">
        <v>1.86459</v>
      </c>
      <c r="EM180">
        <v>1.86913</v>
      </c>
      <c r="EN180">
        <v>1.8672200000000001</v>
      </c>
      <c r="EO180">
        <v>1.8633599999999999</v>
      </c>
      <c r="EP180">
        <v>1.8644700000000001</v>
      </c>
      <c r="EQ180">
        <v>1.8701300000000001</v>
      </c>
      <c r="ER180">
        <v>1.8693599999999999</v>
      </c>
      <c r="ES180">
        <v>0</v>
      </c>
      <c r="ET180">
        <v>0</v>
      </c>
      <c r="EU180">
        <v>0</v>
      </c>
      <c r="EV180">
        <v>0</v>
      </c>
      <c r="EW180" t="s">
        <v>334</v>
      </c>
      <c r="EX180" t="s">
        <v>335</v>
      </c>
      <c r="EY180" t="s">
        <v>336</v>
      </c>
      <c r="EZ180" t="s">
        <v>336</v>
      </c>
      <c r="FA180" t="s">
        <v>336</v>
      </c>
      <c r="FB180" t="s">
        <v>336</v>
      </c>
      <c r="FC180">
        <v>0</v>
      </c>
      <c r="FD180">
        <v>100</v>
      </c>
      <c r="FE180">
        <v>100</v>
      </c>
      <c r="FF180">
        <v>-0.13500000000000001</v>
      </c>
      <c r="FG180">
        <v>0.17199999999999999</v>
      </c>
      <c r="FH180">
        <v>0.2126736300064915</v>
      </c>
      <c r="FI180">
        <v>-6.1462078757559423E-4</v>
      </c>
      <c r="FJ180">
        <v>-1.8861989874597051E-7</v>
      </c>
      <c r="FK180">
        <v>1.1980462299894961E-10</v>
      </c>
      <c r="FL180">
        <v>0.1719881465068297</v>
      </c>
      <c r="FM180">
        <v>0</v>
      </c>
      <c r="FN180">
        <v>0</v>
      </c>
      <c r="FO180">
        <v>0</v>
      </c>
      <c r="FP180">
        <v>3</v>
      </c>
      <c r="FQ180">
        <v>2158</v>
      </c>
      <c r="FR180">
        <v>1</v>
      </c>
      <c r="FS180">
        <v>19</v>
      </c>
      <c r="FT180">
        <v>36.6</v>
      </c>
      <c r="FU180">
        <v>36.799999999999997</v>
      </c>
      <c r="FV180">
        <v>1.7700199999999999</v>
      </c>
      <c r="FW180">
        <v>2.5915499999999998</v>
      </c>
      <c r="FX180">
        <v>1.5490699999999999</v>
      </c>
      <c r="FY180">
        <v>2.3278799999999999</v>
      </c>
      <c r="FZ180">
        <v>1.50024</v>
      </c>
      <c r="GA180">
        <v>2.34985</v>
      </c>
      <c r="GB180">
        <v>33.512999999999998</v>
      </c>
      <c r="GC180">
        <v>23.982399999999998</v>
      </c>
      <c r="GD180">
        <v>19</v>
      </c>
      <c r="GE180">
        <v>285.46600000000001</v>
      </c>
      <c r="GF180">
        <v>585.40899999999999</v>
      </c>
      <c r="GG180">
        <v>25.731200000000001</v>
      </c>
      <c r="GH180">
        <v>25.901399999999999</v>
      </c>
      <c r="GI180">
        <v>30.0001</v>
      </c>
      <c r="GJ180">
        <v>26.020800000000001</v>
      </c>
      <c r="GK180">
        <v>25.998100000000001</v>
      </c>
      <c r="GL180">
        <v>35.389299999999999</v>
      </c>
      <c r="GM180">
        <v>62.490699999999997</v>
      </c>
      <c r="GN180">
        <v>58.307099999999998</v>
      </c>
      <c r="GO180">
        <v>25.732600000000001</v>
      </c>
      <c r="GP180">
        <v>800</v>
      </c>
      <c r="GQ180">
        <v>6.3424300000000002</v>
      </c>
      <c r="GR180">
        <v>99.832099999999997</v>
      </c>
      <c r="GS180">
        <v>99.708699999999993</v>
      </c>
    </row>
    <row r="181" spans="1:201" x14ac:dyDescent="0.25">
      <c r="A181">
        <v>165</v>
      </c>
      <c r="B181">
        <v>1690234215</v>
      </c>
      <c r="C181">
        <v>1708.900000095367</v>
      </c>
      <c r="D181" t="s">
        <v>661</v>
      </c>
      <c r="E181" t="s">
        <v>662</v>
      </c>
      <c r="F181" t="s">
        <v>330</v>
      </c>
      <c r="H181">
        <v>1690234215</v>
      </c>
      <c r="I181">
        <f t="shared" si="60"/>
        <v>1.7092243877862999E-3</v>
      </c>
      <c r="J181">
        <f t="shared" si="61"/>
        <v>1.7092243877862998</v>
      </c>
      <c r="K181">
        <f t="shared" si="62"/>
        <v>25.990059710185037</v>
      </c>
      <c r="L181">
        <f t="shared" si="63"/>
        <v>510.08300000000003</v>
      </c>
      <c r="M181">
        <f t="shared" si="64"/>
        <v>111.99833393201931</v>
      </c>
      <c r="N181">
        <f t="shared" si="65"/>
        <v>11.097448324264631</v>
      </c>
      <c r="O181">
        <f t="shared" si="66"/>
        <v>50.541999464221995</v>
      </c>
      <c r="P181">
        <f t="shared" si="67"/>
        <v>0.10919733031449551</v>
      </c>
      <c r="Q181">
        <f t="shared" si="68"/>
        <v>2.1254934445022409</v>
      </c>
      <c r="R181">
        <f t="shared" si="69"/>
        <v>0.10617371746274916</v>
      </c>
      <c r="S181">
        <f t="shared" si="70"/>
        <v>6.6623259483266722E-2</v>
      </c>
      <c r="T181">
        <f t="shared" si="71"/>
        <v>276.114352392</v>
      </c>
      <c r="U181">
        <f t="shared" si="72"/>
        <v>28.710146429543961</v>
      </c>
      <c r="V181">
        <f t="shared" si="73"/>
        <v>28.710146429543961</v>
      </c>
      <c r="W181">
        <f t="shared" si="74"/>
        <v>3.9548087632959401</v>
      </c>
      <c r="X181">
        <f t="shared" si="75"/>
        <v>66.887267393452177</v>
      </c>
      <c r="Y181">
        <f t="shared" si="76"/>
        <v>2.4109267871378002</v>
      </c>
      <c r="Z181">
        <f t="shared" si="77"/>
        <v>3.6044629734325402</v>
      </c>
      <c r="AA181">
        <f t="shared" si="78"/>
        <v>1.5438819761581399</v>
      </c>
      <c r="AB181">
        <f t="shared" si="79"/>
        <v>-75.376795501375824</v>
      </c>
      <c r="AC181">
        <f t="shared" si="80"/>
        <v>-182.21424740545604</v>
      </c>
      <c r="AD181">
        <f t="shared" si="81"/>
        <v>-18.671045159688653</v>
      </c>
      <c r="AE181">
        <f t="shared" si="82"/>
        <v>-0.14773567452053271</v>
      </c>
      <c r="AF181">
        <v>0</v>
      </c>
      <c r="AG181">
        <v>0</v>
      </c>
      <c r="AH181">
        <f t="shared" si="83"/>
        <v>1</v>
      </c>
      <c r="AI181">
        <f t="shared" si="84"/>
        <v>0</v>
      </c>
      <c r="AJ181">
        <f t="shared" si="85"/>
        <v>52134.794088190087</v>
      </c>
      <c r="AK181">
        <f t="shared" si="86"/>
        <v>1800</v>
      </c>
      <c r="AL181">
        <f t="shared" si="87"/>
        <v>1499.1118902000001</v>
      </c>
      <c r="AM181">
        <f t="shared" si="88"/>
        <v>0.83283993899999997</v>
      </c>
      <c r="AN181">
        <f t="shared" si="89"/>
        <v>0.15339686244</v>
      </c>
      <c r="AO181">
        <v>32.4</v>
      </c>
      <c r="AP181">
        <v>0.5</v>
      </c>
      <c r="AQ181" t="s">
        <v>331</v>
      </c>
      <c r="AR181">
        <v>2</v>
      </c>
      <c r="AS181">
        <v>1690234215</v>
      </c>
      <c r="AT181">
        <v>510.08300000000003</v>
      </c>
      <c r="AU181">
        <v>800.00699999999995</v>
      </c>
      <c r="AV181">
        <v>24.331700000000001</v>
      </c>
      <c r="AW181">
        <v>6.3326900000000004</v>
      </c>
      <c r="AX181">
        <v>510.21699999999998</v>
      </c>
      <c r="AY181">
        <v>24.159700000000001</v>
      </c>
      <c r="AZ181">
        <v>300.19099999999997</v>
      </c>
      <c r="BA181">
        <v>98.985799999999998</v>
      </c>
      <c r="BB181">
        <v>0.100034</v>
      </c>
      <c r="BC181">
        <v>27.12</v>
      </c>
      <c r="BD181">
        <v>27.013999999999999</v>
      </c>
      <c r="BE181">
        <v>28.9129</v>
      </c>
      <c r="BF181">
        <v>0</v>
      </c>
      <c r="BG181">
        <v>0</v>
      </c>
      <c r="BH181">
        <v>9963.1200000000008</v>
      </c>
      <c r="BI181">
        <v>1081.6099999999999</v>
      </c>
      <c r="BJ181">
        <v>1.4577199999999999</v>
      </c>
      <c r="BK181">
        <v>-289.92500000000001</v>
      </c>
      <c r="BL181">
        <v>522.803</v>
      </c>
      <c r="BM181">
        <v>805.10599999999999</v>
      </c>
      <c r="BN181">
        <v>17.998999999999999</v>
      </c>
      <c r="BO181">
        <v>800.00699999999995</v>
      </c>
      <c r="BP181">
        <v>6.3326900000000004</v>
      </c>
      <c r="BQ181">
        <v>2.4085000000000001</v>
      </c>
      <c r="BR181">
        <v>0.62684600000000001</v>
      </c>
      <c r="BS181">
        <v>20.420999999999999</v>
      </c>
      <c r="BT181">
        <v>0.29330000000000001</v>
      </c>
      <c r="BU181">
        <v>1800</v>
      </c>
      <c r="BV181">
        <v>0.91001299999999996</v>
      </c>
      <c r="BW181">
        <v>3.40086E-2</v>
      </c>
      <c r="BX181">
        <v>2.19927E-2</v>
      </c>
      <c r="BY181">
        <v>3.3985799999999997E-2</v>
      </c>
      <c r="BZ181">
        <v>25</v>
      </c>
      <c r="CA181">
        <v>33528.5</v>
      </c>
      <c r="CB181">
        <v>1690232006</v>
      </c>
      <c r="CC181" t="s">
        <v>332</v>
      </c>
      <c r="CD181">
        <v>1690232006</v>
      </c>
      <c r="CE181">
        <v>1690231998.5</v>
      </c>
      <c r="CF181">
        <v>14</v>
      </c>
      <c r="CG181">
        <v>-0.13200000000000001</v>
      </c>
      <c r="CH181">
        <v>-7.0000000000000001E-3</v>
      </c>
      <c r="CI181">
        <v>-0.33800000000000002</v>
      </c>
      <c r="CJ181">
        <v>0.14299999999999999</v>
      </c>
      <c r="CK181">
        <v>799</v>
      </c>
      <c r="CL181">
        <v>19</v>
      </c>
      <c r="CM181">
        <v>7.0000000000000007E-2</v>
      </c>
      <c r="CN181">
        <v>0.14000000000000001</v>
      </c>
      <c r="CO181">
        <v>-288.96785365853663</v>
      </c>
      <c r="CP181">
        <v>-5.1487317073170242</v>
      </c>
      <c r="CQ181">
        <v>0.51327483062673962</v>
      </c>
      <c r="CR181">
        <v>-1</v>
      </c>
      <c r="CS181">
        <v>17.89110243902439</v>
      </c>
      <c r="CT181">
        <v>0.54661463414634093</v>
      </c>
      <c r="CU181">
        <v>5.4194421852297517E-2</v>
      </c>
      <c r="CV181">
        <v>-1</v>
      </c>
      <c r="CW181">
        <v>0</v>
      </c>
      <c r="CX181">
        <v>0</v>
      </c>
      <c r="CY181" t="s">
        <v>333</v>
      </c>
      <c r="CZ181">
        <v>2.3649900000000001</v>
      </c>
      <c r="DA181">
        <v>2.7137899999999999</v>
      </c>
      <c r="DB181">
        <v>0.10727399999999999</v>
      </c>
      <c r="DC181">
        <v>0.14607300000000001</v>
      </c>
      <c r="DD181">
        <v>0.11505</v>
      </c>
      <c r="DE181">
        <v>4.1224400000000001E-2</v>
      </c>
      <c r="DF181">
        <v>32626.7</v>
      </c>
      <c r="DG181">
        <v>27557.9</v>
      </c>
      <c r="DH181">
        <v>31199.200000000001</v>
      </c>
      <c r="DI181">
        <v>28119.5</v>
      </c>
      <c r="DJ181">
        <v>37483.300000000003</v>
      </c>
      <c r="DK181">
        <v>38345.1</v>
      </c>
      <c r="DL181">
        <v>44404.800000000003</v>
      </c>
      <c r="DM181">
        <v>42624.9</v>
      </c>
      <c r="DN181">
        <v>1.48627</v>
      </c>
      <c r="DO181">
        <v>2.04345</v>
      </c>
      <c r="DP181">
        <v>7.6681399999999997E-2</v>
      </c>
      <c r="DQ181">
        <v>0.20393700000000001</v>
      </c>
      <c r="DR181">
        <v>25.758700000000001</v>
      </c>
      <c r="DS181">
        <v>25.579000000000001</v>
      </c>
      <c r="DT181">
        <v>44.6</v>
      </c>
      <c r="DU181">
        <v>28.8</v>
      </c>
      <c r="DV181">
        <v>17.912600000000001</v>
      </c>
      <c r="DW181">
        <v>61.868000000000002</v>
      </c>
      <c r="DX181">
        <v>36.394199999999998</v>
      </c>
      <c r="DY181">
        <v>1</v>
      </c>
      <c r="DZ181">
        <v>-0.12006600000000001</v>
      </c>
      <c r="EA181">
        <v>-0.239401</v>
      </c>
      <c r="EB181">
        <v>20.189599999999999</v>
      </c>
      <c r="EC181">
        <v>5.2409499999999998</v>
      </c>
      <c r="ED181">
        <v>12.039899999999999</v>
      </c>
      <c r="EE181">
        <v>5.0166000000000004</v>
      </c>
      <c r="EF181">
        <v>3.2879999999999998</v>
      </c>
      <c r="EG181">
        <v>9999</v>
      </c>
      <c r="EH181">
        <v>9999</v>
      </c>
      <c r="EI181">
        <v>9999</v>
      </c>
      <c r="EJ181">
        <v>999.9</v>
      </c>
      <c r="EK181">
        <v>1.8689</v>
      </c>
      <c r="EL181">
        <v>1.8646199999999999</v>
      </c>
      <c r="EM181">
        <v>1.86914</v>
      </c>
      <c r="EN181">
        <v>1.86721</v>
      </c>
      <c r="EO181">
        <v>1.8633599999999999</v>
      </c>
      <c r="EP181">
        <v>1.8644700000000001</v>
      </c>
      <c r="EQ181">
        <v>1.8701399999999999</v>
      </c>
      <c r="ER181">
        <v>1.8693599999999999</v>
      </c>
      <c r="ES181">
        <v>0</v>
      </c>
      <c r="ET181">
        <v>0</v>
      </c>
      <c r="EU181">
        <v>0</v>
      </c>
      <c r="EV181">
        <v>0</v>
      </c>
      <c r="EW181" t="s">
        <v>334</v>
      </c>
      <c r="EX181" t="s">
        <v>335</v>
      </c>
      <c r="EY181" t="s">
        <v>336</v>
      </c>
      <c r="EZ181" t="s">
        <v>336</v>
      </c>
      <c r="FA181" t="s">
        <v>336</v>
      </c>
      <c r="FB181" t="s">
        <v>336</v>
      </c>
      <c r="FC181">
        <v>0</v>
      </c>
      <c r="FD181">
        <v>100</v>
      </c>
      <c r="FE181">
        <v>100</v>
      </c>
      <c r="FF181">
        <v>-0.13400000000000001</v>
      </c>
      <c r="FG181">
        <v>0.17199999999999999</v>
      </c>
      <c r="FH181">
        <v>0.2126736300064915</v>
      </c>
      <c r="FI181">
        <v>-6.1462078757559423E-4</v>
      </c>
      <c r="FJ181">
        <v>-1.8861989874597051E-7</v>
      </c>
      <c r="FK181">
        <v>1.1980462299894961E-10</v>
      </c>
      <c r="FL181">
        <v>0.1719881465068297</v>
      </c>
      <c r="FM181">
        <v>0</v>
      </c>
      <c r="FN181">
        <v>0</v>
      </c>
      <c r="FO181">
        <v>0</v>
      </c>
      <c r="FP181">
        <v>3</v>
      </c>
      <c r="FQ181">
        <v>2158</v>
      </c>
      <c r="FR181">
        <v>1</v>
      </c>
      <c r="FS181">
        <v>19</v>
      </c>
      <c r="FT181">
        <v>36.799999999999997</v>
      </c>
      <c r="FU181">
        <v>36.9</v>
      </c>
      <c r="FV181">
        <v>1.7700199999999999</v>
      </c>
      <c r="FW181">
        <v>2.5842299999999998</v>
      </c>
      <c r="FX181">
        <v>1.5490699999999999</v>
      </c>
      <c r="FY181">
        <v>2.3278799999999999</v>
      </c>
      <c r="FZ181">
        <v>1.50146</v>
      </c>
      <c r="GA181">
        <v>2.33521</v>
      </c>
      <c r="GB181">
        <v>33.512999999999998</v>
      </c>
      <c r="GC181">
        <v>23.991199999999999</v>
      </c>
      <c r="GD181">
        <v>19</v>
      </c>
      <c r="GE181">
        <v>285.70299999999997</v>
      </c>
      <c r="GF181">
        <v>585.14099999999996</v>
      </c>
      <c r="GG181">
        <v>25.712199999999999</v>
      </c>
      <c r="GH181">
        <v>25.901399999999999</v>
      </c>
      <c r="GI181">
        <v>30.0002</v>
      </c>
      <c r="GJ181">
        <v>26.018599999999999</v>
      </c>
      <c r="GK181">
        <v>25.998100000000001</v>
      </c>
      <c r="GL181">
        <v>35.388599999999997</v>
      </c>
      <c r="GM181">
        <v>62.770499999999998</v>
      </c>
      <c r="GN181">
        <v>57.902299999999997</v>
      </c>
      <c r="GO181">
        <v>25.677</v>
      </c>
      <c r="GP181">
        <v>800</v>
      </c>
      <c r="GQ181">
        <v>6.2455100000000003</v>
      </c>
      <c r="GR181">
        <v>99.831199999999995</v>
      </c>
      <c r="GS181">
        <v>99.709400000000002</v>
      </c>
    </row>
    <row r="182" spans="1:201" x14ac:dyDescent="0.25">
      <c r="A182">
        <v>166</v>
      </c>
      <c r="B182">
        <v>1690234225</v>
      </c>
      <c r="C182">
        <v>1718.900000095367</v>
      </c>
      <c r="D182" t="s">
        <v>663</v>
      </c>
      <c r="E182" t="s">
        <v>664</v>
      </c>
      <c r="F182" t="s">
        <v>330</v>
      </c>
      <c r="H182">
        <v>1690234225</v>
      </c>
      <c r="I182">
        <f t="shared" si="60"/>
        <v>1.7185460222818086E-3</v>
      </c>
      <c r="J182">
        <f t="shared" si="61"/>
        <v>1.7185460222818085</v>
      </c>
      <c r="K182">
        <f t="shared" si="62"/>
        <v>26.063008452072477</v>
      </c>
      <c r="L182">
        <f t="shared" si="63"/>
        <v>509.20400000000001</v>
      </c>
      <c r="M182">
        <f t="shared" si="64"/>
        <v>112.32049508448067</v>
      </c>
      <c r="N182">
        <f t="shared" si="65"/>
        <v>11.12986436555803</v>
      </c>
      <c r="O182">
        <f t="shared" si="66"/>
        <v>50.457144532144007</v>
      </c>
      <c r="P182">
        <f t="shared" si="67"/>
        <v>0.10984946808969452</v>
      </c>
      <c r="Q182">
        <f t="shared" si="68"/>
        <v>2.1297052485541044</v>
      </c>
      <c r="R182">
        <f t="shared" si="69"/>
        <v>0.10679604659630261</v>
      </c>
      <c r="S182">
        <f t="shared" si="70"/>
        <v>6.701479740792704E-2</v>
      </c>
      <c r="T182">
        <f t="shared" si="71"/>
        <v>276.11415629999999</v>
      </c>
      <c r="U182">
        <f t="shared" si="72"/>
        <v>28.699146378853616</v>
      </c>
      <c r="V182">
        <f t="shared" si="73"/>
        <v>28.699146378853616</v>
      </c>
      <c r="W182">
        <f t="shared" si="74"/>
        <v>3.9522867226537386</v>
      </c>
      <c r="X182">
        <f t="shared" si="75"/>
        <v>66.850902470422312</v>
      </c>
      <c r="Y182">
        <f t="shared" si="76"/>
        <v>2.4089232732544001</v>
      </c>
      <c r="Z182">
        <f t="shared" si="77"/>
        <v>3.6034267066479924</v>
      </c>
      <c r="AA182">
        <f t="shared" si="78"/>
        <v>1.5433634493993384</v>
      </c>
      <c r="AB182">
        <f t="shared" si="79"/>
        <v>-75.787879582627767</v>
      </c>
      <c r="AC182">
        <f t="shared" si="80"/>
        <v>-181.87492933181812</v>
      </c>
      <c r="AD182">
        <f t="shared" si="81"/>
        <v>-18.597944996406731</v>
      </c>
      <c r="AE182">
        <f t="shared" si="82"/>
        <v>-0.14659761085263767</v>
      </c>
      <c r="AF182">
        <v>0</v>
      </c>
      <c r="AG182">
        <v>0</v>
      </c>
      <c r="AH182">
        <f t="shared" si="83"/>
        <v>1</v>
      </c>
      <c r="AI182">
        <f t="shared" si="84"/>
        <v>0</v>
      </c>
      <c r="AJ182">
        <f t="shared" si="85"/>
        <v>52316.869900150996</v>
      </c>
      <c r="AK182">
        <f t="shared" si="86"/>
        <v>1800</v>
      </c>
      <c r="AL182">
        <f t="shared" si="87"/>
        <v>1499.1110549999999</v>
      </c>
      <c r="AM182">
        <f t="shared" si="88"/>
        <v>0.83283947499999988</v>
      </c>
      <c r="AN182">
        <f t="shared" si="89"/>
        <v>0.15339675350000001</v>
      </c>
      <c r="AO182">
        <v>32.4</v>
      </c>
      <c r="AP182">
        <v>0.5</v>
      </c>
      <c r="AQ182" t="s">
        <v>331</v>
      </c>
      <c r="AR182">
        <v>2</v>
      </c>
      <c r="AS182">
        <v>1690234225</v>
      </c>
      <c r="AT182">
        <v>509.20400000000001</v>
      </c>
      <c r="AU182">
        <v>800.05499999999995</v>
      </c>
      <c r="AV182">
        <v>24.310400000000001</v>
      </c>
      <c r="AW182">
        <v>6.2063199999999998</v>
      </c>
      <c r="AX182">
        <v>509.33800000000002</v>
      </c>
      <c r="AY182">
        <v>24.138400000000001</v>
      </c>
      <c r="AZ182">
        <v>300.08300000000003</v>
      </c>
      <c r="BA182">
        <v>98.990200000000002</v>
      </c>
      <c r="BB182">
        <v>0.100036</v>
      </c>
      <c r="BC182">
        <v>27.115100000000002</v>
      </c>
      <c r="BD182">
        <v>26.999300000000002</v>
      </c>
      <c r="BE182">
        <v>28.920100000000001</v>
      </c>
      <c r="BF182">
        <v>0</v>
      </c>
      <c r="BG182">
        <v>0</v>
      </c>
      <c r="BH182">
        <v>9998.75</v>
      </c>
      <c r="BI182">
        <v>1081.67</v>
      </c>
      <c r="BJ182">
        <v>1.4577199999999999</v>
      </c>
      <c r="BK182">
        <v>-290.851</v>
      </c>
      <c r="BL182">
        <v>521.89200000000005</v>
      </c>
      <c r="BM182">
        <v>805.05200000000002</v>
      </c>
      <c r="BN182">
        <v>18.104099999999999</v>
      </c>
      <c r="BO182">
        <v>800.05499999999995</v>
      </c>
      <c r="BP182">
        <v>6.2063199999999998</v>
      </c>
      <c r="BQ182">
        <v>2.4064899999999998</v>
      </c>
      <c r="BR182">
        <v>0.61436500000000005</v>
      </c>
      <c r="BS182">
        <v>20.407499999999999</v>
      </c>
      <c r="BT182">
        <v>1.6027099999999999E-2</v>
      </c>
      <c r="BU182">
        <v>1800</v>
      </c>
      <c r="BV182">
        <v>0.91001299999999996</v>
      </c>
      <c r="BW182">
        <v>3.4008400000000001E-2</v>
      </c>
      <c r="BX182">
        <v>2.1992500000000002E-2</v>
      </c>
      <c r="BY182">
        <v>3.3985599999999998E-2</v>
      </c>
      <c r="BZ182">
        <v>25</v>
      </c>
      <c r="CA182">
        <v>33528.5</v>
      </c>
      <c r="CB182">
        <v>1690232006</v>
      </c>
      <c r="CC182" t="s">
        <v>332</v>
      </c>
      <c r="CD182">
        <v>1690232006</v>
      </c>
      <c r="CE182">
        <v>1690231998.5</v>
      </c>
      <c r="CF182">
        <v>14</v>
      </c>
      <c r="CG182">
        <v>-0.13200000000000001</v>
      </c>
      <c r="CH182">
        <v>-7.0000000000000001E-3</v>
      </c>
      <c r="CI182">
        <v>-0.33800000000000002</v>
      </c>
      <c r="CJ182">
        <v>0.14299999999999999</v>
      </c>
      <c r="CK182">
        <v>799</v>
      </c>
      <c r="CL182">
        <v>19</v>
      </c>
      <c r="CM182">
        <v>7.0000000000000007E-2</v>
      </c>
      <c r="CN182">
        <v>0.14000000000000001</v>
      </c>
      <c r="CO182">
        <v>-289.89429999999999</v>
      </c>
      <c r="CP182">
        <v>-4.9917523452147092</v>
      </c>
      <c r="CQ182">
        <v>0.48867628344334291</v>
      </c>
      <c r="CR182">
        <v>-1</v>
      </c>
      <c r="CS182">
        <v>17.988659999999999</v>
      </c>
      <c r="CT182">
        <v>0.54182363977483217</v>
      </c>
      <c r="CU182">
        <v>5.2983925864360328E-2</v>
      </c>
      <c r="CV182">
        <v>-1</v>
      </c>
      <c r="CW182">
        <v>0</v>
      </c>
      <c r="CX182">
        <v>0</v>
      </c>
      <c r="CY182" t="s">
        <v>333</v>
      </c>
      <c r="CZ182">
        <v>2.3646500000000001</v>
      </c>
      <c r="DA182">
        <v>2.7138200000000001</v>
      </c>
      <c r="DB182">
        <v>0.107144</v>
      </c>
      <c r="DC182">
        <v>0.14608299999999999</v>
      </c>
      <c r="DD182">
        <v>0.114984</v>
      </c>
      <c r="DE182">
        <v>4.0556500000000002E-2</v>
      </c>
      <c r="DF182">
        <v>32631.8</v>
      </c>
      <c r="DG182">
        <v>27557.599999999999</v>
      </c>
      <c r="DH182">
        <v>31199.599999999999</v>
      </c>
      <c r="DI182">
        <v>28119.5</v>
      </c>
      <c r="DJ182">
        <v>37486.699999999997</v>
      </c>
      <c r="DK182">
        <v>38371.800000000003</v>
      </c>
      <c r="DL182">
        <v>44405.5</v>
      </c>
      <c r="DM182">
        <v>42624.9</v>
      </c>
      <c r="DN182">
        <v>1.4862299999999999</v>
      </c>
      <c r="DO182">
        <v>2.0434999999999999</v>
      </c>
      <c r="DP182">
        <v>7.5593599999999997E-2</v>
      </c>
      <c r="DQ182">
        <v>0.20408599999999999</v>
      </c>
      <c r="DR182">
        <v>25.761800000000001</v>
      </c>
      <c r="DS182">
        <v>25.5838</v>
      </c>
      <c r="DT182">
        <v>44.4</v>
      </c>
      <c r="DU182">
        <v>28.8</v>
      </c>
      <c r="DV182">
        <v>17.8324</v>
      </c>
      <c r="DW182">
        <v>61.917999999999999</v>
      </c>
      <c r="DX182">
        <v>37.163499999999999</v>
      </c>
      <c r="DY182">
        <v>1</v>
      </c>
      <c r="DZ182">
        <v>-0.12045500000000001</v>
      </c>
      <c r="EA182">
        <v>-0.34542200000000001</v>
      </c>
      <c r="EB182">
        <v>20.189399999999999</v>
      </c>
      <c r="EC182">
        <v>5.2408000000000001</v>
      </c>
      <c r="ED182">
        <v>12.039899999999999</v>
      </c>
      <c r="EE182">
        <v>5.0170500000000002</v>
      </c>
      <c r="EF182">
        <v>3.2879999999999998</v>
      </c>
      <c r="EG182">
        <v>9999</v>
      </c>
      <c r="EH182">
        <v>9999</v>
      </c>
      <c r="EI182">
        <v>9999</v>
      </c>
      <c r="EJ182">
        <v>999.9</v>
      </c>
      <c r="EK182">
        <v>1.8689</v>
      </c>
      <c r="EL182">
        <v>1.8646199999999999</v>
      </c>
      <c r="EM182">
        <v>1.86913</v>
      </c>
      <c r="EN182">
        <v>1.86721</v>
      </c>
      <c r="EO182">
        <v>1.86337</v>
      </c>
      <c r="EP182">
        <v>1.8644700000000001</v>
      </c>
      <c r="EQ182">
        <v>1.8701399999999999</v>
      </c>
      <c r="ER182">
        <v>1.86937</v>
      </c>
      <c r="ES182">
        <v>0</v>
      </c>
      <c r="ET182">
        <v>0</v>
      </c>
      <c r="EU182">
        <v>0</v>
      </c>
      <c r="EV182">
        <v>0</v>
      </c>
      <c r="EW182" t="s">
        <v>334</v>
      </c>
      <c r="EX182" t="s">
        <v>335</v>
      </c>
      <c r="EY182" t="s">
        <v>336</v>
      </c>
      <c r="EZ182" t="s">
        <v>336</v>
      </c>
      <c r="FA182" t="s">
        <v>336</v>
      </c>
      <c r="FB182" t="s">
        <v>336</v>
      </c>
      <c r="FC182">
        <v>0</v>
      </c>
      <c r="FD182">
        <v>100</v>
      </c>
      <c r="FE182">
        <v>100</v>
      </c>
      <c r="FF182">
        <v>-0.13400000000000001</v>
      </c>
      <c r="FG182">
        <v>0.17199999999999999</v>
      </c>
      <c r="FH182">
        <v>0.2126736300064915</v>
      </c>
      <c r="FI182">
        <v>-6.1462078757559423E-4</v>
      </c>
      <c r="FJ182">
        <v>-1.8861989874597051E-7</v>
      </c>
      <c r="FK182">
        <v>1.1980462299894961E-10</v>
      </c>
      <c r="FL182">
        <v>0.1719881465068297</v>
      </c>
      <c r="FM182">
        <v>0</v>
      </c>
      <c r="FN182">
        <v>0</v>
      </c>
      <c r="FO182">
        <v>0</v>
      </c>
      <c r="FP182">
        <v>3</v>
      </c>
      <c r="FQ182">
        <v>2158</v>
      </c>
      <c r="FR182">
        <v>1</v>
      </c>
      <c r="FS182">
        <v>19</v>
      </c>
      <c r="FT182">
        <v>37</v>
      </c>
      <c r="FU182">
        <v>37.1</v>
      </c>
      <c r="FV182">
        <v>1.7700199999999999</v>
      </c>
      <c r="FW182">
        <v>2.5878899999999998</v>
      </c>
      <c r="FX182">
        <v>1.5490699999999999</v>
      </c>
      <c r="FY182">
        <v>2.3278799999999999</v>
      </c>
      <c r="FZ182">
        <v>1.50146</v>
      </c>
      <c r="GA182">
        <v>2.34863</v>
      </c>
      <c r="GB182">
        <v>33.512999999999998</v>
      </c>
      <c r="GC182">
        <v>23.982399999999998</v>
      </c>
      <c r="GD182">
        <v>19</v>
      </c>
      <c r="GE182">
        <v>285.68200000000002</v>
      </c>
      <c r="GF182">
        <v>585.18200000000002</v>
      </c>
      <c r="GG182">
        <v>25.652100000000001</v>
      </c>
      <c r="GH182">
        <v>25.901399999999999</v>
      </c>
      <c r="GI182">
        <v>30.0001</v>
      </c>
      <c r="GJ182">
        <v>26.018599999999999</v>
      </c>
      <c r="GK182">
        <v>25.998100000000001</v>
      </c>
      <c r="GL182">
        <v>35.385100000000001</v>
      </c>
      <c r="GM182">
        <v>63.074100000000001</v>
      </c>
      <c r="GN182">
        <v>57.123100000000001</v>
      </c>
      <c r="GO182">
        <v>25.6539</v>
      </c>
      <c r="GP182">
        <v>800</v>
      </c>
      <c r="GQ182">
        <v>6.1577200000000003</v>
      </c>
      <c r="GR182">
        <v>99.832599999999999</v>
      </c>
      <c r="GS182">
        <v>99.709400000000002</v>
      </c>
    </row>
    <row r="183" spans="1:201" x14ac:dyDescent="0.25">
      <c r="A183">
        <v>167</v>
      </c>
      <c r="B183">
        <v>1690234235</v>
      </c>
      <c r="C183">
        <v>1728.900000095367</v>
      </c>
      <c r="D183" t="s">
        <v>665</v>
      </c>
      <c r="E183" t="s">
        <v>666</v>
      </c>
      <c r="F183" t="s">
        <v>330</v>
      </c>
      <c r="H183">
        <v>1690234235</v>
      </c>
      <c r="I183">
        <f t="shared" si="60"/>
        <v>1.722542927031059E-3</v>
      </c>
      <c r="J183">
        <f t="shared" si="61"/>
        <v>1.722542927031059</v>
      </c>
      <c r="K183">
        <f t="shared" si="62"/>
        <v>26.135003769162616</v>
      </c>
      <c r="L183">
        <f t="shared" si="63"/>
        <v>508.42099999999999</v>
      </c>
      <c r="M183">
        <f t="shared" si="64"/>
        <v>111.84112045938845</v>
      </c>
      <c r="N183">
        <f t="shared" si="65"/>
        <v>11.082083865388562</v>
      </c>
      <c r="O183">
        <f t="shared" si="66"/>
        <v>50.378287858539998</v>
      </c>
      <c r="P183">
        <f t="shared" si="67"/>
        <v>0.11023916928620506</v>
      </c>
      <c r="Q183">
        <f t="shared" si="68"/>
        <v>2.1312787534122508</v>
      </c>
      <c r="R183">
        <f t="shared" si="69"/>
        <v>0.10716657322842649</v>
      </c>
      <c r="S183">
        <f t="shared" si="70"/>
        <v>6.7248035539036646E-2</v>
      </c>
      <c r="T183">
        <f t="shared" si="71"/>
        <v>276.11262233246504</v>
      </c>
      <c r="U183">
        <f t="shared" si="72"/>
        <v>28.682200674696769</v>
      </c>
      <c r="V183">
        <f t="shared" si="73"/>
        <v>28.682200674696769</v>
      </c>
      <c r="W183">
        <f t="shared" si="74"/>
        <v>3.9484042349266883</v>
      </c>
      <c r="X183">
        <f t="shared" si="75"/>
        <v>66.848606996585474</v>
      </c>
      <c r="Y183">
        <f t="shared" si="76"/>
        <v>2.4067916607299997</v>
      </c>
      <c r="Z183">
        <f t="shared" si="77"/>
        <v>3.6003617260909189</v>
      </c>
      <c r="AA183">
        <f t="shared" si="78"/>
        <v>1.5416125741966886</v>
      </c>
      <c r="AB183">
        <f t="shared" si="79"/>
        <v>-75.964143082069697</v>
      </c>
      <c r="AC183">
        <f t="shared" si="80"/>
        <v>-181.72829016717611</v>
      </c>
      <c r="AD183">
        <f t="shared" si="81"/>
        <v>-18.566319471819337</v>
      </c>
      <c r="AE183">
        <f t="shared" si="82"/>
        <v>-0.14613038860011329</v>
      </c>
      <c r="AF183">
        <v>0</v>
      </c>
      <c r="AG183">
        <v>0</v>
      </c>
      <c r="AH183">
        <f t="shared" si="83"/>
        <v>1</v>
      </c>
      <c r="AI183">
        <f t="shared" si="84"/>
        <v>0</v>
      </c>
      <c r="AJ183">
        <f t="shared" si="85"/>
        <v>52387.123320685809</v>
      </c>
      <c r="AK183">
        <f t="shared" si="86"/>
        <v>1799.99</v>
      </c>
      <c r="AL183">
        <f t="shared" si="87"/>
        <v>1499.1027266052497</v>
      </c>
      <c r="AM183">
        <f t="shared" si="88"/>
        <v>0.83283947499999988</v>
      </c>
      <c r="AN183">
        <f t="shared" si="89"/>
        <v>0.15339675350000001</v>
      </c>
      <c r="AO183">
        <v>32.4</v>
      </c>
      <c r="AP183">
        <v>0.5</v>
      </c>
      <c r="AQ183" t="s">
        <v>331</v>
      </c>
      <c r="AR183">
        <v>2</v>
      </c>
      <c r="AS183">
        <v>1690234235</v>
      </c>
      <c r="AT183">
        <v>508.42099999999999</v>
      </c>
      <c r="AU183">
        <v>800.048</v>
      </c>
      <c r="AV183">
        <v>24.2895</v>
      </c>
      <c r="AW183">
        <v>6.1434699999999998</v>
      </c>
      <c r="AX183">
        <v>508.55399999999997</v>
      </c>
      <c r="AY183">
        <v>24.1175</v>
      </c>
      <c r="AZ183">
        <v>300.09199999999998</v>
      </c>
      <c r="BA183">
        <v>98.987799999999993</v>
      </c>
      <c r="BB183">
        <v>9.9940000000000001E-2</v>
      </c>
      <c r="BC183">
        <v>27.1006</v>
      </c>
      <c r="BD183">
        <v>26.991399999999999</v>
      </c>
      <c r="BE183">
        <v>28.884499999999999</v>
      </c>
      <c r="BF183">
        <v>0</v>
      </c>
      <c r="BG183">
        <v>0</v>
      </c>
      <c r="BH183">
        <v>10012.5</v>
      </c>
      <c r="BI183">
        <v>1081.71</v>
      </c>
      <c r="BJ183">
        <v>1.4577199999999999</v>
      </c>
      <c r="BK183">
        <v>-291.62700000000001</v>
      </c>
      <c r="BL183">
        <v>521.07799999999997</v>
      </c>
      <c r="BM183">
        <v>804.99300000000005</v>
      </c>
      <c r="BN183">
        <v>18.146000000000001</v>
      </c>
      <c r="BO183">
        <v>800.048</v>
      </c>
      <c r="BP183">
        <v>6.1434699999999998</v>
      </c>
      <c r="BQ183">
        <v>2.4043600000000001</v>
      </c>
      <c r="BR183">
        <v>0.60812900000000003</v>
      </c>
      <c r="BS183">
        <v>20.3932</v>
      </c>
      <c r="BT183">
        <v>-0.124374</v>
      </c>
      <c r="BU183">
        <v>1799.99</v>
      </c>
      <c r="BV183">
        <v>0.91001299999999996</v>
      </c>
      <c r="BW183">
        <v>3.4008400000000001E-2</v>
      </c>
      <c r="BX183">
        <v>2.1992500000000002E-2</v>
      </c>
      <c r="BY183">
        <v>3.3985599999999998E-2</v>
      </c>
      <c r="BZ183">
        <v>25</v>
      </c>
      <c r="CA183">
        <v>33528.300000000003</v>
      </c>
      <c r="CB183">
        <v>1690232006</v>
      </c>
      <c r="CC183" t="s">
        <v>332</v>
      </c>
      <c r="CD183">
        <v>1690232006</v>
      </c>
      <c r="CE183">
        <v>1690231998.5</v>
      </c>
      <c r="CF183">
        <v>14</v>
      </c>
      <c r="CG183">
        <v>-0.13200000000000001</v>
      </c>
      <c r="CH183">
        <v>-7.0000000000000001E-3</v>
      </c>
      <c r="CI183">
        <v>-0.33800000000000002</v>
      </c>
      <c r="CJ183">
        <v>0.14299999999999999</v>
      </c>
      <c r="CK183">
        <v>799</v>
      </c>
      <c r="CL183">
        <v>19</v>
      </c>
      <c r="CM183">
        <v>7.0000000000000007E-2</v>
      </c>
      <c r="CN183">
        <v>0.14000000000000001</v>
      </c>
      <c r="CO183">
        <v>-290.6831219512195</v>
      </c>
      <c r="CP183">
        <v>-5.3342299651562364</v>
      </c>
      <c r="CQ183">
        <v>0.53184851112552634</v>
      </c>
      <c r="CR183">
        <v>-1</v>
      </c>
      <c r="CS183">
        <v>18.071860975609759</v>
      </c>
      <c r="CT183">
        <v>0.52825505226480629</v>
      </c>
      <c r="CU183">
        <v>5.3647812121182067E-2</v>
      </c>
      <c r="CV183">
        <v>-1</v>
      </c>
      <c r="CW183">
        <v>0</v>
      </c>
      <c r="CX183">
        <v>0</v>
      </c>
      <c r="CY183" t="s">
        <v>333</v>
      </c>
      <c r="CZ183">
        <v>2.3646799999999999</v>
      </c>
      <c r="DA183">
        <v>2.71374</v>
      </c>
      <c r="DB183">
        <v>0.10702100000000001</v>
      </c>
      <c r="DC183">
        <v>0.14607800000000001</v>
      </c>
      <c r="DD183">
        <v>0.114911</v>
      </c>
      <c r="DE183">
        <v>4.0221199999999999E-2</v>
      </c>
      <c r="DF183">
        <v>32636.5</v>
      </c>
      <c r="DG183">
        <v>27557.8</v>
      </c>
      <c r="DH183">
        <v>31199.7</v>
      </c>
      <c r="DI183">
        <v>28119.599999999999</v>
      </c>
      <c r="DJ183">
        <v>37489.9</v>
      </c>
      <c r="DK183">
        <v>38385.4</v>
      </c>
      <c r="DL183">
        <v>44405.599999999999</v>
      </c>
      <c r="DM183">
        <v>42625</v>
      </c>
      <c r="DN183">
        <v>1.4861500000000001</v>
      </c>
      <c r="DO183">
        <v>2.0434700000000001</v>
      </c>
      <c r="DP183">
        <v>7.4975200000000006E-2</v>
      </c>
      <c r="DQ183">
        <v>0.201873</v>
      </c>
      <c r="DR183">
        <v>25.763999999999999</v>
      </c>
      <c r="DS183">
        <v>25.584299999999999</v>
      </c>
      <c r="DT183">
        <v>44.1</v>
      </c>
      <c r="DU183">
        <v>28.8</v>
      </c>
      <c r="DV183">
        <v>17.712599999999998</v>
      </c>
      <c r="DW183">
        <v>61.607999999999997</v>
      </c>
      <c r="DX183">
        <v>36.850999999999999</v>
      </c>
      <c r="DY183">
        <v>1</v>
      </c>
      <c r="DZ183">
        <v>-0.12045500000000001</v>
      </c>
      <c r="EA183">
        <v>-0.41674299999999997</v>
      </c>
      <c r="EB183">
        <v>20.189299999999999</v>
      </c>
      <c r="EC183">
        <v>5.2409499999999998</v>
      </c>
      <c r="ED183">
        <v>12.039899999999999</v>
      </c>
      <c r="EE183">
        <v>5.01715</v>
      </c>
      <c r="EF183">
        <v>3.2879999999999998</v>
      </c>
      <c r="EG183">
        <v>9999</v>
      </c>
      <c r="EH183">
        <v>9999</v>
      </c>
      <c r="EI183">
        <v>9999</v>
      </c>
      <c r="EJ183">
        <v>999.9</v>
      </c>
      <c r="EK183">
        <v>1.8689</v>
      </c>
      <c r="EL183">
        <v>1.8646100000000001</v>
      </c>
      <c r="EM183">
        <v>1.86913</v>
      </c>
      <c r="EN183">
        <v>1.8672200000000001</v>
      </c>
      <c r="EO183">
        <v>1.86338</v>
      </c>
      <c r="EP183">
        <v>1.8644700000000001</v>
      </c>
      <c r="EQ183">
        <v>1.8701399999999999</v>
      </c>
      <c r="ER183">
        <v>1.86937</v>
      </c>
      <c r="ES183">
        <v>0</v>
      </c>
      <c r="ET183">
        <v>0</v>
      </c>
      <c r="EU183">
        <v>0</v>
      </c>
      <c r="EV183">
        <v>0</v>
      </c>
      <c r="EW183" t="s">
        <v>334</v>
      </c>
      <c r="EX183" t="s">
        <v>335</v>
      </c>
      <c r="EY183" t="s">
        <v>336</v>
      </c>
      <c r="EZ183" t="s">
        <v>336</v>
      </c>
      <c r="FA183" t="s">
        <v>336</v>
      </c>
      <c r="FB183" t="s">
        <v>336</v>
      </c>
      <c r="FC183">
        <v>0</v>
      </c>
      <c r="FD183">
        <v>100</v>
      </c>
      <c r="FE183">
        <v>100</v>
      </c>
      <c r="FF183">
        <v>-0.13300000000000001</v>
      </c>
      <c r="FG183">
        <v>0.17199999999999999</v>
      </c>
      <c r="FH183">
        <v>0.2126736300064915</v>
      </c>
      <c r="FI183">
        <v>-6.1462078757559423E-4</v>
      </c>
      <c r="FJ183">
        <v>-1.8861989874597051E-7</v>
      </c>
      <c r="FK183">
        <v>1.1980462299894961E-10</v>
      </c>
      <c r="FL183">
        <v>0.1719881465068297</v>
      </c>
      <c r="FM183">
        <v>0</v>
      </c>
      <c r="FN183">
        <v>0</v>
      </c>
      <c r="FO183">
        <v>0</v>
      </c>
      <c r="FP183">
        <v>3</v>
      </c>
      <c r="FQ183">
        <v>2158</v>
      </c>
      <c r="FR183">
        <v>1</v>
      </c>
      <c r="FS183">
        <v>19</v>
      </c>
      <c r="FT183">
        <v>37.1</v>
      </c>
      <c r="FU183">
        <v>37.299999999999997</v>
      </c>
      <c r="FV183">
        <v>1.7700199999999999</v>
      </c>
      <c r="FW183">
        <v>2.5891099999999998</v>
      </c>
      <c r="FX183">
        <v>1.5490699999999999</v>
      </c>
      <c r="FY183">
        <v>2.3278799999999999</v>
      </c>
      <c r="FZ183">
        <v>1.50146</v>
      </c>
      <c r="GA183">
        <v>2.2766099999999998</v>
      </c>
      <c r="GB183">
        <v>33.512999999999998</v>
      </c>
      <c r="GC183">
        <v>23.982399999999998</v>
      </c>
      <c r="GD183">
        <v>19</v>
      </c>
      <c r="GE183">
        <v>285.649</v>
      </c>
      <c r="GF183">
        <v>585.13599999999997</v>
      </c>
      <c r="GG183">
        <v>25.643799999999999</v>
      </c>
      <c r="GH183">
        <v>25.901399999999999</v>
      </c>
      <c r="GI183">
        <v>30.0001</v>
      </c>
      <c r="GJ183">
        <v>26.018599999999999</v>
      </c>
      <c r="GK183">
        <v>25.995899999999999</v>
      </c>
      <c r="GL183">
        <v>35.384</v>
      </c>
      <c r="GM183">
        <v>63.074100000000001</v>
      </c>
      <c r="GN183">
        <v>56.347999999999999</v>
      </c>
      <c r="GO183">
        <v>25.649699999999999</v>
      </c>
      <c r="GP183">
        <v>800</v>
      </c>
      <c r="GQ183">
        <v>6.0744300000000004</v>
      </c>
      <c r="GR183">
        <v>99.832999999999998</v>
      </c>
      <c r="GS183">
        <v>99.709699999999998</v>
      </c>
    </row>
    <row r="184" spans="1:201" x14ac:dyDescent="0.25">
      <c r="A184">
        <v>168</v>
      </c>
      <c r="B184">
        <v>1690234245</v>
      </c>
      <c r="C184">
        <v>1738.900000095367</v>
      </c>
      <c r="D184" t="s">
        <v>667</v>
      </c>
      <c r="E184" t="s">
        <v>668</v>
      </c>
      <c r="F184" t="s">
        <v>330</v>
      </c>
      <c r="H184">
        <v>1690234245</v>
      </c>
      <c r="I184">
        <f t="shared" si="60"/>
        <v>1.7306266681229156E-3</v>
      </c>
      <c r="J184">
        <f t="shared" si="61"/>
        <v>1.7306266681229157</v>
      </c>
      <c r="K184">
        <f t="shared" si="62"/>
        <v>26.207479116759703</v>
      </c>
      <c r="L184">
        <f t="shared" si="63"/>
        <v>507.51</v>
      </c>
      <c r="M184">
        <f t="shared" si="64"/>
        <v>110.88200882259426</v>
      </c>
      <c r="N184">
        <f t="shared" si="65"/>
        <v>10.987047660890926</v>
      </c>
      <c r="O184">
        <f t="shared" si="66"/>
        <v>50.28801892740001</v>
      </c>
      <c r="P184">
        <f t="shared" si="67"/>
        <v>0.11054388005369321</v>
      </c>
      <c r="Q184">
        <f t="shared" si="68"/>
        <v>2.1252234104047782</v>
      </c>
      <c r="R184">
        <f t="shared" si="69"/>
        <v>0.10744599416750006</v>
      </c>
      <c r="S184">
        <f t="shared" si="70"/>
        <v>6.7424847873909594E-2</v>
      </c>
      <c r="T184">
        <f t="shared" si="71"/>
        <v>276.11440687800001</v>
      </c>
      <c r="U184">
        <f t="shared" si="72"/>
        <v>28.692767495303183</v>
      </c>
      <c r="V184">
        <f t="shared" si="73"/>
        <v>28.692767495303183</v>
      </c>
      <c r="W184">
        <f t="shared" si="74"/>
        <v>3.9508248444340217</v>
      </c>
      <c r="X184">
        <f t="shared" si="75"/>
        <v>66.790676963969759</v>
      </c>
      <c r="Y184">
        <f t="shared" si="76"/>
        <v>2.4060187763580001</v>
      </c>
      <c r="Z184">
        <f t="shared" si="77"/>
        <v>3.6023272793835095</v>
      </c>
      <c r="AA184">
        <f t="shared" si="78"/>
        <v>1.5448060680760216</v>
      </c>
      <c r="AB184">
        <f t="shared" si="79"/>
        <v>-76.320636064220579</v>
      </c>
      <c r="AC184">
        <f t="shared" si="80"/>
        <v>-181.35711371472379</v>
      </c>
      <c r="AD184">
        <f t="shared" si="81"/>
        <v>-18.583031141945636</v>
      </c>
      <c r="AE184">
        <f t="shared" si="82"/>
        <v>-0.14637404289001665</v>
      </c>
      <c r="AF184">
        <v>0</v>
      </c>
      <c r="AG184">
        <v>0</v>
      </c>
      <c r="AH184">
        <f t="shared" si="83"/>
        <v>1</v>
      </c>
      <c r="AI184">
        <f t="shared" si="84"/>
        <v>0</v>
      </c>
      <c r="AJ184">
        <f t="shared" si="85"/>
        <v>52124.989378935919</v>
      </c>
      <c r="AK184">
        <f t="shared" si="86"/>
        <v>1800</v>
      </c>
      <c r="AL184">
        <f t="shared" si="87"/>
        <v>1499.1119388</v>
      </c>
      <c r="AM184">
        <f t="shared" si="88"/>
        <v>0.83283996599999999</v>
      </c>
      <c r="AN184">
        <f t="shared" si="89"/>
        <v>0.15339689271000001</v>
      </c>
      <c r="AO184">
        <v>32.4</v>
      </c>
      <c r="AP184">
        <v>0.5</v>
      </c>
      <c r="AQ184" t="s">
        <v>331</v>
      </c>
      <c r="AR184">
        <v>2</v>
      </c>
      <c r="AS184">
        <v>1690234245</v>
      </c>
      <c r="AT184">
        <v>507.51</v>
      </c>
      <c r="AU184">
        <v>799.90300000000002</v>
      </c>
      <c r="AV184">
        <v>24.281700000000001</v>
      </c>
      <c r="AW184">
        <v>6.0530999999999997</v>
      </c>
      <c r="AX184">
        <v>507.642</v>
      </c>
      <c r="AY184">
        <v>24.1097</v>
      </c>
      <c r="AZ184">
        <v>300.137</v>
      </c>
      <c r="BA184">
        <v>98.987700000000004</v>
      </c>
      <c r="BB184">
        <v>0.10004</v>
      </c>
      <c r="BC184">
        <v>27.1099</v>
      </c>
      <c r="BD184">
        <v>26.993600000000001</v>
      </c>
      <c r="BE184">
        <v>28.8687</v>
      </c>
      <c r="BF184">
        <v>0</v>
      </c>
      <c r="BG184">
        <v>0</v>
      </c>
      <c r="BH184">
        <v>9960.6200000000008</v>
      </c>
      <c r="BI184">
        <v>1081.6500000000001</v>
      </c>
      <c r="BJ184">
        <v>1.4577199999999999</v>
      </c>
      <c r="BK184">
        <v>-292.39400000000001</v>
      </c>
      <c r="BL184">
        <v>520.14</v>
      </c>
      <c r="BM184">
        <v>804.77499999999998</v>
      </c>
      <c r="BN184">
        <v>18.2286</v>
      </c>
      <c r="BO184">
        <v>799.90300000000002</v>
      </c>
      <c r="BP184">
        <v>6.0530999999999997</v>
      </c>
      <c r="BQ184">
        <v>2.4035899999999999</v>
      </c>
      <c r="BR184">
        <v>0.59918199999999999</v>
      </c>
      <c r="BS184">
        <v>20.388000000000002</v>
      </c>
      <c r="BT184">
        <v>-0.32804100000000003</v>
      </c>
      <c r="BU184">
        <v>1800</v>
      </c>
      <c r="BV184">
        <v>0.91001100000000001</v>
      </c>
      <c r="BW184">
        <v>3.4007999999999997E-2</v>
      </c>
      <c r="BX184">
        <v>2.1992299999999999E-2</v>
      </c>
      <c r="BY184">
        <v>3.3989100000000001E-2</v>
      </c>
      <c r="BZ184">
        <v>25</v>
      </c>
      <c r="CA184">
        <v>33528.5</v>
      </c>
      <c r="CB184">
        <v>1690232006</v>
      </c>
      <c r="CC184" t="s">
        <v>332</v>
      </c>
      <c r="CD184">
        <v>1690232006</v>
      </c>
      <c r="CE184">
        <v>1690231998.5</v>
      </c>
      <c r="CF184">
        <v>14</v>
      </c>
      <c r="CG184">
        <v>-0.13200000000000001</v>
      </c>
      <c r="CH184">
        <v>-7.0000000000000001E-3</v>
      </c>
      <c r="CI184">
        <v>-0.33800000000000002</v>
      </c>
      <c r="CJ184">
        <v>0.14299999999999999</v>
      </c>
      <c r="CK184">
        <v>799</v>
      </c>
      <c r="CL184">
        <v>19</v>
      </c>
      <c r="CM184">
        <v>7.0000000000000007E-2</v>
      </c>
      <c r="CN184">
        <v>0.14000000000000001</v>
      </c>
      <c r="CO184">
        <v>-291.50570731707307</v>
      </c>
      <c r="CP184">
        <v>-4.5759930313593236</v>
      </c>
      <c r="CQ184">
        <v>0.45746460579613518</v>
      </c>
      <c r="CR184">
        <v>-1</v>
      </c>
      <c r="CS184">
        <v>18.140668292682921</v>
      </c>
      <c r="CT184">
        <v>0.25677491289195781</v>
      </c>
      <c r="CU184">
        <v>2.5483370369277121E-2</v>
      </c>
      <c r="CV184">
        <v>-1</v>
      </c>
      <c r="CW184">
        <v>0</v>
      </c>
      <c r="CX184">
        <v>0</v>
      </c>
      <c r="CY184" t="s">
        <v>333</v>
      </c>
      <c r="CZ184">
        <v>2.3648400000000001</v>
      </c>
      <c r="DA184">
        <v>2.7138</v>
      </c>
      <c r="DB184">
        <v>0.106882</v>
      </c>
      <c r="DC184">
        <v>0.14605899999999999</v>
      </c>
      <c r="DD184">
        <v>0.114886</v>
      </c>
      <c r="DE184">
        <v>3.9738200000000001E-2</v>
      </c>
      <c r="DF184">
        <v>32641.200000000001</v>
      </c>
      <c r="DG184">
        <v>27558.5</v>
      </c>
      <c r="DH184">
        <v>31199.4</v>
      </c>
      <c r="DI184">
        <v>28119.7</v>
      </c>
      <c r="DJ184">
        <v>37490.800000000003</v>
      </c>
      <c r="DK184">
        <v>38404.9</v>
      </c>
      <c r="DL184">
        <v>44405.3</v>
      </c>
      <c r="DM184">
        <v>42625.1</v>
      </c>
      <c r="DN184">
        <v>1.48682</v>
      </c>
      <c r="DO184">
        <v>2.04325</v>
      </c>
      <c r="DP184">
        <v>7.5243400000000002E-2</v>
      </c>
      <c r="DQ184">
        <v>0.200905</v>
      </c>
      <c r="DR184">
        <v>25.761800000000001</v>
      </c>
      <c r="DS184">
        <v>25.584299999999999</v>
      </c>
      <c r="DT184">
        <v>43.9</v>
      </c>
      <c r="DU184">
        <v>28.8</v>
      </c>
      <c r="DV184">
        <v>17.633099999999999</v>
      </c>
      <c r="DW184">
        <v>61.838000000000001</v>
      </c>
      <c r="DX184">
        <v>36.698700000000002</v>
      </c>
      <c r="DY184">
        <v>1</v>
      </c>
      <c r="DZ184">
        <v>-0.12023399999999999</v>
      </c>
      <c r="EA184">
        <v>-0.45049600000000001</v>
      </c>
      <c r="EB184">
        <v>20.189</v>
      </c>
      <c r="EC184">
        <v>5.2411000000000003</v>
      </c>
      <c r="ED184">
        <v>12.039899999999999</v>
      </c>
      <c r="EE184">
        <v>5.0172999999999996</v>
      </c>
      <c r="EF184">
        <v>3.2879999999999998</v>
      </c>
      <c r="EG184">
        <v>9999</v>
      </c>
      <c r="EH184">
        <v>9999</v>
      </c>
      <c r="EI184">
        <v>9999</v>
      </c>
      <c r="EJ184">
        <v>999.9</v>
      </c>
      <c r="EK184">
        <v>1.8689</v>
      </c>
      <c r="EL184">
        <v>1.8646100000000001</v>
      </c>
      <c r="EM184">
        <v>1.86917</v>
      </c>
      <c r="EN184">
        <v>1.8672200000000001</v>
      </c>
      <c r="EO184">
        <v>1.86338</v>
      </c>
      <c r="EP184">
        <v>1.8644700000000001</v>
      </c>
      <c r="EQ184">
        <v>1.8701300000000001</v>
      </c>
      <c r="ER184">
        <v>1.86937</v>
      </c>
      <c r="ES184">
        <v>0</v>
      </c>
      <c r="ET184">
        <v>0</v>
      </c>
      <c r="EU184">
        <v>0</v>
      </c>
      <c r="EV184">
        <v>0</v>
      </c>
      <c r="EW184" t="s">
        <v>334</v>
      </c>
      <c r="EX184" t="s">
        <v>335</v>
      </c>
      <c r="EY184" t="s">
        <v>336</v>
      </c>
      <c r="EZ184" t="s">
        <v>336</v>
      </c>
      <c r="FA184" t="s">
        <v>336</v>
      </c>
      <c r="FB184" t="s">
        <v>336</v>
      </c>
      <c r="FC184">
        <v>0</v>
      </c>
      <c r="FD184">
        <v>100</v>
      </c>
      <c r="FE184">
        <v>100</v>
      </c>
      <c r="FF184">
        <v>-0.13200000000000001</v>
      </c>
      <c r="FG184">
        <v>0.17199999999999999</v>
      </c>
      <c r="FH184">
        <v>0.2126736300064915</v>
      </c>
      <c r="FI184">
        <v>-6.1462078757559423E-4</v>
      </c>
      <c r="FJ184">
        <v>-1.8861989874597051E-7</v>
      </c>
      <c r="FK184">
        <v>1.1980462299894961E-10</v>
      </c>
      <c r="FL184">
        <v>0.1719881465068297</v>
      </c>
      <c r="FM184">
        <v>0</v>
      </c>
      <c r="FN184">
        <v>0</v>
      </c>
      <c r="FO184">
        <v>0</v>
      </c>
      <c r="FP184">
        <v>3</v>
      </c>
      <c r="FQ184">
        <v>2158</v>
      </c>
      <c r="FR184">
        <v>1</v>
      </c>
      <c r="FS184">
        <v>19</v>
      </c>
      <c r="FT184">
        <v>37.299999999999997</v>
      </c>
      <c r="FU184">
        <v>37.4</v>
      </c>
      <c r="FV184">
        <v>1.7700199999999999</v>
      </c>
      <c r="FW184">
        <v>2.5842299999999998</v>
      </c>
      <c r="FX184">
        <v>1.5490699999999999</v>
      </c>
      <c r="FY184">
        <v>2.3278799999999999</v>
      </c>
      <c r="FZ184">
        <v>1.50146</v>
      </c>
      <c r="GA184">
        <v>2.3913600000000002</v>
      </c>
      <c r="GB184">
        <v>33.512999999999998</v>
      </c>
      <c r="GC184">
        <v>23.991199999999999</v>
      </c>
      <c r="GD184">
        <v>19</v>
      </c>
      <c r="GE184">
        <v>285.92899999999997</v>
      </c>
      <c r="GF184">
        <v>584.95000000000005</v>
      </c>
      <c r="GG184">
        <v>25.660399999999999</v>
      </c>
      <c r="GH184">
        <v>25.901399999999999</v>
      </c>
      <c r="GI184">
        <v>30.0001</v>
      </c>
      <c r="GJ184">
        <v>26.016500000000001</v>
      </c>
      <c r="GK184">
        <v>25.995899999999999</v>
      </c>
      <c r="GL184">
        <v>35.380800000000001</v>
      </c>
      <c r="GM184">
        <v>63.366700000000002</v>
      </c>
      <c r="GN184">
        <v>55.571599999999997</v>
      </c>
      <c r="GO184">
        <v>25.6616</v>
      </c>
      <c r="GP184">
        <v>800</v>
      </c>
      <c r="GQ184">
        <v>5.9773399999999999</v>
      </c>
      <c r="GR184">
        <v>99.832099999999997</v>
      </c>
      <c r="GS184">
        <v>99.71</v>
      </c>
    </row>
    <row r="185" spans="1:201" x14ac:dyDescent="0.25">
      <c r="A185">
        <v>169</v>
      </c>
      <c r="B185">
        <v>1690234255</v>
      </c>
      <c r="C185">
        <v>1748.900000095367</v>
      </c>
      <c r="D185" t="s">
        <v>669</v>
      </c>
      <c r="E185" t="s">
        <v>670</v>
      </c>
      <c r="F185" t="s">
        <v>330</v>
      </c>
      <c r="H185">
        <v>1690234255</v>
      </c>
      <c r="I185">
        <f t="shared" si="60"/>
        <v>1.7383413816383314E-3</v>
      </c>
      <c r="J185">
        <f t="shared" si="61"/>
        <v>1.7383413816383315</v>
      </c>
      <c r="K185">
        <f t="shared" si="62"/>
        <v>26.279364084218955</v>
      </c>
      <c r="L185">
        <f t="shared" si="63"/>
        <v>506.82900000000001</v>
      </c>
      <c r="M185">
        <f t="shared" si="64"/>
        <v>110.97657133204768</v>
      </c>
      <c r="N185">
        <f t="shared" si="65"/>
        <v>10.99658821723153</v>
      </c>
      <c r="O185">
        <f t="shared" si="66"/>
        <v>50.221319172632995</v>
      </c>
      <c r="P185">
        <f t="shared" si="67"/>
        <v>0.11107067338869082</v>
      </c>
      <c r="Q185">
        <f t="shared" si="68"/>
        <v>2.1315874295478685</v>
      </c>
      <c r="R185">
        <f t="shared" si="69"/>
        <v>0.10795269486183304</v>
      </c>
      <c r="S185">
        <f t="shared" si="70"/>
        <v>6.7743281681213491E-2</v>
      </c>
      <c r="T185">
        <f t="shared" si="71"/>
        <v>276.11438025599995</v>
      </c>
      <c r="U185">
        <f t="shared" si="72"/>
        <v>28.684889641657428</v>
      </c>
      <c r="V185">
        <f t="shared" si="73"/>
        <v>28.684889641657428</v>
      </c>
      <c r="W185">
        <f t="shared" si="74"/>
        <v>3.9490200911453575</v>
      </c>
      <c r="X185">
        <f t="shared" si="75"/>
        <v>66.753702967975514</v>
      </c>
      <c r="Y185">
        <f t="shared" si="76"/>
        <v>2.4045598492482001</v>
      </c>
      <c r="Z185">
        <f t="shared" si="77"/>
        <v>3.6021370236221442</v>
      </c>
      <c r="AA185">
        <f t="shared" si="78"/>
        <v>1.5444602418971574</v>
      </c>
      <c r="AB185">
        <f t="shared" si="79"/>
        <v>-76.660854930250409</v>
      </c>
      <c r="AC185">
        <f t="shared" si="80"/>
        <v>-181.09830883118485</v>
      </c>
      <c r="AD185">
        <f t="shared" si="81"/>
        <v>-18.500299726762179</v>
      </c>
      <c r="AE185">
        <f t="shared" si="82"/>
        <v>-0.14508323219752128</v>
      </c>
      <c r="AF185">
        <v>0</v>
      </c>
      <c r="AG185">
        <v>0</v>
      </c>
      <c r="AH185">
        <f t="shared" si="83"/>
        <v>1</v>
      </c>
      <c r="AI185">
        <f t="shared" si="84"/>
        <v>0</v>
      </c>
      <c r="AJ185">
        <f t="shared" si="85"/>
        <v>52398.992079032381</v>
      </c>
      <c r="AK185">
        <f t="shared" si="86"/>
        <v>1800</v>
      </c>
      <c r="AL185">
        <f t="shared" si="87"/>
        <v>1499.1097626000001</v>
      </c>
      <c r="AM185">
        <f t="shared" si="88"/>
        <v>0.83283875699999999</v>
      </c>
      <c r="AN185">
        <f t="shared" si="89"/>
        <v>0.15339687791999998</v>
      </c>
      <c r="AO185">
        <v>32.4</v>
      </c>
      <c r="AP185">
        <v>0.5</v>
      </c>
      <c r="AQ185" t="s">
        <v>331</v>
      </c>
      <c r="AR185">
        <v>2</v>
      </c>
      <c r="AS185">
        <v>1690234255</v>
      </c>
      <c r="AT185">
        <v>506.82900000000001</v>
      </c>
      <c r="AU185">
        <v>800.00599999999997</v>
      </c>
      <c r="AV185">
        <v>24.2666</v>
      </c>
      <c r="AW185">
        <v>5.9577999999999998</v>
      </c>
      <c r="AX185">
        <v>506.96</v>
      </c>
      <c r="AY185">
        <v>24.0946</v>
      </c>
      <c r="AZ185">
        <v>300.15899999999999</v>
      </c>
      <c r="BA185">
        <v>98.9893</v>
      </c>
      <c r="BB185">
        <v>9.9976999999999996E-2</v>
      </c>
      <c r="BC185">
        <v>27.109000000000002</v>
      </c>
      <c r="BD185">
        <v>26.982099999999999</v>
      </c>
      <c r="BE185">
        <v>28.8766</v>
      </c>
      <c r="BF185">
        <v>0</v>
      </c>
      <c r="BG185">
        <v>0</v>
      </c>
      <c r="BH185">
        <v>10015</v>
      </c>
      <c r="BI185">
        <v>1081.57</v>
      </c>
      <c r="BJ185">
        <v>1.4577199999999999</v>
      </c>
      <c r="BK185">
        <v>-293.17700000000002</v>
      </c>
      <c r="BL185">
        <v>519.43399999999997</v>
      </c>
      <c r="BM185">
        <v>804.80100000000004</v>
      </c>
      <c r="BN185">
        <v>18.308800000000002</v>
      </c>
      <c r="BO185">
        <v>800.00599999999997</v>
      </c>
      <c r="BP185">
        <v>5.9577999999999998</v>
      </c>
      <c r="BQ185">
        <v>2.4021300000000001</v>
      </c>
      <c r="BR185">
        <v>0.58975900000000003</v>
      </c>
      <c r="BS185">
        <v>20.3781</v>
      </c>
      <c r="BT185">
        <v>-0.54551300000000003</v>
      </c>
      <c r="BU185">
        <v>1800</v>
      </c>
      <c r="BV185">
        <v>0.91000099999999995</v>
      </c>
      <c r="BW185">
        <v>3.4007700000000002E-2</v>
      </c>
      <c r="BX185">
        <v>2.1992100000000001E-2</v>
      </c>
      <c r="BY185">
        <v>3.39992E-2</v>
      </c>
      <c r="BZ185">
        <v>25</v>
      </c>
      <c r="CA185">
        <v>33528.400000000001</v>
      </c>
      <c r="CB185">
        <v>1690232006</v>
      </c>
      <c r="CC185" t="s">
        <v>332</v>
      </c>
      <c r="CD185">
        <v>1690232006</v>
      </c>
      <c r="CE185">
        <v>1690231998.5</v>
      </c>
      <c r="CF185">
        <v>14</v>
      </c>
      <c r="CG185">
        <v>-0.13200000000000001</v>
      </c>
      <c r="CH185">
        <v>-7.0000000000000001E-3</v>
      </c>
      <c r="CI185">
        <v>-0.33800000000000002</v>
      </c>
      <c r="CJ185">
        <v>0.14299999999999999</v>
      </c>
      <c r="CK185">
        <v>799</v>
      </c>
      <c r="CL185">
        <v>19</v>
      </c>
      <c r="CM185">
        <v>7.0000000000000007E-2</v>
      </c>
      <c r="CN185">
        <v>0.14000000000000001</v>
      </c>
      <c r="CO185">
        <v>-292.36107500000003</v>
      </c>
      <c r="CP185">
        <v>-5.0513358348958661</v>
      </c>
      <c r="CQ185">
        <v>0.49282914826032459</v>
      </c>
      <c r="CR185">
        <v>-1</v>
      </c>
      <c r="CS185">
        <v>18.220537499999999</v>
      </c>
      <c r="CT185">
        <v>0.59446041275794448</v>
      </c>
      <c r="CU185">
        <v>5.8648370341809267E-2</v>
      </c>
      <c r="CV185">
        <v>-1</v>
      </c>
      <c r="CW185">
        <v>0</v>
      </c>
      <c r="CX185">
        <v>0</v>
      </c>
      <c r="CY185" t="s">
        <v>333</v>
      </c>
      <c r="CZ185">
        <v>2.3648899999999999</v>
      </c>
      <c r="DA185">
        <v>2.7137799999999999</v>
      </c>
      <c r="DB185">
        <v>0.106779</v>
      </c>
      <c r="DC185">
        <v>0.14607200000000001</v>
      </c>
      <c r="DD185">
        <v>0.11483699999999999</v>
      </c>
      <c r="DE185">
        <v>3.9227400000000003E-2</v>
      </c>
      <c r="DF185">
        <v>32645.8</v>
      </c>
      <c r="DG185">
        <v>27558.2</v>
      </c>
      <c r="DH185">
        <v>31200.2</v>
      </c>
      <c r="DI185">
        <v>28119.8</v>
      </c>
      <c r="DJ185">
        <v>37493.800000000003</v>
      </c>
      <c r="DK185">
        <v>38425.599999999999</v>
      </c>
      <c r="DL185">
        <v>44406.5</v>
      </c>
      <c r="DM185">
        <v>42625.4</v>
      </c>
      <c r="DN185">
        <v>1.48668</v>
      </c>
      <c r="DO185">
        <v>2.0430000000000001</v>
      </c>
      <c r="DP185">
        <v>7.4677199999999999E-2</v>
      </c>
      <c r="DQ185">
        <v>0.20138900000000001</v>
      </c>
      <c r="DR185">
        <v>25.759599999999999</v>
      </c>
      <c r="DS185">
        <v>25.584299999999999</v>
      </c>
      <c r="DT185">
        <v>43.6</v>
      </c>
      <c r="DU185">
        <v>28.8</v>
      </c>
      <c r="DV185">
        <v>17.506900000000002</v>
      </c>
      <c r="DW185">
        <v>61.258000000000003</v>
      </c>
      <c r="DX185">
        <v>37.123399999999997</v>
      </c>
      <c r="DY185">
        <v>1</v>
      </c>
      <c r="DZ185">
        <v>-0.12052599999999999</v>
      </c>
      <c r="EA185">
        <v>-0.48104599999999997</v>
      </c>
      <c r="EB185">
        <v>20.188800000000001</v>
      </c>
      <c r="EC185">
        <v>5.2409499999999998</v>
      </c>
      <c r="ED185">
        <v>12.039899999999999</v>
      </c>
      <c r="EE185">
        <v>5.0164</v>
      </c>
      <c r="EF185">
        <v>3.2879999999999998</v>
      </c>
      <c r="EG185">
        <v>9999</v>
      </c>
      <c r="EH185">
        <v>9999</v>
      </c>
      <c r="EI185">
        <v>9999</v>
      </c>
      <c r="EJ185">
        <v>999.9</v>
      </c>
      <c r="EK185">
        <v>1.8689</v>
      </c>
      <c r="EL185">
        <v>1.8646</v>
      </c>
      <c r="EM185">
        <v>1.86917</v>
      </c>
      <c r="EN185">
        <v>1.8672200000000001</v>
      </c>
      <c r="EO185">
        <v>1.86338</v>
      </c>
      <c r="EP185">
        <v>1.8644700000000001</v>
      </c>
      <c r="EQ185">
        <v>1.8701300000000001</v>
      </c>
      <c r="ER185">
        <v>1.8693500000000001</v>
      </c>
      <c r="ES185">
        <v>0</v>
      </c>
      <c r="ET185">
        <v>0</v>
      </c>
      <c r="EU185">
        <v>0</v>
      </c>
      <c r="EV185">
        <v>0</v>
      </c>
      <c r="EW185" t="s">
        <v>334</v>
      </c>
      <c r="EX185" t="s">
        <v>335</v>
      </c>
      <c r="EY185" t="s">
        <v>336</v>
      </c>
      <c r="EZ185" t="s">
        <v>336</v>
      </c>
      <c r="FA185" t="s">
        <v>336</v>
      </c>
      <c r="FB185" t="s">
        <v>336</v>
      </c>
      <c r="FC185">
        <v>0</v>
      </c>
      <c r="FD185">
        <v>100</v>
      </c>
      <c r="FE185">
        <v>100</v>
      </c>
      <c r="FF185">
        <v>-0.13100000000000001</v>
      </c>
      <c r="FG185">
        <v>0.17199999999999999</v>
      </c>
      <c r="FH185">
        <v>0.2126736300064915</v>
      </c>
      <c r="FI185">
        <v>-6.1462078757559423E-4</v>
      </c>
      <c r="FJ185">
        <v>-1.8861989874597051E-7</v>
      </c>
      <c r="FK185">
        <v>1.1980462299894961E-10</v>
      </c>
      <c r="FL185">
        <v>0.1719881465068297</v>
      </c>
      <c r="FM185">
        <v>0</v>
      </c>
      <c r="FN185">
        <v>0</v>
      </c>
      <c r="FO185">
        <v>0</v>
      </c>
      <c r="FP185">
        <v>3</v>
      </c>
      <c r="FQ185">
        <v>2158</v>
      </c>
      <c r="FR185">
        <v>1</v>
      </c>
      <c r="FS185">
        <v>19</v>
      </c>
      <c r="FT185">
        <v>37.5</v>
      </c>
      <c r="FU185">
        <v>37.6</v>
      </c>
      <c r="FV185">
        <v>1.7700199999999999</v>
      </c>
      <c r="FW185">
        <v>2.5939899999999998</v>
      </c>
      <c r="FX185">
        <v>1.5490699999999999</v>
      </c>
      <c r="FY185">
        <v>2.3278799999999999</v>
      </c>
      <c r="FZ185">
        <v>1.50146</v>
      </c>
      <c r="GA185">
        <v>2.32178</v>
      </c>
      <c r="GB185">
        <v>33.512999999999998</v>
      </c>
      <c r="GC185">
        <v>23.982399999999998</v>
      </c>
      <c r="GD185">
        <v>19</v>
      </c>
      <c r="GE185">
        <v>285.86500000000001</v>
      </c>
      <c r="GF185">
        <v>584.74400000000003</v>
      </c>
      <c r="GG185">
        <v>25.671399999999998</v>
      </c>
      <c r="GH185">
        <v>25.8992</v>
      </c>
      <c r="GI185">
        <v>30</v>
      </c>
      <c r="GJ185">
        <v>26.016500000000001</v>
      </c>
      <c r="GK185">
        <v>25.995899999999999</v>
      </c>
      <c r="GL185">
        <v>35.382199999999997</v>
      </c>
      <c r="GM185">
        <v>63.366700000000002</v>
      </c>
      <c r="GN185">
        <v>55.173099999999998</v>
      </c>
      <c r="GO185">
        <v>25.6755</v>
      </c>
      <c r="GP185">
        <v>800</v>
      </c>
      <c r="GQ185">
        <v>5.89649</v>
      </c>
      <c r="GR185">
        <v>99.834800000000001</v>
      </c>
      <c r="GS185">
        <v>99.710499999999996</v>
      </c>
    </row>
    <row r="186" spans="1:201" x14ac:dyDescent="0.25">
      <c r="A186">
        <v>170</v>
      </c>
      <c r="B186">
        <v>1690234265</v>
      </c>
      <c r="C186">
        <v>1758.900000095367</v>
      </c>
      <c r="D186" t="s">
        <v>671</v>
      </c>
      <c r="E186" t="s">
        <v>672</v>
      </c>
      <c r="F186" t="s">
        <v>330</v>
      </c>
      <c r="H186">
        <v>1690234265</v>
      </c>
      <c r="I186">
        <f t="shared" si="60"/>
        <v>1.7431408650082829E-3</v>
      </c>
      <c r="J186">
        <f t="shared" si="61"/>
        <v>1.7431408650082829</v>
      </c>
      <c r="K186">
        <f t="shared" si="62"/>
        <v>26.350794045451924</v>
      </c>
      <c r="L186">
        <f t="shared" si="63"/>
        <v>506.07600000000002</v>
      </c>
      <c r="M186">
        <f t="shared" si="64"/>
        <v>109.91983228730234</v>
      </c>
      <c r="N186">
        <f t="shared" si="65"/>
        <v>10.891702189592325</v>
      </c>
      <c r="O186">
        <f t="shared" si="66"/>
        <v>50.145901450186805</v>
      </c>
      <c r="P186">
        <f t="shared" si="67"/>
        <v>0.11128625770759137</v>
      </c>
      <c r="Q186">
        <f t="shared" si="68"/>
        <v>2.131347424946112</v>
      </c>
      <c r="R186">
        <f t="shared" si="69"/>
        <v>0.1081560055131336</v>
      </c>
      <c r="S186">
        <f t="shared" si="70"/>
        <v>6.7871410294232576E-2</v>
      </c>
      <c r="T186">
        <f t="shared" si="71"/>
        <v>276.114456792</v>
      </c>
      <c r="U186">
        <f t="shared" si="72"/>
        <v>28.685875266416211</v>
      </c>
      <c r="V186">
        <f t="shared" si="73"/>
        <v>28.685875266416211</v>
      </c>
      <c r="W186">
        <f t="shared" si="74"/>
        <v>3.9492458505398593</v>
      </c>
      <c r="X186">
        <f t="shared" si="75"/>
        <v>66.713136475482898</v>
      </c>
      <c r="Y186">
        <f t="shared" si="76"/>
        <v>2.4034511741229405</v>
      </c>
      <c r="Z186">
        <f t="shared" si="77"/>
        <v>3.6026655335058484</v>
      </c>
      <c r="AA186">
        <f t="shared" si="78"/>
        <v>1.5457946764169188</v>
      </c>
      <c r="AB186">
        <f t="shared" si="79"/>
        <v>-76.872512146865276</v>
      </c>
      <c r="AC186">
        <f t="shared" si="80"/>
        <v>-180.90390859969446</v>
      </c>
      <c r="AD186">
        <f t="shared" si="81"/>
        <v>-18.482842493332143</v>
      </c>
      <c r="AE186">
        <f t="shared" si="82"/>
        <v>-0.14480644789190933</v>
      </c>
      <c r="AF186">
        <v>0</v>
      </c>
      <c r="AG186">
        <v>0</v>
      </c>
      <c r="AH186">
        <f t="shared" si="83"/>
        <v>1</v>
      </c>
      <c r="AI186">
        <f t="shared" si="84"/>
        <v>0</v>
      </c>
      <c r="AJ186">
        <f t="shared" si="85"/>
        <v>52388.177616715584</v>
      </c>
      <c r="AK186">
        <f t="shared" si="86"/>
        <v>1800</v>
      </c>
      <c r="AL186">
        <f t="shared" si="87"/>
        <v>1499.1105762</v>
      </c>
      <c r="AM186">
        <f t="shared" si="88"/>
        <v>0.83283920899999997</v>
      </c>
      <c r="AN186">
        <f t="shared" si="89"/>
        <v>0.15339692044</v>
      </c>
      <c r="AO186">
        <v>32.4</v>
      </c>
      <c r="AP186">
        <v>0.5</v>
      </c>
      <c r="AQ186" t="s">
        <v>331</v>
      </c>
      <c r="AR186">
        <v>2</v>
      </c>
      <c r="AS186">
        <v>1690234265</v>
      </c>
      <c r="AT186">
        <v>506.07600000000002</v>
      </c>
      <c r="AU186">
        <v>800.04200000000003</v>
      </c>
      <c r="AV186">
        <v>24.255800000000001</v>
      </c>
      <c r="AW186">
        <v>5.89588</v>
      </c>
      <c r="AX186">
        <v>506.20699999999999</v>
      </c>
      <c r="AY186">
        <v>24.0838</v>
      </c>
      <c r="AZ186">
        <v>300.15300000000002</v>
      </c>
      <c r="BA186">
        <v>98.987700000000004</v>
      </c>
      <c r="BB186">
        <v>9.9989300000000003E-2</v>
      </c>
      <c r="BC186">
        <v>27.111499999999999</v>
      </c>
      <c r="BD186">
        <v>27.0002</v>
      </c>
      <c r="BE186">
        <v>28.889800000000001</v>
      </c>
      <c r="BF186">
        <v>0</v>
      </c>
      <c r="BG186">
        <v>0</v>
      </c>
      <c r="BH186">
        <v>10013.1</v>
      </c>
      <c r="BI186">
        <v>1081.54</v>
      </c>
      <c r="BJ186">
        <v>1.4577199999999999</v>
      </c>
      <c r="BK186">
        <v>-293.96600000000001</v>
      </c>
      <c r="BL186">
        <v>518.65599999999995</v>
      </c>
      <c r="BM186">
        <v>804.78700000000003</v>
      </c>
      <c r="BN186">
        <v>18.3599</v>
      </c>
      <c r="BO186">
        <v>800.04200000000003</v>
      </c>
      <c r="BP186">
        <v>5.89588</v>
      </c>
      <c r="BQ186">
        <v>2.4010199999999999</v>
      </c>
      <c r="BR186">
        <v>0.58362000000000003</v>
      </c>
      <c r="BS186">
        <v>20.370699999999999</v>
      </c>
      <c r="BT186">
        <v>-0.68884199999999995</v>
      </c>
      <c r="BU186">
        <v>1800</v>
      </c>
      <c r="BV186">
        <v>0.91000199999999998</v>
      </c>
      <c r="BW186">
        <v>3.4007000000000003E-2</v>
      </c>
      <c r="BX186">
        <v>2.1991699999999999E-2</v>
      </c>
      <c r="BY186">
        <v>3.3999799999999997E-2</v>
      </c>
      <c r="BZ186">
        <v>25</v>
      </c>
      <c r="CA186">
        <v>33528.5</v>
      </c>
      <c r="CB186">
        <v>1690232006</v>
      </c>
      <c r="CC186" t="s">
        <v>332</v>
      </c>
      <c r="CD186">
        <v>1690232006</v>
      </c>
      <c r="CE186">
        <v>1690231998.5</v>
      </c>
      <c r="CF186">
        <v>14</v>
      </c>
      <c r="CG186">
        <v>-0.13200000000000001</v>
      </c>
      <c r="CH186">
        <v>-7.0000000000000001E-3</v>
      </c>
      <c r="CI186">
        <v>-0.33800000000000002</v>
      </c>
      <c r="CJ186">
        <v>0.14299999999999999</v>
      </c>
      <c r="CK186">
        <v>799</v>
      </c>
      <c r="CL186">
        <v>19</v>
      </c>
      <c r="CM186">
        <v>7.0000000000000007E-2</v>
      </c>
      <c r="CN186">
        <v>0.14000000000000001</v>
      </c>
      <c r="CO186">
        <v>-293.14357499999988</v>
      </c>
      <c r="CP186">
        <v>-4.2983977485926594</v>
      </c>
      <c r="CQ186">
        <v>0.41609265119081629</v>
      </c>
      <c r="CR186">
        <v>-1</v>
      </c>
      <c r="CS186">
        <v>18.303065</v>
      </c>
      <c r="CT186">
        <v>0.35141088180110902</v>
      </c>
      <c r="CU186">
        <v>3.4655934196036298E-2</v>
      </c>
      <c r="CV186">
        <v>-1</v>
      </c>
      <c r="CW186">
        <v>0</v>
      </c>
      <c r="CX186">
        <v>0</v>
      </c>
      <c r="CY186" t="s">
        <v>333</v>
      </c>
      <c r="CZ186">
        <v>2.3648699999999998</v>
      </c>
      <c r="DA186">
        <v>2.7137899999999999</v>
      </c>
      <c r="DB186">
        <v>0.10666100000000001</v>
      </c>
      <c r="DC186">
        <v>0.14607200000000001</v>
      </c>
      <c r="DD186">
        <v>0.114799</v>
      </c>
      <c r="DE186">
        <v>3.88931E-2</v>
      </c>
      <c r="DF186">
        <v>32650.3</v>
      </c>
      <c r="DG186">
        <v>27558.400000000001</v>
      </c>
      <c r="DH186">
        <v>31200.400000000001</v>
      </c>
      <c r="DI186">
        <v>28120</v>
      </c>
      <c r="DJ186">
        <v>37495.699999999997</v>
      </c>
      <c r="DK186">
        <v>38439.199999999997</v>
      </c>
      <c r="DL186">
        <v>44406.8</v>
      </c>
      <c r="DM186">
        <v>42625.599999999999</v>
      </c>
      <c r="DN186">
        <v>1.48647</v>
      </c>
      <c r="DO186">
        <v>2.0430000000000001</v>
      </c>
      <c r="DP186">
        <v>7.5779899999999997E-2</v>
      </c>
      <c r="DQ186">
        <v>0.20220099999999999</v>
      </c>
      <c r="DR186">
        <v>25.759599999999999</v>
      </c>
      <c r="DS186">
        <v>25.584299999999999</v>
      </c>
      <c r="DT186">
        <v>43.3</v>
      </c>
      <c r="DU186">
        <v>28.8</v>
      </c>
      <c r="DV186">
        <v>17.389199999999999</v>
      </c>
      <c r="DW186">
        <v>61.787999999999997</v>
      </c>
      <c r="DX186">
        <v>36.366199999999999</v>
      </c>
      <c r="DY186">
        <v>1</v>
      </c>
      <c r="DZ186">
        <v>-0.120307</v>
      </c>
      <c r="EA186">
        <v>-0.47566399999999998</v>
      </c>
      <c r="EB186">
        <v>20.1889</v>
      </c>
      <c r="EC186">
        <v>5.2411000000000003</v>
      </c>
      <c r="ED186">
        <v>12.039899999999999</v>
      </c>
      <c r="EE186">
        <v>5.0170500000000002</v>
      </c>
      <c r="EF186">
        <v>3.2879999999999998</v>
      </c>
      <c r="EG186">
        <v>9999</v>
      </c>
      <c r="EH186">
        <v>9999</v>
      </c>
      <c r="EI186">
        <v>9999</v>
      </c>
      <c r="EJ186">
        <v>999.9</v>
      </c>
      <c r="EK186">
        <v>1.8689</v>
      </c>
      <c r="EL186">
        <v>1.8646100000000001</v>
      </c>
      <c r="EM186">
        <v>1.8691599999999999</v>
      </c>
      <c r="EN186">
        <v>1.8672200000000001</v>
      </c>
      <c r="EO186">
        <v>1.86338</v>
      </c>
      <c r="EP186">
        <v>1.8644700000000001</v>
      </c>
      <c r="EQ186">
        <v>1.8701300000000001</v>
      </c>
      <c r="ER186">
        <v>1.86937</v>
      </c>
      <c r="ES186">
        <v>0</v>
      </c>
      <c r="ET186">
        <v>0</v>
      </c>
      <c r="EU186">
        <v>0</v>
      </c>
      <c r="EV186">
        <v>0</v>
      </c>
      <c r="EW186" t="s">
        <v>334</v>
      </c>
      <c r="EX186" t="s">
        <v>335</v>
      </c>
      <c r="EY186" t="s">
        <v>336</v>
      </c>
      <c r="EZ186" t="s">
        <v>336</v>
      </c>
      <c r="FA186" t="s">
        <v>336</v>
      </c>
      <c r="FB186" t="s">
        <v>336</v>
      </c>
      <c r="FC186">
        <v>0</v>
      </c>
      <c r="FD186">
        <v>100</v>
      </c>
      <c r="FE186">
        <v>100</v>
      </c>
      <c r="FF186">
        <v>-0.13100000000000001</v>
      </c>
      <c r="FG186">
        <v>0.17199999999999999</v>
      </c>
      <c r="FH186">
        <v>0.2126736300064915</v>
      </c>
      <c r="FI186">
        <v>-6.1462078757559423E-4</v>
      </c>
      <c r="FJ186">
        <v>-1.8861989874597051E-7</v>
      </c>
      <c r="FK186">
        <v>1.1980462299894961E-10</v>
      </c>
      <c r="FL186">
        <v>0.1719881465068297</v>
      </c>
      <c r="FM186">
        <v>0</v>
      </c>
      <c r="FN186">
        <v>0</v>
      </c>
      <c r="FO186">
        <v>0</v>
      </c>
      <c r="FP186">
        <v>3</v>
      </c>
      <c r="FQ186">
        <v>2158</v>
      </c>
      <c r="FR186">
        <v>1</v>
      </c>
      <c r="FS186">
        <v>19</v>
      </c>
      <c r="FT186">
        <v>37.6</v>
      </c>
      <c r="FU186">
        <v>37.799999999999997</v>
      </c>
      <c r="FV186">
        <v>1.7700199999999999</v>
      </c>
      <c r="FW186">
        <v>2.5854499999999998</v>
      </c>
      <c r="FX186">
        <v>1.5490699999999999</v>
      </c>
      <c r="FY186">
        <v>2.3278799999999999</v>
      </c>
      <c r="FZ186">
        <v>1.50146</v>
      </c>
      <c r="GA186">
        <v>2.3852500000000001</v>
      </c>
      <c r="GB186">
        <v>33.512999999999998</v>
      </c>
      <c r="GC186">
        <v>23.991199999999999</v>
      </c>
      <c r="GD186">
        <v>19</v>
      </c>
      <c r="GE186">
        <v>285.779</v>
      </c>
      <c r="GF186">
        <v>584.74400000000003</v>
      </c>
      <c r="GG186">
        <v>25.6934</v>
      </c>
      <c r="GH186">
        <v>25.8992</v>
      </c>
      <c r="GI186">
        <v>30.0001</v>
      </c>
      <c r="GJ186">
        <v>26.016500000000001</v>
      </c>
      <c r="GK186">
        <v>25.995899999999999</v>
      </c>
      <c r="GL186">
        <v>35.379800000000003</v>
      </c>
      <c r="GM186">
        <v>63.366700000000002</v>
      </c>
      <c r="GN186">
        <v>54.4026</v>
      </c>
      <c r="GO186">
        <v>25.6919</v>
      </c>
      <c r="GP186">
        <v>800</v>
      </c>
      <c r="GQ186">
        <v>5.8098900000000002</v>
      </c>
      <c r="GR186">
        <v>99.835499999999996</v>
      </c>
      <c r="GS186">
        <v>99.711100000000002</v>
      </c>
    </row>
    <row r="187" spans="1:201" x14ac:dyDescent="0.25">
      <c r="A187">
        <v>171</v>
      </c>
      <c r="B187">
        <v>1690234275</v>
      </c>
      <c r="C187">
        <v>1768.900000095367</v>
      </c>
      <c r="D187" t="s">
        <v>673</v>
      </c>
      <c r="E187" t="s">
        <v>674</v>
      </c>
      <c r="F187" t="s">
        <v>330</v>
      </c>
      <c r="H187">
        <v>1690234275</v>
      </c>
      <c r="I187">
        <f t="shared" si="60"/>
        <v>1.7519501595307158E-3</v>
      </c>
      <c r="J187">
        <f t="shared" si="61"/>
        <v>1.7519501595307159</v>
      </c>
      <c r="K187">
        <f t="shared" si="62"/>
        <v>26.408762968790199</v>
      </c>
      <c r="L187">
        <f t="shared" si="63"/>
        <v>505.42099999999999</v>
      </c>
      <c r="M187">
        <f t="shared" si="64"/>
        <v>110.3994081486421</v>
      </c>
      <c r="N187">
        <f t="shared" si="65"/>
        <v>10.939445558419399</v>
      </c>
      <c r="O187">
        <f t="shared" si="66"/>
        <v>50.082021328751999</v>
      </c>
      <c r="P187">
        <f t="shared" si="67"/>
        <v>0.11187092311044132</v>
      </c>
      <c r="Q187">
        <f t="shared" si="68"/>
        <v>2.1316619729781108</v>
      </c>
      <c r="R187">
        <f t="shared" si="69"/>
        <v>0.10870864939417864</v>
      </c>
      <c r="S187">
        <f t="shared" si="70"/>
        <v>6.8219578007471665E-2</v>
      </c>
      <c r="T187">
        <f t="shared" si="71"/>
        <v>276.11433046799999</v>
      </c>
      <c r="U187">
        <f t="shared" si="72"/>
        <v>28.681894976035927</v>
      </c>
      <c r="V187">
        <f t="shared" si="73"/>
        <v>28.681894976035927</v>
      </c>
      <c r="W187">
        <f t="shared" si="74"/>
        <v>3.9483342258247642</v>
      </c>
      <c r="X187">
        <f t="shared" si="75"/>
        <v>66.691658617052923</v>
      </c>
      <c r="Y187">
        <f t="shared" si="76"/>
        <v>2.4025787020080003</v>
      </c>
      <c r="Z187">
        <f t="shared" si="77"/>
        <v>3.6025175439161523</v>
      </c>
      <c r="AA187">
        <f t="shared" si="78"/>
        <v>1.545755523816764</v>
      </c>
      <c r="AB187">
        <f t="shared" si="79"/>
        <v>-77.261002035304571</v>
      </c>
      <c r="AC187">
        <f t="shared" si="80"/>
        <v>-180.55362866240895</v>
      </c>
      <c r="AD187">
        <f t="shared" si="81"/>
        <v>-18.443901702329253</v>
      </c>
      <c r="AE187">
        <f t="shared" si="82"/>
        <v>-0.14420193204276188</v>
      </c>
      <c r="AF187">
        <v>0</v>
      </c>
      <c r="AG187">
        <v>0</v>
      </c>
      <c r="AH187">
        <f t="shared" si="83"/>
        <v>1</v>
      </c>
      <c r="AI187">
        <f t="shared" si="84"/>
        <v>0</v>
      </c>
      <c r="AJ187">
        <f t="shared" si="85"/>
        <v>52401.899292654976</v>
      </c>
      <c r="AK187">
        <f t="shared" si="86"/>
        <v>1800</v>
      </c>
      <c r="AL187">
        <f t="shared" si="87"/>
        <v>1499.1078077999998</v>
      </c>
      <c r="AM187">
        <f t="shared" si="88"/>
        <v>0.83283767099999995</v>
      </c>
      <c r="AN187">
        <f t="shared" si="89"/>
        <v>0.15339685026</v>
      </c>
      <c r="AO187">
        <v>32.4</v>
      </c>
      <c r="AP187">
        <v>0.5</v>
      </c>
      <c r="AQ187" t="s">
        <v>331</v>
      </c>
      <c r="AR187">
        <v>2</v>
      </c>
      <c r="AS187">
        <v>1690234275</v>
      </c>
      <c r="AT187">
        <v>505.42099999999999</v>
      </c>
      <c r="AU187">
        <v>800.02099999999996</v>
      </c>
      <c r="AV187">
        <v>24.246500000000001</v>
      </c>
      <c r="AW187">
        <v>5.7953400000000004</v>
      </c>
      <c r="AX187">
        <v>505.55200000000002</v>
      </c>
      <c r="AY187">
        <v>24.0745</v>
      </c>
      <c r="AZ187">
        <v>300.18099999999998</v>
      </c>
      <c r="BA187">
        <v>98.989699999999999</v>
      </c>
      <c r="BB187">
        <v>0.100012</v>
      </c>
      <c r="BC187">
        <v>27.110800000000001</v>
      </c>
      <c r="BD187">
        <v>27.002099999999999</v>
      </c>
      <c r="BE187">
        <v>28.893699999999999</v>
      </c>
      <c r="BF187">
        <v>0</v>
      </c>
      <c r="BG187">
        <v>0</v>
      </c>
      <c r="BH187">
        <v>10015.6</v>
      </c>
      <c r="BI187">
        <v>1081.57</v>
      </c>
      <c r="BJ187">
        <v>1.4577199999999999</v>
      </c>
      <c r="BK187">
        <v>-294.60000000000002</v>
      </c>
      <c r="BL187">
        <v>517.98099999999999</v>
      </c>
      <c r="BM187">
        <v>804.68499999999995</v>
      </c>
      <c r="BN187">
        <v>18.4511</v>
      </c>
      <c r="BO187">
        <v>800.02099999999996</v>
      </c>
      <c r="BP187">
        <v>5.7953400000000004</v>
      </c>
      <c r="BQ187">
        <v>2.40015</v>
      </c>
      <c r="BR187">
        <v>0.57367900000000005</v>
      </c>
      <c r="BS187">
        <v>20.364799999999999</v>
      </c>
      <c r="BT187">
        <v>-0.92378800000000005</v>
      </c>
      <c r="BU187">
        <v>1800</v>
      </c>
      <c r="BV187">
        <v>0.90999099999999999</v>
      </c>
      <c r="BW187">
        <v>3.4006500000000002E-2</v>
      </c>
      <c r="BX187">
        <v>2.1991299999999998E-2</v>
      </c>
      <c r="BY187">
        <v>3.4011E-2</v>
      </c>
      <c r="BZ187">
        <v>25</v>
      </c>
      <c r="CA187">
        <v>33528.400000000001</v>
      </c>
      <c r="CB187">
        <v>1690232006</v>
      </c>
      <c r="CC187" t="s">
        <v>332</v>
      </c>
      <c r="CD187">
        <v>1690232006</v>
      </c>
      <c r="CE187">
        <v>1690231998.5</v>
      </c>
      <c r="CF187">
        <v>14</v>
      </c>
      <c r="CG187">
        <v>-0.13200000000000001</v>
      </c>
      <c r="CH187">
        <v>-7.0000000000000001E-3</v>
      </c>
      <c r="CI187">
        <v>-0.33800000000000002</v>
      </c>
      <c r="CJ187">
        <v>0.14299999999999999</v>
      </c>
      <c r="CK187">
        <v>799</v>
      </c>
      <c r="CL187">
        <v>19</v>
      </c>
      <c r="CM187">
        <v>7.0000000000000007E-2</v>
      </c>
      <c r="CN187">
        <v>0.14000000000000001</v>
      </c>
      <c r="CO187">
        <v>-293.87292500000001</v>
      </c>
      <c r="CP187">
        <v>-4.5554634146333788</v>
      </c>
      <c r="CQ187">
        <v>0.44010012426151368</v>
      </c>
      <c r="CR187">
        <v>-1</v>
      </c>
      <c r="CS187">
        <v>18.362275</v>
      </c>
      <c r="CT187">
        <v>0.39054258911817102</v>
      </c>
      <c r="CU187">
        <v>3.8144742429331017E-2</v>
      </c>
      <c r="CV187">
        <v>-1</v>
      </c>
      <c r="CW187">
        <v>0</v>
      </c>
      <c r="CX187">
        <v>0</v>
      </c>
      <c r="CY187" t="s">
        <v>333</v>
      </c>
      <c r="CZ187">
        <v>2.3649800000000001</v>
      </c>
      <c r="DA187">
        <v>2.7138200000000001</v>
      </c>
      <c r="DB187">
        <v>0.106563</v>
      </c>
      <c r="DC187">
        <v>0.14607100000000001</v>
      </c>
      <c r="DD187">
        <v>0.114771</v>
      </c>
      <c r="DE187">
        <v>3.8349899999999999E-2</v>
      </c>
      <c r="DF187">
        <v>32653.200000000001</v>
      </c>
      <c r="DG187">
        <v>27558.6</v>
      </c>
      <c r="DH187">
        <v>31199.7</v>
      </c>
      <c r="DI187">
        <v>28120.2</v>
      </c>
      <c r="DJ187">
        <v>37496.1</v>
      </c>
      <c r="DK187">
        <v>38461.300000000003</v>
      </c>
      <c r="DL187">
        <v>44405.8</v>
      </c>
      <c r="DM187">
        <v>42626</v>
      </c>
      <c r="DN187">
        <v>1.4865999999999999</v>
      </c>
      <c r="DO187">
        <v>2.0424699999999998</v>
      </c>
      <c r="DP187">
        <v>7.5899099999999997E-2</v>
      </c>
      <c r="DQ187">
        <v>0.20244000000000001</v>
      </c>
      <c r="DR187">
        <v>25.759599999999999</v>
      </c>
      <c r="DS187">
        <v>25.584299999999999</v>
      </c>
      <c r="DT187">
        <v>43</v>
      </c>
      <c r="DU187">
        <v>28.8</v>
      </c>
      <c r="DV187">
        <v>17.2698</v>
      </c>
      <c r="DW187">
        <v>61.508000000000003</v>
      </c>
      <c r="DX187">
        <v>37.415900000000001</v>
      </c>
      <c r="DY187">
        <v>1</v>
      </c>
      <c r="DZ187">
        <v>-0.12044199999999999</v>
      </c>
      <c r="EA187">
        <v>-0.38542500000000002</v>
      </c>
      <c r="EB187">
        <v>20.1892</v>
      </c>
      <c r="EC187">
        <v>5.2411000000000003</v>
      </c>
      <c r="ED187">
        <v>12.039899999999999</v>
      </c>
      <c r="EE187">
        <v>5.0171999999999999</v>
      </c>
      <c r="EF187">
        <v>3.2879999999999998</v>
      </c>
      <c r="EG187">
        <v>9999</v>
      </c>
      <c r="EH187">
        <v>9999</v>
      </c>
      <c r="EI187">
        <v>9999</v>
      </c>
      <c r="EJ187">
        <v>999.9</v>
      </c>
      <c r="EK187">
        <v>1.8689</v>
      </c>
      <c r="EL187">
        <v>1.8646199999999999</v>
      </c>
      <c r="EM187">
        <v>1.86917</v>
      </c>
      <c r="EN187">
        <v>1.8672200000000001</v>
      </c>
      <c r="EO187">
        <v>1.86337</v>
      </c>
      <c r="EP187">
        <v>1.8644700000000001</v>
      </c>
      <c r="EQ187">
        <v>1.8701300000000001</v>
      </c>
      <c r="ER187">
        <v>1.8693599999999999</v>
      </c>
      <c r="ES187">
        <v>0</v>
      </c>
      <c r="ET187">
        <v>0</v>
      </c>
      <c r="EU187">
        <v>0</v>
      </c>
      <c r="EV187">
        <v>0</v>
      </c>
      <c r="EW187" t="s">
        <v>334</v>
      </c>
      <c r="EX187" t="s">
        <v>335</v>
      </c>
      <c r="EY187" t="s">
        <v>336</v>
      </c>
      <c r="EZ187" t="s">
        <v>336</v>
      </c>
      <c r="FA187" t="s">
        <v>336</v>
      </c>
      <c r="FB187" t="s">
        <v>336</v>
      </c>
      <c r="FC187">
        <v>0</v>
      </c>
      <c r="FD187">
        <v>100</v>
      </c>
      <c r="FE187">
        <v>100</v>
      </c>
      <c r="FF187">
        <v>-0.13100000000000001</v>
      </c>
      <c r="FG187">
        <v>0.17199999999999999</v>
      </c>
      <c r="FH187">
        <v>0.2126736300064915</v>
      </c>
      <c r="FI187">
        <v>-6.1462078757559423E-4</v>
      </c>
      <c r="FJ187">
        <v>-1.8861989874597051E-7</v>
      </c>
      <c r="FK187">
        <v>1.1980462299894961E-10</v>
      </c>
      <c r="FL187">
        <v>0.1719881465068297</v>
      </c>
      <c r="FM187">
        <v>0</v>
      </c>
      <c r="FN187">
        <v>0</v>
      </c>
      <c r="FO187">
        <v>0</v>
      </c>
      <c r="FP187">
        <v>3</v>
      </c>
      <c r="FQ187">
        <v>2158</v>
      </c>
      <c r="FR187">
        <v>1</v>
      </c>
      <c r="FS187">
        <v>19</v>
      </c>
      <c r="FT187">
        <v>37.799999999999997</v>
      </c>
      <c r="FU187">
        <v>37.9</v>
      </c>
      <c r="FV187">
        <v>1.7700199999999999</v>
      </c>
      <c r="FW187">
        <v>2.5939899999999998</v>
      </c>
      <c r="FX187">
        <v>1.5490699999999999</v>
      </c>
      <c r="FY187">
        <v>2.3278799999999999</v>
      </c>
      <c r="FZ187">
        <v>1.50146</v>
      </c>
      <c r="GA187">
        <v>2.31812</v>
      </c>
      <c r="GB187">
        <v>33.512999999999998</v>
      </c>
      <c r="GC187">
        <v>23.982399999999998</v>
      </c>
      <c r="GD187">
        <v>19</v>
      </c>
      <c r="GE187">
        <v>285.83199999999999</v>
      </c>
      <c r="GF187">
        <v>584.30999999999995</v>
      </c>
      <c r="GG187">
        <v>25.688800000000001</v>
      </c>
      <c r="GH187">
        <v>25.8992</v>
      </c>
      <c r="GI187">
        <v>30.0001</v>
      </c>
      <c r="GJ187">
        <v>26.016500000000001</v>
      </c>
      <c r="GK187">
        <v>25.995899999999999</v>
      </c>
      <c r="GL187">
        <v>35.3765</v>
      </c>
      <c r="GM187">
        <v>63.655200000000001</v>
      </c>
      <c r="GN187">
        <v>53.601799999999997</v>
      </c>
      <c r="GO187">
        <v>25.678100000000001</v>
      </c>
      <c r="GP187">
        <v>800</v>
      </c>
      <c r="GQ187">
        <v>5.7257899999999999</v>
      </c>
      <c r="GR187">
        <v>99.833200000000005</v>
      </c>
      <c r="GS187">
        <v>99.7119</v>
      </c>
    </row>
    <row r="188" spans="1:201" x14ac:dyDescent="0.25">
      <c r="A188">
        <v>172</v>
      </c>
      <c r="B188">
        <v>1690234285</v>
      </c>
      <c r="C188">
        <v>1778.900000095367</v>
      </c>
      <c r="D188" t="s">
        <v>675</v>
      </c>
      <c r="E188" t="s">
        <v>676</v>
      </c>
      <c r="F188" t="s">
        <v>330</v>
      </c>
      <c r="H188">
        <v>1690234285</v>
      </c>
      <c r="I188">
        <f t="shared" si="60"/>
        <v>1.7568025932790021E-3</v>
      </c>
      <c r="J188">
        <f t="shared" si="61"/>
        <v>1.7568025932790021</v>
      </c>
      <c r="K188">
        <f t="shared" si="62"/>
        <v>26.467182501763862</v>
      </c>
      <c r="L188">
        <f t="shared" si="63"/>
        <v>504.80599999999998</v>
      </c>
      <c r="M188">
        <f t="shared" si="64"/>
        <v>109.58025245709065</v>
      </c>
      <c r="N188">
        <f t="shared" si="65"/>
        <v>10.858039620996612</v>
      </c>
      <c r="O188">
        <f t="shared" si="66"/>
        <v>50.019993803748001</v>
      </c>
      <c r="P188">
        <f t="shared" si="67"/>
        <v>0.11206239355161973</v>
      </c>
      <c r="Q188">
        <f t="shared" si="68"/>
        <v>2.1306929954524882</v>
      </c>
      <c r="R188">
        <f t="shared" si="69"/>
        <v>0.10888805225532913</v>
      </c>
      <c r="S188">
        <f t="shared" si="70"/>
        <v>6.8332744894429087E-2</v>
      </c>
      <c r="T188">
        <f t="shared" si="71"/>
        <v>276.11593766090937</v>
      </c>
      <c r="U188">
        <f t="shared" si="72"/>
        <v>28.682063252331169</v>
      </c>
      <c r="V188">
        <f t="shared" si="73"/>
        <v>28.682063252331169</v>
      </c>
      <c r="W188">
        <f t="shared" si="74"/>
        <v>3.9483727632240617</v>
      </c>
      <c r="X188">
        <f t="shared" si="75"/>
        <v>66.640682561059805</v>
      </c>
      <c r="Y188">
        <f t="shared" si="76"/>
        <v>2.4009113478516002</v>
      </c>
      <c r="Z188">
        <f t="shared" si="77"/>
        <v>3.6027712436044679</v>
      </c>
      <c r="AA188">
        <f t="shared" si="78"/>
        <v>1.5474614153724615</v>
      </c>
      <c r="AB188">
        <f t="shared" si="79"/>
        <v>-77.474994363603997</v>
      </c>
      <c r="AC188">
        <f t="shared" si="80"/>
        <v>-180.35304140048035</v>
      </c>
      <c r="AD188">
        <f t="shared" si="81"/>
        <v>-18.431915318771555</v>
      </c>
      <c r="AE188">
        <f t="shared" si="82"/>
        <v>-0.14401342194651079</v>
      </c>
      <c r="AF188">
        <v>0</v>
      </c>
      <c r="AG188">
        <v>0</v>
      </c>
      <c r="AH188">
        <f t="shared" si="83"/>
        <v>1</v>
      </c>
      <c r="AI188">
        <f t="shared" si="84"/>
        <v>0</v>
      </c>
      <c r="AJ188">
        <f t="shared" si="85"/>
        <v>52359.890061737846</v>
      </c>
      <c r="AK188">
        <f t="shared" si="86"/>
        <v>1800.01</v>
      </c>
      <c r="AL188">
        <f t="shared" si="87"/>
        <v>1499.1166005792898</v>
      </c>
      <c r="AM188">
        <f t="shared" si="88"/>
        <v>0.83283792899999987</v>
      </c>
      <c r="AN188">
        <f t="shared" si="89"/>
        <v>0.15339689093999997</v>
      </c>
      <c r="AO188">
        <v>32.4</v>
      </c>
      <c r="AP188">
        <v>0.5</v>
      </c>
      <c r="AQ188" t="s">
        <v>331</v>
      </c>
      <c r="AR188">
        <v>2</v>
      </c>
      <c r="AS188">
        <v>1690234285</v>
      </c>
      <c r="AT188">
        <v>504.80599999999998</v>
      </c>
      <c r="AU188">
        <v>800.07299999999998</v>
      </c>
      <c r="AV188">
        <v>24.2302</v>
      </c>
      <c r="AW188">
        <v>5.7262700000000004</v>
      </c>
      <c r="AX188">
        <v>504.93599999999998</v>
      </c>
      <c r="AY188">
        <v>24.058199999999999</v>
      </c>
      <c r="AZ188">
        <v>300.15899999999999</v>
      </c>
      <c r="BA188">
        <v>98.987499999999997</v>
      </c>
      <c r="BB188">
        <v>0.10005799999999999</v>
      </c>
      <c r="BC188">
        <v>27.111999999999998</v>
      </c>
      <c r="BD188">
        <v>26.9892</v>
      </c>
      <c r="BE188">
        <v>28.9</v>
      </c>
      <c r="BF188">
        <v>0</v>
      </c>
      <c r="BG188">
        <v>0</v>
      </c>
      <c r="BH188">
        <v>10007.5</v>
      </c>
      <c r="BI188">
        <v>1081.56</v>
      </c>
      <c r="BJ188">
        <v>1.4577199999999999</v>
      </c>
      <c r="BK188">
        <v>-295.267</v>
      </c>
      <c r="BL188">
        <v>517.34100000000001</v>
      </c>
      <c r="BM188">
        <v>804.68100000000004</v>
      </c>
      <c r="BN188">
        <v>18.503900000000002</v>
      </c>
      <c r="BO188">
        <v>800.07299999999998</v>
      </c>
      <c r="BP188">
        <v>5.7262700000000004</v>
      </c>
      <c r="BQ188">
        <v>2.3984899999999998</v>
      </c>
      <c r="BR188">
        <v>0.56682900000000003</v>
      </c>
      <c r="BS188">
        <v>20.3536</v>
      </c>
      <c r="BT188">
        <v>-1.0878099999999999</v>
      </c>
      <c r="BU188">
        <v>1800.01</v>
      </c>
      <c r="BV188">
        <v>0.90998999999999997</v>
      </c>
      <c r="BW188">
        <v>3.4005599999999997E-2</v>
      </c>
      <c r="BX188">
        <v>2.1990699999999998E-2</v>
      </c>
      <c r="BY188">
        <v>3.4014000000000003E-2</v>
      </c>
      <c r="BZ188">
        <v>25</v>
      </c>
      <c r="CA188">
        <v>33528.6</v>
      </c>
      <c r="CB188">
        <v>1690232006</v>
      </c>
      <c r="CC188" t="s">
        <v>332</v>
      </c>
      <c r="CD188">
        <v>1690232006</v>
      </c>
      <c r="CE188">
        <v>1690231998.5</v>
      </c>
      <c r="CF188">
        <v>14</v>
      </c>
      <c r="CG188">
        <v>-0.13200000000000001</v>
      </c>
      <c r="CH188">
        <v>-7.0000000000000001E-3</v>
      </c>
      <c r="CI188">
        <v>-0.33800000000000002</v>
      </c>
      <c r="CJ188">
        <v>0.14299999999999999</v>
      </c>
      <c r="CK188">
        <v>799</v>
      </c>
      <c r="CL188">
        <v>19</v>
      </c>
      <c r="CM188">
        <v>7.0000000000000007E-2</v>
      </c>
      <c r="CN188">
        <v>0.14000000000000001</v>
      </c>
      <c r="CO188">
        <v>-294.49470731707322</v>
      </c>
      <c r="CP188">
        <v>-3.7187665505232772</v>
      </c>
      <c r="CQ188">
        <v>0.37292000344692189</v>
      </c>
      <c r="CR188">
        <v>-1</v>
      </c>
      <c r="CS188">
        <v>18.425668292682928</v>
      </c>
      <c r="CT188">
        <v>0.43995052264809648</v>
      </c>
      <c r="CU188">
        <v>4.3952781975962897E-2</v>
      </c>
      <c r="CV188">
        <v>-1</v>
      </c>
      <c r="CW188">
        <v>0</v>
      </c>
      <c r="CX188">
        <v>0</v>
      </c>
      <c r="CY188" t="s">
        <v>333</v>
      </c>
      <c r="CZ188">
        <v>2.3649</v>
      </c>
      <c r="DA188">
        <v>2.7138599999999999</v>
      </c>
      <c r="DB188">
        <v>0.106465</v>
      </c>
      <c r="DC188">
        <v>0.14607300000000001</v>
      </c>
      <c r="DD188">
        <v>0.114714</v>
      </c>
      <c r="DE188">
        <v>3.7973899999999998E-2</v>
      </c>
      <c r="DF188">
        <v>32656.799999999999</v>
      </c>
      <c r="DG188">
        <v>27558.400000000001</v>
      </c>
      <c r="DH188">
        <v>31199.7</v>
      </c>
      <c r="DI188">
        <v>28120.1</v>
      </c>
      <c r="DJ188">
        <v>37498.400000000001</v>
      </c>
      <c r="DK188">
        <v>38476.1</v>
      </c>
      <c r="DL188">
        <v>44405.599999999999</v>
      </c>
      <c r="DM188">
        <v>42625.7</v>
      </c>
      <c r="DN188">
        <v>1.4865200000000001</v>
      </c>
      <c r="DO188">
        <v>2.0423800000000001</v>
      </c>
      <c r="DP188">
        <v>7.4975200000000006E-2</v>
      </c>
      <c r="DQ188">
        <v>0.20282700000000001</v>
      </c>
      <c r="DR188">
        <v>25.761800000000001</v>
      </c>
      <c r="DS188">
        <v>25.584299999999999</v>
      </c>
      <c r="DT188">
        <v>42.8</v>
      </c>
      <c r="DU188">
        <v>28.8</v>
      </c>
      <c r="DV188">
        <v>17.188199999999998</v>
      </c>
      <c r="DW188">
        <v>61.648000000000003</v>
      </c>
      <c r="DX188">
        <v>36.258000000000003</v>
      </c>
      <c r="DY188">
        <v>1</v>
      </c>
      <c r="DZ188">
        <v>-0.120495</v>
      </c>
      <c r="EA188">
        <v>-0.42105100000000001</v>
      </c>
      <c r="EB188">
        <v>20.1889</v>
      </c>
      <c r="EC188">
        <v>5.24125</v>
      </c>
      <c r="ED188">
        <v>12.039899999999999</v>
      </c>
      <c r="EE188">
        <v>5.0174500000000002</v>
      </c>
      <c r="EF188">
        <v>3.2879999999999998</v>
      </c>
      <c r="EG188">
        <v>9999</v>
      </c>
      <c r="EH188">
        <v>9999</v>
      </c>
      <c r="EI188">
        <v>9999</v>
      </c>
      <c r="EJ188">
        <v>999.9</v>
      </c>
      <c r="EK188">
        <v>1.8689</v>
      </c>
      <c r="EL188">
        <v>1.8646199999999999</v>
      </c>
      <c r="EM188">
        <v>1.8691899999999999</v>
      </c>
      <c r="EN188">
        <v>1.8672200000000001</v>
      </c>
      <c r="EO188">
        <v>1.86338</v>
      </c>
      <c r="EP188">
        <v>1.8644700000000001</v>
      </c>
      <c r="EQ188">
        <v>1.8701399999999999</v>
      </c>
      <c r="ER188">
        <v>1.8693599999999999</v>
      </c>
      <c r="ES188">
        <v>0</v>
      </c>
      <c r="ET188">
        <v>0</v>
      </c>
      <c r="EU188">
        <v>0</v>
      </c>
      <c r="EV188">
        <v>0</v>
      </c>
      <c r="EW188" t="s">
        <v>334</v>
      </c>
      <c r="EX188" t="s">
        <v>335</v>
      </c>
      <c r="EY188" t="s">
        <v>336</v>
      </c>
      <c r="EZ188" t="s">
        <v>336</v>
      </c>
      <c r="FA188" t="s">
        <v>336</v>
      </c>
      <c r="FB188" t="s">
        <v>336</v>
      </c>
      <c r="FC188">
        <v>0</v>
      </c>
      <c r="FD188">
        <v>100</v>
      </c>
      <c r="FE188">
        <v>100</v>
      </c>
      <c r="FF188">
        <v>-0.13</v>
      </c>
      <c r="FG188">
        <v>0.17199999999999999</v>
      </c>
      <c r="FH188">
        <v>0.2126736300064915</v>
      </c>
      <c r="FI188">
        <v>-6.1462078757559423E-4</v>
      </c>
      <c r="FJ188">
        <v>-1.8861989874597051E-7</v>
      </c>
      <c r="FK188">
        <v>1.1980462299894961E-10</v>
      </c>
      <c r="FL188">
        <v>0.1719881465068297</v>
      </c>
      <c r="FM188">
        <v>0</v>
      </c>
      <c r="FN188">
        <v>0</v>
      </c>
      <c r="FO188">
        <v>0</v>
      </c>
      <c r="FP188">
        <v>3</v>
      </c>
      <c r="FQ188">
        <v>2158</v>
      </c>
      <c r="FR188">
        <v>1</v>
      </c>
      <c r="FS188">
        <v>19</v>
      </c>
      <c r="FT188">
        <v>38</v>
      </c>
      <c r="FU188">
        <v>38.1</v>
      </c>
      <c r="FV188">
        <v>1.7687999999999999</v>
      </c>
      <c r="FW188">
        <v>2.5842299999999998</v>
      </c>
      <c r="FX188">
        <v>1.5490699999999999</v>
      </c>
      <c r="FY188">
        <v>2.3278799999999999</v>
      </c>
      <c r="FZ188">
        <v>1.50146</v>
      </c>
      <c r="GA188">
        <v>2.3901400000000002</v>
      </c>
      <c r="GB188">
        <v>33.512999999999998</v>
      </c>
      <c r="GC188">
        <v>23.991199999999999</v>
      </c>
      <c r="GD188">
        <v>19</v>
      </c>
      <c r="GE188">
        <v>285.80099999999999</v>
      </c>
      <c r="GF188">
        <v>584.20299999999997</v>
      </c>
      <c r="GG188">
        <v>25.673500000000001</v>
      </c>
      <c r="GH188">
        <v>25.8992</v>
      </c>
      <c r="GI188">
        <v>30.0001</v>
      </c>
      <c r="GJ188">
        <v>26.016500000000001</v>
      </c>
      <c r="GK188">
        <v>25.9937</v>
      </c>
      <c r="GL188">
        <v>35.371499999999997</v>
      </c>
      <c r="GM188">
        <v>63.939300000000003</v>
      </c>
      <c r="GN188">
        <v>53.207700000000003</v>
      </c>
      <c r="GO188">
        <v>25.675000000000001</v>
      </c>
      <c r="GP188">
        <v>800</v>
      </c>
      <c r="GQ188">
        <v>5.6480199999999998</v>
      </c>
      <c r="GR188">
        <v>99.832999999999998</v>
      </c>
      <c r="GS188">
        <v>99.711299999999994</v>
      </c>
    </row>
    <row r="189" spans="1:201" x14ac:dyDescent="0.25">
      <c r="A189">
        <v>173</v>
      </c>
      <c r="B189">
        <v>1690234295</v>
      </c>
      <c r="C189">
        <v>1788.900000095367</v>
      </c>
      <c r="D189" t="s">
        <v>677</v>
      </c>
      <c r="E189" t="s">
        <v>678</v>
      </c>
      <c r="F189" t="s">
        <v>330</v>
      </c>
      <c r="H189">
        <v>1690234295</v>
      </c>
      <c r="I189">
        <f t="shared" si="60"/>
        <v>1.7635276320372391E-3</v>
      </c>
      <c r="J189">
        <f t="shared" si="61"/>
        <v>1.7635276320372391</v>
      </c>
      <c r="K189">
        <f t="shared" si="62"/>
        <v>26.51484802642128</v>
      </c>
      <c r="L189">
        <f t="shared" si="63"/>
        <v>504.16199999999998</v>
      </c>
      <c r="M189">
        <f t="shared" si="64"/>
        <v>109.41349757671706</v>
      </c>
      <c r="N189">
        <f t="shared" si="65"/>
        <v>10.841704259504647</v>
      </c>
      <c r="O189">
        <f t="shared" si="66"/>
        <v>49.957047566711999</v>
      </c>
      <c r="P189">
        <f t="shared" si="67"/>
        <v>0.11241313363270634</v>
      </c>
      <c r="Q189">
        <f t="shared" si="68"/>
        <v>2.1283102671844167</v>
      </c>
      <c r="R189">
        <f t="shared" si="69"/>
        <v>0.10921572939125185</v>
      </c>
      <c r="S189">
        <f t="shared" si="70"/>
        <v>6.8539529681529834E-2</v>
      </c>
      <c r="T189">
        <f t="shared" si="71"/>
        <v>276.11438495400006</v>
      </c>
      <c r="U189">
        <f t="shared" si="72"/>
        <v>28.682298765316727</v>
      </c>
      <c r="V189">
        <f t="shared" si="73"/>
        <v>28.682298765316727</v>
      </c>
      <c r="W189">
        <f t="shared" si="74"/>
        <v>3.9484266992264185</v>
      </c>
      <c r="X189">
        <f t="shared" si="75"/>
        <v>66.602174732795433</v>
      </c>
      <c r="Y189">
        <f t="shared" si="76"/>
        <v>2.3996648147471995</v>
      </c>
      <c r="Z189">
        <f t="shared" si="77"/>
        <v>3.6029826719240532</v>
      </c>
      <c r="AA189">
        <f t="shared" si="78"/>
        <v>1.548761884479219</v>
      </c>
      <c r="AB189">
        <f t="shared" si="79"/>
        <v>-77.771568572842241</v>
      </c>
      <c r="AC189">
        <f t="shared" si="80"/>
        <v>-180.06363641182833</v>
      </c>
      <c r="AD189">
        <f t="shared" si="81"/>
        <v>-18.423053893901709</v>
      </c>
      <c r="AE189">
        <f t="shared" si="82"/>
        <v>-0.14387392457217629</v>
      </c>
      <c r="AF189">
        <v>0</v>
      </c>
      <c r="AG189">
        <v>0</v>
      </c>
      <c r="AH189">
        <f t="shared" si="83"/>
        <v>1</v>
      </c>
      <c r="AI189">
        <f t="shared" si="84"/>
        <v>0</v>
      </c>
      <c r="AJ189">
        <f t="shared" si="85"/>
        <v>52257.178884882458</v>
      </c>
      <c r="AK189">
        <f t="shared" si="86"/>
        <v>1800</v>
      </c>
      <c r="AL189">
        <f t="shared" si="87"/>
        <v>1499.1078564000002</v>
      </c>
      <c r="AM189">
        <f t="shared" si="88"/>
        <v>0.83283769800000007</v>
      </c>
      <c r="AN189">
        <f t="shared" si="89"/>
        <v>0.15339688053000003</v>
      </c>
      <c r="AO189">
        <v>32.4</v>
      </c>
      <c r="AP189">
        <v>0.5</v>
      </c>
      <c r="AQ189" t="s">
        <v>331</v>
      </c>
      <c r="AR189">
        <v>2</v>
      </c>
      <c r="AS189">
        <v>1690234295</v>
      </c>
      <c r="AT189">
        <v>504.16199999999998</v>
      </c>
      <c r="AU189">
        <v>800.03</v>
      </c>
      <c r="AV189">
        <v>24.217199999999998</v>
      </c>
      <c r="AW189">
        <v>5.6382899999999996</v>
      </c>
      <c r="AX189">
        <v>504.291</v>
      </c>
      <c r="AY189">
        <v>24.045200000000001</v>
      </c>
      <c r="AZ189">
        <v>300.096</v>
      </c>
      <c r="BA189">
        <v>98.9893</v>
      </c>
      <c r="BB189">
        <v>9.9975999999999995E-2</v>
      </c>
      <c r="BC189">
        <v>27.113</v>
      </c>
      <c r="BD189">
        <v>27.002500000000001</v>
      </c>
      <c r="BE189">
        <v>28.902899999999999</v>
      </c>
      <c r="BF189">
        <v>0</v>
      </c>
      <c r="BG189">
        <v>0</v>
      </c>
      <c r="BH189">
        <v>9986.8799999999992</v>
      </c>
      <c r="BI189">
        <v>1081.5999999999999</v>
      </c>
      <c r="BJ189">
        <v>1.4577199999999999</v>
      </c>
      <c r="BK189">
        <v>-295.86900000000003</v>
      </c>
      <c r="BL189">
        <v>516.67399999999998</v>
      </c>
      <c r="BM189">
        <v>804.56700000000001</v>
      </c>
      <c r="BN189">
        <v>18.578900000000001</v>
      </c>
      <c r="BO189">
        <v>800.03</v>
      </c>
      <c r="BP189">
        <v>5.6382899999999996</v>
      </c>
      <c r="BQ189">
        <v>2.39724</v>
      </c>
      <c r="BR189">
        <v>0.55813000000000001</v>
      </c>
      <c r="BS189">
        <v>20.345199999999998</v>
      </c>
      <c r="BT189">
        <v>-1.29863</v>
      </c>
      <c r="BU189">
        <v>1800</v>
      </c>
      <c r="BV189">
        <v>0.90998900000000005</v>
      </c>
      <c r="BW189">
        <v>3.4005899999999999E-2</v>
      </c>
      <c r="BX189">
        <v>2.1990900000000001E-2</v>
      </c>
      <c r="BY189">
        <v>3.4014299999999997E-2</v>
      </c>
      <c r="BZ189">
        <v>25</v>
      </c>
      <c r="CA189">
        <v>33528.400000000001</v>
      </c>
      <c r="CB189">
        <v>1690232006</v>
      </c>
      <c r="CC189" t="s">
        <v>332</v>
      </c>
      <c r="CD189">
        <v>1690232006</v>
      </c>
      <c r="CE189">
        <v>1690231998.5</v>
      </c>
      <c r="CF189">
        <v>14</v>
      </c>
      <c r="CG189">
        <v>-0.13200000000000001</v>
      </c>
      <c r="CH189">
        <v>-7.0000000000000001E-3</v>
      </c>
      <c r="CI189">
        <v>-0.33800000000000002</v>
      </c>
      <c r="CJ189">
        <v>0.14299999999999999</v>
      </c>
      <c r="CK189">
        <v>799</v>
      </c>
      <c r="CL189">
        <v>19</v>
      </c>
      <c r="CM189">
        <v>7.0000000000000007E-2</v>
      </c>
      <c r="CN189">
        <v>0.14000000000000001</v>
      </c>
      <c r="CO189">
        <v>-295.21021951219512</v>
      </c>
      <c r="CP189">
        <v>-4.0707177700349382</v>
      </c>
      <c r="CQ189">
        <v>0.40620285165474079</v>
      </c>
      <c r="CR189">
        <v>-1</v>
      </c>
      <c r="CS189">
        <v>18.508802439024389</v>
      </c>
      <c r="CT189">
        <v>0.44673031358890442</v>
      </c>
      <c r="CU189">
        <v>4.4619384870774402E-2</v>
      </c>
      <c r="CV189">
        <v>-1</v>
      </c>
      <c r="CW189">
        <v>0</v>
      </c>
      <c r="CX189">
        <v>0</v>
      </c>
      <c r="CY189" t="s">
        <v>333</v>
      </c>
      <c r="CZ189">
        <v>2.3647</v>
      </c>
      <c r="DA189">
        <v>2.7137500000000001</v>
      </c>
      <c r="DB189">
        <v>0.106368</v>
      </c>
      <c r="DC189">
        <v>0.146069</v>
      </c>
      <c r="DD189">
        <v>0.114673</v>
      </c>
      <c r="DE189">
        <v>3.7494699999999999E-2</v>
      </c>
      <c r="DF189">
        <v>32660.2</v>
      </c>
      <c r="DG189">
        <v>27558.7</v>
      </c>
      <c r="DH189">
        <v>31199.599999999999</v>
      </c>
      <c r="DI189">
        <v>28120.2</v>
      </c>
      <c r="DJ189">
        <v>37499.9</v>
      </c>
      <c r="DK189">
        <v>38495.5</v>
      </c>
      <c r="DL189">
        <v>44405.3</v>
      </c>
      <c r="DM189">
        <v>42625.9</v>
      </c>
      <c r="DN189">
        <v>1.48678</v>
      </c>
      <c r="DO189">
        <v>2.0425200000000001</v>
      </c>
      <c r="DP189">
        <v>7.5787300000000002E-2</v>
      </c>
      <c r="DQ189">
        <v>0.202902</v>
      </c>
      <c r="DR189">
        <v>25.761800000000001</v>
      </c>
      <c r="DS189">
        <v>25.585899999999999</v>
      </c>
      <c r="DT189">
        <v>42.4</v>
      </c>
      <c r="DU189">
        <v>28.8</v>
      </c>
      <c r="DV189">
        <v>17.029399999999999</v>
      </c>
      <c r="DW189">
        <v>61.968000000000004</v>
      </c>
      <c r="DX189">
        <v>37.331699999999998</v>
      </c>
      <c r="DY189">
        <v>1</v>
      </c>
      <c r="DZ189">
        <v>-0.12024899999999999</v>
      </c>
      <c r="EA189">
        <v>-0.43628800000000001</v>
      </c>
      <c r="EB189">
        <v>20.188700000000001</v>
      </c>
      <c r="EC189">
        <v>5.2411000000000003</v>
      </c>
      <c r="ED189">
        <v>12.039899999999999</v>
      </c>
      <c r="EE189">
        <v>5.0168499999999998</v>
      </c>
      <c r="EF189">
        <v>3.2879999999999998</v>
      </c>
      <c r="EG189">
        <v>9999</v>
      </c>
      <c r="EH189">
        <v>9999</v>
      </c>
      <c r="EI189">
        <v>9999</v>
      </c>
      <c r="EJ189">
        <v>999.9</v>
      </c>
      <c r="EK189">
        <v>1.8689</v>
      </c>
      <c r="EL189">
        <v>1.8646100000000001</v>
      </c>
      <c r="EM189">
        <v>1.86917</v>
      </c>
      <c r="EN189">
        <v>1.8672200000000001</v>
      </c>
      <c r="EO189">
        <v>1.8633999999999999</v>
      </c>
      <c r="EP189">
        <v>1.8644700000000001</v>
      </c>
      <c r="EQ189">
        <v>1.8701399999999999</v>
      </c>
      <c r="ER189">
        <v>1.86937</v>
      </c>
      <c r="ES189">
        <v>0</v>
      </c>
      <c r="ET189">
        <v>0</v>
      </c>
      <c r="EU189">
        <v>0</v>
      </c>
      <c r="EV189">
        <v>0</v>
      </c>
      <c r="EW189" t="s">
        <v>334</v>
      </c>
      <c r="EX189" t="s">
        <v>335</v>
      </c>
      <c r="EY189" t="s">
        <v>336</v>
      </c>
      <c r="EZ189" t="s">
        <v>336</v>
      </c>
      <c r="FA189" t="s">
        <v>336</v>
      </c>
      <c r="FB189" t="s">
        <v>336</v>
      </c>
      <c r="FC189">
        <v>0</v>
      </c>
      <c r="FD189">
        <v>100</v>
      </c>
      <c r="FE189">
        <v>100</v>
      </c>
      <c r="FF189">
        <v>-0.129</v>
      </c>
      <c r="FG189">
        <v>0.17199999999999999</v>
      </c>
      <c r="FH189">
        <v>0.2126736300064915</v>
      </c>
      <c r="FI189">
        <v>-6.1462078757559423E-4</v>
      </c>
      <c r="FJ189">
        <v>-1.8861989874597051E-7</v>
      </c>
      <c r="FK189">
        <v>1.1980462299894961E-10</v>
      </c>
      <c r="FL189">
        <v>0.1719881465068297</v>
      </c>
      <c r="FM189">
        <v>0</v>
      </c>
      <c r="FN189">
        <v>0</v>
      </c>
      <c r="FO189">
        <v>0</v>
      </c>
      <c r="FP189">
        <v>3</v>
      </c>
      <c r="FQ189">
        <v>2158</v>
      </c>
      <c r="FR189">
        <v>1</v>
      </c>
      <c r="FS189">
        <v>19</v>
      </c>
      <c r="FT189">
        <v>38.1</v>
      </c>
      <c r="FU189">
        <v>38.299999999999997</v>
      </c>
      <c r="FV189">
        <v>1.7687999999999999</v>
      </c>
      <c r="FW189">
        <v>2.5903299999999998</v>
      </c>
      <c r="FX189">
        <v>1.5490699999999999</v>
      </c>
      <c r="FY189">
        <v>2.3278799999999999</v>
      </c>
      <c r="FZ189">
        <v>1.50146</v>
      </c>
      <c r="GA189">
        <v>2.34375</v>
      </c>
      <c r="GB189">
        <v>33.512999999999998</v>
      </c>
      <c r="GC189">
        <v>23.982399999999998</v>
      </c>
      <c r="GD189">
        <v>19</v>
      </c>
      <c r="GE189">
        <v>285.90100000000001</v>
      </c>
      <c r="GF189">
        <v>584.327</v>
      </c>
      <c r="GG189">
        <v>25.675000000000001</v>
      </c>
      <c r="GH189">
        <v>25.8992</v>
      </c>
      <c r="GI189">
        <v>30.0002</v>
      </c>
      <c r="GJ189">
        <v>26.0151</v>
      </c>
      <c r="GK189">
        <v>25.9937</v>
      </c>
      <c r="GL189">
        <v>35.3718</v>
      </c>
      <c r="GM189">
        <v>63.939300000000003</v>
      </c>
      <c r="GN189">
        <v>52.420900000000003</v>
      </c>
      <c r="GO189">
        <v>25.676500000000001</v>
      </c>
      <c r="GP189">
        <v>800</v>
      </c>
      <c r="GQ189">
        <v>5.5697799999999997</v>
      </c>
      <c r="GR189">
        <v>99.832499999999996</v>
      </c>
      <c r="GS189">
        <v>99.711799999999997</v>
      </c>
    </row>
    <row r="190" spans="1:201" x14ac:dyDescent="0.25">
      <c r="A190">
        <v>174</v>
      </c>
      <c r="B190">
        <v>1690234305</v>
      </c>
      <c r="C190">
        <v>1798.900000095367</v>
      </c>
      <c r="D190" t="s">
        <v>679</v>
      </c>
      <c r="E190" t="s">
        <v>680</v>
      </c>
      <c r="F190" t="s">
        <v>330</v>
      </c>
      <c r="H190">
        <v>1690234305</v>
      </c>
      <c r="I190">
        <f t="shared" si="60"/>
        <v>1.7699478978642918E-3</v>
      </c>
      <c r="J190">
        <f t="shared" si="61"/>
        <v>1.7699478978642917</v>
      </c>
      <c r="K190">
        <f t="shared" si="62"/>
        <v>26.601049003915669</v>
      </c>
      <c r="L190">
        <f t="shared" si="63"/>
        <v>503.41699999999997</v>
      </c>
      <c r="M190">
        <f t="shared" si="64"/>
        <v>109.15970375850017</v>
      </c>
      <c r="N190">
        <f t="shared" si="65"/>
        <v>10.8165252307678</v>
      </c>
      <c r="O190">
        <f t="shared" si="66"/>
        <v>49.883084092498002</v>
      </c>
      <c r="P190">
        <f t="shared" si="67"/>
        <v>0.11292644024684438</v>
      </c>
      <c r="Q190">
        <f t="shared" si="68"/>
        <v>2.1301969007063275</v>
      </c>
      <c r="R190">
        <f t="shared" si="69"/>
        <v>0.10970298972093419</v>
      </c>
      <c r="S190">
        <f t="shared" si="70"/>
        <v>6.8846318602657636E-2</v>
      </c>
      <c r="T190">
        <f t="shared" si="71"/>
        <v>276.11436621600001</v>
      </c>
      <c r="U190">
        <f t="shared" si="72"/>
        <v>28.672507448822106</v>
      </c>
      <c r="V190">
        <f t="shared" si="73"/>
        <v>28.672507448822106</v>
      </c>
      <c r="W190">
        <f t="shared" si="74"/>
        <v>3.9461848829284722</v>
      </c>
      <c r="X190">
        <f t="shared" si="75"/>
        <v>66.599101150850828</v>
      </c>
      <c r="Y190">
        <f t="shared" si="76"/>
        <v>2.3986670955568004</v>
      </c>
      <c r="Z190">
        <f t="shared" si="77"/>
        <v>3.6016508543015924</v>
      </c>
      <c r="AA190">
        <f t="shared" si="78"/>
        <v>1.5475177873716719</v>
      </c>
      <c r="AB190">
        <f t="shared" si="79"/>
        <v>-78.054702295815275</v>
      </c>
      <c r="AC190">
        <f t="shared" si="80"/>
        <v>-179.82229934815817</v>
      </c>
      <c r="AD190">
        <f t="shared" si="81"/>
        <v>-18.380591925274725</v>
      </c>
      <c r="AE190">
        <f t="shared" si="82"/>
        <v>-0.14322735324813607</v>
      </c>
      <c r="AF190">
        <v>0</v>
      </c>
      <c r="AG190">
        <v>0</v>
      </c>
      <c r="AH190">
        <f t="shared" si="83"/>
        <v>1</v>
      </c>
      <c r="AI190">
        <f t="shared" si="84"/>
        <v>0</v>
      </c>
      <c r="AJ190">
        <f t="shared" si="85"/>
        <v>52339.477191126338</v>
      </c>
      <c r="AK190">
        <f t="shared" si="86"/>
        <v>1800</v>
      </c>
      <c r="AL190">
        <f t="shared" si="87"/>
        <v>1499.1074405999998</v>
      </c>
      <c r="AM190">
        <f t="shared" si="88"/>
        <v>0.83283746699999994</v>
      </c>
      <c r="AN190">
        <f t="shared" si="89"/>
        <v>0.15339687012</v>
      </c>
      <c r="AO190">
        <v>32.4</v>
      </c>
      <c r="AP190">
        <v>0.5</v>
      </c>
      <c r="AQ190" t="s">
        <v>331</v>
      </c>
      <c r="AR190">
        <v>2</v>
      </c>
      <c r="AS190">
        <v>1690234305</v>
      </c>
      <c r="AT190">
        <v>503.41699999999997</v>
      </c>
      <c r="AU190">
        <v>800.096</v>
      </c>
      <c r="AV190">
        <v>24.2072</v>
      </c>
      <c r="AW190">
        <v>5.56928</v>
      </c>
      <c r="AX190">
        <v>503.54700000000003</v>
      </c>
      <c r="AY190">
        <v>24.0352</v>
      </c>
      <c r="AZ190">
        <v>300.238</v>
      </c>
      <c r="BA190">
        <v>98.988900000000001</v>
      </c>
      <c r="BB190">
        <v>0.100094</v>
      </c>
      <c r="BC190">
        <v>27.1067</v>
      </c>
      <c r="BD190">
        <v>27.002700000000001</v>
      </c>
      <c r="BE190">
        <v>28.906300000000002</v>
      </c>
      <c r="BF190">
        <v>0</v>
      </c>
      <c r="BG190">
        <v>0</v>
      </c>
      <c r="BH190">
        <v>10003.1</v>
      </c>
      <c r="BI190">
        <v>1081.56</v>
      </c>
      <c r="BJ190">
        <v>1.4577199999999999</v>
      </c>
      <c r="BK190">
        <v>-296.67899999999997</v>
      </c>
      <c r="BL190">
        <v>515.90599999999995</v>
      </c>
      <c r="BM190">
        <v>804.577</v>
      </c>
      <c r="BN190">
        <v>18.638000000000002</v>
      </c>
      <c r="BO190">
        <v>800.096</v>
      </c>
      <c r="BP190">
        <v>5.56928</v>
      </c>
      <c r="BQ190">
        <v>2.3962500000000002</v>
      </c>
      <c r="BR190">
        <v>0.55129700000000004</v>
      </c>
      <c r="BS190">
        <v>20.3384</v>
      </c>
      <c r="BT190">
        <v>-1.4662999999999999</v>
      </c>
      <c r="BU190">
        <v>1800</v>
      </c>
      <c r="BV190">
        <v>0.90998800000000002</v>
      </c>
      <c r="BW190">
        <v>3.40062E-2</v>
      </c>
      <c r="BX190">
        <v>2.19911E-2</v>
      </c>
      <c r="BY190">
        <v>3.4014599999999999E-2</v>
      </c>
      <c r="BZ190">
        <v>25</v>
      </c>
      <c r="CA190">
        <v>33528.400000000001</v>
      </c>
      <c r="CB190">
        <v>1690232006</v>
      </c>
      <c r="CC190" t="s">
        <v>332</v>
      </c>
      <c r="CD190">
        <v>1690232006</v>
      </c>
      <c r="CE190">
        <v>1690231998.5</v>
      </c>
      <c r="CF190">
        <v>14</v>
      </c>
      <c r="CG190">
        <v>-0.13200000000000001</v>
      </c>
      <c r="CH190">
        <v>-7.0000000000000001E-3</v>
      </c>
      <c r="CI190">
        <v>-0.33800000000000002</v>
      </c>
      <c r="CJ190">
        <v>0.14299999999999999</v>
      </c>
      <c r="CK190">
        <v>799</v>
      </c>
      <c r="CL190">
        <v>19</v>
      </c>
      <c r="CM190">
        <v>7.0000000000000007E-2</v>
      </c>
      <c r="CN190">
        <v>0.14000000000000001</v>
      </c>
      <c r="CO190">
        <v>-295.799243902439</v>
      </c>
      <c r="CP190">
        <v>-3.6517839721259229</v>
      </c>
      <c r="CQ190">
        <v>0.36294525425299778</v>
      </c>
      <c r="CR190">
        <v>-1</v>
      </c>
      <c r="CS190">
        <v>18.57070487804878</v>
      </c>
      <c r="CT190">
        <v>0.39560278745644611</v>
      </c>
      <c r="CU190">
        <v>3.9632734383855277E-2</v>
      </c>
      <c r="CV190">
        <v>-1</v>
      </c>
      <c r="CW190">
        <v>0</v>
      </c>
      <c r="CX190">
        <v>0</v>
      </c>
      <c r="CY190" t="s">
        <v>333</v>
      </c>
      <c r="CZ190">
        <v>2.3651800000000001</v>
      </c>
      <c r="DA190">
        <v>2.7138900000000001</v>
      </c>
      <c r="DB190">
        <v>0.106253</v>
      </c>
      <c r="DC190">
        <v>0.14607500000000001</v>
      </c>
      <c r="DD190">
        <v>0.114639</v>
      </c>
      <c r="DE190">
        <v>3.7116499999999997E-2</v>
      </c>
      <c r="DF190">
        <v>32664.3</v>
      </c>
      <c r="DG190">
        <v>27558.6</v>
      </c>
      <c r="DH190">
        <v>31199.5</v>
      </c>
      <c r="DI190">
        <v>28120.400000000001</v>
      </c>
      <c r="DJ190">
        <v>37501.300000000003</v>
      </c>
      <c r="DK190">
        <v>38510.9</v>
      </c>
      <c r="DL190">
        <v>44405.3</v>
      </c>
      <c r="DM190">
        <v>42626.1</v>
      </c>
      <c r="DN190">
        <v>1.4867999999999999</v>
      </c>
      <c r="DO190">
        <v>2.0425</v>
      </c>
      <c r="DP190">
        <v>7.58022E-2</v>
      </c>
      <c r="DQ190">
        <v>0.20294599999999999</v>
      </c>
      <c r="DR190">
        <v>25.761800000000001</v>
      </c>
      <c r="DS190">
        <v>25.5886</v>
      </c>
      <c r="DT190">
        <v>42.1</v>
      </c>
      <c r="DU190">
        <v>28.8</v>
      </c>
      <c r="DV190">
        <v>16.907900000000001</v>
      </c>
      <c r="DW190">
        <v>61.868000000000002</v>
      </c>
      <c r="DX190">
        <v>36.498399999999997</v>
      </c>
      <c r="DY190">
        <v>1</v>
      </c>
      <c r="DZ190">
        <v>-0.120323</v>
      </c>
      <c r="EA190">
        <v>-0.43032100000000001</v>
      </c>
      <c r="EB190">
        <v>20.1889</v>
      </c>
      <c r="EC190">
        <v>5.2415500000000002</v>
      </c>
      <c r="ED190">
        <v>12.039899999999999</v>
      </c>
      <c r="EE190">
        <v>5.0169499999999996</v>
      </c>
      <c r="EF190">
        <v>3.2879999999999998</v>
      </c>
      <c r="EG190">
        <v>9999</v>
      </c>
      <c r="EH190">
        <v>9999</v>
      </c>
      <c r="EI190">
        <v>9999</v>
      </c>
      <c r="EJ190">
        <v>999.9</v>
      </c>
      <c r="EK190">
        <v>1.8689</v>
      </c>
      <c r="EL190">
        <v>1.8646100000000001</v>
      </c>
      <c r="EM190">
        <v>1.86917</v>
      </c>
      <c r="EN190">
        <v>1.8672200000000001</v>
      </c>
      <c r="EO190">
        <v>1.86338</v>
      </c>
      <c r="EP190">
        <v>1.8644700000000001</v>
      </c>
      <c r="EQ190">
        <v>1.87012</v>
      </c>
      <c r="ER190">
        <v>1.8693500000000001</v>
      </c>
      <c r="ES190">
        <v>0</v>
      </c>
      <c r="ET190">
        <v>0</v>
      </c>
      <c r="EU190">
        <v>0</v>
      </c>
      <c r="EV190">
        <v>0</v>
      </c>
      <c r="EW190" t="s">
        <v>334</v>
      </c>
      <c r="EX190" t="s">
        <v>335</v>
      </c>
      <c r="EY190" t="s">
        <v>336</v>
      </c>
      <c r="EZ190" t="s">
        <v>336</v>
      </c>
      <c r="FA190" t="s">
        <v>336</v>
      </c>
      <c r="FB190" t="s">
        <v>336</v>
      </c>
      <c r="FC190">
        <v>0</v>
      </c>
      <c r="FD190">
        <v>100</v>
      </c>
      <c r="FE190">
        <v>100</v>
      </c>
      <c r="FF190">
        <v>-0.13</v>
      </c>
      <c r="FG190">
        <v>0.17199999999999999</v>
      </c>
      <c r="FH190">
        <v>0.2126736300064915</v>
      </c>
      <c r="FI190">
        <v>-6.1462078757559423E-4</v>
      </c>
      <c r="FJ190">
        <v>-1.8861989874597051E-7</v>
      </c>
      <c r="FK190">
        <v>1.1980462299894961E-10</v>
      </c>
      <c r="FL190">
        <v>0.1719881465068297</v>
      </c>
      <c r="FM190">
        <v>0</v>
      </c>
      <c r="FN190">
        <v>0</v>
      </c>
      <c r="FO190">
        <v>0</v>
      </c>
      <c r="FP190">
        <v>3</v>
      </c>
      <c r="FQ190">
        <v>2158</v>
      </c>
      <c r="FR190">
        <v>1</v>
      </c>
      <c r="FS190">
        <v>19</v>
      </c>
      <c r="FT190">
        <v>38.299999999999997</v>
      </c>
      <c r="FU190">
        <v>38.4</v>
      </c>
      <c r="FV190">
        <v>1.7687999999999999</v>
      </c>
      <c r="FW190">
        <v>2.5854499999999998</v>
      </c>
      <c r="FX190">
        <v>1.5490699999999999</v>
      </c>
      <c r="FY190">
        <v>2.3278799999999999</v>
      </c>
      <c r="FZ190">
        <v>1.50146</v>
      </c>
      <c r="GA190">
        <v>2.32544</v>
      </c>
      <c r="GB190">
        <v>33.512999999999998</v>
      </c>
      <c r="GC190">
        <v>23.991199999999999</v>
      </c>
      <c r="GD190">
        <v>19</v>
      </c>
      <c r="GE190">
        <v>285.90800000000002</v>
      </c>
      <c r="GF190">
        <v>584.30700000000002</v>
      </c>
      <c r="GG190">
        <v>25.675599999999999</v>
      </c>
      <c r="GH190">
        <v>25.8992</v>
      </c>
      <c r="GI190">
        <v>30.0001</v>
      </c>
      <c r="GJ190">
        <v>26.014299999999999</v>
      </c>
      <c r="GK190">
        <v>25.9937</v>
      </c>
      <c r="GL190">
        <v>35.368600000000001</v>
      </c>
      <c r="GM190">
        <v>63.939300000000003</v>
      </c>
      <c r="GN190">
        <v>51.6417</v>
      </c>
      <c r="GO190">
        <v>25.675599999999999</v>
      </c>
      <c r="GP190">
        <v>800</v>
      </c>
      <c r="GQ190">
        <v>5.4924799999999996</v>
      </c>
      <c r="GR190">
        <v>99.832300000000004</v>
      </c>
      <c r="GS190">
        <v>99.712400000000002</v>
      </c>
    </row>
    <row r="191" spans="1:201" x14ac:dyDescent="0.25">
      <c r="A191">
        <v>175</v>
      </c>
      <c r="B191">
        <v>1690234315</v>
      </c>
      <c r="C191">
        <v>1808.900000095367</v>
      </c>
      <c r="D191" t="s">
        <v>681</v>
      </c>
      <c r="E191" t="s">
        <v>682</v>
      </c>
      <c r="F191" t="s">
        <v>330</v>
      </c>
      <c r="H191">
        <v>1690234315</v>
      </c>
      <c r="I191">
        <f t="shared" si="60"/>
        <v>1.7792915303637487E-3</v>
      </c>
      <c r="J191">
        <f t="shared" si="61"/>
        <v>1.7792915303637487</v>
      </c>
      <c r="K191">
        <f t="shared" si="62"/>
        <v>26.632484412765198</v>
      </c>
      <c r="L191">
        <f t="shared" si="63"/>
        <v>502.92899999999997</v>
      </c>
      <c r="M191">
        <f t="shared" si="64"/>
        <v>109.96910950068157</v>
      </c>
      <c r="N191">
        <f t="shared" si="65"/>
        <v>10.896852036777458</v>
      </c>
      <c r="O191">
        <f t="shared" si="66"/>
        <v>49.835293955621999</v>
      </c>
      <c r="P191">
        <f t="shared" si="67"/>
        <v>0.11345432297391883</v>
      </c>
      <c r="Q191">
        <f t="shared" si="68"/>
        <v>2.1319576134915401</v>
      </c>
      <c r="R191">
        <f t="shared" si="69"/>
        <v>0.11020373671386366</v>
      </c>
      <c r="S191">
        <f t="shared" si="70"/>
        <v>6.9161630175122404E-2</v>
      </c>
      <c r="T191">
        <f t="shared" si="71"/>
        <v>276.11424831599999</v>
      </c>
      <c r="U191">
        <f t="shared" si="72"/>
        <v>28.670274044766831</v>
      </c>
      <c r="V191">
        <f t="shared" si="73"/>
        <v>28.670274044766831</v>
      </c>
      <c r="W191">
        <f t="shared" si="74"/>
        <v>3.9456736790530238</v>
      </c>
      <c r="X191">
        <f t="shared" si="75"/>
        <v>66.544768636687138</v>
      </c>
      <c r="Y191">
        <f t="shared" si="76"/>
        <v>2.3970196814554003</v>
      </c>
      <c r="Z191">
        <f t="shared" si="77"/>
        <v>3.6021158846345247</v>
      </c>
      <c r="AA191">
        <f t="shared" si="78"/>
        <v>1.5486539975976235</v>
      </c>
      <c r="AB191">
        <f t="shared" si="79"/>
        <v>-78.466756489041316</v>
      </c>
      <c r="AC191">
        <f t="shared" si="80"/>
        <v>-179.46136431259353</v>
      </c>
      <c r="AD191">
        <f t="shared" si="81"/>
        <v>-18.328545635253548</v>
      </c>
      <c r="AE191">
        <f t="shared" si="82"/>
        <v>-0.14241812088837946</v>
      </c>
      <c r="AF191">
        <v>0</v>
      </c>
      <c r="AG191">
        <v>0</v>
      </c>
      <c r="AH191">
        <f t="shared" si="83"/>
        <v>1</v>
      </c>
      <c r="AI191">
        <f t="shared" si="84"/>
        <v>0</v>
      </c>
      <c r="AJ191">
        <f t="shared" si="85"/>
        <v>52414.983015216123</v>
      </c>
      <c r="AK191">
        <f t="shared" si="86"/>
        <v>1800</v>
      </c>
      <c r="AL191">
        <f t="shared" si="87"/>
        <v>1499.1075935999997</v>
      </c>
      <c r="AM191">
        <f t="shared" si="88"/>
        <v>0.83283755199999987</v>
      </c>
      <c r="AN191">
        <f t="shared" si="89"/>
        <v>0.15339680461999999</v>
      </c>
      <c r="AO191">
        <v>32.4</v>
      </c>
      <c r="AP191">
        <v>0.5</v>
      </c>
      <c r="AQ191" t="s">
        <v>331</v>
      </c>
      <c r="AR191">
        <v>2</v>
      </c>
      <c r="AS191">
        <v>1690234315</v>
      </c>
      <c r="AT191">
        <v>502.92899999999997</v>
      </c>
      <c r="AU191">
        <v>800.048</v>
      </c>
      <c r="AV191">
        <v>24.190300000000001</v>
      </c>
      <c r="AW191">
        <v>5.4499199999999997</v>
      </c>
      <c r="AX191">
        <v>503.05799999999999</v>
      </c>
      <c r="AY191">
        <v>24.0183</v>
      </c>
      <c r="AZ191">
        <v>300.178</v>
      </c>
      <c r="BA191">
        <v>98.990099999999998</v>
      </c>
      <c r="BB191">
        <v>0.100018</v>
      </c>
      <c r="BC191">
        <v>27.108899999999998</v>
      </c>
      <c r="BD191">
        <v>26.998000000000001</v>
      </c>
      <c r="BE191">
        <v>28.886199999999999</v>
      </c>
      <c r="BF191">
        <v>0</v>
      </c>
      <c r="BG191">
        <v>0</v>
      </c>
      <c r="BH191">
        <v>10018.1</v>
      </c>
      <c r="BI191">
        <v>1081.43</v>
      </c>
      <c r="BJ191">
        <v>1.4577199999999999</v>
      </c>
      <c r="BK191">
        <v>-297.11799999999999</v>
      </c>
      <c r="BL191">
        <v>515.39700000000005</v>
      </c>
      <c r="BM191">
        <v>804.43200000000002</v>
      </c>
      <c r="BN191">
        <v>18.740400000000001</v>
      </c>
      <c r="BO191">
        <v>800.048</v>
      </c>
      <c r="BP191">
        <v>5.4499199999999997</v>
      </c>
      <c r="BQ191">
        <v>2.3946000000000001</v>
      </c>
      <c r="BR191">
        <v>0.539489</v>
      </c>
      <c r="BS191">
        <v>20.327300000000001</v>
      </c>
      <c r="BT191">
        <v>-1.7604299999999999</v>
      </c>
      <c r="BU191">
        <v>1800</v>
      </c>
      <c r="BV191">
        <v>0.90998999999999997</v>
      </c>
      <c r="BW191">
        <v>3.4005399999999998E-2</v>
      </c>
      <c r="BX191">
        <v>2.1990599999999999E-2</v>
      </c>
      <c r="BY191">
        <v>3.4013799999999997E-2</v>
      </c>
      <c r="BZ191">
        <v>25</v>
      </c>
      <c r="CA191">
        <v>33528.400000000001</v>
      </c>
      <c r="CB191">
        <v>1690232006</v>
      </c>
      <c r="CC191" t="s">
        <v>332</v>
      </c>
      <c r="CD191">
        <v>1690232006</v>
      </c>
      <c r="CE191">
        <v>1690231998.5</v>
      </c>
      <c r="CF191">
        <v>14</v>
      </c>
      <c r="CG191">
        <v>-0.13200000000000001</v>
      </c>
      <c r="CH191">
        <v>-7.0000000000000001E-3</v>
      </c>
      <c r="CI191">
        <v>-0.33800000000000002</v>
      </c>
      <c r="CJ191">
        <v>0.14299999999999999</v>
      </c>
      <c r="CK191">
        <v>799</v>
      </c>
      <c r="CL191">
        <v>19</v>
      </c>
      <c r="CM191">
        <v>7.0000000000000007E-2</v>
      </c>
      <c r="CN191">
        <v>0.14000000000000001</v>
      </c>
      <c r="CO191">
        <v>-296.49302499999999</v>
      </c>
      <c r="CP191">
        <v>-3.9465253283293231</v>
      </c>
      <c r="CQ191">
        <v>0.38508950177198548</v>
      </c>
      <c r="CR191">
        <v>-1</v>
      </c>
      <c r="CS191">
        <v>18.642865</v>
      </c>
      <c r="CT191">
        <v>0.46318198874294042</v>
      </c>
      <c r="CU191">
        <v>4.6080237358329473E-2</v>
      </c>
      <c r="CV191">
        <v>-1</v>
      </c>
      <c r="CW191">
        <v>0</v>
      </c>
      <c r="CX191">
        <v>0</v>
      </c>
      <c r="CY191" t="s">
        <v>333</v>
      </c>
      <c r="CZ191">
        <v>2.36497</v>
      </c>
      <c r="DA191">
        <v>2.7138300000000002</v>
      </c>
      <c r="DB191">
        <v>0.106179</v>
      </c>
      <c r="DC191">
        <v>0.146068</v>
      </c>
      <c r="DD191">
        <v>0.11458400000000001</v>
      </c>
      <c r="DE191">
        <v>3.6459900000000003E-2</v>
      </c>
      <c r="DF191">
        <v>32667.200000000001</v>
      </c>
      <c r="DG191">
        <v>27559.4</v>
      </c>
      <c r="DH191">
        <v>31199.7</v>
      </c>
      <c r="DI191">
        <v>28121</v>
      </c>
      <c r="DJ191">
        <v>37503.9</v>
      </c>
      <c r="DK191">
        <v>38537.800000000003</v>
      </c>
      <c r="DL191">
        <v>44405.7</v>
      </c>
      <c r="DM191">
        <v>42626.8</v>
      </c>
      <c r="DN191">
        <v>1.4869300000000001</v>
      </c>
      <c r="DO191">
        <v>2.0419800000000001</v>
      </c>
      <c r="DP191">
        <v>7.5519100000000006E-2</v>
      </c>
      <c r="DQ191">
        <v>0.20171700000000001</v>
      </c>
      <c r="DR191">
        <v>25.761700000000001</v>
      </c>
      <c r="DS191">
        <v>25.5886</v>
      </c>
      <c r="DT191">
        <v>41.8</v>
      </c>
      <c r="DU191">
        <v>28.8</v>
      </c>
      <c r="DV191">
        <v>16.787299999999998</v>
      </c>
      <c r="DW191">
        <v>61.408000000000001</v>
      </c>
      <c r="DX191">
        <v>37.031199999999998</v>
      </c>
      <c r="DY191">
        <v>1</v>
      </c>
      <c r="DZ191">
        <v>-0.120447</v>
      </c>
      <c r="EA191">
        <v>-0.428701</v>
      </c>
      <c r="EB191">
        <v>20.1889</v>
      </c>
      <c r="EC191">
        <v>5.2409499999999998</v>
      </c>
      <c r="ED191">
        <v>12.039899999999999</v>
      </c>
      <c r="EE191">
        <v>5.0167999999999999</v>
      </c>
      <c r="EF191">
        <v>3.2879999999999998</v>
      </c>
      <c r="EG191">
        <v>9999</v>
      </c>
      <c r="EH191">
        <v>9999</v>
      </c>
      <c r="EI191">
        <v>9999</v>
      </c>
      <c r="EJ191">
        <v>999.9</v>
      </c>
      <c r="EK191">
        <v>1.8689</v>
      </c>
      <c r="EL191">
        <v>1.8646199999999999</v>
      </c>
      <c r="EM191">
        <v>1.86917</v>
      </c>
      <c r="EN191">
        <v>1.8672200000000001</v>
      </c>
      <c r="EO191">
        <v>1.86337</v>
      </c>
      <c r="EP191">
        <v>1.8644700000000001</v>
      </c>
      <c r="EQ191">
        <v>1.87012</v>
      </c>
      <c r="ER191">
        <v>1.86937</v>
      </c>
      <c r="ES191">
        <v>0</v>
      </c>
      <c r="ET191">
        <v>0</v>
      </c>
      <c r="EU191">
        <v>0</v>
      </c>
      <c r="EV191">
        <v>0</v>
      </c>
      <c r="EW191" t="s">
        <v>334</v>
      </c>
      <c r="EX191" t="s">
        <v>335</v>
      </c>
      <c r="EY191" t="s">
        <v>336</v>
      </c>
      <c r="EZ191" t="s">
        <v>336</v>
      </c>
      <c r="FA191" t="s">
        <v>336</v>
      </c>
      <c r="FB191" t="s">
        <v>336</v>
      </c>
      <c r="FC191">
        <v>0</v>
      </c>
      <c r="FD191">
        <v>100</v>
      </c>
      <c r="FE191">
        <v>100</v>
      </c>
      <c r="FF191">
        <v>-0.129</v>
      </c>
      <c r="FG191">
        <v>0.17199999999999999</v>
      </c>
      <c r="FH191">
        <v>0.2126736300064915</v>
      </c>
      <c r="FI191">
        <v>-6.1462078757559423E-4</v>
      </c>
      <c r="FJ191">
        <v>-1.8861989874597051E-7</v>
      </c>
      <c r="FK191">
        <v>1.1980462299894961E-10</v>
      </c>
      <c r="FL191">
        <v>0.1719881465068297</v>
      </c>
      <c r="FM191">
        <v>0</v>
      </c>
      <c r="FN191">
        <v>0</v>
      </c>
      <c r="FO191">
        <v>0</v>
      </c>
      <c r="FP191">
        <v>3</v>
      </c>
      <c r="FQ191">
        <v>2158</v>
      </c>
      <c r="FR191">
        <v>1</v>
      </c>
      <c r="FS191">
        <v>19</v>
      </c>
      <c r="FT191">
        <v>38.5</v>
      </c>
      <c r="FU191">
        <v>38.6</v>
      </c>
      <c r="FV191">
        <v>1.7687999999999999</v>
      </c>
      <c r="FW191">
        <v>2.5903299999999998</v>
      </c>
      <c r="FX191">
        <v>1.5490699999999999</v>
      </c>
      <c r="FY191">
        <v>2.3278799999999999</v>
      </c>
      <c r="FZ191">
        <v>1.50146</v>
      </c>
      <c r="GA191">
        <v>2.36206</v>
      </c>
      <c r="GB191">
        <v>33.512999999999998</v>
      </c>
      <c r="GC191">
        <v>23.991199999999999</v>
      </c>
      <c r="GD191">
        <v>19</v>
      </c>
      <c r="GE191">
        <v>285.96100000000001</v>
      </c>
      <c r="GF191">
        <v>583.87300000000005</v>
      </c>
      <c r="GG191">
        <v>25.675799999999999</v>
      </c>
      <c r="GH191">
        <v>25.8992</v>
      </c>
      <c r="GI191">
        <v>30.0001</v>
      </c>
      <c r="GJ191">
        <v>26.014299999999999</v>
      </c>
      <c r="GK191">
        <v>25.9937</v>
      </c>
      <c r="GL191">
        <v>35.363999999999997</v>
      </c>
      <c r="GM191">
        <v>64.236199999999997</v>
      </c>
      <c r="GN191">
        <v>51.255499999999998</v>
      </c>
      <c r="GO191">
        <v>25.675699999999999</v>
      </c>
      <c r="GP191">
        <v>800</v>
      </c>
      <c r="GQ191">
        <v>5.4248000000000003</v>
      </c>
      <c r="GR191">
        <v>99.833200000000005</v>
      </c>
      <c r="GS191">
        <v>99.714100000000002</v>
      </c>
    </row>
    <row r="192" spans="1:201" x14ac:dyDescent="0.25">
      <c r="A192">
        <v>176</v>
      </c>
      <c r="B192">
        <v>1690234325</v>
      </c>
      <c r="C192">
        <v>1818.900000095367</v>
      </c>
      <c r="D192" t="s">
        <v>683</v>
      </c>
      <c r="E192" t="s">
        <v>684</v>
      </c>
      <c r="F192" t="s">
        <v>330</v>
      </c>
      <c r="H192">
        <v>1690234325</v>
      </c>
      <c r="I192">
        <f t="shared" si="60"/>
        <v>1.7827258608798843E-3</v>
      </c>
      <c r="J192">
        <f t="shared" si="61"/>
        <v>1.7827258608798844</v>
      </c>
      <c r="K192">
        <f t="shared" si="62"/>
        <v>26.686611003802515</v>
      </c>
      <c r="L192">
        <f t="shared" si="63"/>
        <v>502.36099999999999</v>
      </c>
      <c r="M192">
        <f t="shared" si="64"/>
        <v>108.68557078448433</v>
      </c>
      <c r="N192">
        <f t="shared" si="65"/>
        <v>10.769899381852378</v>
      </c>
      <c r="O192">
        <f t="shared" si="66"/>
        <v>49.780089337664997</v>
      </c>
      <c r="P192">
        <f t="shared" si="67"/>
        <v>0.11347222409819653</v>
      </c>
      <c r="Q192">
        <f t="shared" si="68"/>
        <v>2.1314819003076932</v>
      </c>
      <c r="R192">
        <f t="shared" si="69"/>
        <v>0.11021992450184062</v>
      </c>
      <c r="S192">
        <f t="shared" si="70"/>
        <v>6.9171894522440783E-2</v>
      </c>
      <c r="T192">
        <f t="shared" si="71"/>
        <v>276.11430564599999</v>
      </c>
      <c r="U192">
        <f t="shared" si="72"/>
        <v>28.672689466277401</v>
      </c>
      <c r="V192">
        <f t="shared" si="73"/>
        <v>28.672689466277401</v>
      </c>
      <c r="W192">
        <f t="shared" si="74"/>
        <v>3.9462265474510283</v>
      </c>
      <c r="X192">
        <f t="shared" si="75"/>
        <v>66.469239925308671</v>
      </c>
      <c r="Y192">
        <f t="shared" si="76"/>
        <v>2.3947627682550001</v>
      </c>
      <c r="Z192">
        <f t="shared" si="77"/>
        <v>3.6028135284019935</v>
      </c>
      <c r="AA192">
        <f t="shared" si="78"/>
        <v>1.5514637791960282</v>
      </c>
      <c r="AB192">
        <f t="shared" si="79"/>
        <v>-78.6182104648029</v>
      </c>
      <c r="AC192">
        <f t="shared" si="80"/>
        <v>-179.3196712168556</v>
      </c>
      <c r="AD192">
        <f t="shared" si="81"/>
        <v>-18.318683604060759</v>
      </c>
      <c r="AE192">
        <f t="shared" si="82"/>
        <v>-0.14225963971927058</v>
      </c>
      <c r="AF192">
        <v>0</v>
      </c>
      <c r="AG192">
        <v>0</v>
      </c>
      <c r="AH192">
        <f t="shared" si="83"/>
        <v>1</v>
      </c>
      <c r="AI192">
        <f t="shared" si="84"/>
        <v>0</v>
      </c>
      <c r="AJ192">
        <f t="shared" si="85"/>
        <v>52393.948639289512</v>
      </c>
      <c r="AK192">
        <f t="shared" si="86"/>
        <v>1800</v>
      </c>
      <c r="AL192">
        <f t="shared" si="87"/>
        <v>1499.1078545999999</v>
      </c>
      <c r="AM192">
        <f t="shared" si="88"/>
        <v>0.83283769699999988</v>
      </c>
      <c r="AN192">
        <f t="shared" si="89"/>
        <v>0.15339683646999999</v>
      </c>
      <c r="AO192">
        <v>32.4</v>
      </c>
      <c r="AP192">
        <v>0.5</v>
      </c>
      <c r="AQ192" t="s">
        <v>331</v>
      </c>
      <c r="AR192">
        <v>2</v>
      </c>
      <c r="AS192">
        <v>1690234325</v>
      </c>
      <c r="AT192">
        <v>502.36099999999999</v>
      </c>
      <c r="AU192">
        <v>800.06399999999996</v>
      </c>
      <c r="AV192">
        <v>24.167000000000002</v>
      </c>
      <c r="AW192">
        <v>5.3905000000000003</v>
      </c>
      <c r="AX192">
        <v>502.49</v>
      </c>
      <c r="AY192">
        <v>23.995000000000001</v>
      </c>
      <c r="AZ192">
        <v>300.18599999999998</v>
      </c>
      <c r="BA192">
        <v>98.992199999999997</v>
      </c>
      <c r="BB192">
        <v>0.100065</v>
      </c>
      <c r="BC192">
        <v>27.112200000000001</v>
      </c>
      <c r="BD192">
        <v>26.9969</v>
      </c>
      <c r="BE192">
        <v>28.878799999999998</v>
      </c>
      <c r="BF192">
        <v>0</v>
      </c>
      <c r="BG192">
        <v>0</v>
      </c>
      <c r="BH192">
        <v>10013.799999999999</v>
      </c>
      <c r="BI192">
        <v>1081.54</v>
      </c>
      <c r="BJ192">
        <v>1.4268799999999999</v>
      </c>
      <c r="BK192">
        <v>-297.70299999999997</v>
      </c>
      <c r="BL192">
        <v>514.80200000000002</v>
      </c>
      <c r="BM192">
        <v>804.4</v>
      </c>
      <c r="BN192">
        <v>18.776499999999999</v>
      </c>
      <c r="BO192">
        <v>800.06399999999996</v>
      </c>
      <c r="BP192">
        <v>5.3905000000000003</v>
      </c>
      <c r="BQ192">
        <v>2.3923399999999999</v>
      </c>
      <c r="BR192">
        <v>0.53361800000000004</v>
      </c>
      <c r="BS192">
        <v>20.312000000000001</v>
      </c>
      <c r="BT192">
        <v>-1.90879</v>
      </c>
      <c r="BU192">
        <v>1800</v>
      </c>
      <c r="BV192">
        <v>0.90998999999999997</v>
      </c>
      <c r="BW192">
        <v>3.4005500000000001E-2</v>
      </c>
      <c r="BX192">
        <v>2.1990599999999999E-2</v>
      </c>
      <c r="BY192">
        <v>3.40139E-2</v>
      </c>
      <c r="BZ192">
        <v>25</v>
      </c>
      <c r="CA192">
        <v>33528.5</v>
      </c>
      <c r="CB192">
        <v>1690232006</v>
      </c>
      <c r="CC192" t="s">
        <v>332</v>
      </c>
      <c r="CD192">
        <v>1690232006</v>
      </c>
      <c r="CE192">
        <v>1690231998.5</v>
      </c>
      <c r="CF192">
        <v>14</v>
      </c>
      <c r="CG192">
        <v>-0.13200000000000001</v>
      </c>
      <c r="CH192">
        <v>-7.0000000000000001E-3</v>
      </c>
      <c r="CI192">
        <v>-0.33800000000000002</v>
      </c>
      <c r="CJ192">
        <v>0.14299999999999999</v>
      </c>
      <c r="CK192">
        <v>799</v>
      </c>
      <c r="CL192">
        <v>19</v>
      </c>
      <c r="CM192">
        <v>7.0000000000000007E-2</v>
      </c>
      <c r="CN192">
        <v>0.14000000000000001</v>
      </c>
      <c r="CO192">
        <v>-297.06357500000001</v>
      </c>
      <c r="CP192">
        <v>-2.6030881801123531</v>
      </c>
      <c r="CQ192">
        <v>0.26732759748107171</v>
      </c>
      <c r="CR192">
        <v>-1</v>
      </c>
      <c r="CS192">
        <v>18.718129999999999</v>
      </c>
      <c r="CT192">
        <v>0.47067917448405278</v>
      </c>
      <c r="CU192">
        <v>4.7191377390366662E-2</v>
      </c>
      <c r="CV192">
        <v>-1</v>
      </c>
      <c r="CW192">
        <v>0</v>
      </c>
      <c r="CX192">
        <v>0</v>
      </c>
      <c r="CY192" t="s">
        <v>333</v>
      </c>
      <c r="CZ192">
        <v>2.3649900000000001</v>
      </c>
      <c r="DA192">
        <v>2.71387</v>
      </c>
      <c r="DB192">
        <v>0.10609399999999999</v>
      </c>
      <c r="DC192">
        <v>0.14607200000000001</v>
      </c>
      <c r="DD192">
        <v>0.114509</v>
      </c>
      <c r="DE192">
        <v>3.6131999999999997E-2</v>
      </c>
      <c r="DF192">
        <v>32670.5</v>
      </c>
      <c r="DG192">
        <v>27558.7</v>
      </c>
      <c r="DH192">
        <v>31199.8</v>
      </c>
      <c r="DI192">
        <v>28120.400000000001</v>
      </c>
      <c r="DJ192">
        <v>37507.199999999997</v>
      </c>
      <c r="DK192">
        <v>38550.199999999997</v>
      </c>
      <c r="DL192">
        <v>44405.7</v>
      </c>
      <c r="DM192">
        <v>42625.9</v>
      </c>
      <c r="DN192">
        <v>1.4869000000000001</v>
      </c>
      <c r="DO192">
        <v>2.0419200000000002</v>
      </c>
      <c r="DP192">
        <v>7.5578699999999999E-2</v>
      </c>
      <c r="DQ192">
        <v>0.201128</v>
      </c>
      <c r="DR192">
        <v>25.759599999999999</v>
      </c>
      <c r="DS192">
        <v>25.590800000000002</v>
      </c>
      <c r="DT192">
        <v>41.4</v>
      </c>
      <c r="DU192">
        <v>28.8</v>
      </c>
      <c r="DV192">
        <v>16.625900000000001</v>
      </c>
      <c r="DW192">
        <v>61.548000000000002</v>
      </c>
      <c r="DX192">
        <v>36.814900000000002</v>
      </c>
      <c r="DY192">
        <v>1</v>
      </c>
      <c r="DZ192">
        <v>-0.120211</v>
      </c>
      <c r="EA192">
        <v>-0.42775600000000003</v>
      </c>
      <c r="EB192">
        <v>20.188800000000001</v>
      </c>
      <c r="EC192">
        <v>5.2413999999999996</v>
      </c>
      <c r="ED192">
        <v>12.039899999999999</v>
      </c>
      <c r="EE192">
        <v>5.0170500000000002</v>
      </c>
      <c r="EF192">
        <v>3.2879999999999998</v>
      </c>
      <c r="EG192">
        <v>9999</v>
      </c>
      <c r="EH192">
        <v>9999</v>
      </c>
      <c r="EI192">
        <v>9999</v>
      </c>
      <c r="EJ192">
        <v>999.9</v>
      </c>
      <c r="EK192">
        <v>1.8689</v>
      </c>
      <c r="EL192">
        <v>1.8646</v>
      </c>
      <c r="EM192">
        <v>1.8691599999999999</v>
      </c>
      <c r="EN192">
        <v>1.8672</v>
      </c>
      <c r="EO192">
        <v>1.86337</v>
      </c>
      <c r="EP192">
        <v>1.8644700000000001</v>
      </c>
      <c r="EQ192">
        <v>1.8701300000000001</v>
      </c>
      <c r="ER192">
        <v>1.8693599999999999</v>
      </c>
      <c r="ES192">
        <v>0</v>
      </c>
      <c r="ET192">
        <v>0</v>
      </c>
      <c r="EU192">
        <v>0</v>
      </c>
      <c r="EV192">
        <v>0</v>
      </c>
      <c r="EW192" t="s">
        <v>334</v>
      </c>
      <c r="EX192" t="s">
        <v>335</v>
      </c>
      <c r="EY192" t="s">
        <v>336</v>
      </c>
      <c r="EZ192" t="s">
        <v>336</v>
      </c>
      <c r="FA192" t="s">
        <v>336</v>
      </c>
      <c r="FB192" t="s">
        <v>336</v>
      </c>
      <c r="FC192">
        <v>0</v>
      </c>
      <c r="FD192">
        <v>100</v>
      </c>
      <c r="FE192">
        <v>100</v>
      </c>
      <c r="FF192">
        <v>-0.129</v>
      </c>
      <c r="FG192">
        <v>0.17199999999999999</v>
      </c>
      <c r="FH192">
        <v>0.2126736300064915</v>
      </c>
      <c r="FI192">
        <v>-6.1462078757559423E-4</v>
      </c>
      <c r="FJ192">
        <v>-1.8861989874597051E-7</v>
      </c>
      <c r="FK192">
        <v>1.1980462299894961E-10</v>
      </c>
      <c r="FL192">
        <v>0.1719881465068297</v>
      </c>
      <c r="FM192">
        <v>0</v>
      </c>
      <c r="FN192">
        <v>0</v>
      </c>
      <c r="FO192">
        <v>0</v>
      </c>
      <c r="FP192">
        <v>3</v>
      </c>
      <c r="FQ192">
        <v>2158</v>
      </c>
      <c r="FR192">
        <v>1</v>
      </c>
      <c r="FS192">
        <v>19</v>
      </c>
      <c r="FT192">
        <v>38.6</v>
      </c>
      <c r="FU192">
        <v>38.799999999999997</v>
      </c>
      <c r="FV192">
        <v>1.7687999999999999</v>
      </c>
      <c r="FW192">
        <v>2.5903299999999998</v>
      </c>
      <c r="FX192">
        <v>1.5490699999999999</v>
      </c>
      <c r="FY192">
        <v>2.3278799999999999</v>
      </c>
      <c r="FZ192">
        <v>1.50146</v>
      </c>
      <c r="GA192">
        <v>2.3046899999999999</v>
      </c>
      <c r="GB192">
        <v>33.512999999999998</v>
      </c>
      <c r="GC192">
        <v>23.982399999999998</v>
      </c>
      <c r="GD192">
        <v>19</v>
      </c>
      <c r="GE192">
        <v>285.952</v>
      </c>
      <c r="GF192">
        <v>583.83199999999999</v>
      </c>
      <c r="GG192">
        <v>25.676400000000001</v>
      </c>
      <c r="GH192">
        <v>25.8994</v>
      </c>
      <c r="GI192">
        <v>30.0002</v>
      </c>
      <c r="GJ192">
        <v>26.014299999999999</v>
      </c>
      <c r="GK192">
        <v>25.9937</v>
      </c>
      <c r="GL192">
        <v>35.368200000000002</v>
      </c>
      <c r="GM192">
        <v>64.236199999999997</v>
      </c>
      <c r="GN192">
        <v>50.491100000000003</v>
      </c>
      <c r="GO192">
        <v>25.675999999999998</v>
      </c>
      <c r="GP192">
        <v>800</v>
      </c>
      <c r="GQ192">
        <v>5.3620400000000004</v>
      </c>
      <c r="GR192">
        <v>99.833299999999994</v>
      </c>
      <c r="GS192">
        <v>99.712000000000003</v>
      </c>
    </row>
    <row r="193" spans="1:201" x14ac:dyDescent="0.25">
      <c r="A193">
        <v>177</v>
      </c>
      <c r="B193">
        <v>1690234335</v>
      </c>
      <c r="C193">
        <v>1828.900000095367</v>
      </c>
      <c r="D193" t="s">
        <v>685</v>
      </c>
      <c r="E193" t="s">
        <v>686</v>
      </c>
      <c r="F193" t="s">
        <v>330</v>
      </c>
      <c r="H193">
        <v>1690234335</v>
      </c>
      <c r="I193">
        <f t="shared" si="60"/>
        <v>1.7871644897979168E-3</v>
      </c>
      <c r="J193">
        <f t="shared" si="61"/>
        <v>1.7871644897979169</v>
      </c>
      <c r="K193">
        <f t="shared" si="62"/>
        <v>26.714478840849484</v>
      </c>
      <c r="L193">
        <f t="shared" si="63"/>
        <v>501.79</v>
      </c>
      <c r="M193">
        <f t="shared" si="64"/>
        <v>108.06757980398068</v>
      </c>
      <c r="N193">
        <f t="shared" si="65"/>
        <v>10.708263070040157</v>
      </c>
      <c r="O193">
        <f t="shared" si="66"/>
        <v>49.721658758916014</v>
      </c>
      <c r="P193">
        <f t="shared" si="67"/>
        <v>0.11358134731010265</v>
      </c>
      <c r="Q193">
        <f t="shared" si="68"/>
        <v>2.1294684140818223</v>
      </c>
      <c r="R193">
        <f t="shared" si="69"/>
        <v>0.11031990037468958</v>
      </c>
      <c r="S193">
        <f t="shared" si="70"/>
        <v>6.9235165049803205E-2</v>
      </c>
      <c r="T193">
        <f t="shared" si="71"/>
        <v>276.11428579199998</v>
      </c>
      <c r="U193">
        <f t="shared" si="72"/>
        <v>28.679271154013513</v>
      </c>
      <c r="V193">
        <f t="shared" si="73"/>
        <v>28.679271154013513</v>
      </c>
      <c r="W193">
        <f t="shared" si="74"/>
        <v>3.9477333798386796</v>
      </c>
      <c r="X193">
        <f t="shared" si="75"/>
        <v>66.418257279755068</v>
      </c>
      <c r="Y193">
        <f t="shared" si="76"/>
        <v>2.3938810138836</v>
      </c>
      <c r="Z193">
        <f t="shared" si="77"/>
        <v>3.6042514692918299</v>
      </c>
      <c r="AA193">
        <f t="shared" si="78"/>
        <v>1.5538523659550796</v>
      </c>
      <c r="AB193">
        <f t="shared" si="79"/>
        <v>-78.813954000088131</v>
      </c>
      <c r="AC193">
        <f t="shared" si="80"/>
        <v>-179.12521531692863</v>
      </c>
      <c r="AD193">
        <f t="shared" si="81"/>
        <v>-18.317342678166963</v>
      </c>
      <c r="AE193">
        <f t="shared" si="82"/>
        <v>-0.14222620318372492</v>
      </c>
      <c r="AF193">
        <v>0</v>
      </c>
      <c r="AG193">
        <v>0</v>
      </c>
      <c r="AH193">
        <f t="shared" si="83"/>
        <v>1</v>
      </c>
      <c r="AI193">
        <f t="shared" si="84"/>
        <v>0</v>
      </c>
      <c r="AJ193">
        <f t="shared" si="85"/>
        <v>52305.959616081847</v>
      </c>
      <c r="AK193">
        <f t="shared" si="86"/>
        <v>1800</v>
      </c>
      <c r="AL193">
        <f t="shared" si="87"/>
        <v>1499.1084252000001</v>
      </c>
      <c r="AM193">
        <f t="shared" si="88"/>
        <v>0.83283801400000002</v>
      </c>
      <c r="AN193">
        <f t="shared" si="89"/>
        <v>0.15339682544</v>
      </c>
      <c r="AO193">
        <v>32.4</v>
      </c>
      <c r="AP193">
        <v>0.5</v>
      </c>
      <c r="AQ193" t="s">
        <v>331</v>
      </c>
      <c r="AR193">
        <v>2</v>
      </c>
      <c r="AS193">
        <v>1690234335</v>
      </c>
      <c r="AT193">
        <v>501.79</v>
      </c>
      <c r="AU193">
        <v>799.92899999999997</v>
      </c>
      <c r="AV193">
        <v>24.158999999999999</v>
      </c>
      <c r="AW193">
        <v>5.3278800000000004</v>
      </c>
      <c r="AX193">
        <v>501.91800000000001</v>
      </c>
      <c r="AY193">
        <v>23.986999999999998</v>
      </c>
      <c r="AZ193">
        <v>300.06299999999999</v>
      </c>
      <c r="BA193">
        <v>98.988600000000005</v>
      </c>
      <c r="BB193">
        <v>9.9980399999999997E-2</v>
      </c>
      <c r="BC193">
        <v>27.119</v>
      </c>
      <c r="BD193">
        <v>26.998999999999999</v>
      </c>
      <c r="BE193">
        <v>28.914200000000001</v>
      </c>
      <c r="BF193">
        <v>0</v>
      </c>
      <c r="BG193">
        <v>0</v>
      </c>
      <c r="BH193">
        <v>9996.8799999999992</v>
      </c>
      <c r="BI193">
        <v>1081.49</v>
      </c>
      <c r="BJ193">
        <v>1.25308</v>
      </c>
      <c r="BK193">
        <v>-298.13900000000001</v>
      </c>
      <c r="BL193">
        <v>514.21299999999997</v>
      </c>
      <c r="BM193">
        <v>804.21299999999997</v>
      </c>
      <c r="BN193">
        <v>18.831099999999999</v>
      </c>
      <c r="BO193">
        <v>799.92899999999997</v>
      </c>
      <c r="BP193">
        <v>5.3278800000000004</v>
      </c>
      <c r="BQ193">
        <v>2.3914599999999999</v>
      </c>
      <c r="BR193">
        <v>0.52739899999999995</v>
      </c>
      <c r="BS193">
        <v>20.306100000000001</v>
      </c>
      <c r="BT193">
        <v>-2.06752</v>
      </c>
      <c r="BU193">
        <v>1800</v>
      </c>
      <c r="BV193">
        <v>0.90999200000000002</v>
      </c>
      <c r="BW193">
        <v>3.4004800000000002E-2</v>
      </c>
      <c r="BX193">
        <v>2.1990200000000001E-2</v>
      </c>
      <c r="BY193">
        <v>3.40132E-2</v>
      </c>
      <c r="BZ193">
        <v>25</v>
      </c>
      <c r="CA193">
        <v>33528.5</v>
      </c>
      <c r="CB193">
        <v>1690232006</v>
      </c>
      <c r="CC193" t="s">
        <v>332</v>
      </c>
      <c r="CD193">
        <v>1690232006</v>
      </c>
      <c r="CE193">
        <v>1690231998.5</v>
      </c>
      <c r="CF193">
        <v>14</v>
      </c>
      <c r="CG193">
        <v>-0.13200000000000001</v>
      </c>
      <c r="CH193">
        <v>-7.0000000000000001E-3</v>
      </c>
      <c r="CI193">
        <v>-0.33800000000000002</v>
      </c>
      <c r="CJ193">
        <v>0.14299999999999999</v>
      </c>
      <c r="CK193">
        <v>799</v>
      </c>
      <c r="CL193">
        <v>19</v>
      </c>
      <c r="CM193">
        <v>7.0000000000000007E-2</v>
      </c>
      <c r="CN193">
        <v>0.14000000000000001</v>
      </c>
      <c r="CO193">
        <v>-297.62425000000002</v>
      </c>
      <c r="CP193">
        <v>-3.4415909943704821</v>
      </c>
      <c r="CQ193">
        <v>0.36090003809919641</v>
      </c>
      <c r="CR193">
        <v>-1</v>
      </c>
      <c r="CS193">
        <v>18.777774999999998</v>
      </c>
      <c r="CT193">
        <v>0.25363902439019681</v>
      </c>
      <c r="CU193">
        <v>2.4512953208456791E-2</v>
      </c>
      <c r="CV193">
        <v>-1</v>
      </c>
      <c r="CW193">
        <v>0</v>
      </c>
      <c r="CX193">
        <v>0</v>
      </c>
      <c r="CY193" t="s">
        <v>333</v>
      </c>
      <c r="CZ193">
        <v>2.3646099999999999</v>
      </c>
      <c r="DA193">
        <v>2.7137699999999998</v>
      </c>
      <c r="DB193">
        <v>0.106002</v>
      </c>
      <c r="DC193">
        <v>0.14604900000000001</v>
      </c>
      <c r="DD193">
        <v>0.114478</v>
      </c>
      <c r="DE193">
        <v>3.5783299999999997E-2</v>
      </c>
      <c r="DF193">
        <v>32673.7</v>
      </c>
      <c r="DG193">
        <v>27559.599999999999</v>
      </c>
      <c r="DH193">
        <v>31199.7</v>
      </c>
      <c r="DI193">
        <v>28120.5</v>
      </c>
      <c r="DJ193">
        <v>37508.6</v>
      </c>
      <c r="DK193">
        <v>38564.400000000001</v>
      </c>
      <c r="DL193">
        <v>44405.8</v>
      </c>
      <c r="DM193">
        <v>42626.2</v>
      </c>
      <c r="DN193">
        <v>1.4865200000000001</v>
      </c>
      <c r="DO193">
        <v>2.04217</v>
      </c>
      <c r="DP193">
        <v>7.5571200000000005E-2</v>
      </c>
      <c r="DQ193">
        <v>0.20316999999999999</v>
      </c>
      <c r="DR193">
        <v>25.761800000000001</v>
      </c>
      <c r="DS193">
        <v>25.5929</v>
      </c>
      <c r="DT193">
        <v>41.1</v>
      </c>
      <c r="DU193">
        <v>28.8</v>
      </c>
      <c r="DV193">
        <v>16.505199999999999</v>
      </c>
      <c r="DW193">
        <v>61.417999999999999</v>
      </c>
      <c r="DX193">
        <v>36.474400000000003</v>
      </c>
      <c r="DY193">
        <v>1</v>
      </c>
      <c r="DZ193">
        <v>-0.120168</v>
      </c>
      <c r="EA193">
        <v>-0.43998900000000002</v>
      </c>
      <c r="EB193">
        <v>20.188800000000001</v>
      </c>
      <c r="EC193">
        <v>5.2413999999999996</v>
      </c>
      <c r="ED193">
        <v>12.039899999999999</v>
      </c>
      <c r="EE193">
        <v>5.0170000000000003</v>
      </c>
      <c r="EF193">
        <v>3.2879999999999998</v>
      </c>
      <c r="EG193">
        <v>9999</v>
      </c>
      <c r="EH193">
        <v>9999</v>
      </c>
      <c r="EI193">
        <v>9999</v>
      </c>
      <c r="EJ193">
        <v>999.9</v>
      </c>
      <c r="EK193">
        <v>1.8689</v>
      </c>
      <c r="EL193">
        <v>1.8646100000000001</v>
      </c>
      <c r="EM193">
        <v>1.86917</v>
      </c>
      <c r="EN193">
        <v>1.86721</v>
      </c>
      <c r="EO193">
        <v>1.86338</v>
      </c>
      <c r="EP193">
        <v>1.8644700000000001</v>
      </c>
      <c r="EQ193">
        <v>1.87012</v>
      </c>
      <c r="ER193">
        <v>1.86937</v>
      </c>
      <c r="ES193">
        <v>0</v>
      </c>
      <c r="ET193">
        <v>0</v>
      </c>
      <c r="EU193">
        <v>0</v>
      </c>
      <c r="EV193">
        <v>0</v>
      </c>
      <c r="EW193" t="s">
        <v>334</v>
      </c>
      <c r="EX193" t="s">
        <v>335</v>
      </c>
      <c r="EY193" t="s">
        <v>336</v>
      </c>
      <c r="EZ193" t="s">
        <v>336</v>
      </c>
      <c r="FA193" t="s">
        <v>336</v>
      </c>
      <c r="FB193" t="s">
        <v>336</v>
      </c>
      <c r="FC193">
        <v>0</v>
      </c>
      <c r="FD193">
        <v>100</v>
      </c>
      <c r="FE193">
        <v>100</v>
      </c>
      <c r="FF193">
        <v>-0.128</v>
      </c>
      <c r="FG193">
        <v>0.17199999999999999</v>
      </c>
      <c r="FH193">
        <v>0.2126736300064915</v>
      </c>
      <c r="FI193">
        <v>-6.1462078757559423E-4</v>
      </c>
      <c r="FJ193">
        <v>-1.8861989874597051E-7</v>
      </c>
      <c r="FK193">
        <v>1.1980462299894961E-10</v>
      </c>
      <c r="FL193">
        <v>0.1719881465068297</v>
      </c>
      <c r="FM193">
        <v>0</v>
      </c>
      <c r="FN193">
        <v>0</v>
      </c>
      <c r="FO193">
        <v>0</v>
      </c>
      <c r="FP193">
        <v>3</v>
      </c>
      <c r="FQ193">
        <v>2158</v>
      </c>
      <c r="FR193">
        <v>1</v>
      </c>
      <c r="FS193">
        <v>19</v>
      </c>
      <c r="FT193">
        <v>38.799999999999997</v>
      </c>
      <c r="FU193">
        <v>38.9</v>
      </c>
      <c r="FV193">
        <v>1.7687999999999999</v>
      </c>
      <c r="FW193">
        <v>2.5805699999999998</v>
      </c>
      <c r="FX193">
        <v>1.5490699999999999</v>
      </c>
      <c r="FY193">
        <v>2.3278799999999999</v>
      </c>
      <c r="FZ193">
        <v>1.50146</v>
      </c>
      <c r="GA193">
        <v>2.3913600000000002</v>
      </c>
      <c r="GB193">
        <v>33.512999999999998</v>
      </c>
      <c r="GC193">
        <v>23.991199999999999</v>
      </c>
      <c r="GD193">
        <v>19</v>
      </c>
      <c r="GE193">
        <v>285.79000000000002</v>
      </c>
      <c r="GF193">
        <v>584.03800000000001</v>
      </c>
      <c r="GG193">
        <v>25.677499999999998</v>
      </c>
      <c r="GH193">
        <v>25.901399999999999</v>
      </c>
      <c r="GI193">
        <v>30</v>
      </c>
      <c r="GJ193">
        <v>26.014299999999999</v>
      </c>
      <c r="GK193">
        <v>25.9937</v>
      </c>
      <c r="GL193">
        <v>35.366100000000003</v>
      </c>
      <c r="GM193">
        <v>64.236199999999997</v>
      </c>
      <c r="GN193">
        <v>49.7331</v>
      </c>
      <c r="GO193">
        <v>25.679200000000002</v>
      </c>
      <c r="GP193">
        <v>800</v>
      </c>
      <c r="GQ193">
        <v>5.2899599999999998</v>
      </c>
      <c r="GR193">
        <v>99.833200000000005</v>
      </c>
      <c r="GS193">
        <v>99.712599999999995</v>
      </c>
    </row>
    <row r="194" spans="1:201" x14ac:dyDescent="0.25">
      <c r="A194">
        <v>178</v>
      </c>
      <c r="B194">
        <v>1690234345</v>
      </c>
      <c r="C194">
        <v>1838.900000095367</v>
      </c>
      <c r="D194" t="s">
        <v>687</v>
      </c>
      <c r="E194" t="s">
        <v>688</v>
      </c>
      <c r="F194" t="s">
        <v>330</v>
      </c>
      <c r="H194">
        <v>1690234345</v>
      </c>
      <c r="I194">
        <f t="shared" si="60"/>
        <v>1.7911079359644053E-3</v>
      </c>
      <c r="J194">
        <f t="shared" si="61"/>
        <v>1.7911079359644053</v>
      </c>
      <c r="K194">
        <f t="shared" si="62"/>
        <v>26.77099927297613</v>
      </c>
      <c r="L194">
        <f t="shared" si="63"/>
        <v>501.23500000000001</v>
      </c>
      <c r="M194">
        <f t="shared" si="64"/>
        <v>107.22115872527505</v>
      </c>
      <c r="N194">
        <f t="shared" si="65"/>
        <v>10.624600694753518</v>
      </c>
      <c r="O194">
        <f t="shared" si="66"/>
        <v>49.667638295904993</v>
      </c>
      <c r="P194">
        <f t="shared" si="67"/>
        <v>0.11373920480535199</v>
      </c>
      <c r="Q194">
        <f t="shared" si="68"/>
        <v>2.1273017589762802</v>
      </c>
      <c r="R194">
        <f t="shared" si="69"/>
        <v>0.11046559879574508</v>
      </c>
      <c r="S194">
        <f t="shared" si="70"/>
        <v>6.9327271630591852E-2</v>
      </c>
      <c r="T194">
        <f t="shared" si="71"/>
        <v>276.11427617999999</v>
      </c>
      <c r="U194">
        <f t="shared" si="72"/>
        <v>28.681434130064297</v>
      </c>
      <c r="V194">
        <f t="shared" si="73"/>
        <v>28.681434130064297</v>
      </c>
      <c r="W194">
        <f t="shared" si="74"/>
        <v>3.9482286879496646</v>
      </c>
      <c r="X194">
        <f t="shared" si="75"/>
        <v>66.384710548044652</v>
      </c>
      <c r="Y194">
        <f t="shared" si="76"/>
        <v>2.3929667670838999</v>
      </c>
      <c r="Z194">
        <f t="shared" si="77"/>
        <v>3.6046956404999855</v>
      </c>
      <c r="AA194">
        <f t="shared" si="78"/>
        <v>1.5552619208657648</v>
      </c>
      <c r="AB194">
        <f t="shared" si="79"/>
        <v>-78.987859976030279</v>
      </c>
      <c r="AC194">
        <f t="shared" si="80"/>
        <v>-178.95018459625737</v>
      </c>
      <c r="AD194">
        <f t="shared" si="81"/>
        <v>-18.318471299245505</v>
      </c>
      <c r="AE194">
        <f t="shared" si="82"/>
        <v>-0.14223969153317739</v>
      </c>
      <c r="AF194">
        <v>0</v>
      </c>
      <c r="AG194">
        <v>0</v>
      </c>
      <c r="AH194">
        <f t="shared" si="83"/>
        <v>1</v>
      </c>
      <c r="AI194">
        <f t="shared" si="84"/>
        <v>0</v>
      </c>
      <c r="AJ194">
        <f t="shared" si="85"/>
        <v>52212.418592393107</v>
      </c>
      <c r="AK194">
        <f t="shared" si="86"/>
        <v>1800</v>
      </c>
      <c r="AL194">
        <f t="shared" si="87"/>
        <v>1499.108706</v>
      </c>
      <c r="AM194">
        <f t="shared" si="88"/>
        <v>0.83283817000000004</v>
      </c>
      <c r="AN194">
        <f t="shared" si="89"/>
        <v>0.1533968201</v>
      </c>
      <c r="AO194">
        <v>32.4</v>
      </c>
      <c r="AP194">
        <v>0.5</v>
      </c>
      <c r="AQ194" t="s">
        <v>331</v>
      </c>
      <c r="AR194">
        <v>2</v>
      </c>
      <c r="AS194">
        <v>1690234345</v>
      </c>
      <c r="AT194">
        <v>501.23500000000001</v>
      </c>
      <c r="AU194">
        <v>799.97799999999995</v>
      </c>
      <c r="AV194">
        <v>24.1493</v>
      </c>
      <c r="AW194">
        <v>5.2775100000000004</v>
      </c>
      <c r="AX194">
        <v>501.363</v>
      </c>
      <c r="AY194">
        <v>23.9773</v>
      </c>
      <c r="AZ194">
        <v>300.08</v>
      </c>
      <c r="BA194">
        <v>98.990499999999997</v>
      </c>
      <c r="BB194">
        <v>0.100023</v>
      </c>
      <c r="BC194">
        <v>27.121099999999998</v>
      </c>
      <c r="BD194">
        <v>27.008299999999998</v>
      </c>
      <c r="BE194">
        <v>28.911999999999999</v>
      </c>
      <c r="BF194">
        <v>0</v>
      </c>
      <c r="BG194">
        <v>0</v>
      </c>
      <c r="BH194">
        <v>9978.1200000000008</v>
      </c>
      <c r="BI194">
        <v>1081.44</v>
      </c>
      <c r="BJ194">
        <v>1.3736200000000001</v>
      </c>
      <c r="BK194">
        <v>-298.74200000000002</v>
      </c>
      <c r="BL194">
        <v>513.63900000000001</v>
      </c>
      <c r="BM194">
        <v>804.22199999999998</v>
      </c>
      <c r="BN194">
        <v>18.8718</v>
      </c>
      <c r="BO194">
        <v>799.97799999999995</v>
      </c>
      <c r="BP194">
        <v>5.2775100000000004</v>
      </c>
      <c r="BQ194">
        <v>2.3905500000000002</v>
      </c>
      <c r="BR194">
        <v>0.52242299999999997</v>
      </c>
      <c r="BS194">
        <v>20.299900000000001</v>
      </c>
      <c r="BT194">
        <v>-2.1957599999999999</v>
      </c>
      <c r="BU194">
        <v>1800</v>
      </c>
      <c r="BV194">
        <v>0.90999300000000005</v>
      </c>
      <c r="BW194">
        <v>3.40045E-2</v>
      </c>
      <c r="BX194">
        <v>2.1989999999999999E-2</v>
      </c>
      <c r="BY194">
        <v>3.4012800000000003E-2</v>
      </c>
      <c r="BZ194">
        <v>25</v>
      </c>
      <c r="CA194">
        <v>33528.5</v>
      </c>
      <c r="CB194">
        <v>1690232006</v>
      </c>
      <c r="CC194" t="s">
        <v>332</v>
      </c>
      <c r="CD194">
        <v>1690232006</v>
      </c>
      <c r="CE194">
        <v>1690231998.5</v>
      </c>
      <c r="CF194">
        <v>14</v>
      </c>
      <c r="CG194">
        <v>-0.13200000000000001</v>
      </c>
      <c r="CH194">
        <v>-7.0000000000000001E-3</v>
      </c>
      <c r="CI194">
        <v>-0.33800000000000002</v>
      </c>
      <c r="CJ194">
        <v>0.14299999999999999</v>
      </c>
      <c r="CK194">
        <v>799</v>
      </c>
      <c r="CL194">
        <v>19</v>
      </c>
      <c r="CM194">
        <v>7.0000000000000007E-2</v>
      </c>
      <c r="CN194">
        <v>0.14000000000000001</v>
      </c>
      <c r="CO194">
        <v>-298.190225</v>
      </c>
      <c r="CP194">
        <v>-2.7401538461529382</v>
      </c>
      <c r="CQ194">
        <v>0.2809986198809562</v>
      </c>
      <c r="CR194">
        <v>-1</v>
      </c>
      <c r="CS194">
        <v>18.8220825</v>
      </c>
      <c r="CT194">
        <v>0.27818273921201703</v>
      </c>
      <c r="CU194">
        <v>2.6866595313697481E-2</v>
      </c>
      <c r="CV194">
        <v>-1</v>
      </c>
      <c r="CW194">
        <v>0</v>
      </c>
      <c r="CX194">
        <v>0</v>
      </c>
      <c r="CY194" t="s">
        <v>333</v>
      </c>
      <c r="CZ194">
        <v>2.3646500000000001</v>
      </c>
      <c r="DA194">
        <v>2.7137899999999999</v>
      </c>
      <c r="DB194">
        <v>0.105918</v>
      </c>
      <c r="DC194">
        <v>0.14605699999999999</v>
      </c>
      <c r="DD194">
        <v>0.11444799999999999</v>
      </c>
      <c r="DE194">
        <v>3.5503600000000003E-2</v>
      </c>
      <c r="DF194">
        <v>32676.799999999999</v>
      </c>
      <c r="DG194">
        <v>27558.7</v>
      </c>
      <c r="DH194">
        <v>31199.7</v>
      </c>
      <c r="DI194">
        <v>28119.8</v>
      </c>
      <c r="DJ194">
        <v>37509.800000000003</v>
      </c>
      <c r="DK194">
        <v>38574.9</v>
      </c>
      <c r="DL194">
        <v>44405.7</v>
      </c>
      <c r="DM194">
        <v>42625.3</v>
      </c>
      <c r="DN194">
        <v>1.4864999999999999</v>
      </c>
      <c r="DO194">
        <v>2.04182</v>
      </c>
      <c r="DP194">
        <v>7.5936299999999998E-2</v>
      </c>
      <c r="DQ194">
        <v>0.20277500000000001</v>
      </c>
      <c r="DR194">
        <v>25.7652</v>
      </c>
      <c r="DS194">
        <v>25.597200000000001</v>
      </c>
      <c r="DT194">
        <v>40.799999999999997</v>
      </c>
      <c r="DU194">
        <v>28.8</v>
      </c>
      <c r="DV194">
        <v>16.384799999999998</v>
      </c>
      <c r="DW194">
        <v>61.378</v>
      </c>
      <c r="DX194">
        <v>37.491999999999997</v>
      </c>
      <c r="DY194">
        <v>1</v>
      </c>
      <c r="DZ194">
        <v>-0.12049</v>
      </c>
      <c r="EA194">
        <v>-0.425321</v>
      </c>
      <c r="EB194">
        <v>20.189</v>
      </c>
      <c r="EC194">
        <v>5.2413999999999996</v>
      </c>
      <c r="ED194">
        <v>12.039899999999999</v>
      </c>
      <c r="EE194">
        <v>5.01715</v>
      </c>
      <c r="EF194">
        <v>3.2879999999999998</v>
      </c>
      <c r="EG194">
        <v>9999</v>
      </c>
      <c r="EH194">
        <v>9999</v>
      </c>
      <c r="EI194">
        <v>9999</v>
      </c>
      <c r="EJ194">
        <v>999.9</v>
      </c>
      <c r="EK194">
        <v>1.8689</v>
      </c>
      <c r="EL194">
        <v>1.8646100000000001</v>
      </c>
      <c r="EM194">
        <v>1.8691899999999999</v>
      </c>
      <c r="EN194">
        <v>1.8672200000000001</v>
      </c>
      <c r="EO194">
        <v>1.86338</v>
      </c>
      <c r="EP194">
        <v>1.8644700000000001</v>
      </c>
      <c r="EQ194">
        <v>1.87012</v>
      </c>
      <c r="ER194">
        <v>1.86937</v>
      </c>
      <c r="ES194">
        <v>0</v>
      </c>
      <c r="ET194">
        <v>0</v>
      </c>
      <c r="EU194">
        <v>0</v>
      </c>
      <c r="EV194">
        <v>0</v>
      </c>
      <c r="EW194" t="s">
        <v>334</v>
      </c>
      <c r="EX194" t="s">
        <v>335</v>
      </c>
      <c r="EY194" t="s">
        <v>336</v>
      </c>
      <c r="EZ194" t="s">
        <v>336</v>
      </c>
      <c r="FA194" t="s">
        <v>336</v>
      </c>
      <c r="FB194" t="s">
        <v>336</v>
      </c>
      <c r="FC194">
        <v>0</v>
      </c>
      <c r="FD194">
        <v>100</v>
      </c>
      <c r="FE194">
        <v>100</v>
      </c>
      <c r="FF194">
        <v>-0.128</v>
      </c>
      <c r="FG194">
        <v>0.17199999999999999</v>
      </c>
      <c r="FH194">
        <v>0.2126736300064915</v>
      </c>
      <c r="FI194">
        <v>-6.1462078757559423E-4</v>
      </c>
      <c r="FJ194">
        <v>-1.8861989874597051E-7</v>
      </c>
      <c r="FK194">
        <v>1.1980462299894961E-10</v>
      </c>
      <c r="FL194">
        <v>0.1719881465068297</v>
      </c>
      <c r="FM194">
        <v>0</v>
      </c>
      <c r="FN194">
        <v>0</v>
      </c>
      <c r="FO194">
        <v>0</v>
      </c>
      <c r="FP194">
        <v>3</v>
      </c>
      <c r="FQ194">
        <v>2158</v>
      </c>
      <c r="FR194">
        <v>1</v>
      </c>
      <c r="FS194">
        <v>19</v>
      </c>
      <c r="FT194">
        <v>39</v>
      </c>
      <c r="FU194">
        <v>39.1</v>
      </c>
      <c r="FV194">
        <v>1.7687999999999999</v>
      </c>
      <c r="FW194">
        <v>2.5891099999999998</v>
      </c>
      <c r="FX194">
        <v>1.5490699999999999</v>
      </c>
      <c r="FY194">
        <v>2.3278799999999999</v>
      </c>
      <c r="FZ194">
        <v>1.50146</v>
      </c>
      <c r="GA194">
        <v>2.32056</v>
      </c>
      <c r="GB194">
        <v>33.512999999999998</v>
      </c>
      <c r="GC194">
        <v>23.982399999999998</v>
      </c>
      <c r="GD194">
        <v>19</v>
      </c>
      <c r="GE194">
        <v>285.77999999999997</v>
      </c>
      <c r="GF194">
        <v>583.74900000000002</v>
      </c>
      <c r="GG194">
        <v>25.678999999999998</v>
      </c>
      <c r="GH194">
        <v>25.901399999999999</v>
      </c>
      <c r="GI194">
        <v>30.0001</v>
      </c>
      <c r="GJ194">
        <v>26.014299999999999</v>
      </c>
      <c r="GK194">
        <v>25.9937</v>
      </c>
      <c r="GL194">
        <v>35.360199999999999</v>
      </c>
      <c r="GM194">
        <v>64.236199999999997</v>
      </c>
      <c r="GN194">
        <v>49.357199999999999</v>
      </c>
      <c r="GO194">
        <v>25.677900000000001</v>
      </c>
      <c r="GP194">
        <v>800</v>
      </c>
      <c r="GQ194">
        <v>5.2233200000000002</v>
      </c>
      <c r="GR194">
        <v>99.833200000000005</v>
      </c>
      <c r="GS194">
        <v>99.710499999999996</v>
      </c>
    </row>
    <row r="195" spans="1:201" x14ac:dyDescent="0.25">
      <c r="A195">
        <v>179</v>
      </c>
      <c r="B195">
        <v>1690234355</v>
      </c>
      <c r="C195">
        <v>1848.900000095367</v>
      </c>
      <c r="D195" t="s">
        <v>689</v>
      </c>
      <c r="E195" t="s">
        <v>690</v>
      </c>
      <c r="F195" t="s">
        <v>330</v>
      </c>
      <c r="H195">
        <v>1690234355</v>
      </c>
      <c r="I195">
        <f t="shared" si="60"/>
        <v>1.7954802145537022E-3</v>
      </c>
      <c r="J195">
        <f t="shared" si="61"/>
        <v>1.7954802145537021</v>
      </c>
      <c r="K195">
        <f t="shared" si="62"/>
        <v>26.814645435141884</v>
      </c>
      <c r="L195">
        <f t="shared" si="63"/>
        <v>500.80799999999999</v>
      </c>
      <c r="M195">
        <f t="shared" si="64"/>
        <v>107.28473220380448</v>
      </c>
      <c r="N195">
        <f t="shared" si="65"/>
        <v>10.63112520007336</v>
      </c>
      <c r="O195">
        <f t="shared" si="66"/>
        <v>49.626376836959999</v>
      </c>
      <c r="P195">
        <f t="shared" si="67"/>
        <v>0.11407087440419109</v>
      </c>
      <c r="Q195">
        <f t="shared" si="68"/>
        <v>2.1306831619435398</v>
      </c>
      <c r="R195">
        <f t="shared" si="69"/>
        <v>0.11078350902791913</v>
      </c>
      <c r="S195">
        <f t="shared" si="70"/>
        <v>6.9527158643017645E-2</v>
      </c>
      <c r="T195">
        <f t="shared" si="71"/>
        <v>276.11595284400005</v>
      </c>
      <c r="U195">
        <f t="shared" si="72"/>
        <v>28.674180108329985</v>
      </c>
      <c r="V195">
        <f t="shared" si="73"/>
        <v>28.674180108329985</v>
      </c>
      <c r="W195">
        <f t="shared" si="74"/>
        <v>3.9465677758077193</v>
      </c>
      <c r="X195">
        <f t="shared" si="75"/>
        <v>66.369506168014595</v>
      </c>
      <c r="Y195">
        <f t="shared" si="76"/>
        <v>2.3919273893459998</v>
      </c>
      <c r="Z195">
        <f t="shared" si="77"/>
        <v>3.6039553816941603</v>
      </c>
      <c r="AA195">
        <f t="shared" si="78"/>
        <v>1.5546403864617195</v>
      </c>
      <c r="AB195">
        <f t="shared" si="79"/>
        <v>-79.180677461818263</v>
      </c>
      <c r="AC195">
        <f t="shared" si="80"/>
        <v>-178.80340850550829</v>
      </c>
      <c r="AD195">
        <f t="shared" si="81"/>
        <v>-18.273418484786919</v>
      </c>
      <c r="AE195">
        <f t="shared" si="82"/>
        <v>-0.14155160811344558</v>
      </c>
      <c r="AF195">
        <v>0</v>
      </c>
      <c r="AG195">
        <v>0</v>
      </c>
      <c r="AH195">
        <f t="shared" si="83"/>
        <v>1</v>
      </c>
      <c r="AI195">
        <f t="shared" si="84"/>
        <v>0</v>
      </c>
      <c r="AJ195">
        <f t="shared" si="85"/>
        <v>52358.600189664976</v>
      </c>
      <c r="AK195">
        <f t="shared" si="86"/>
        <v>1800</v>
      </c>
      <c r="AL195">
        <f t="shared" si="87"/>
        <v>1499.1090714000002</v>
      </c>
      <c r="AM195">
        <f t="shared" si="88"/>
        <v>0.83283837300000008</v>
      </c>
      <c r="AN195">
        <f t="shared" si="89"/>
        <v>0.15339775158000002</v>
      </c>
      <c r="AO195">
        <v>32.4</v>
      </c>
      <c r="AP195">
        <v>0.5</v>
      </c>
      <c r="AQ195" t="s">
        <v>331</v>
      </c>
      <c r="AR195">
        <v>2</v>
      </c>
      <c r="AS195">
        <v>1690234355</v>
      </c>
      <c r="AT195">
        <v>500.80799999999999</v>
      </c>
      <c r="AU195">
        <v>799.92499999999995</v>
      </c>
      <c r="AV195">
        <v>24.138300000000001</v>
      </c>
      <c r="AW195">
        <v>5.2273500000000004</v>
      </c>
      <c r="AX195">
        <v>500.93599999999998</v>
      </c>
      <c r="AY195">
        <v>23.9663</v>
      </c>
      <c r="AZ195">
        <v>300.19299999999998</v>
      </c>
      <c r="BA195">
        <v>98.992599999999996</v>
      </c>
      <c r="BB195">
        <v>0.10002</v>
      </c>
      <c r="BC195">
        <v>27.117599999999999</v>
      </c>
      <c r="BD195">
        <v>27.002099999999999</v>
      </c>
      <c r="BE195">
        <v>28.8994</v>
      </c>
      <c r="BF195">
        <v>0</v>
      </c>
      <c r="BG195">
        <v>0</v>
      </c>
      <c r="BH195">
        <v>10006.9</v>
      </c>
      <c r="BI195">
        <v>1081.19</v>
      </c>
      <c r="BJ195">
        <v>1.3455900000000001</v>
      </c>
      <c r="BK195">
        <v>-299.11599999999999</v>
      </c>
      <c r="BL195">
        <v>513.19600000000003</v>
      </c>
      <c r="BM195">
        <v>804.12800000000004</v>
      </c>
      <c r="BN195">
        <v>18.910900000000002</v>
      </c>
      <c r="BO195">
        <v>799.92499999999995</v>
      </c>
      <c r="BP195">
        <v>5.2273500000000004</v>
      </c>
      <c r="BQ195">
        <v>2.38951</v>
      </c>
      <c r="BR195">
        <v>0.51746899999999996</v>
      </c>
      <c r="BS195">
        <v>20.292899999999999</v>
      </c>
      <c r="BT195">
        <v>-2.3244799999999999</v>
      </c>
      <c r="BU195">
        <v>1800</v>
      </c>
      <c r="BV195">
        <v>0.90998100000000004</v>
      </c>
      <c r="BW195">
        <v>3.4003199999999997E-2</v>
      </c>
      <c r="BX195">
        <v>2.20039E-2</v>
      </c>
      <c r="BY195">
        <v>3.4011600000000003E-2</v>
      </c>
      <c r="BZ195">
        <v>25</v>
      </c>
      <c r="CA195">
        <v>33528.199999999997</v>
      </c>
      <c r="CB195">
        <v>1690232006</v>
      </c>
      <c r="CC195" t="s">
        <v>332</v>
      </c>
      <c r="CD195">
        <v>1690232006</v>
      </c>
      <c r="CE195">
        <v>1690231998.5</v>
      </c>
      <c r="CF195">
        <v>14</v>
      </c>
      <c r="CG195">
        <v>-0.13200000000000001</v>
      </c>
      <c r="CH195">
        <v>-7.0000000000000001E-3</v>
      </c>
      <c r="CI195">
        <v>-0.33800000000000002</v>
      </c>
      <c r="CJ195">
        <v>0.14299999999999999</v>
      </c>
      <c r="CK195">
        <v>799</v>
      </c>
      <c r="CL195">
        <v>19</v>
      </c>
      <c r="CM195">
        <v>7.0000000000000007E-2</v>
      </c>
      <c r="CN195">
        <v>0.14000000000000001</v>
      </c>
      <c r="CO195">
        <v>-298.68754999999999</v>
      </c>
      <c r="CP195">
        <v>-3.0850356472788611</v>
      </c>
      <c r="CQ195">
        <v>0.30267787745390279</v>
      </c>
      <c r="CR195">
        <v>-1</v>
      </c>
      <c r="CS195">
        <v>18.868010000000002</v>
      </c>
      <c r="CT195">
        <v>0.26163151969984699</v>
      </c>
      <c r="CU195">
        <v>2.5244522178088522E-2</v>
      </c>
      <c r="CV195">
        <v>-1</v>
      </c>
      <c r="CW195">
        <v>0</v>
      </c>
      <c r="CX195">
        <v>0</v>
      </c>
      <c r="CY195" t="s">
        <v>333</v>
      </c>
      <c r="CZ195">
        <v>2.36503</v>
      </c>
      <c r="DA195">
        <v>2.7138200000000001</v>
      </c>
      <c r="DB195">
        <v>0.105854</v>
      </c>
      <c r="DC195">
        <v>0.14605199999999999</v>
      </c>
      <c r="DD195">
        <v>0.114413</v>
      </c>
      <c r="DE195">
        <v>3.5224499999999999E-2</v>
      </c>
      <c r="DF195">
        <v>32678.6</v>
      </c>
      <c r="DG195">
        <v>27558.9</v>
      </c>
      <c r="DH195">
        <v>31199.3</v>
      </c>
      <c r="DI195">
        <v>28120</v>
      </c>
      <c r="DJ195">
        <v>37510.699999999997</v>
      </c>
      <c r="DK195">
        <v>38586.1</v>
      </c>
      <c r="DL195">
        <v>44405.1</v>
      </c>
      <c r="DM195">
        <v>42625.4</v>
      </c>
      <c r="DN195">
        <v>1.4869300000000001</v>
      </c>
      <c r="DO195">
        <v>2.0419200000000002</v>
      </c>
      <c r="DP195">
        <v>7.54967E-2</v>
      </c>
      <c r="DQ195">
        <v>0.20200000000000001</v>
      </c>
      <c r="DR195">
        <v>25.766200000000001</v>
      </c>
      <c r="DS195">
        <v>25.597200000000001</v>
      </c>
      <c r="DT195">
        <v>40.4</v>
      </c>
      <c r="DU195">
        <v>28.8</v>
      </c>
      <c r="DV195">
        <v>16.2224</v>
      </c>
      <c r="DW195">
        <v>61.367899999999999</v>
      </c>
      <c r="DX195">
        <v>36.326099999999997</v>
      </c>
      <c r="DY195">
        <v>1</v>
      </c>
      <c r="DZ195">
        <v>-0.120577</v>
      </c>
      <c r="EA195">
        <v>-0.395343</v>
      </c>
      <c r="EB195">
        <v>20.1891</v>
      </c>
      <c r="EC195">
        <v>5.2415500000000002</v>
      </c>
      <c r="ED195">
        <v>12.039899999999999</v>
      </c>
      <c r="EE195">
        <v>5.0171000000000001</v>
      </c>
      <c r="EF195">
        <v>3.2879999999999998</v>
      </c>
      <c r="EG195">
        <v>9999</v>
      </c>
      <c r="EH195">
        <v>9999</v>
      </c>
      <c r="EI195">
        <v>9999</v>
      </c>
      <c r="EJ195">
        <v>999.9</v>
      </c>
      <c r="EK195">
        <v>1.8689</v>
      </c>
      <c r="EL195">
        <v>1.8646100000000001</v>
      </c>
      <c r="EM195">
        <v>1.8691599999999999</v>
      </c>
      <c r="EN195">
        <v>1.8672200000000001</v>
      </c>
      <c r="EO195">
        <v>1.86338</v>
      </c>
      <c r="EP195">
        <v>1.8644700000000001</v>
      </c>
      <c r="EQ195">
        <v>1.87012</v>
      </c>
      <c r="ER195">
        <v>1.8693599999999999</v>
      </c>
      <c r="ES195">
        <v>0</v>
      </c>
      <c r="ET195">
        <v>0</v>
      </c>
      <c r="EU195">
        <v>0</v>
      </c>
      <c r="EV195">
        <v>0</v>
      </c>
      <c r="EW195" t="s">
        <v>334</v>
      </c>
      <c r="EX195" t="s">
        <v>335</v>
      </c>
      <c r="EY195" t="s">
        <v>336</v>
      </c>
      <c r="EZ195" t="s">
        <v>336</v>
      </c>
      <c r="FA195" t="s">
        <v>336</v>
      </c>
      <c r="FB195" t="s">
        <v>336</v>
      </c>
      <c r="FC195">
        <v>0</v>
      </c>
      <c r="FD195">
        <v>100</v>
      </c>
      <c r="FE195">
        <v>100</v>
      </c>
      <c r="FF195">
        <v>-0.128</v>
      </c>
      <c r="FG195">
        <v>0.17199999999999999</v>
      </c>
      <c r="FH195">
        <v>0.2126736300064915</v>
      </c>
      <c r="FI195">
        <v>-6.1462078757559423E-4</v>
      </c>
      <c r="FJ195">
        <v>-1.8861989874597051E-7</v>
      </c>
      <c r="FK195">
        <v>1.1980462299894961E-10</v>
      </c>
      <c r="FL195">
        <v>0.1719881465068297</v>
      </c>
      <c r="FM195">
        <v>0</v>
      </c>
      <c r="FN195">
        <v>0</v>
      </c>
      <c r="FO195">
        <v>0</v>
      </c>
      <c r="FP195">
        <v>3</v>
      </c>
      <c r="FQ195">
        <v>2158</v>
      </c>
      <c r="FR195">
        <v>1</v>
      </c>
      <c r="FS195">
        <v>19</v>
      </c>
      <c r="FT195">
        <v>39.1</v>
      </c>
      <c r="FU195">
        <v>39.299999999999997</v>
      </c>
      <c r="FV195">
        <v>1.7687999999999999</v>
      </c>
      <c r="FW195">
        <v>2.5793499999999998</v>
      </c>
      <c r="FX195">
        <v>1.5490699999999999</v>
      </c>
      <c r="FY195">
        <v>2.3278799999999999</v>
      </c>
      <c r="FZ195">
        <v>1.50146</v>
      </c>
      <c r="GA195">
        <v>2.3584000000000001</v>
      </c>
      <c r="GB195">
        <v>33.512999999999998</v>
      </c>
      <c r="GC195">
        <v>23.991199999999999</v>
      </c>
      <c r="GD195">
        <v>19</v>
      </c>
      <c r="GE195">
        <v>285.96199999999999</v>
      </c>
      <c r="GF195">
        <v>583.83199999999999</v>
      </c>
      <c r="GG195">
        <v>25.668299999999999</v>
      </c>
      <c r="GH195">
        <v>25.901399999999999</v>
      </c>
      <c r="GI195">
        <v>30</v>
      </c>
      <c r="GJ195">
        <v>26.014299999999999</v>
      </c>
      <c r="GK195">
        <v>25.9937</v>
      </c>
      <c r="GL195">
        <v>35.365600000000001</v>
      </c>
      <c r="GM195">
        <v>64.236199999999997</v>
      </c>
      <c r="GN195">
        <v>48.610799999999998</v>
      </c>
      <c r="GO195">
        <v>25.666599999999999</v>
      </c>
      <c r="GP195">
        <v>800</v>
      </c>
      <c r="GQ195">
        <v>5.1599700000000004</v>
      </c>
      <c r="GR195">
        <v>99.831699999999998</v>
      </c>
      <c r="GS195">
        <v>99.710700000000003</v>
      </c>
    </row>
    <row r="196" spans="1:201" x14ac:dyDescent="0.25">
      <c r="A196">
        <v>180</v>
      </c>
      <c r="B196">
        <v>1690234365</v>
      </c>
      <c r="C196">
        <v>1858.900000095367</v>
      </c>
      <c r="D196" t="s">
        <v>691</v>
      </c>
      <c r="E196" t="s">
        <v>692</v>
      </c>
      <c r="F196" t="s">
        <v>330</v>
      </c>
      <c r="H196">
        <v>1690234365</v>
      </c>
      <c r="I196">
        <f t="shared" si="60"/>
        <v>1.7988559959172246E-3</v>
      </c>
      <c r="J196">
        <f t="shared" si="61"/>
        <v>1.7988559959172246</v>
      </c>
      <c r="K196">
        <f t="shared" si="62"/>
        <v>26.8475877429691</v>
      </c>
      <c r="L196">
        <f t="shared" si="63"/>
        <v>500.36599999999999</v>
      </c>
      <c r="M196">
        <f t="shared" si="64"/>
        <v>107.10883023076276</v>
      </c>
      <c r="N196">
        <f t="shared" si="65"/>
        <v>10.613558691595923</v>
      </c>
      <c r="O196">
        <f t="shared" si="66"/>
        <v>49.581942934465992</v>
      </c>
      <c r="P196">
        <f t="shared" si="67"/>
        <v>0.11429347693826841</v>
      </c>
      <c r="Q196">
        <f t="shared" si="68"/>
        <v>2.130306720122217</v>
      </c>
      <c r="R196">
        <f t="shared" si="69"/>
        <v>0.11099290365622294</v>
      </c>
      <c r="S196">
        <f t="shared" si="70"/>
        <v>6.9659168908245334E-2</v>
      </c>
      <c r="T196">
        <f t="shared" si="71"/>
        <v>276.11645376600001</v>
      </c>
      <c r="U196">
        <f t="shared" si="72"/>
        <v>28.669462365125504</v>
      </c>
      <c r="V196">
        <f t="shared" si="73"/>
        <v>28.669462365125504</v>
      </c>
      <c r="W196">
        <f t="shared" si="74"/>
        <v>3.9454879080018204</v>
      </c>
      <c r="X196">
        <f t="shared" si="75"/>
        <v>66.354856127471137</v>
      </c>
      <c r="Y196">
        <f t="shared" si="76"/>
        <v>2.3908662077928997</v>
      </c>
      <c r="Z196">
        <f t="shared" si="77"/>
        <v>3.6031518223774324</v>
      </c>
      <c r="AA196">
        <f t="shared" si="78"/>
        <v>1.5546217002089207</v>
      </c>
      <c r="AB196">
        <f t="shared" si="79"/>
        <v>-79.329549419949601</v>
      </c>
      <c r="AC196">
        <f t="shared" si="80"/>
        <v>-178.6664161528976</v>
      </c>
      <c r="AD196">
        <f t="shared" si="81"/>
        <v>-18.261869073689081</v>
      </c>
      <c r="AE196">
        <f t="shared" si="82"/>
        <v>-0.14138088053627484</v>
      </c>
      <c r="AF196">
        <v>0</v>
      </c>
      <c r="AG196">
        <v>0</v>
      </c>
      <c r="AH196">
        <f t="shared" si="83"/>
        <v>1</v>
      </c>
      <c r="AI196">
        <f t="shared" si="84"/>
        <v>0</v>
      </c>
      <c r="AJ196">
        <f t="shared" si="85"/>
        <v>52343.020527205837</v>
      </c>
      <c r="AK196">
        <f t="shared" si="86"/>
        <v>1800</v>
      </c>
      <c r="AL196">
        <f t="shared" si="87"/>
        <v>1499.1098795999999</v>
      </c>
      <c r="AM196">
        <f t="shared" si="88"/>
        <v>0.83283882199999992</v>
      </c>
      <c r="AN196">
        <f t="shared" si="89"/>
        <v>0.15339802987000001</v>
      </c>
      <c r="AO196">
        <v>32.4</v>
      </c>
      <c r="AP196">
        <v>0.5</v>
      </c>
      <c r="AQ196" t="s">
        <v>331</v>
      </c>
      <c r="AR196">
        <v>2</v>
      </c>
      <c r="AS196">
        <v>1690234365</v>
      </c>
      <c r="AT196">
        <v>500.36599999999999</v>
      </c>
      <c r="AU196">
        <v>799.95399999999995</v>
      </c>
      <c r="AV196">
        <v>24.1279</v>
      </c>
      <c r="AW196">
        <v>5.1745000000000001</v>
      </c>
      <c r="AX196">
        <v>500.49299999999999</v>
      </c>
      <c r="AY196">
        <v>23.9559</v>
      </c>
      <c r="AZ196">
        <v>300.08699999999999</v>
      </c>
      <c r="BA196">
        <v>98.991299999999995</v>
      </c>
      <c r="BB196">
        <v>0.100051</v>
      </c>
      <c r="BC196">
        <v>27.113800000000001</v>
      </c>
      <c r="BD196">
        <v>27.004200000000001</v>
      </c>
      <c r="BE196">
        <v>28.896699999999999</v>
      </c>
      <c r="BF196">
        <v>0</v>
      </c>
      <c r="BG196">
        <v>0</v>
      </c>
      <c r="BH196">
        <v>10003.799999999999</v>
      </c>
      <c r="BI196">
        <v>1081.21</v>
      </c>
      <c r="BJ196">
        <v>1.3455900000000001</v>
      </c>
      <c r="BK196">
        <v>-299.58800000000002</v>
      </c>
      <c r="BL196">
        <v>512.73699999999997</v>
      </c>
      <c r="BM196">
        <v>804.11400000000003</v>
      </c>
      <c r="BN196">
        <v>18.953399999999998</v>
      </c>
      <c r="BO196">
        <v>799.95399999999995</v>
      </c>
      <c r="BP196">
        <v>5.1745000000000001</v>
      </c>
      <c r="BQ196">
        <v>2.3884500000000002</v>
      </c>
      <c r="BR196">
        <v>0.51222999999999996</v>
      </c>
      <c r="BS196">
        <v>20.285699999999999</v>
      </c>
      <c r="BT196">
        <v>-2.4618099999999998</v>
      </c>
      <c r="BU196">
        <v>1800</v>
      </c>
      <c r="BV196">
        <v>0.90997899999999998</v>
      </c>
      <c r="BW196">
        <v>3.40028E-2</v>
      </c>
      <c r="BX196">
        <v>2.2007100000000002E-2</v>
      </c>
      <c r="BY196">
        <v>3.4011100000000002E-2</v>
      </c>
      <c r="BZ196">
        <v>25</v>
      </c>
      <c r="CA196">
        <v>33528.199999999997</v>
      </c>
      <c r="CB196">
        <v>1690232006</v>
      </c>
      <c r="CC196" t="s">
        <v>332</v>
      </c>
      <c r="CD196">
        <v>1690232006</v>
      </c>
      <c r="CE196">
        <v>1690231998.5</v>
      </c>
      <c r="CF196">
        <v>14</v>
      </c>
      <c r="CG196">
        <v>-0.13200000000000001</v>
      </c>
      <c r="CH196">
        <v>-7.0000000000000001E-3</v>
      </c>
      <c r="CI196">
        <v>-0.33800000000000002</v>
      </c>
      <c r="CJ196">
        <v>0.14299999999999999</v>
      </c>
      <c r="CK196">
        <v>799</v>
      </c>
      <c r="CL196">
        <v>19</v>
      </c>
      <c r="CM196">
        <v>7.0000000000000007E-2</v>
      </c>
      <c r="CN196">
        <v>0.14000000000000001</v>
      </c>
      <c r="CO196">
        <v>-299.16560975609752</v>
      </c>
      <c r="CP196">
        <v>-3.1806062717768109</v>
      </c>
      <c r="CQ196">
        <v>0.31986718875402881</v>
      </c>
      <c r="CR196">
        <v>-1</v>
      </c>
      <c r="CS196">
        <v>18.90706097560976</v>
      </c>
      <c r="CT196">
        <v>0.24434843205577109</v>
      </c>
      <c r="CU196">
        <v>2.4182122786530459E-2</v>
      </c>
      <c r="CV196">
        <v>-1</v>
      </c>
      <c r="CW196">
        <v>0</v>
      </c>
      <c r="CX196">
        <v>0</v>
      </c>
      <c r="CY196" t="s">
        <v>333</v>
      </c>
      <c r="CZ196">
        <v>2.3646600000000002</v>
      </c>
      <c r="DA196">
        <v>2.7138399999999998</v>
      </c>
      <c r="DB196">
        <v>0.105784</v>
      </c>
      <c r="DC196">
        <v>0.14605299999999999</v>
      </c>
      <c r="DD196">
        <v>0.11437700000000001</v>
      </c>
      <c r="DE196">
        <v>3.4928300000000002E-2</v>
      </c>
      <c r="DF196">
        <v>32680.6</v>
      </c>
      <c r="DG196">
        <v>27558.6</v>
      </c>
      <c r="DH196">
        <v>31198.7</v>
      </c>
      <c r="DI196">
        <v>28119.7</v>
      </c>
      <c r="DJ196">
        <v>37511.699999999997</v>
      </c>
      <c r="DK196">
        <v>38597.800000000003</v>
      </c>
      <c r="DL196">
        <v>44404.5</v>
      </c>
      <c r="DM196">
        <v>42625.2</v>
      </c>
      <c r="DN196">
        <v>1.4867999999999999</v>
      </c>
      <c r="DO196">
        <v>2.04155</v>
      </c>
      <c r="DP196">
        <v>7.5623399999999993E-2</v>
      </c>
      <c r="DQ196">
        <v>0.201963</v>
      </c>
      <c r="DR196">
        <v>25.766200000000001</v>
      </c>
      <c r="DS196">
        <v>25.595099999999999</v>
      </c>
      <c r="DT196">
        <v>40.1</v>
      </c>
      <c r="DU196">
        <v>28.8</v>
      </c>
      <c r="DV196">
        <v>16.103899999999999</v>
      </c>
      <c r="DW196">
        <v>61.567900000000002</v>
      </c>
      <c r="DX196">
        <v>37.071300000000001</v>
      </c>
      <c r="DY196">
        <v>1</v>
      </c>
      <c r="DZ196">
        <v>-0.120114</v>
      </c>
      <c r="EA196">
        <v>-0.41860799999999998</v>
      </c>
      <c r="EB196">
        <v>20.189</v>
      </c>
      <c r="EC196">
        <v>5.2409499999999998</v>
      </c>
      <c r="ED196">
        <v>12.039899999999999</v>
      </c>
      <c r="EE196">
        <v>5.0170500000000002</v>
      </c>
      <c r="EF196">
        <v>3.2879999999999998</v>
      </c>
      <c r="EG196">
        <v>9999</v>
      </c>
      <c r="EH196">
        <v>9999</v>
      </c>
      <c r="EI196">
        <v>9999</v>
      </c>
      <c r="EJ196">
        <v>999.9</v>
      </c>
      <c r="EK196">
        <v>1.8689</v>
      </c>
      <c r="EL196">
        <v>1.8646100000000001</v>
      </c>
      <c r="EM196">
        <v>1.8691599999999999</v>
      </c>
      <c r="EN196">
        <v>1.8672200000000001</v>
      </c>
      <c r="EO196">
        <v>1.8633900000000001</v>
      </c>
      <c r="EP196">
        <v>1.8644700000000001</v>
      </c>
      <c r="EQ196">
        <v>1.8701399999999999</v>
      </c>
      <c r="ER196">
        <v>1.8693599999999999</v>
      </c>
      <c r="ES196">
        <v>0</v>
      </c>
      <c r="ET196">
        <v>0</v>
      </c>
      <c r="EU196">
        <v>0</v>
      </c>
      <c r="EV196">
        <v>0</v>
      </c>
      <c r="EW196" t="s">
        <v>334</v>
      </c>
      <c r="EX196" t="s">
        <v>335</v>
      </c>
      <c r="EY196" t="s">
        <v>336</v>
      </c>
      <c r="EZ196" t="s">
        <v>336</v>
      </c>
      <c r="FA196" t="s">
        <v>336</v>
      </c>
      <c r="FB196" t="s">
        <v>336</v>
      </c>
      <c r="FC196">
        <v>0</v>
      </c>
      <c r="FD196">
        <v>100</v>
      </c>
      <c r="FE196">
        <v>100</v>
      </c>
      <c r="FF196">
        <v>-0.127</v>
      </c>
      <c r="FG196">
        <v>0.17199999999999999</v>
      </c>
      <c r="FH196">
        <v>0.2126736300064915</v>
      </c>
      <c r="FI196">
        <v>-6.1462078757559423E-4</v>
      </c>
      <c r="FJ196">
        <v>-1.8861989874597051E-7</v>
      </c>
      <c r="FK196">
        <v>1.1980462299894961E-10</v>
      </c>
      <c r="FL196">
        <v>0.1719881465068297</v>
      </c>
      <c r="FM196">
        <v>0</v>
      </c>
      <c r="FN196">
        <v>0</v>
      </c>
      <c r="FO196">
        <v>0</v>
      </c>
      <c r="FP196">
        <v>3</v>
      </c>
      <c r="FQ196">
        <v>2158</v>
      </c>
      <c r="FR196">
        <v>1</v>
      </c>
      <c r="FS196">
        <v>19</v>
      </c>
      <c r="FT196">
        <v>39.299999999999997</v>
      </c>
      <c r="FU196">
        <v>39.4</v>
      </c>
      <c r="FV196">
        <v>1.7687999999999999</v>
      </c>
      <c r="FW196">
        <v>2.5891099999999998</v>
      </c>
      <c r="FX196">
        <v>1.5490699999999999</v>
      </c>
      <c r="FY196">
        <v>2.3278799999999999</v>
      </c>
      <c r="FZ196">
        <v>1.50146</v>
      </c>
      <c r="GA196">
        <v>2.3840300000000001</v>
      </c>
      <c r="GB196">
        <v>33.512999999999998</v>
      </c>
      <c r="GC196">
        <v>23.982399999999998</v>
      </c>
      <c r="GD196">
        <v>19</v>
      </c>
      <c r="GE196">
        <v>285.90800000000002</v>
      </c>
      <c r="GF196">
        <v>583.52200000000005</v>
      </c>
      <c r="GG196">
        <v>25.671099999999999</v>
      </c>
      <c r="GH196">
        <v>25.901399999999999</v>
      </c>
      <c r="GI196">
        <v>30.0002</v>
      </c>
      <c r="GJ196">
        <v>26.014299999999999</v>
      </c>
      <c r="GK196">
        <v>25.9937</v>
      </c>
      <c r="GL196">
        <v>35.361199999999997</v>
      </c>
      <c r="GM196">
        <v>64.236199999999997</v>
      </c>
      <c r="GN196">
        <v>47.8339</v>
      </c>
      <c r="GO196">
        <v>25.6709</v>
      </c>
      <c r="GP196">
        <v>800</v>
      </c>
      <c r="GQ196">
        <v>5.1003499999999997</v>
      </c>
      <c r="GR196">
        <v>99.830100000000002</v>
      </c>
      <c r="GS196">
        <v>99.710099999999997</v>
      </c>
    </row>
    <row r="197" spans="1:201" x14ac:dyDescent="0.25">
      <c r="A197">
        <v>181</v>
      </c>
      <c r="B197">
        <v>1690234375</v>
      </c>
      <c r="C197">
        <v>1868.900000095367</v>
      </c>
      <c r="D197" t="s">
        <v>693</v>
      </c>
      <c r="E197" t="s">
        <v>694</v>
      </c>
      <c r="F197" t="s">
        <v>330</v>
      </c>
      <c r="H197">
        <v>1690234375</v>
      </c>
      <c r="I197">
        <f t="shared" si="60"/>
        <v>1.8062041802946243E-3</v>
      </c>
      <c r="J197">
        <f t="shared" si="61"/>
        <v>1.8062041802946243</v>
      </c>
      <c r="K197">
        <f t="shared" si="62"/>
        <v>26.908204515296447</v>
      </c>
      <c r="L197">
        <f t="shared" si="63"/>
        <v>499.846</v>
      </c>
      <c r="M197">
        <f t="shared" si="64"/>
        <v>107.43114128051823</v>
      </c>
      <c r="N197">
        <f t="shared" si="65"/>
        <v>10.645492524281629</v>
      </c>
      <c r="O197">
        <f t="shared" si="66"/>
        <v>49.530394938259995</v>
      </c>
      <c r="P197">
        <f t="shared" si="67"/>
        <v>0.11481480639598565</v>
      </c>
      <c r="Q197">
        <f t="shared" si="68"/>
        <v>2.1295724844705441</v>
      </c>
      <c r="R197">
        <f t="shared" si="69"/>
        <v>0.11148341443846947</v>
      </c>
      <c r="S197">
        <f t="shared" si="70"/>
        <v>6.9968394827049543E-2</v>
      </c>
      <c r="T197">
        <f t="shared" si="71"/>
        <v>276.11640280799998</v>
      </c>
      <c r="U197">
        <f t="shared" si="72"/>
        <v>28.666487649362345</v>
      </c>
      <c r="V197">
        <f t="shared" si="73"/>
        <v>28.666487649362345</v>
      </c>
      <c r="W197">
        <f t="shared" si="74"/>
        <v>3.9448071429302858</v>
      </c>
      <c r="X197">
        <f t="shared" si="75"/>
        <v>66.353657799055171</v>
      </c>
      <c r="Y197">
        <f t="shared" si="76"/>
        <v>2.3906967633219995</v>
      </c>
      <c r="Z197">
        <f t="shared" si="77"/>
        <v>3.6029615286047445</v>
      </c>
      <c r="AA197">
        <f t="shared" si="78"/>
        <v>1.5541103796082862</v>
      </c>
      <c r="AB197">
        <f t="shared" si="79"/>
        <v>-79.653604350992936</v>
      </c>
      <c r="AC197">
        <f t="shared" si="80"/>
        <v>-178.36663953504146</v>
      </c>
      <c r="AD197">
        <f t="shared" si="81"/>
        <v>-18.237161454008685</v>
      </c>
      <c r="AE197">
        <f t="shared" si="82"/>
        <v>-0.1410025320431032</v>
      </c>
      <c r="AF197">
        <v>0</v>
      </c>
      <c r="AG197">
        <v>0</v>
      </c>
      <c r="AH197">
        <f t="shared" si="83"/>
        <v>1</v>
      </c>
      <c r="AI197">
        <f t="shared" si="84"/>
        <v>0</v>
      </c>
      <c r="AJ197">
        <f t="shared" si="85"/>
        <v>52311.561244923512</v>
      </c>
      <c r="AK197">
        <f t="shared" si="86"/>
        <v>1800</v>
      </c>
      <c r="AL197">
        <f t="shared" si="87"/>
        <v>1499.1100128</v>
      </c>
      <c r="AM197">
        <f t="shared" si="88"/>
        <v>0.83283889600000005</v>
      </c>
      <c r="AN197">
        <f t="shared" si="89"/>
        <v>0.15339800156</v>
      </c>
      <c r="AO197">
        <v>32.4</v>
      </c>
      <c r="AP197">
        <v>0.5</v>
      </c>
      <c r="AQ197" t="s">
        <v>331</v>
      </c>
      <c r="AR197">
        <v>2</v>
      </c>
      <c r="AS197">
        <v>1690234375</v>
      </c>
      <c r="AT197">
        <v>499.846</v>
      </c>
      <c r="AU197">
        <v>800.01900000000001</v>
      </c>
      <c r="AV197">
        <v>24.126200000000001</v>
      </c>
      <c r="AW197">
        <v>5.1016199999999996</v>
      </c>
      <c r="AX197">
        <v>499.97300000000001</v>
      </c>
      <c r="AY197">
        <v>23.9542</v>
      </c>
      <c r="AZ197">
        <v>300.18599999999998</v>
      </c>
      <c r="BA197">
        <v>98.991299999999995</v>
      </c>
      <c r="BB197">
        <v>0.10001</v>
      </c>
      <c r="BC197">
        <v>27.1129</v>
      </c>
      <c r="BD197">
        <v>27.0031</v>
      </c>
      <c r="BE197">
        <v>28.881699999999999</v>
      </c>
      <c r="BF197">
        <v>0</v>
      </c>
      <c r="BG197">
        <v>0</v>
      </c>
      <c r="BH197">
        <v>9997.5</v>
      </c>
      <c r="BI197">
        <v>1081.0899999999999</v>
      </c>
      <c r="BJ197">
        <v>1.3455900000000001</v>
      </c>
      <c r="BK197">
        <v>-300.173</v>
      </c>
      <c r="BL197">
        <v>512.20299999999997</v>
      </c>
      <c r="BM197">
        <v>804.12099999999998</v>
      </c>
      <c r="BN197">
        <v>19.0246</v>
      </c>
      <c r="BO197">
        <v>800.01900000000001</v>
      </c>
      <c r="BP197">
        <v>5.1016199999999996</v>
      </c>
      <c r="BQ197">
        <v>2.38828</v>
      </c>
      <c r="BR197">
        <v>0.50501600000000002</v>
      </c>
      <c r="BS197">
        <v>20.284600000000001</v>
      </c>
      <c r="BT197">
        <v>-2.6529799999999999</v>
      </c>
      <c r="BU197">
        <v>1800</v>
      </c>
      <c r="BV197">
        <v>0.90998000000000001</v>
      </c>
      <c r="BW197">
        <v>3.4002400000000002E-2</v>
      </c>
      <c r="BX197">
        <v>2.20068E-2</v>
      </c>
      <c r="BY197">
        <v>3.4010800000000001E-2</v>
      </c>
      <c r="BZ197">
        <v>25.541699999999999</v>
      </c>
      <c r="CA197">
        <v>33528.300000000003</v>
      </c>
      <c r="CB197">
        <v>1690232006</v>
      </c>
      <c r="CC197" t="s">
        <v>332</v>
      </c>
      <c r="CD197">
        <v>1690232006</v>
      </c>
      <c r="CE197">
        <v>1690231998.5</v>
      </c>
      <c r="CF197">
        <v>14</v>
      </c>
      <c r="CG197">
        <v>-0.13200000000000001</v>
      </c>
      <c r="CH197">
        <v>-7.0000000000000001E-3</v>
      </c>
      <c r="CI197">
        <v>-0.33800000000000002</v>
      </c>
      <c r="CJ197">
        <v>0.14299999999999999</v>
      </c>
      <c r="CK197">
        <v>799</v>
      </c>
      <c r="CL197">
        <v>19</v>
      </c>
      <c r="CM197">
        <v>7.0000000000000007E-2</v>
      </c>
      <c r="CN197">
        <v>0.14000000000000001</v>
      </c>
      <c r="CO197">
        <v>-299.69159999999999</v>
      </c>
      <c r="CP197">
        <v>-3.0664615384612768</v>
      </c>
      <c r="CQ197">
        <v>0.30305649638310028</v>
      </c>
      <c r="CR197">
        <v>-1</v>
      </c>
      <c r="CS197">
        <v>18.956802499999998</v>
      </c>
      <c r="CT197">
        <v>0.3363590994371532</v>
      </c>
      <c r="CU197">
        <v>3.3554012334592521E-2</v>
      </c>
      <c r="CV197">
        <v>-1</v>
      </c>
      <c r="CW197">
        <v>0</v>
      </c>
      <c r="CX197">
        <v>0</v>
      </c>
      <c r="CY197" t="s">
        <v>333</v>
      </c>
      <c r="CZ197">
        <v>2.36503</v>
      </c>
      <c r="DA197">
        <v>2.7138</v>
      </c>
      <c r="DB197">
        <v>0.10570400000000001</v>
      </c>
      <c r="DC197">
        <v>0.14605899999999999</v>
      </c>
      <c r="DD197">
        <v>0.114371</v>
      </c>
      <c r="DE197">
        <v>3.4519099999999997E-2</v>
      </c>
      <c r="DF197">
        <v>32683.7</v>
      </c>
      <c r="DG197">
        <v>27558.400000000001</v>
      </c>
      <c r="DH197">
        <v>31198.9</v>
      </c>
      <c r="DI197">
        <v>28119.599999999999</v>
      </c>
      <c r="DJ197">
        <v>37512.1</v>
      </c>
      <c r="DK197">
        <v>38614.199999999997</v>
      </c>
      <c r="DL197">
        <v>44404.6</v>
      </c>
      <c r="DM197">
        <v>42625.1</v>
      </c>
      <c r="DN197">
        <v>1.4869000000000001</v>
      </c>
      <c r="DO197">
        <v>2.0414500000000002</v>
      </c>
      <c r="DP197">
        <v>7.5429700000000002E-2</v>
      </c>
      <c r="DQ197">
        <v>0.20080799999999999</v>
      </c>
      <c r="DR197">
        <v>25.7683</v>
      </c>
      <c r="DS197">
        <v>25.599</v>
      </c>
      <c r="DT197">
        <v>39.799999999999997</v>
      </c>
      <c r="DU197">
        <v>28.8</v>
      </c>
      <c r="DV197">
        <v>15.9834</v>
      </c>
      <c r="DW197">
        <v>61.557899999999997</v>
      </c>
      <c r="DX197">
        <v>37.131399999999999</v>
      </c>
      <c r="DY197">
        <v>1</v>
      </c>
      <c r="DZ197">
        <v>-0.119919</v>
      </c>
      <c r="EA197">
        <v>-0.35708299999999998</v>
      </c>
      <c r="EB197">
        <v>20.1891</v>
      </c>
      <c r="EC197">
        <v>5.2411000000000003</v>
      </c>
      <c r="ED197">
        <v>12.039899999999999</v>
      </c>
      <c r="EE197">
        <v>5.0167999999999999</v>
      </c>
      <c r="EF197">
        <v>3.2879999999999998</v>
      </c>
      <c r="EG197">
        <v>9999</v>
      </c>
      <c r="EH197">
        <v>9999</v>
      </c>
      <c r="EI197">
        <v>9999</v>
      </c>
      <c r="EJ197">
        <v>999.9</v>
      </c>
      <c r="EK197">
        <v>1.8689</v>
      </c>
      <c r="EL197">
        <v>1.8646100000000001</v>
      </c>
      <c r="EM197">
        <v>1.8691800000000001</v>
      </c>
      <c r="EN197">
        <v>1.8672200000000001</v>
      </c>
      <c r="EO197">
        <v>1.8633900000000001</v>
      </c>
      <c r="EP197">
        <v>1.8644700000000001</v>
      </c>
      <c r="EQ197">
        <v>1.8701300000000001</v>
      </c>
      <c r="ER197">
        <v>1.86937</v>
      </c>
      <c r="ES197">
        <v>0</v>
      </c>
      <c r="ET197">
        <v>0</v>
      </c>
      <c r="EU197">
        <v>0</v>
      </c>
      <c r="EV197">
        <v>0</v>
      </c>
      <c r="EW197" t="s">
        <v>334</v>
      </c>
      <c r="EX197" t="s">
        <v>335</v>
      </c>
      <c r="EY197" t="s">
        <v>336</v>
      </c>
      <c r="EZ197" t="s">
        <v>336</v>
      </c>
      <c r="FA197" t="s">
        <v>336</v>
      </c>
      <c r="FB197" t="s">
        <v>336</v>
      </c>
      <c r="FC197">
        <v>0</v>
      </c>
      <c r="FD197">
        <v>100</v>
      </c>
      <c r="FE197">
        <v>100</v>
      </c>
      <c r="FF197">
        <v>-0.127</v>
      </c>
      <c r="FG197">
        <v>0.17199999999999999</v>
      </c>
      <c r="FH197">
        <v>0.2126736300064915</v>
      </c>
      <c r="FI197">
        <v>-6.1462078757559423E-4</v>
      </c>
      <c r="FJ197">
        <v>-1.8861989874597051E-7</v>
      </c>
      <c r="FK197">
        <v>1.1980462299894961E-10</v>
      </c>
      <c r="FL197">
        <v>0.1719881465068297</v>
      </c>
      <c r="FM197">
        <v>0</v>
      </c>
      <c r="FN197">
        <v>0</v>
      </c>
      <c r="FO197">
        <v>0</v>
      </c>
      <c r="FP197">
        <v>3</v>
      </c>
      <c r="FQ197">
        <v>2158</v>
      </c>
      <c r="FR197">
        <v>1</v>
      </c>
      <c r="FS197">
        <v>19</v>
      </c>
      <c r="FT197">
        <v>39.5</v>
      </c>
      <c r="FU197">
        <v>39.6</v>
      </c>
      <c r="FV197">
        <v>1.7687999999999999</v>
      </c>
      <c r="FW197">
        <v>2.5915499999999998</v>
      </c>
      <c r="FX197">
        <v>1.5490699999999999</v>
      </c>
      <c r="FY197">
        <v>2.32666</v>
      </c>
      <c r="FZ197">
        <v>1.50146</v>
      </c>
      <c r="GA197">
        <v>2.2753899999999998</v>
      </c>
      <c r="GB197">
        <v>33.512999999999998</v>
      </c>
      <c r="GC197">
        <v>23.982399999999998</v>
      </c>
      <c r="GD197">
        <v>19</v>
      </c>
      <c r="GE197">
        <v>285.95100000000002</v>
      </c>
      <c r="GF197">
        <v>583.44000000000005</v>
      </c>
      <c r="GG197">
        <v>25.664400000000001</v>
      </c>
      <c r="GH197">
        <v>25.901399999999999</v>
      </c>
      <c r="GI197">
        <v>30.0002</v>
      </c>
      <c r="GJ197">
        <v>26.014299999999999</v>
      </c>
      <c r="GK197">
        <v>25.9937</v>
      </c>
      <c r="GL197">
        <v>35.356000000000002</v>
      </c>
      <c r="GM197">
        <v>64.518500000000003</v>
      </c>
      <c r="GN197">
        <v>47.438200000000002</v>
      </c>
      <c r="GO197">
        <v>25.656199999999998</v>
      </c>
      <c r="GP197">
        <v>800</v>
      </c>
      <c r="GQ197">
        <v>5.0309900000000001</v>
      </c>
      <c r="GR197">
        <v>99.830699999999993</v>
      </c>
      <c r="GS197">
        <v>99.709900000000005</v>
      </c>
    </row>
    <row r="198" spans="1:201" x14ac:dyDescent="0.25">
      <c r="A198">
        <v>182</v>
      </c>
      <c r="B198">
        <v>1690234385</v>
      </c>
      <c r="C198">
        <v>1878.900000095367</v>
      </c>
      <c r="D198" t="s">
        <v>695</v>
      </c>
      <c r="E198" t="s">
        <v>696</v>
      </c>
      <c r="F198" t="s">
        <v>330</v>
      </c>
      <c r="H198">
        <v>1690234385</v>
      </c>
      <c r="I198">
        <f t="shared" si="60"/>
        <v>1.8097459023142584E-3</v>
      </c>
      <c r="J198">
        <f t="shared" si="61"/>
        <v>1.8097459023142584</v>
      </c>
      <c r="K198">
        <f t="shared" si="62"/>
        <v>26.954710378876563</v>
      </c>
      <c r="L198">
        <f t="shared" si="63"/>
        <v>499.42899999999997</v>
      </c>
      <c r="M198">
        <f t="shared" si="64"/>
        <v>106.01337619211121</v>
      </c>
      <c r="N198">
        <f t="shared" si="65"/>
        <v>10.505090195233828</v>
      </c>
      <c r="O198">
        <f t="shared" si="66"/>
        <v>49.489478399479999</v>
      </c>
      <c r="P198">
        <f t="shared" si="67"/>
        <v>0.11471955540725348</v>
      </c>
      <c r="Q198">
        <f t="shared" si="68"/>
        <v>2.1238847970882109</v>
      </c>
      <c r="R198">
        <f t="shared" si="69"/>
        <v>0.1113849744001416</v>
      </c>
      <c r="S198">
        <f t="shared" si="70"/>
        <v>6.9907134196599802E-2</v>
      </c>
      <c r="T198">
        <f t="shared" si="71"/>
        <v>276.11654578200006</v>
      </c>
      <c r="U198">
        <f t="shared" si="72"/>
        <v>28.678812888375592</v>
      </c>
      <c r="V198">
        <f t="shared" si="73"/>
        <v>28.678812888375592</v>
      </c>
      <c r="W198">
        <f t="shared" si="74"/>
        <v>3.9476284468048477</v>
      </c>
      <c r="X198">
        <f t="shared" si="75"/>
        <v>66.270973754361393</v>
      </c>
      <c r="Y198">
        <f t="shared" si="76"/>
        <v>2.3890911947759998</v>
      </c>
      <c r="Z198">
        <f t="shared" si="77"/>
        <v>3.6050340887269217</v>
      </c>
      <c r="AA198">
        <f t="shared" si="78"/>
        <v>1.5585372520288479</v>
      </c>
      <c r="AB198">
        <f t="shared" si="79"/>
        <v>-79.809794292058797</v>
      </c>
      <c r="AC198">
        <f t="shared" si="80"/>
        <v>-178.17940293684993</v>
      </c>
      <c r="AD198">
        <f t="shared" si="81"/>
        <v>-18.268819851284551</v>
      </c>
      <c r="AE198">
        <f t="shared" si="82"/>
        <v>-0.1414712981932098</v>
      </c>
      <c r="AF198">
        <v>0</v>
      </c>
      <c r="AG198">
        <v>0</v>
      </c>
      <c r="AH198">
        <f t="shared" si="83"/>
        <v>1</v>
      </c>
      <c r="AI198">
        <f t="shared" si="84"/>
        <v>0</v>
      </c>
      <c r="AJ198">
        <f t="shared" si="85"/>
        <v>52065.382971712177</v>
      </c>
      <c r="AK198">
        <f t="shared" si="86"/>
        <v>1800</v>
      </c>
      <c r="AL198">
        <f t="shared" si="87"/>
        <v>1499.1101171999996</v>
      </c>
      <c r="AM198">
        <f t="shared" si="88"/>
        <v>0.83283895399999985</v>
      </c>
      <c r="AN198">
        <f t="shared" si="89"/>
        <v>0.15339808099000002</v>
      </c>
      <c r="AO198">
        <v>32.4</v>
      </c>
      <c r="AP198">
        <v>0.5</v>
      </c>
      <c r="AQ198" t="s">
        <v>331</v>
      </c>
      <c r="AR198">
        <v>2</v>
      </c>
      <c r="AS198">
        <v>1690234385</v>
      </c>
      <c r="AT198">
        <v>499.42899999999997</v>
      </c>
      <c r="AU198">
        <v>800.16200000000003</v>
      </c>
      <c r="AV198">
        <v>24.1098</v>
      </c>
      <c r="AW198">
        <v>5.0446099999999996</v>
      </c>
      <c r="AX198">
        <v>499.55599999999998</v>
      </c>
      <c r="AY198">
        <v>23.937799999999999</v>
      </c>
      <c r="AZ198">
        <v>300.13900000000001</v>
      </c>
      <c r="BA198">
        <v>98.992000000000004</v>
      </c>
      <c r="BB198">
        <v>0.10012</v>
      </c>
      <c r="BC198">
        <v>27.122699999999998</v>
      </c>
      <c r="BD198">
        <v>27.0093</v>
      </c>
      <c r="BE198">
        <v>28.868099999999998</v>
      </c>
      <c r="BF198">
        <v>0</v>
      </c>
      <c r="BG198">
        <v>0</v>
      </c>
      <c r="BH198">
        <v>9948.75</v>
      </c>
      <c r="BI198">
        <v>1081.07</v>
      </c>
      <c r="BJ198">
        <v>1.3455900000000001</v>
      </c>
      <c r="BK198">
        <v>-300.733</v>
      </c>
      <c r="BL198">
        <v>511.76799999999997</v>
      </c>
      <c r="BM198">
        <v>804.21900000000005</v>
      </c>
      <c r="BN198">
        <v>19.065200000000001</v>
      </c>
      <c r="BO198">
        <v>800.16200000000003</v>
      </c>
      <c r="BP198">
        <v>5.0446099999999996</v>
      </c>
      <c r="BQ198">
        <v>2.3866800000000001</v>
      </c>
      <c r="BR198">
        <v>0.49937700000000002</v>
      </c>
      <c r="BS198">
        <v>20.273700000000002</v>
      </c>
      <c r="BT198">
        <v>-2.8041</v>
      </c>
      <c r="BU198">
        <v>1800</v>
      </c>
      <c r="BV198">
        <v>0.90998000000000001</v>
      </c>
      <c r="BW198">
        <v>3.4001299999999998E-2</v>
      </c>
      <c r="BX198">
        <v>2.2008699999999999E-2</v>
      </c>
      <c r="BY198">
        <v>3.4009699999999997E-2</v>
      </c>
      <c r="BZ198">
        <v>25.666699999999999</v>
      </c>
      <c r="CA198">
        <v>33528.300000000003</v>
      </c>
      <c r="CB198">
        <v>1690232006</v>
      </c>
      <c r="CC198" t="s">
        <v>332</v>
      </c>
      <c r="CD198">
        <v>1690232006</v>
      </c>
      <c r="CE198">
        <v>1690231998.5</v>
      </c>
      <c r="CF198">
        <v>14</v>
      </c>
      <c r="CG198">
        <v>-0.13200000000000001</v>
      </c>
      <c r="CH198">
        <v>-7.0000000000000001E-3</v>
      </c>
      <c r="CI198">
        <v>-0.33800000000000002</v>
      </c>
      <c r="CJ198">
        <v>0.14299999999999999</v>
      </c>
      <c r="CK198">
        <v>799</v>
      </c>
      <c r="CL198">
        <v>19</v>
      </c>
      <c r="CM198">
        <v>7.0000000000000007E-2</v>
      </c>
      <c r="CN198">
        <v>0.14000000000000001</v>
      </c>
      <c r="CO198">
        <v>-300.10692682926828</v>
      </c>
      <c r="CP198">
        <v>-2.723979094076681</v>
      </c>
      <c r="CQ198">
        <v>0.27429425095954818</v>
      </c>
      <c r="CR198">
        <v>-1</v>
      </c>
      <c r="CS198">
        <v>19.00718780487805</v>
      </c>
      <c r="CT198">
        <v>0.35154355400696929</v>
      </c>
      <c r="CU198">
        <v>3.5803748237640938E-2</v>
      </c>
      <c r="CV198">
        <v>-1</v>
      </c>
      <c r="CW198">
        <v>0</v>
      </c>
      <c r="CX198">
        <v>0</v>
      </c>
      <c r="CY198" t="s">
        <v>333</v>
      </c>
      <c r="CZ198">
        <v>2.3648600000000002</v>
      </c>
      <c r="DA198">
        <v>2.71387</v>
      </c>
      <c r="DB198">
        <v>0.10564</v>
      </c>
      <c r="DC198">
        <v>0.14607700000000001</v>
      </c>
      <c r="DD198">
        <v>0.114317</v>
      </c>
      <c r="DE198">
        <v>3.4198199999999998E-2</v>
      </c>
      <c r="DF198">
        <v>32685.9</v>
      </c>
      <c r="DG198">
        <v>27557.599999999999</v>
      </c>
      <c r="DH198">
        <v>31198.7</v>
      </c>
      <c r="DI198">
        <v>28119.4</v>
      </c>
      <c r="DJ198">
        <v>37514</v>
      </c>
      <c r="DK198">
        <v>38626.6</v>
      </c>
      <c r="DL198">
        <v>44404.1</v>
      </c>
      <c r="DM198">
        <v>42624.7</v>
      </c>
      <c r="DN198">
        <v>1.4871000000000001</v>
      </c>
      <c r="DO198">
        <v>2.0413299999999999</v>
      </c>
      <c r="DP198">
        <v>7.5675500000000007E-2</v>
      </c>
      <c r="DQ198">
        <v>0.19983899999999999</v>
      </c>
      <c r="DR198">
        <v>25.770499999999998</v>
      </c>
      <c r="DS198">
        <v>25.601099999999999</v>
      </c>
      <c r="DT198">
        <v>39.6</v>
      </c>
      <c r="DU198">
        <v>28.8</v>
      </c>
      <c r="DV198">
        <v>15.902900000000001</v>
      </c>
      <c r="DW198">
        <v>62.117899999999999</v>
      </c>
      <c r="DX198">
        <v>36.410299999999999</v>
      </c>
      <c r="DY198">
        <v>1</v>
      </c>
      <c r="DZ198">
        <v>-0.119931</v>
      </c>
      <c r="EA198">
        <v>-0.34730699999999998</v>
      </c>
      <c r="EB198">
        <v>20.189299999999999</v>
      </c>
      <c r="EC198">
        <v>5.24125</v>
      </c>
      <c r="ED198">
        <v>12.039899999999999</v>
      </c>
      <c r="EE198">
        <v>5.0171000000000001</v>
      </c>
      <c r="EF198">
        <v>3.2879999999999998</v>
      </c>
      <c r="EG198">
        <v>9999</v>
      </c>
      <c r="EH198">
        <v>9999</v>
      </c>
      <c r="EI198">
        <v>9999</v>
      </c>
      <c r="EJ198">
        <v>999.9</v>
      </c>
      <c r="EK198">
        <v>1.8689</v>
      </c>
      <c r="EL198">
        <v>1.8646199999999999</v>
      </c>
      <c r="EM198">
        <v>1.8691899999999999</v>
      </c>
      <c r="EN198">
        <v>1.8672200000000001</v>
      </c>
      <c r="EO198">
        <v>1.8633999999999999</v>
      </c>
      <c r="EP198">
        <v>1.8644700000000001</v>
      </c>
      <c r="EQ198">
        <v>1.87015</v>
      </c>
      <c r="ER198">
        <v>1.8693599999999999</v>
      </c>
      <c r="ES198">
        <v>0</v>
      </c>
      <c r="ET198">
        <v>0</v>
      </c>
      <c r="EU198">
        <v>0</v>
      </c>
      <c r="EV198">
        <v>0</v>
      </c>
      <c r="EW198" t="s">
        <v>334</v>
      </c>
      <c r="EX198" t="s">
        <v>335</v>
      </c>
      <c r="EY198" t="s">
        <v>336</v>
      </c>
      <c r="EZ198" t="s">
        <v>336</v>
      </c>
      <c r="FA198" t="s">
        <v>336</v>
      </c>
      <c r="FB198" t="s">
        <v>336</v>
      </c>
      <c r="FC198">
        <v>0</v>
      </c>
      <c r="FD198">
        <v>100</v>
      </c>
      <c r="FE198">
        <v>100</v>
      </c>
      <c r="FF198">
        <v>-0.127</v>
      </c>
      <c r="FG198">
        <v>0.17199999999999999</v>
      </c>
      <c r="FH198">
        <v>0.2126736300064915</v>
      </c>
      <c r="FI198">
        <v>-6.1462078757559423E-4</v>
      </c>
      <c r="FJ198">
        <v>-1.8861989874597051E-7</v>
      </c>
      <c r="FK198">
        <v>1.1980462299894961E-10</v>
      </c>
      <c r="FL198">
        <v>0.1719881465068297</v>
      </c>
      <c r="FM198">
        <v>0</v>
      </c>
      <c r="FN198">
        <v>0</v>
      </c>
      <c r="FO198">
        <v>0</v>
      </c>
      <c r="FP198">
        <v>3</v>
      </c>
      <c r="FQ198">
        <v>2158</v>
      </c>
      <c r="FR198">
        <v>1</v>
      </c>
      <c r="FS198">
        <v>19</v>
      </c>
      <c r="FT198">
        <v>39.6</v>
      </c>
      <c r="FU198">
        <v>39.799999999999997</v>
      </c>
      <c r="FV198">
        <v>1.7675799999999999</v>
      </c>
      <c r="FW198">
        <v>2.5817899999999998</v>
      </c>
      <c r="FX198">
        <v>1.5490699999999999</v>
      </c>
      <c r="FY198">
        <v>2.3278799999999999</v>
      </c>
      <c r="FZ198">
        <v>1.50146</v>
      </c>
      <c r="GA198">
        <v>2.3938000000000001</v>
      </c>
      <c r="GB198">
        <v>33.512999999999998</v>
      </c>
      <c r="GC198">
        <v>23.991199999999999</v>
      </c>
      <c r="GD198">
        <v>19</v>
      </c>
      <c r="GE198">
        <v>286.036</v>
      </c>
      <c r="GF198">
        <v>583.33699999999999</v>
      </c>
      <c r="GG198">
        <v>25.645600000000002</v>
      </c>
      <c r="GH198">
        <v>25.903600000000001</v>
      </c>
      <c r="GI198">
        <v>30.0001</v>
      </c>
      <c r="GJ198">
        <v>26.014299999999999</v>
      </c>
      <c r="GK198">
        <v>25.9937</v>
      </c>
      <c r="GL198">
        <v>35.3536</v>
      </c>
      <c r="GM198">
        <v>64.796499999999995</v>
      </c>
      <c r="GN198">
        <v>46.6447</v>
      </c>
      <c r="GO198">
        <v>25.641400000000001</v>
      </c>
      <c r="GP198">
        <v>800</v>
      </c>
      <c r="GQ198">
        <v>4.9742600000000001</v>
      </c>
      <c r="GR198">
        <v>99.829800000000006</v>
      </c>
      <c r="GS198">
        <v>99.709000000000003</v>
      </c>
    </row>
    <row r="199" spans="1:201" x14ac:dyDescent="0.25">
      <c r="A199">
        <v>183</v>
      </c>
      <c r="B199">
        <v>1690234395</v>
      </c>
      <c r="C199">
        <v>1888.900000095367</v>
      </c>
      <c r="D199" t="s">
        <v>697</v>
      </c>
      <c r="E199" t="s">
        <v>698</v>
      </c>
      <c r="F199" t="s">
        <v>330</v>
      </c>
      <c r="H199">
        <v>1690234395</v>
      </c>
      <c r="I199">
        <f t="shared" si="60"/>
        <v>1.8170407190370231E-3</v>
      </c>
      <c r="J199">
        <f t="shared" si="61"/>
        <v>1.817040719037023</v>
      </c>
      <c r="K199">
        <f t="shared" si="62"/>
        <v>26.986356442362965</v>
      </c>
      <c r="L199">
        <f t="shared" si="63"/>
        <v>498.91899999999998</v>
      </c>
      <c r="M199">
        <f t="shared" si="64"/>
        <v>106.97889051775053</v>
      </c>
      <c r="N199">
        <f t="shared" si="65"/>
        <v>10.600544466179549</v>
      </c>
      <c r="O199">
        <f t="shared" si="66"/>
        <v>49.437912647301999</v>
      </c>
      <c r="P199">
        <f t="shared" si="67"/>
        <v>0.11530201416051966</v>
      </c>
      <c r="Q199">
        <f t="shared" si="68"/>
        <v>2.1294114465610066</v>
      </c>
      <c r="R199">
        <f t="shared" si="69"/>
        <v>0.11194248844180354</v>
      </c>
      <c r="S199">
        <f t="shared" si="70"/>
        <v>7.0257741796479173E-2</v>
      </c>
      <c r="T199">
        <f t="shared" si="71"/>
        <v>276.11676061200001</v>
      </c>
      <c r="U199">
        <f t="shared" si="72"/>
        <v>28.666113110704003</v>
      </c>
      <c r="V199">
        <f t="shared" si="73"/>
        <v>28.666113110704003</v>
      </c>
      <c r="W199">
        <f t="shared" si="74"/>
        <v>3.9447214368474355</v>
      </c>
      <c r="X199">
        <f t="shared" si="75"/>
        <v>66.257480151459873</v>
      </c>
      <c r="Y199">
        <f t="shared" si="76"/>
        <v>2.3876938555796001</v>
      </c>
      <c r="Z199">
        <f t="shared" si="77"/>
        <v>3.6036593153278726</v>
      </c>
      <c r="AA199">
        <f t="shared" si="78"/>
        <v>1.5570275812678354</v>
      </c>
      <c r="AB199">
        <f t="shared" si="79"/>
        <v>-80.131495709532714</v>
      </c>
      <c r="AC199">
        <f t="shared" si="80"/>
        <v>-177.93131139255499</v>
      </c>
      <c r="AD199">
        <f t="shared" si="81"/>
        <v>-18.194291770020719</v>
      </c>
      <c r="AE199">
        <f t="shared" si="82"/>
        <v>-0.14033826010839334</v>
      </c>
      <c r="AF199">
        <v>0</v>
      </c>
      <c r="AG199">
        <v>0</v>
      </c>
      <c r="AH199">
        <f t="shared" si="83"/>
        <v>1</v>
      </c>
      <c r="AI199">
        <f t="shared" si="84"/>
        <v>0</v>
      </c>
      <c r="AJ199">
        <f t="shared" si="85"/>
        <v>52304.025462374324</v>
      </c>
      <c r="AK199">
        <f t="shared" si="86"/>
        <v>1800</v>
      </c>
      <c r="AL199">
        <f t="shared" si="87"/>
        <v>1499.1113682</v>
      </c>
      <c r="AM199">
        <f t="shared" si="88"/>
        <v>0.83283964900000007</v>
      </c>
      <c r="AN199">
        <f t="shared" si="89"/>
        <v>0.15339820034000001</v>
      </c>
      <c r="AO199">
        <v>32.4</v>
      </c>
      <c r="AP199">
        <v>0.5</v>
      </c>
      <c r="AQ199" t="s">
        <v>331</v>
      </c>
      <c r="AR199">
        <v>2</v>
      </c>
      <c r="AS199">
        <v>1690234395</v>
      </c>
      <c r="AT199">
        <v>498.91899999999998</v>
      </c>
      <c r="AU199">
        <v>800.04</v>
      </c>
      <c r="AV199">
        <v>24.0962</v>
      </c>
      <c r="AW199">
        <v>4.9528100000000004</v>
      </c>
      <c r="AX199">
        <v>499.04599999999999</v>
      </c>
      <c r="AY199">
        <v>23.924199999999999</v>
      </c>
      <c r="AZ199">
        <v>300.12200000000001</v>
      </c>
      <c r="BA199">
        <v>98.99</v>
      </c>
      <c r="BB199">
        <v>0.10005799999999999</v>
      </c>
      <c r="BC199">
        <v>27.116199999999999</v>
      </c>
      <c r="BD199">
        <v>27.011500000000002</v>
      </c>
      <c r="BE199">
        <v>28.884399999999999</v>
      </c>
      <c r="BF199">
        <v>0</v>
      </c>
      <c r="BG199">
        <v>0</v>
      </c>
      <c r="BH199">
        <v>9996.25</v>
      </c>
      <c r="BI199">
        <v>1081.06</v>
      </c>
      <c r="BJ199">
        <v>1.3455900000000001</v>
      </c>
      <c r="BK199">
        <v>-301.12099999999998</v>
      </c>
      <c r="BL199">
        <v>511.238</v>
      </c>
      <c r="BM199">
        <v>804.02200000000005</v>
      </c>
      <c r="BN199">
        <v>19.1434</v>
      </c>
      <c r="BO199">
        <v>800.04</v>
      </c>
      <c r="BP199">
        <v>4.9528100000000004</v>
      </c>
      <c r="BQ199">
        <v>2.3852899999999999</v>
      </c>
      <c r="BR199">
        <v>0.49027900000000002</v>
      </c>
      <c r="BS199">
        <v>20.264199999999999</v>
      </c>
      <c r="BT199">
        <v>-3.0511400000000002</v>
      </c>
      <c r="BU199">
        <v>1800</v>
      </c>
      <c r="BV199">
        <v>0.90998100000000004</v>
      </c>
      <c r="BW199">
        <v>3.4001200000000002E-2</v>
      </c>
      <c r="BX199">
        <v>2.2008699999999999E-2</v>
      </c>
      <c r="BY199">
        <v>3.4009600000000001E-2</v>
      </c>
      <c r="BZ199">
        <v>25.625</v>
      </c>
      <c r="CA199">
        <v>33528.199999999997</v>
      </c>
      <c r="CB199">
        <v>1690232006</v>
      </c>
      <c r="CC199" t="s">
        <v>332</v>
      </c>
      <c r="CD199">
        <v>1690232006</v>
      </c>
      <c r="CE199">
        <v>1690231998.5</v>
      </c>
      <c r="CF199">
        <v>14</v>
      </c>
      <c r="CG199">
        <v>-0.13200000000000001</v>
      </c>
      <c r="CH199">
        <v>-7.0000000000000001E-3</v>
      </c>
      <c r="CI199">
        <v>-0.33800000000000002</v>
      </c>
      <c r="CJ199">
        <v>0.14299999999999999</v>
      </c>
      <c r="CK199">
        <v>799</v>
      </c>
      <c r="CL199">
        <v>19</v>
      </c>
      <c r="CM199">
        <v>7.0000000000000007E-2</v>
      </c>
      <c r="CN199">
        <v>0.14000000000000001</v>
      </c>
      <c r="CO199">
        <v>-300.596025</v>
      </c>
      <c r="CP199">
        <v>-2.741234521576505</v>
      </c>
      <c r="CQ199">
        <v>0.27027176022478078</v>
      </c>
      <c r="CR199">
        <v>-1</v>
      </c>
      <c r="CS199">
        <v>19.0746675</v>
      </c>
      <c r="CT199">
        <v>0.40686866791738541</v>
      </c>
      <c r="CU199">
        <v>4.0345138415303239E-2</v>
      </c>
      <c r="CV199">
        <v>-1</v>
      </c>
      <c r="CW199">
        <v>0</v>
      </c>
      <c r="CX199">
        <v>0</v>
      </c>
      <c r="CY199" t="s">
        <v>333</v>
      </c>
      <c r="CZ199">
        <v>2.3648099999999999</v>
      </c>
      <c r="DA199">
        <v>2.7138499999999999</v>
      </c>
      <c r="DB199">
        <v>0.105559</v>
      </c>
      <c r="DC199">
        <v>0.14605699999999999</v>
      </c>
      <c r="DD199">
        <v>0.11427</v>
      </c>
      <c r="DE199">
        <v>3.3678199999999998E-2</v>
      </c>
      <c r="DF199">
        <v>32689.200000000001</v>
      </c>
      <c r="DG199">
        <v>27558.5</v>
      </c>
      <c r="DH199">
        <v>31199</v>
      </c>
      <c r="DI199">
        <v>28119.7</v>
      </c>
      <c r="DJ199">
        <v>37516.6</v>
      </c>
      <c r="DK199">
        <v>38647.800000000003</v>
      </c>
      <c r="DL199">
        <v>44404.800000000003</v>
      </c>
      <c r="DM199">
        <v>42625</v>
      </c>
      <c r="DN199">
        <v>1.48695</v>
      </c>
      <c r="DO199">
        <v>2.04128</v>
      </c>
      <c r="DP199">
        <v>7.5675500000000007E-2</v>
      </c>
      <c r="DQ199">
        <v>0.200547</v>
      </c>
      <c r="DR199">
        <v>25.7727</v>
      </c>
      <c r="DS199">
        <v>25.606000000000002</v>
      </c>
      <c r="DT199">
        <v>39.299999999999997</v>
      </c>
      <c r="DU199">
        <v>28.8</v>
      </c>
      <c r="DV199">
        <v>15.781499999999999</v>
      </c>
      <c r="DW199">
        <v>61.777900000000002</v>
      </c>
      <c r="DX199">
        <v>37.592100000000002</v>
      </c>
      <c r="DY199">
        <v>1</v>
      </c>
      <c r="DZ199">
        <v>-0.12001299999999999</v>
      </c>
      <c r="EA199">
        <v>-0.32786500000000002</v>
      </c>
      <c r="EB199">
        <v>20.189399999999999</v>
      </c>
      <c r="EC199">
        <v>5.24125</v>
      </c>
      <c r="ED199">
        <v>12.039899999999999</v>
      </c>
      <c r="EE199">
        <v>5.0169499999999996</v>
      </c>
      <c r="EF199">
        <v>3.2879999999999998</v>
      </c>
      <c r="EG199">
        <v>9999</v>
      </c>
      <c r="EH199">
        <v>9999</v>
      </c>
      <c r="EI199">
        <v>9999</v>
      </c>
      <c r="EJ199">
        <v>999.9</v>
      </c>
      <c r="EK199">
        <v>1.8689</v>
      </c>
      <c r="EL199">
        <v>1.8646</v>
      </c>
      <c r="EM199">
        <v>1.8691899999999999</v>
      </c>
      <c r="EN199">
        <v>1.8672200000000001</v>
      </c>
      <c r="EO199">
        <v>1.8633900000000001</v>
      </c>
      <c r="EP199">
        <v>1.8644700000000001</v>
      </c>
      <c r="EQ199">
        <v>1.87015</v>
      </c>
      <c r="ER199">
        <v>1.8693599999999999</v>
      </c>
      <c r="ES199">
        <v>0</v>
      </c>
      <c r="ET199">
        <v>0</v>
      </c>
      <c r="EU199">
        <v>0</v>
      </c>
      <c r="EV199">
        <v>0</v>
      </c>
      <c r="EW199" t="s">
        <v>334</v>
      </c>
      <c r="EX199" t="s">
        <v>335</v>
      </c>
      <c r="EY199" t="s">
        <v>336</v>
      </c>
      <c r="EZ199" t="s">
        <v>336</v>
      </c>
      <c r="FA199" t="s">
        <v>336</v>
      </c>
      <c r="FB199" t="s">
        <v>336</v>
      </c>
      <c r="FC199">
        <v>0</v>
      </c>
      <c r="FD199">
        <v>100</v>
      </c>
      <c r="FE199">
        <v>100</v>
      </c>
      <c r="FF199">
        <v>-0.127</v>
      </c>
      <c r="FG199">
        <v>0.17199999999999999</v>
      </c>
      <c r="FH199">
        <v>0.2126736300064915</v>
      </c>
      <c r="FI199">
        <v>-6.1462078757559423E-4</v>
      </c>
      <c r="FJ199">
        <v>-1.8861989874597051E-7</v>
      </c>
      <c r="FK199">
        <v>1.1980462299894961E-10</v>
      </c>
      <c r="FL199">
        <v>0.1719881465068297</v>
      </c>
      <c r="FM199">
        <v>0</v>
      </c>
      <c r="FN199">
        <v>0</v>
      </c>
      <c r="FO199">
        <v>0</v>
      </c>
      <c r="FP199">
        <v>3</v>
      </c>
      <c r="FQ199">
        <v>2158</v>
      </c>
      <c r="FR199">
        <v>1</v>
      </c>
      <c r="FS199">
        <v>19</v>
      </c>
      <c r="FT199">
        <v>39.799999999999997</v>
      </c>
      <c r="FU199">
        <v>39.9</v>
      </c>
      <c r="FV199">
        <v>1.7687999999999999</v>
      </c>
      <c r="FW199">
        <v>2.5878899999999998</v>
      </c>
      <c r="FX199">
        <v>1.5490699999999999</v>
      </c>
      <c r="FY199">
        <v>2.3278799999999999</v>
      </c>
      <c r="FZ199">
        <v>1.50146</v>
      </c>
      <c r="GA199">
        <v>2.3278799999999999</v>
      </c>
      <c r="GB199">
        <v>33.512999999999998</v>
      </c>
      <c r="GC199">
        <v>23.982399999999998</v>
      </c>
      <c r="GD199">
        <v>19</v>
      </c>
      <c r="GE199">
        <v>285.97199999999998</v>
      </c>
      <c r="GF199">
        <v>583.29499999999996</v>
      </c>
      <c r="GG199">
        <v>25.622699999999998</v>
      </c>
      <c r="GH199">
        <v>25.903600000000001</v>
      </c>
      <c r="GI199">
        <v>30.0001</v>
      </c>
      <c r="GJ199">
        <v>26.014299999999999</v>
      </c>
      <c r="GK199">
        <v>25.9937</v>
      </c>
      <c r="GL199">
        <v>35.351799999999997</v>
      </c>
      <c r="GM199">
        <v>64.796499999999995</v>
      </c>
      <c r="GN199">
        <v>46.252600000000001</v>
      </c>
      <c r="GO199">
        <v>25.619599999999998</v>
      </c>
      <c r="GP199">
        <v>800</v>
      </c>
      <c r="GQ199">
        <v>4.9173299999999998</v>
      </c>
      <c r="GR199">
        <v>99.831000000000003</v>
      </c>
      <c r="GS199">
        <v>99.709900000000005</v>
      </c>
    </row>
    <row r="200" spans="1:201" x14ac:dyDescent="0.25">
      <c r="A200">
        <v>184</v>
      </c>
      <c r="B200">
        <v>1690234405</v>
      </c>
      <c r="C200">
        <v>1898.900000095367</v>
      </c>
      <c r="D200" t="s">
        <v>699</v>
      </c>
      <c r="E200" t="s">
        <v>700</v>
      </c>
      <c r="F200" t="s">
        <v>330</v>
      </c>
      <c r="H200">
        <v>1690234405</v>
      </c>
      <c r="I200">
        <f t="shared" si="60"/>
        <v>1.820685642607739E-3</v>
      </c>
      <c r="J200">
        <f t="shared" si="61"/>
        <v>1.8206856426077389</v>
      </c>
      <c r="K200">
        <f t="shared" si="62"/>
        <v>27.024730848252847</v>
      </c>
      <c r="L200">
        <f t="shared" si="63"/>
        <v>498.54</v>
      </c>
      <c r="M200">
        <f t="shared" si="64"/>
        <v>106.60953554389299</v>
      </c>
      <c r="N200">
        <f t="shared" si="65"/>
        <v>10.564062117667445</v>
      </c>
      <c r="O200">
        <f t="shared" si="66"/>
        <v>49.400904912240001</v>
      </c>
      <c r="P200">
        <f t="shared" si="67"/>
        <v>0.11546768789461394</v>
      </c>
      <c r="Q200">
        <f t="shared" si="68"/>
        <v>2.1321904517985981</v>
      </c>
      <c r="R200">
        <f t="shared" si="69"/>
        <v>0.11210290600031224</v>
      </c>
      <c r="S200">
        <f t="shared" si="70"/>
        <v>7.0358461218415547E-2</v>
      </c>
      <c r="T200">
        <f t="shared" si="71"/>
        <v>276.11503053908604</v>
      </c>
      <c r="U200">
        <f t="shared" si="72"/>
        <v>28.662496247523936</v>
      </c>
      <c r="V200">
        <f t="shared" si="73"/>
        <v>28.662496247523936</v>
      </c>
      <c r="W200">
        <f t="shared" si="74"/>
        <v>3.9438938697266539</v>
      </c>
      <c r="X200">
        <f t="shared" si="75"/>
        <v>66.210661720030373</v>
      </c>
      <c r="Y200">
        <f t="shared" si="76"/>
        <v>2.3859366723991999</v>
      </c>
      <c r="Z200">
        <f t="shared" si="77"/>
        <v>3.6035535824850315</v>
      </c>
      <c r="AA200">
        <f t="shared" si="78"/>
        <v>1.557957197327454</v>
      </c>
      <c r="AB200">
        <f t="shared" si="79"/>
        <v>-80.292236839001291</v>
      </c>
      <c r="AC200">
        <f t="shared" si="80"/>
        <v>-177.80523660310899</v>
      </c>
      <c r="AD200">
        <f t="shared" si="81"/>
        <v>-18.157330054483499</v>
      </c>
      <c r="AE200">
        <f t="shared" si="82"/>
        <v>-0.1397729575077733</v>
      </c>
      <c r="AF200">
        <v>0</v>
      </c>
      <c r="AG200">
        <v>0</v>
      </c>
      <c r="AH200">
        <f t="shared" si="83"/>
        <v>1</v>
      </c>
      <c r="AI200">
        <f t="shared" si="84"/>
        <v>0</v>
      </c>
      <c r="AJ200">
        <f t="shared" si="85"/>
        <v>52423.854718195311</v>
      </c>
      <c r="AK200">
        <f t="shared" si="86"/>
        <v>1799.99</v>
      </c>
      <c r="AL200">
        <f t="shared" si="87"/>
        <v>1499.10220460815</v>
      </c>
      <c r="AM200">
        <f t="shared" si="88"/>
        <v>0.83283918499999998</v>
      </c>
      <c r="AN200">
        <f t="shared" si="89"/>
        <v>0.15339809140000002</v>
      </c>
      <c r="AO200">
        <v>32.4</v>
      </c>
      <c r="AP200">
        <v>0.5</v>
      </c>
      <c r="AQ200" t="s">
        <v>331</v>
      </c>
      <c r="AR200">
        <v>2</v>
      </c>
      <c r="AS200">
        <v>1690234405</v>
      </c>
      <c r="AT200">
        <v>498.54</v>
      </c>
      <c r="AU200">
        <v>799.98299999999995</v>
      </c>
      <c r="AV200">
        <v>24.078199999999999</v>
      </c>
      <c r="AW200">
        <v>4.9027000000000003</v>
      </c>
      <c r="AX200">
        <v>498.66500000000002</v>
      </c>
      <c r="AY200">
        <v>23.906199999999998</v>
      </c>
      <c r="AZ200">
        <v>300.226</v>
      </c>
      <c r="BA200">
        <v>98.991100000000003</v>
      </c>
      <c r="BB200">
        <v>0.10005600000000001</v>
      </c>
      <c r="BC200">
        <v>27.1157</v>
      </c>
      <c r="BD200">
        <v>27.002099999999999</v>
      </c>
      <c r="BE200">
        <v>28.88</v>
      </c>
      <c r="BF200">
        <v>0</v>
      </c>
      <c r="BG200">
        <v>0</v>
      </c>
      <c r="BH200">
        <v>10020</v>
      </c>
      <c r="BI200">
        <v>1081.06</v>
      </c>
      <c r="BJ200">
        <v>1.3455900000000001</v>
      </c>
      <c r="BK200">
        <v>-301.44400000000002</v>
      </c>
      <c r="BL200">
        <v>510.84</v>
      </c>
      <c r="BM200">
        <v>803.92499999999995</v>
      </c>
      <c r="BN200">
        <v>19.1755</v>
      </c>
      <c r="BO200">
        <v>799.98299999999995</v>
      </c>
      <c r="BP200">
        <v>4.9027000000000003</v>
      </c>
      <c r="BQ200">
        <v>2.3835299999999999</v>
      </c>
      <c r="BR200">
        <v>0.48532399999999998</v>
      </c>
      <c r="BS200">
        <v>20.252300000000002</v>
      </c>
      <c r="BT200">
        <v>-3.1873999999999998</v>
      </c>
      <c r="BU200">
        <v>1799.99</v>
      </c>
      <c r="BV200">
        <v>0.90998100000000004</v>
      </c>
      <c r="BW200">
        <v>3.4001000000000003E-2</v>
      </c>
      <c r="BX200">
        <v>2.20085E-2</v>
      </c>
      <c r="BY200">
        <v>3.4009400000000002E-2</v>
      </c>
      <c r="BZ200">
        <v>25.666699999999999</v>
      </c>
      <c r="CA200">
        <v>33528.1</v>
      </c>
      <c r="CB200">
        <v>1690232006</v>
      </c>
      <c r="CC200" t="s">
        <v>332</v>
      </c>
      <c r="CD200">
        <v>1690232006</v>
      </c>
      <c r="CE200">
        <v>1690231998.5</v>
      </c>
      <c r="CF200">
        <v>14</v>
      </c>
      <c r="CG200">
        <v>-0.13200000000000001</v>
      </c>
      <c r="CH200">
        <v>-7.0000000000000001E-3</v>
      </c>
      <c r="CI200">
        <v>-0.33800000000000002</v>
      </c>
      <c r="CJ200">
        <v>0.14299999999999999</v>
      </c>
      <c r="CK200">
        <v>799</v>
      </c>
      <c r="CL200">
        <v>19</v>
      </c>
      <c r="CM200">
        <v>7.0000000000000007E-2</v>
      </c>
      <c r="CN200">
        <v>0.14000000000000001</v>
      </c>
      <c r="CO200">
        <v>-301.02429999999998</v>
      </c>
      <c r="CP200">
        <v>-2.2173658536577801</v>
      </c>
      <c r="CQ200">
        <v>0.22196578565175251</v>
      </c>
      <c r="CR200">
        <v>-1</v>
      </c>
      <c r="CS200">
        <v>19.133397500000001</v>
      </c>
      <c r="CT200">
        <v>0.29670956848025482</v>
      </c>
      <c r="CU200">
        <v>3.0479505306845209E-2</v>
      </c>
      <c r="CV200">
        <v>-1</v>
      </c>
      <c r="CW200">
        <v>0</v>
      </c>
      <c r="CX200">
        <v>0</v>
      </c>
      <c r="CY200" t="s">
        <v>333</v>
      </c>
      <c r="CZ200">
        <v>2.3651599999999999</v>
      </c>
      <c r="DA200">
        <v>2.71387</v>
      </c>
      <c r="DB200">
        <v>0.105501</v>
      </c>
      <c r="DC200">
        <v>0.14605099999999999</v>
      </c>
      <c r="DD200">
        <v>0.11421099999999999</v>
      </c>
      <c r="DE200">
        <v>3.3393899999999997E-2</v>
      </c>
      <c r="DF200">
        <v>32691.5</v>
      </c>
      <c r="DG200">
        <v>27558.5</v>
      </c>
      <c r="DH200">
        <v>31199.3</v>
      </c>
      <c r="DI200">
        <v>28119.5</v>
      </c>
      <c r="DJ200">
        <v>37519.4</v>
      </c>
      <c r="DK200">
        <v>38658.9</v>
      </c>
      <c r="DL200">
        <v>44405.1</v>
      </c>
      <c r="DM200">
        <v>42624.7</v>
      </c>
      <c r="DN200">
        <v>1.4871000000000001</v>
      </c>
      <c r="DO200">
        <v>2.0410499999999998</v>
      </c>
      <c r="DP200">
        <v>7.4967699999999998E-2</v>
      </c>
      <c r="DQ200">
        <v>0.20001099999999999</v>
      </c>
      <c r="DR200">
        <v>25.774899999999999</v>
      </c>
      <c r="DS200">
        <v>25.610299999999999</v>
      </c>
      <c r="DT200">
        <v>39</v>
      </c>
      <c r="DU200">
        <v>28.8</v>
      </c>
      <c r="DV200">
        <v>15.662800000000001</v>
      </c>
      <c r="DW200">
        <v>61.407899999999998</v>
      </c>
      <c r="DX200">
        <v>36.474400000000003</v>
      </c>
      <c r="DY200">
        <v>1</v>
      </c>
      <c r="DZ200">
        <v>-0.120046</v>
      </c>
      <c r="EA200">
        <v>-0.32480700000000001</v>
      </c>
      <c r="EB200">
        <v>20.189499999999999</v>
      </c>
      <c r="EC200">
        <v>5.24125</v>
      </c>
      <c r="ED200">
        <v>12.039899999999999</v>
      </c>
      <c r="EE200">
        <v>5.0170000000000003</v>
      </c>
      <c r="EF200">
        <v>3.2879999999999998</v>
      </c>
      <c r="EG200">
        <v>9999</v>
      </c>
      <c r="EH200">
        <v>9999</v>
      </c>
      <c r="EI200">
        <v>9999</v>
      </c>
      <c r="EJ200">
        <v>999.9</v>
      </c>
      <c r="EK200">
        <v>1.8689</v>
      </c>
      <c r="EL200">
        <v>1.8646199999999999</v>
      </c>
      <c r="EM200">
        <v>1.86917</v>
      </c>
      <c r="EN200">
        <v>1.8672200000000001</v>
      </c>
      <c r="EO200">
        <v>1.86337</v>
      </c>
      <c r="EP200">
        <v>1.8644700000000001</v>
      </c>
      <c r="EQ200">
        <v>1.8701399999999999</v>
      </c>
      <c r="ER200">
        <v>1.8693900000000001</v>
      </c>
      <c r="ES200">
        <v>0</v>
      </c>
      <c r="ET200">
        <v>0</v>
      </c>
      <c r="EU200">
        <v>0</v>
      </c>
      <c r="EV200">
        <v>0</v>
      </c>
      <c r="EW200" t="s">
        <v>334</v>
      </c>
      <c r="EX200" t="s">
        <v>335</v>
      </c>
      <c r="EY200" t="s">
        <v>336</v>
      </c>
      <c r="EZ200" t="s">
        <v>336</v>
      </c>
      <c r="FA200" t="s">
        <v>336</v>
      </c>
      <c r="FB200" t="s">
        <v>336</v>
      </c>
      <c r="FC200">
        <v>0</v>
      </c>
      <c r="FD200">
        <v>100</v>
      </c>
      <c r="FE200">
        <v>100</v>
      </c>
      <c r="FF200">
        <v>-0.125</v>
      </c>
      <c r="FG200">
        <v>0.17199999999999999</v>
      </c>
      <c r="FH200">
        <v>0.2126736300064915</v>
      </c>
      <c r="FI200">
        <v>-6.1462078757559423E-4</v>
      </c>
      <c r="FJ200">
        <v>-1.8861989874597051E-7</v>
      </c>
      <c r="FK200">
        <v>1.1980462299894961E-10</v>
      </c>
      <c r="FL200">
        <v>0.1719881465068297</v>
      </c>
      <c r="FM200">
        <v>0</v>
      </c>
      <c r="FN200">
        <v>0</v>
      </c>
      <c r="FO200">
        <v>0</v>
      </c>
      <c r="FP200">
        <v>3</v>
      </c>
      <c r="FQ200">
        <v>2158</v>
      </c>
      <c r="FR200">
        <v>1</v>
      </c>
      <c r="FS200">
        <v>19</v>
      </c>
      <c r="FT200">
        <v>40</v>
      </c>
      <c r="FU200">
        <v>40.1</v>
      </c>
      <c r="FV200">
        <v>1.7675799999999999</v>
      </c>
      <c r="FW200">
        <v>2.5817899999999998</v>
      </c>
      <c r="FX200">
        <v>1.5490699999999999</v>
      </c>
      <c r="FY200">
        <v>2.3278799999999999</v>
      </c>
      <c r="FZ200">
        <v>1.50146</v>
      </c>
      <c r="GA200">
        <v>2.3535200000000001</v>
      </c>
      <c r="GB200">
        <v>33.512999999999998</v>
      </c>
      <c r="GC200">
        <v>23.991199999999999</v>
      </c>
      <c r="GD200">
        <v>19</v>
      </c>
      <c r="GE200">
        <v>286.03699999999998</v>
      </c>
      <c r="GF200">
        <v>583.11</v>
      </c>
      <c r="GG200">
        <v>25.602599999999999</v>
      </c>
      <c r="GH200">
        <v>25.903600000000001</v>
      </c>
      <c r="GI200">
        <v>30.0001</v>
      </c>
      <c r="GJ200">
        <v>26.014500000000002</v>
      </c>
      <c r="GK200">
        <v>25.9937</v>
      </c>
      <c r="GL200">
        <v>35.352200000000003</v>
      </c>
      <c r="GM200">
        <v>64.796499999999995</v>
      </c>
      <c r="GN200">
        <v>45.468299999999999</v>
      </c>
      <c r="GO200">
        <v>25.601400000000002</v>
      </c>
      <c r="GP200">
        <v>800</v>
      </c>
      <c r="GQ200">
        <v>4.8689400000000003</v>
      </c>
      <c r="GR200">
        <v>99.831800000000001</v>
      </c>
      <c r="GS200">
        <v>99.709100000000007</v>
      </c>
    </row>
    <row r="201" spans="1:201" x14ac:dyDescent="0.25">
      <c r="A201">
        <v>185</v>
      </c>
      <c r="B201">
        <v>1690234415</v>
      </c>
      <c r="C201">
        <v>1908.900000095367</v>
      </c>
      <c r="D201" t="s">
        <v>701</v>
      </c>
      <c r="E201" t="s">
        <v>702</v>
      </c>
      <c r="F201" t="s">
        <v>330</v>
      </c>
      <c r="H201">
        <v>1690234415</v>
      </c>
      <c r="I201">
        <f t="shared" si="60"/>
        <v>1.823164988484061E-3</v>
      </c>
      <c r="J201">
        <f t="shared" si="61"/>
        <v>1.8231649884840611</v>
      </c>
      <c r="K201">
        <f t="shared" si="62"/>
        <v>27.044276900694634</v>
      </c>
      <c r="L201">
        <f t="shared" si="63"/>
        <v>498.19299999999998</v>
      </c>
      <c r="M201">
        <f t="shared" si="64"/>
        <v>106.211168138593</v>
      </c>
      <c r="N201">
        <f t="shared" si="65"/>
        <v>10.525058870475565</v>
      </c>
      <c r="O201">
        <f t="shared" si="66"/>
        <v>49.368731610377097</v>
      </c>
      <c r="P201">
        <f t="shared" si="67"/>
        <v>0.11554079619327433</v>
      </c>
      <c r="Q201">
        <f t="shared" si="68"/>
        <v>2.1290400798425968</v>
      </c>
      <c r="R201">
        <f t="shared" si="69"/>
        <v>0.11216699065052108</v>
      </c>
      <c r="S201">
        <f t="shared" si="70"/>
        <v>7.0399286183175813E-2</v>
      </c>
      <c r="T201">
        <f t="shared" si="71"/>
        <v>276.11640802800002</v>
      </c>
      <c r="U201">
        <f t="shared" si="72"/>
        <v>28.662721684171903</v>
      </c>
      <c r="V201">
        <f t="shared" si="73"/>
        <v>28.662721684171903</v>
      </c>
      <c r="W201">
        <f t="shared" si="74"/>
        <v>3.9439454470032733</v>
      </c>
      <c r="X201">
        <f t="shared" si="75"/>
        <v>66.179561818591452</v>
      </c>
      <c r="Y201">
        <f t="shared" si="76"/>
        <v>2.3846760290986797</v>
      </c>
      <c r="Z201">
        <f t="shared" si="77"/>
        <v>3.6033421249228725</v>
      </c>
      <c r="AA201">
        <f t="shared" si="78"/>
        <v>1.5592694179045936</v>
      </c>
      <c r="AB201">
        <f t="shared" si="79"/>
        <v>-80.401575992147087</v>
      </c>
      <c r="AC201">
        <f t="shared" si="80"/>
        <v>-177.6831809251548</v>
      </c>
      <c r="AD201">
        <f t="shared" si="81"/>
        <v>-18.171645073316373</v>
      </c>
      <c r="AE201">
        <f t="shared" si="82"/>
        <v>-0.13999396261823449</v>
      </c>
      <c r="AF201">
        <v>0</v>
      </c>
      <c r="AG201">
        <v>0</v>
      </c>
      <c r="AH201">
        <f t="shared" si="83"/>
        <v>1</v>
      </c>
      <c r="AI201">
        <f t="shared" si="84"/>
        <v>0</v>
      </c>
      <c r="AJ201">
        <f t="shared" si="85"/>
        <v>52288.422457638204</v>
      </c>
      <c r="AK201">
        <f t="shared" si="86"/>
        <v>1800</v>
      </c>
      <c r="AL201">
        <f t="shared" si="87"/>
        <v>1499.1108407999998</v>
      </c>
      <c r="AM201">
        <f t="shared" si="88"/>
        <v>0.83283935599999992</v>
      </c>
      <c r="AN201">
        <f t="shared" si="89"/>
        <v>0.15339800446000001</v>
      </c>
      <c r="AO201">
        <v>32.4</v>
      </c>
      <c r="AP201">
        <v>0.5</v>
      </c>
      <c r="AQ201" t="s">
        <v>331</v>
      </c>
      <c r="AR201">
        <v>2</v>
      </c>
      <c r="AS201">
        <v>1690234415</v>
      </c>
      <c r="AT201">
        <v>498.19299999999998</v>
      </c>
      <c r="AU201">
        <v>799.96100000000001</v>
      </c>
      <c r="AV201">
        <v>24.064399999999999</v>
      </c>
      <c r="AW201">
        <v>4.8556699999999999</v>
      </c>
      <c r="AX201">
        <v>498.31799999999998</v>
      </c>
      <c r="AY201">
        <v>23.892399999999999</v>
      </c>
      <c r="AZ201">
        <v>300.11900000000003</v>
      </c>
      <c r="BA201">
        <v>98.995599999999996</v>
      </c>
      <c r="BB201">
        <v>9.9994700000000006E-2</v>
      </c>
      <c r="BC201">
        <v>27.114699999999999</v>
      </c>
      <c r="BD201">
        <v>26.9998</v>
      </c>
      <c r="BE201">
        <v>28.885999999999999</v>
      </c>
      <c r="BF201">
        <v>0</v>
      </c>
      <c r="BG201">
        <v>0</v>
      </c>
      <c r="BH201">
        <v>9992.5</v>
      </c>
      <c r="BI201">
        <v>1080.94</v>
      </c>
      <c r="BJ201">
        <v>1.3455900000000001</v>
      </c>
      <c r="BK201">
        <v>-301.76799999999997</v>
      </c>
      <c r="BL201">
        <v>510.47699999999998</v>
      </c>
      <c r="BM201">
        <v>803.86400000000003</v>
      </c>
      <c r="BN201">
        <v>19.2087</v>
      </c>
      <c r="BO201">
        <v>799.96100000000001</v>
      </c>
      <c r="BP201">
        <v>4.8556699999999999</v>
      </c>
      <c r="BQ201">
        <v>2.3822700000000001</v>
      </c>
      <c r="BR201">
        <v>0.48069000000000001</v>
      </c>
      <c r="BS201">
        <v>20.2438</v>
      </c>
      <c r="BT201">
        <v>-3.3159399999999999</v>
      </c>
      <c r="BU201">
        <v>1800</v>
      </c>
      <c r="BV201">
        <v>0.90998400000000002</v>
      </c>
      <c r="BW201">
        <v>3.3999799999999997E-2</v>
      </c>
      <c r="BX201">
        <v>2.2007800000000001E-2</v>
      </c>
      <c r="BY201">
        <v>3.4008200000000002E-2</v>
      </c>
      <c r="BZ201">
        <v>25.666699999999999</v>
      </c>
      <c r="CA201">
        <v>33528.199999999997</v>
      </c>
      <c r="CB201">
        <v>1690232006</v>
      </c>
      <c r="CC201" t="s">
        <v>332</v>
      </c>
      <c r="CD201">
        <v>1690232006</v>
      </c>
      <c r="CE201">
        <v>1690231998.5</v>
      </c>
      <c r="CF201">
        <v>14</v>
      </c>
      <c r="CG201">
        <v>-0.13200000000000001</v>
      </c>
      <c r="CH201">
        <v>-7.0000000000000001E-3</v>
      </c>
      <c r="CI201">
        <v>-0.33800000000000002</v>
      </c>
      <c r="CJ201">
        <v>0.14299999999999999</v>
      </c>
      <c r="CK201">
        <v>799</v>
      </c>
      <c r="CL201">
        <v>19</v>
      </c>
      <c r="CM201">
        <v>7.0000000000000007E-2</v>
      </c>
      <c r="CN201">
        <v>0.14000000000000001</v>
      </c>
      <c r="CO201">
        <v>-301.40158536585358</v>
      </c>
      <c r="CP201">
        <v>-2.352731707317254</v>
      </c>
      <c r="CQ201">
        <v>0.23907514642785591</v>
      </c>
      <c r="CR201">
        <v>-1</v>
      </c>
      <c r="CS201">
        <v>19.170592682926831</v>
      </c>
      <c r="CT201">
        <v>0.1954578397212787</v>
      </c>
      <c r="CU201">
        <v>1.9480101044510669E-2</v>
      </c>
      <c r="CV201">
        <v>-1</v>
      </c>
      <c r="CW201">
        <v>0</v>
      </c>
      <c r="CX201">
        <v>0</v>
      </c>
      <c r="CY201" t="s">
        <v>333</v>
      </c>
      <c r="CZ201">
        <v>2.3647900000000002</v>
      </c>
      <c r="DA201">
        <v>2.7137799999999999</v>
      </c>
      <c r="DB201">
        <v>0.105451</v>
      </c>
      <c r="DC201">
        <v>0.14605399999999999</v>
      </c>
      <c r="DD201">
        <v>0.11416900000000001</v>
      </c>
      <c r="DE201">
        <v>3.31276E-2</v>
      </c>
      <c r="DF201">
        <v>32692.7</v>
      </c>
      <c r="DG201">
        <v>27558.400000000001</v>
      </c>
      <c r="DH201">
        <v>31198.7</v>
      </c>
      <c r="DI201">
        <v>28119.5</v>
      </c>
      <c r="DJ201">
        <v>37520.400000000001</v>
      </c>
      <c r="DK201">
        <v>38669.699999999997</v>
      </c>
      <c r="DL201">
        <v>44404.2</v>
      </c>
      <c r="DM201">
        <v>42624.9</v>
      </c>
      <c r="DN201">
        <v>1.4869300000000001</v>
      </c>
      <c r="DO201">
        <v>2.0410699999999999</v>
      </c>
      <c r="DP201">
        <v>7.4587799999999996E-2</v>
      </c>
      <c r="DQ201">
        <v>0.20008500000000001</v>
      </c>
      <c r="DR201">
        <v>25.7788</v>
      </c>
      <c r="DS201">
        <v>25.615100000000002</v>
      </c>
      <c r="DT201">
        <v>38.700000000000003</v>
      </c>
      <c r="DU201">
        <v>28.8</v>
      </c>
      <c r="DV201">
        <v>15.5411</v>
      </c>
      <c r="DW201">
        <v>61.457900000000002</v>
      </c>
      <c r="DX201">
        <v>36.722799999999999</v>
      </c>
      <c r="DY201">
        <v>1</v>
      </c>
      <c r="DZ201">
        <v>-0.120008</v>
      </c>
      <c r="EA201">
        <v>-0.34540599999999999</v>
      </c>
      <c r="EB201">
        <v>20.189299999999999</v>
      </c>
      <c r="EC201">
        <v>5.2413999999999996</v>
      </c>
      <c r="ED201">
        <v>12.039899999999999</v>
      </c>
      <c r="EE201">
        <v>5.0171000000000001</v>
      </c>
      <c r="EF201">
        <v>3.2879999999999998</v>
      </c>
      <c r="EG201">
        <v>9999</v>
      </c>
      <c r="EH201">
        <v>9999</v>
      </c>
      <c r="EI201">
        <v>9999</v>
      </c>
      <c r="EJ201">
        <v>999.9</v>
      </c>
      <c r="EK201">
        <v>1.8689</v>
      </c>
      <c r="EL201">
        <v>1.8646100000000001</v>
      </c>
      <c r="EM201">
        <v>1.86917</v>
      </c>
      <c r="EN201">
        <v>1.8672200000000001</v>
      </c>
      <c r="EO201">
        <v>1.86338</v>
      </c>
      <c r="EP201">
        <v>1.8644700000000001</v>
      </c>
      <c r="EQ201">
        <v>1.8701300000000001</v>
      </c>
      <c r="ER201">
        <v>1.86937</v>
      </c>
      <c r="ES201">
        <v>0</v>
      </c>
      <c r="ET201">
        <v>0</v>
      </c>
      <c r="EU201">
        <v>0</v>
      </c>
      <c r="EV201">
        <v>0</v>
      </c>
      <c r="EW201" t="s">
        <v>334</v>
      </c>
      <c r="EX201" t="s">
        <v>335</v>
      </c>
      <c r="EY201" t="s">
        <v>336</v>
      </c>
      <c r="EZ201" t="s">
        <v>336</v>
      </c>
      <c r="FA201" t="s">
        <v>336</v>
      </c>
      <c r="FB201" t="s">
        <v>336</v>
      </c>
      <c r="FC201">
        <v>0</v>
      </c>
      <c r="FD201">
        <v>100</v>
      </c>
      <c r="FE201">
        <v>100</v>
      </c>
      <c r="FF201">
        <v>-0.125</v>
      </c>
      <c r="FG201">
        <v>0.17199999999999999</v>
      </c>
      <c r="FH201">
        <v>0.2126736300064915</v>
      </c>
      <c r="FI201">
        <v>-6.1462078757559423E-4</v>
      </c>
      <c r="FJ201">
        <v>-1.8861989874597051E-7</v>
      </c>
      <c r="FK201">
        <v>1.1980462299894961E-10</v>
      </c>
      <c r="FL201">
        <v>0.1719881465068297</v>
      </c>
      <c r="FM201">
        <v>0</v>
      </c>
      <c r="FN201">
        <v>0</v>
      </c>
      <c r="FO201">
        <v>0</v>
      </c>
      <c r="FP201">
        <v>3</v>
      </c>
      <c r="FQ201">
        <v>2158</v>
      </c>
      <c r="FR201">
        <v>1</v>
      </c>
      <c r="FS201">
        <v>19</v>
      </c>
      <c r="FT201">
        <v>40.1</v>
      </c>
      <c r="FU201">
        <v>40.299999999999997</v>
      </c>
      <c r="FV201">
        <v>1.7687999999999999</v>
      </c>
      <c r="FW201">
        <v>2.5866699999999998</v>
      </c>
      <c r="FX201">
        <v>1.5490699999999999</v>
      </c>
      <c r="FY201">
        <v>2.32666</v>
      </c>
      <c r="FZ201">
        <v>1.50146</v>
      </c>
      <c r="GA201">
        <v>2.36816</v>
      </c>
      <c r="GB201">
        <v>33.512999999999998</v>
      </c>
      <c r="GC201">
        <v>23.982399999999998</v>
      </c>
      <c r="GD201">
        <v>19</v>
      </c>
      <c r="GE201">
        <v>285.971</v>
      </c>
      <c r="GF201">
        <v>583.13</v>
      </c>
      <c r="GG201">
        <v>25.593</v>
      </c>
      <c r="GH201">
        <v>25.9057</v>
      </c>
      <c r="GI201">
        <v>30.0001</v>
      </c>
      <c r="GJ201">
        <v>26.016500000000001</v>
      </c>
      <c r="GK201">
        <v>25.9937</v>
      </c>
      <c r="GL201">
        <v>35.352499999999999</v>
      </c>
      <c r="GM201">
        <v>64.796499999999995</v>
      </c>
      <c r="GN201">
        <v>45.088000000000001</v>
      </c>
      <c r="GO201">
        <v>25.593599999999999</v>
      </c>
      <c r="GP201">
        <v>800</v>
      </c>
      <c r="GQ201">
        <v>4.8211700000000004</v>
      </c>
      <c r="GR201">
        <v>99.829700000000003</v>
      </c>
      <c r="GS201">
        <v>99.709400000000002</v>
      </c>
    </row>
    <row r="202" spans="1:201" x14ac:dyDescent="0.25">
      <c r="A202">
        <v>186</v>
      </c>
      <c r="B202">
        <v>1690234425</v>
      </c>
      <c r="C202">
        <v>1918.900000095367</v>
      </c>
      <c r="D202" t="s">
        <v>703</v>
      </c>
      <c r="E202" t="s">
        <v>704</v>
      </c>
      <c r="F202" t="s">
        <v>330</v>
      </c>
      <c r="H202">
        <v>1690234425</v>
      </c>
      <c r="I202">
        <f t="shared" si="60"/>
        <v>1.8268825623079855E-3</v>
      </c>
      <c r="J202">
        <f t="shared" si="61"/>
        <v>1.8268825623079854</v>
      </c>
      <c r="K202">
        <f t="shared" si="62"/>
        <v>27.081299359649289</v>
      </c>
      <c r="L202">
        <f t="shared" si="63"/>
        <v>497.79700000000003</v>
      </c>
      <c r="M202">
        <f t="shared" si="64"/>
        <v>106.06232439886421</v>
      </c>
      <c r="N202">
        <f t="shared" si="65"/>
        <v>10.510092988371342</v>
      </c>
      <c r="O202">
        <f t="shared" si="66"/>
        <v>49.328475393929004</v>
      </c>
      <c r="P202">
        <f t="shared" si="67"/>
        <v>0.11577954921746512</v>
      </c>
      <c r="Q202">
        <f t="shared" si="68"/>
        <v>2.1274842164572885</v>
      </c>
      <c r="R202">
        <f t="shared" si="69"/>
        <v>0.11238960682691473</v>
      </c>
      <c r="S202">
        <f t="shared" si="70"/>
        <v>7.053980950795577E-2</v>
      </c>
      <c r="T202">
        <f t="shared" si="71"/>
        <v>276.11643700800005</v>
      </c>
      <c r="U202">
        <f t="shared" si="72"/>
        <v>28.658557601283661</v>
      </c>
      <c r="V202">
        <f t="shared" si="73"/>
        <v>28.658557601283661</v>
      </c>
      <c r="W202">
        <f t="shared" si="74"/>
        <v>3.9429928483037351</v>
      </c>
      <c r="X202">
        <f t="shared" si="75"/>
        <v>66.166391895513812</v>
      </c>
      <c r="Y202">
        <f t="shared" si="76"/>
        <v>2.3836558762122002</v>
      </c>
      <c r="Z202">
        <f t="shared" si="77"/>
        <v>3.6025175439161523</v>
      </c>
      <c r="AA202">
        <f t="shared" si="78"/>
        <v>1.5593369720915349</v>
      </c>
      <c r="AB202">
        <f t="shared" si="79"/>
        <v>-80.565520997782158</v>
      </c>
      <c r="AC202">
        <f t="shared" si="80"/>
        <v>-177.52304382381843</v>
      </c>
      <c r="AD202">
        <f t="shared" si="81"/>
        <v>-18.167814675926078</v>
      </c>
      <c r="AE202">
        <f t="shared" si="82"/>
        <v>-0.13994248952661792</v>
      </c>
      <c r="AF202">
        <v>0</v>
      </c>
      <c r="AG202">
        <v>0</v>
      </c>
      <c r="AH202">
        <f t="shared" si="83"/>
        <v>1</v>
      </c>
      <c r="AI202">
        <f t="shared" si="84"/>
        <v>0</v>
      </c>
      <c r="AJ202">
        <f t="shared" si="85"/>
        <v>52222.120437196791</v>
      </c>
      <c r="AK202">
        <f t="shared" si="86"/>
        <v>1800</v>
      </c>
      <c r="AL202">
        <f t="shared" si="87"/>
        <v>1499.1109667999999</v>
      </c>
      <c r="AM202">
        <f t="shared" si="88"/>
        <v>0.83283942599999994</v>
      </c>
      <c r="AN202">
        <f t="shared" si="89"/>
        <v>0.15339802056000001</v>
      </c>
      <c r="AO202">
        <v>32.4</v>
      </c>
      <c r="AP202">
        <v>0.5</v>
      </c>
      <c r="AQ202" t="s">
        <v>331</v>
      </c>
      <c r="AR202">
        <v>2</v>
      </c>
      <c r="AS202">
        <v>1690234425</v>
      </c>
      <c r="AT202">
        <v>497.79700000000003</v>
      </c>
      <c r="AU202">
        <v>799.99599999999998</v>
      </c>
      <c r="AV202">
        <v>24.054600000000001</v>
      </c>
      <c r="AW202">
        <v>4.8052900000000003</v>
      </c>
      <c r="AX202">
        <v>497.92200000000003</v>
      </c>
      <c r="AY202">
        <v>23.8826</v>
      </c>
      <c r="AZ202">
        <v>300.10000000000002</v>
      </c>
      <c r="BA202">
        <v>98.993499999999997</v>
      </c>
      <c r="BB202">
        <v>0.10005699999999999</v>
      </c>
      <c r="BC202">
        <v>27.110800000000001</v>
      </c>
      <c r="BD202">
        <v>26.999099999999999</v>
      </c>
      <c r="BE202">
        <v>28.8765</v>
      </c>
      <c r="BF202">
        <v>0</v>
      </c>
      <c r="BG202">
        <v>0</v>
      </c>
      <c r="BH202">
        <v>9979.3799999999992</v>
      </c>
      <c r="BI202">
        <v>1080.96</v>
      </c>
      <c r="BJ202">
        <v>1.3455900000000001</v>
      </c>
      <c r="BK202">
        <v>-302.19900000000001</v>
      </c>
      <c r="BL202">
        <v>510.06599999999997</v>
      </c>
      <c r="BM202">
        <v>803.85900000000004</v>
      </c>
      <c r="BN202">
        <v>19.249300000000002</v>
      </c>
      <c r="BO202">
        <v>799.99599999999998</v>
      </c>
      <c r="BP202">
        <v>4.8052900000000003</v>
      </c>
      <c r="BQ202">
        <v>2.3812500000000001</v>
      </c>
      <c r="BR202">
        <v>0.475692</v>
      </c>
      <c r="BS202">
        <v>20.236799999999999</v>
      </c>
      <c r="BT202">
        <v>-3.4558200000000001</v>
      </c>
      <c r="BU202">
        <v>1800</v>
      </c>
      <c r="BV202">
        <v>0.90998400000000002</v>
      </c>
      <c r="BW202">
        <v>3.39999E-2</v>
      </c>
      <c r="BX202">
        <v>2.2007800000000001E-2</v>
      </c>
      <c r="BY202">
        <v>3.4008200000000002E-2</v>
      </c>
      <c r="BZ202">
        <v>25.666699999999999</v>
      </c>
      <c r="CA202">
        <v>33528.199999999997</v>
      </c>
      <c r="CB202">
        <v>1690232006</v>
      </c>
      <c r="CC202" t="s">
        <v>332</v>
      </c>
      <c r="CD202">
        <v>1690232006</v>
      </c>
      <c r="CE202">
        <v>1690231998.5</v>
      </c>
      <c r="CF202">
        <v>14</v>
      </c>
      <c r="CG202">
        <v>-0.13200000000000001</v>
      </c>
      <c r="CH202">
        <v>-7.0000000000000001E-3</v>
      </c>
      <c r="CI202">
        <v>-0.33800000000000002</v>
      </c>
      <c r="CJ202">
        <v>0.14299999999999999</v>
      </c>
      <c r="CK202">
        <v>799</v>
      </c>
      <c r="CL202">
        <v>19</v>
      </c>
      <c r="CM202">
        <v>7.0000000000000007E-2</v>
      </c>
      <c r="CN202">
        <v>0.14000000000000001</v>
      </c>
      <c r="CO202">
        <v>-301.83579999999989</v>
      </c>
      <c r="CP202">
        <v>-2.4244052532827172</v>
      </c>
      <c r="CQ202">
        <v>0.24048671480978029</v>
      </c>
      <c r="CR202">
        <v>-1</v>
      </c>
      <c r="CS202">
        <v>19.207695000000001</v>
      </c>
      <c r="CT202">
        <v>0.22271369605999611</v>
      </c>
      <c r="CU202">
        <v>2.1541111275883588E-2</v>
      </c>
      <c r="CV202">
        <v>-1</v>
      </c>
      <c r="CW202">
        <v>0</v>
      </c>
      <c r="CX202">
        <v>0</v>
      </c>
      <c r="CY202" t="s">
        <v>333</v>
      </c>
      <c r="CZ202">
        <v>2.3647200000000002</v>
      </c>
      <c r="DA202">
        <v>2.7138300000000002</v>
      </c>
      <c r="DB202">
        <v>0.105388</v>
      </c>
      <c r="DC202">
        <v>0.14605399999999999</v>
      </c>
      <c r="DD202">
        <v>0.114134</v>
      </c>
      <c r="DE202">
        <v>3.2839100000000003E-2</v>
      </c>
      <c r="DF202">
        <v>32695.7</v>
      </c>
      <c r="DG202">
        <v>27558.1</v>
      </c>
      <c r="DH202">
        <v>31199.3</v>
      </c>
      <c r="DI202">
        <v>28119.200000000001</v>
      </c>
      <c r="DJ202">
        <v>37522.800000000003</v>
      </c>
      <c r="DK202">
        <v>38681</v>
      </c>
      <c r="DL202">
        <v>44405.3</v>
      </c>
      <c r="DM202">
        <v>42624.5</v>
      </c>
      <c r="DN202">
        <v>1.4871300000000001</v>
      </c>
      <c r="DO202">
        <v>2.04087</v>
      </c>
      <c r="DP202">
        <v>7.4513300000000005E-2</v>
      </c>
      <c r="DQ202">
        <v>0.19927300000000001</v>
      </c>
      <c r="DR202">
        <v>25.779299999999999</v>
      </c>
      <c r="DS202">
        <v>25.6188</v>
      </c>
      <c r="DT202">
        <v>38.4</v>
      </c>
      <c r="DU202">
        <v>28.8</v>
      </c>
      <c r="DV202">
        <v>15.4206</v>
      </c>
      <c r="DW202">
        <v>61.837899999999998</v>
      </c>
      <c r="DX202">
        <v>37.407899999999998</v>
      </c>
      <c r="DY202">
        <v>1</v>
      </c>
      <c r="DZ202">
        <v>-0.1197</v>
      </c>
      <c r="EA202">
        <v>-0.40452300000000002</v>
      </c>
      <c r="EB202">
        <v>20.189</v>
      </c>
      <c r="EC202">
        <v>5.24125</v>
      </c>
      <c r="ED202">
        <v>12.039899999999999</v>
      </c>
      <c r="EE202">
        <v>5.0169499999999996</v>
      </c>
      <c r="EF202">
        <v>3.2879999999999998</v>
      </c>
      <c r="EG202">
        <v>9999</v>
      </c>
      <c r="EH202">
        <v>9999</v>
      </c>
      <c r="EI202">
        <v>9999</v>
      </c>
      <c r="EJ202">
        <v>999.9</v>
      </c>
      <c r="EK202">
        <v>1.8688899999999999</v>
      </c>
      <c r="EL202">
        <v>1.8646100000000001</v>
      </c>
      <c r="EM202">
        <v>1.8691599999999999</v>
      </c>
      <c r="EN202">
        <v>1.8672200000000001</v>
      </c>
      <c r="EO202">
        <v>1.86338</v>
      </c>
      <c r="EP202">
        <v>1.8644700000000001</v>
      </c>
      <c r="EQ202">
        <v>1.8701399999999999</v>
      </c>
      <c r="ER202">
        <v>1.86941</v>
      </c>
      <c r="ES202">
        <v>0</v>
      </c>
      <c r="ET202">
        <v>0</v>
      </c>
      <c r="EU202">
        <v>0</v>
      </c>
      <c r="EV202">
        <v>0</v>
      </c>
      <c r="EW202" t="s">
        <v>334</v>
      </c>
      <c r="EX202" t="s">
        <v>335</v>
      </c>
      <c r="EY202" t="s">
        <v>336</v>
      </c>
      <c r="EZ202" t="s">
        <v>336</v>
      </c>
      <c r="FA202" t="s">
        <v>336</v>
      </c>
      <c r="FB202" t="s">
        <v>336</v>
      </c>
      <c r="FC202">
        <v>0</v>
      </c>
      <c r="FD202">
        <v>100</v>
      </c>
      <c r="FE202">
        <v>100</v>
      </c>
      <c r="FF202">
        <v>-0.125</v>
      </c>
      <c r="FG202">
        <v>0.17199999999999999</v>
      </c>
      <c r="FH202">
        <v>0.2126736300064915</v>
      </c>
      <c r="FI202">
        <v>-6.1462078757559423E-4</v>
      </c>
      <c r="FJ202">
        <v>-1.8861989874597051E-7</v>
      </c>
      <c r="FK202">
        <v>1.1980462299894961E-10</v>
      </c>
      <c r="FL202">
        <v>0.1719881465068297</v>
      </c>
      <c r="FM202">
        <v>0</v>
      </c>
      <c r="FN202">
        <v>0</v>
      </c>
      <c r="FO202">
        <v>0</v>
      </c>
      <c r="FP202">
        <v>3</v>
      </c>
      <c r="FQ202">
        <v>2158</v>
      </c>
      <c r="FR202">
        <v>1</v>
      </c>
      <c r="FS202">
        <v>19</v>
      </c>
      <c r="FT202">
        <v>40.299999999999997</v>
      </c>
      <c r="FU202">
        <v>40.4</v>
      </c>
      <c r="FV202">
        <v>1.7675799999999999</v>
      </c>
      <c r="FW202">
        <v>2.5927699999999998</v>
      </c>
      <c r="FX202">
        <v>1.5490699999999999</v>
      </c>
      <c r="FY202">
        <v>2.32666</v>
      </c>
      <c r="FZ202">
        <v>1.50146</v>
      </c>
      <c r="GA202">
        <v>2.2790499999999998</v>
      </c>
      <c r="GB202">
        <v>33.512999999999998</v>
      </c>
      <c r="GC202">
        <v>23.973700000000001</v>
      </c>
      <c r="GD202">
        <v>19</v>
      </c>
      <c r="GE202">
        <v>286.05700000000002</v>
      </c>
      <c r="GF202">
        <v>582.96600000000001</v>
      </c>
      <c r="GG202">
        <v>25.629300000000001</v>
      </c>
      <c r="GH202">
        <v>25.9057</v>
      </c>
      <c r="GI202">
        <v>30.000299999999999</v>
      </c>
      <c r="GJ202">
        <v>26.016500000000001</v>
      </c>
      <c r="GK202">
        <v>25.9937</v>
      </c>
      <c r="GL202">
        <v>35.348599999999998</v>
      </c>
      <c r="GM202">
        <v>64.796499999999995</v>
      </c>
      <c r="GN202">
        <v>44.321599999999997</v>
      </c>
      <c r="GO202">
        <v>25.6236</v>
      </c>
      <c r="GP202">
        <v>800</v>
      </c>
      <c r="GQ202">
        <v>4.7723599999999999</v>
      </c>
      <c r="GR202">
        <v>99.831999999999994</v>
      </c>
      <c r="GS202">
        <v>99.708299999999994</v>
      </c>
    </row>
    <row r="203" spans="1:201" x14ac:dyDescent="0.25">
      <c r="A203">
        <v>187</v>
      </c>
      <c r="B203">
        <v>1690234435</v>
      </c>
      <c r="C203">
        <v>1928.900000095367</v>
      </c>
      <c r="D203" t="s">
        <v>705</v>
      </c>
      <c r="E203" t="s">
        <v>706</v>
      </c>
      <c r="F203" t="s">
        <v>330</v>
      </c>
      <c r="H203">
        <v>1690234435</v>
      </c>
      <c r="I203">
        <f t="shared" si="60"/>
        <v>1.8320115743575896E-3</v>
      </c>
      <c r="J203">
        <f t="shared" si="61"/>
        <v>1.8320115743575895</v>
      </c>
      <c r="K203">
        <f t="shared" si="62"/>
        <v>27.125091157596646</v>
      </c>
      <c r="L203">
        <f t="shared" si="63"/>
        <v>497.35599999999999</v>
      </c>
      <c r="M203">
        <f t="shared" si="64"/>
        <v>105.27085929811297</v>
      </c>
      <c r="N203">
        <f t="shared" si="65"/>
        <v>10.431934652946653</v>
      </c>
      <c r="O203">
        <f t="shared" si="66"/>
        <v>49.286054334924003</v>
      </c>
      <c r="P203">
        <f t="shared" si="67"/>
        <v>0.11586689875268504</v>
      </c>
      <c r="Q203">
        <f t="shared" si="68"/>
        <v>2.1248847214529132</v>
      </c>
      <c r="R203">
        <f t="shared" si="69"/>
        <v>0.11246789800805586</v>
      </c>
      <c r="S203">
        <f t="shared" si="70"/>
        <v>7.0589517365226409E-2</v>
      </c>
      <c r="T203">
        <f t="shared" si="71"/>
        <v>276.11649322200003</v>
      </c>
      <c r="U203">
        <f t="shared" si="72"/>
        <v>28.67036751893038</v>
      </c>
      <c r="V203">
        <f t="shared" si="73"/>
        <v>28.67036751893038</v>
      </c>
      <c r="W203">
        <f t="shared" si="74"/>
        <v>3.9456950731971223</v>
      </c>
      <c r="X203">
        <f t="shared" si="75"/>
        <v>66.103227662064796</v>
      </c>
      <c r="Y203">
        <f t="shared" si="76"/>
        <v>2.3830438909661997</v>
      </c>
      <c r="Z203">
        <f t="shared" si="77"/>
        <v>3.6050340887269217</v>
      </c>
      <c r="AA203">
        <f t="shared" si="78"/>
        <v>1.5626511822309226</v>
      </c>
      <c r="AB203">
        <f t="shared" si="79"/>
        <v>-80.791710429169697</v>
      </c>
      <c r="AC203">
        <f t="shared" si="80"/>
        <v>-177.29581537695367</v>
      </c>
      <c r="AD203">
        <f t="shared" si="81"/>
        <v>-18.168904665949587</v>
      </c>
      <c r="AE203">
        <f t="shared" si="82"/>
        <v>-0.13993725007293278</v>
      </c>
      <c r="AF203">
        <v>0</v>
      </c>
      <c r="AG203">
        <v>0</v>
      </c>
      <c r="AH203">
        <f t="shared" si="83"/>
        <v>1</v>
      </c>
      <c r="AI203">
        <f t="shared" si="84"/>
        <v>0</v>
      </c>
      <c r="AJ203">
        <f t="shared" si="85"/>
        <v>52108.397087664445</v>
      </c>
      <c r="AK203">
        <f t="shared" si="86"/>
        <v>1800</v>
      </c>
      <c r="AL203">
        <f t="shared" si="87"/>
        <v>1499.1122141999997</v>
      </c>
      <c r="AM203">
        <f t="shared" si="88"/>
        <v>0.83284011899999988</v>
      </c>
      <c r="AN203">
        <f t="shared" si="89"/>
        <v>0.15339805179000002</v>
      </c>
      <c r="AO203">
        <v>32.4</v>
      </c>
      <c r="AP203">
        <v>0.5</v>
      </c>
      <c r="AQ203" t="s">
        <v>331</v>
      </c>
      <c r="AR203">
        <v>2</v>
      </c>
      <c r="AS203">
        <v>1690234435</v>
      </c>
      <c r="AT203">
        <v>497.35599999999999</v>
      </c>
      <c r="AU203">
        <v>799.97</v>
      </c>
      <c r="AV203">
        <v>24.047799999999999</v>
      </c>
      <c r="AW203">
        <v>4.7492000000000001</v>
      </c>
      <c r="AX203">
        <v>497.48099999999999</v>
      </c>
      <c r="AY203">
        <v>23.875800000000002</v>
      </c>
      <c r="AZ203">
        <v>300.17599999999999</v>
      </c>
      <c r="BA203">
        <v>98.996099999999998</v>
      </c>
      <c r="BB203">
        <v>0.10002900000000001</v>
      </c>
      <c r="BC203">
        <v>27.122699999999998</v>
      </c>
      <c r="BD203">
        <v>27.007899999999999</v>
      </c>
      <c r="BE203">
        <v>28.8889</v>
      </c>
      <c r="BF203">
        <v>0</v>
      </c>
      <c r="BG203">
        <v>0</v>
      </c>
      <c r="BH203">
        <v>9956.8799999999992</v>
      </c>
      <c r="BI203">
        <v>1080.8399999999999</v>
      </c>
      <c r="BJ203">
        <v>1.3455900000000001</v>
      </c>
      <c r="BK203">
        <v>-302.61399999999998</v>
      </c>
      <c r="BL203">
        <v>509.61099999999999</v>
      </c>
      <c r="BM203">
        <v>803.78700000000003</v>
      </c>
      <c r="BN203">
        <v>19.2986</v>
      </c>
      <c r="BO203">
        <v>799.97</v>
      </c>
      <c r="BP203">
        <v>4.7492000000000001</v>
      </c>
      <c r="BQ203">
        <v>2.3806400000000001</v>
      </c>
      <c r="BR203">
        <v>0.47015299999999999</v>
      </c>
      <c r="BS203">
        <v>20.232700000000001</v>
      </c>
      <c r="BT203">
        <v>-3.6124000000000001</v>
      </c>
      <c r="BU203">
        <v>1800</v>
      </c>
      <c r="BV203">
        <v>0.90998699999999999</v>
      </c>
      <c r="BW203">
        <v>3.3999000000000001E-2</v>
      </c>
      <c r="BX203">
        <v>2.2007200000000001E-2</v>
      </c>
      <c r="BY203">
        <v>3.4007299999999997E-2</v>
      </c>
      <c r="BZ203">
        <v>25.666699999999999</v>
      </c>
      <c r="CA203">
        <v>33528.199999999997</v>
      </c>
      <c r="CB203">
        <v>1690232006</v>
      </c>
      <c r="CC203" t="s">
        <v>332</v>
      </c>
      <c r="CD203">
        <v>1690232006</v>
      </c>
      <c r="CE203">
        <v>1690231998.5</v>
      </c>
      <c r="CF203">
        <v>14</v>
      </c>
      <c r="CG203">
        <v>-0.13200000000000001</v>
      </c>
      <c r="CH203">
        <v>-7.0000000000000001E-3</v>
      </c>
      <c r="CI203">
        <v>-0.33800000000000002</v>
      </c>
      <c r="CJ203">
        <v>0.14299999999999999</v>
      </c>
      <c r="CK203">
        <v>799</v>
      </c>
      <c r="CL203">
        <v>19</v>
      </c>
      <c r="CM203">
        <v>7.0000000000000007E-2</v>
      </c>
      <c r="CN203">
        <v>0.14000000000000001</v>
      </c>
      <c r="CO203">
        <v>-302.198825</v>
      </c>
      <c r="CP203">
        <v>-2.2017748592873052</v>
      </c>
      <c r="CQ203">
        <v>0.21878595561644171</v>
      </c>
      <c r="CR203">
        <v>-1</v>
      </c>
      <c r="CS203">
        <v>19.247752500000001</v>
      </c>
      <c r="CT203">
        <v>0.26291144465286792</v>
      </c>
      <c r="CU203">
        <v>2.5384453780808631E-2</v>
      </c>
      <c r="CV203">
        <v>-1</v>
      </c>
      <c r="CW203">
        <v>0</v>
      </c>
      <c r="CX203">
        <v>0</v>
      </c>
      <c r="CY203" t="s">
        <v>333</v>
      </c>
      <c r="CZ203">
        <v>2.36497</v>
      </c>
      <c r="DA203">
        <v>2.7137799999999999</v>
      </c>
      <c r="DB203">
        <v>0.105322</v>
      </c>
      <c r="DC203">
        <v>0.14605299999999999</v>
      </c>
      <c r="DD203">
        <v>0.11411399999999999</v>
      </c>
      <c r="DE203">
        <v>3.2518699999999998E-2</v>
      </c>
      <c r="DF203">
        <v>32697.8</v>
      </c>
      <c r="DG203">
        <v>27558.7</v>
      </c>
      <c r="DH203">
        <v>31199</v>
      </c>
      <c r="DI203">
        <v>28119.8</v>
      </c>
      <c r="DJ203">
        <v>37523.199999999997</v>
      </c>
      <c r="DK203">
        <v>38694.699999999997</v>
      </c>
      <c r="DL203">
        <v>44404.7</v>
      </c>
      <c r="DM203">
        <v>42625.4</v>
      </c>
      <c r="DN203">
        <v>1.48682</v>
      </c>
      <c r="DO203">
        <v>2.04087</v>
      </c>
      <c r="DP203">
        <v>7.4923000000000003E-2</v>
      </c>
      <c r="DQ203">
        <v>0.19989899999999999</v>
      </c>
      <c r="DR203">
        <v>25.781400000000001</v>
      </c>
      <c r="DS203">
        <v>25.621099999999998</v>
      </c>
      <c r="DT203">
        <v>38.1</v>
      </c>
      <c r="DU203">
        <v>28.8</v>
      </c>
      <c r="DV203">
        <v>15.2995</v>
      </c>
      <c r="DW203">
        <v>61.767899999999997</v>
      </c>
      <c r="DX203">
        <v>36.442300000000003</v>
      </c>
      <c r="DY203">
        <v>1</v>
      </c>
      <c r="DZ203">
        <v>-0.119593</v>
      </c>
      <c r="EA203">
        <v>-0.378023</v>
      </c>
      <c r="EB203">
        <v>20.1891</v>
      </c>
      <c r="EC203">
        <v>5.2409499999999998</v>
      </c>
      <c r="ED203">
        <v>12.039899999999999</v>
      </c>
      <c r="EE203">
        <v>5.0169499999999996</v>
      </c>
      <c r="EF203">
        <v>3.2879999999999998</v>
      </c>
      <c r="EG203">
        <v>9999</v>
      </c>
      <c r="EH203">
        <v>9999</v>
      </c>
      <c r="EI203">
        <v>9999</v>
      </c>
      <c r="EJ203">
        <v>999.9</v>
      </c>
      <c r="EK203">
        <v>1.8689</v>
      </c>
      <c r="EL203">
        <v>1.8646199999999999</v>
      </c>
      <c r="EM203">
        <v>1.8691800000000001</v>
      </c>
      <c r="EN203">
        <v>1.8672200000000001</v>
      </c>
      <c r="EO203">
        <v>1.8633999999999999</v>
      </c>
      <c r="EP203">
        <v>1.8644700000000001</v>
      </c>
      <c r="EQ203">
        <v>1.8701300000000001</v>
      </c>
      <c r="ER203">
        <v>1.8693599999999999</v>
      </c>
      <c r="ES203">
        <v>0</v>
      </c>
      <c r="ET203">
        <v>0</v>
      </c>
      <c r="EU203">
        <v>0</v>
      </c>
      <c r="EV203">
        <v>0</v>
      </c>
      <c r="EW203" t="s">
        <v>334</v>
      </c>
      <c r="EX203" t="s">
        <v>335</v>
      </c>
      <c r="EY203" t="s">
        <v>336</v>
      </c>
      <c r="EZ203" t="s">
        <v>336</v>
      </c>
      <c r="FA203" t="s">
        <v>336</v>
      </c>
      <c r="FB203" t="s">
        <v>336</v>
      </c>
      <c r="FC203">
        <v>0</v>
      </c>
      <c r="FD203">
        <v>100</v>
      </c>
      <c r="FE203">
        <v>100</v>
      </c>
      <c r="FF203">
        <v>-0.125</v>
      </c>
      <c r="FG203">
        <v>0.17199999999999999</v>
      </c>
      <c r="FH203">
        <v>0.2126736300064915</v>
      </c>
      <c r="FI203">
        <v>-6.1462078757559423E-4</v>
      </c>
      <c r="FJ203">
        <v>-1.8861989874597051E-7</v>
      </c>
      <c r="FK203">
        <v>1.1980462299894961E-10</v>
      </c>
      <c r="FL203">
        <v>0.1719881465068297</v>
      </c>
      <c r="FM203">
        <v>0</v>
      </c>
      <c r="FN203">
        <v>0</v>
      </c>
      <c r="FO203">
        <v>0</v>
      </c>
      <c r="FP203">
        <v>3</v>
      </c>
      <c r="FQ203">
        <v>2158</v>
      </c>
      <c r="FR203">
        <v>1</v>
      </c>
      <c r="FS203">
        <v>19</v>
      </c>
      <c r="FT203">
        <v>40.5</v>
      </c>
      <c r="FU203">
        <v>40.6</v>
      </c>
      <c r="FV203">
        <v>1.7675799999999999</v>
      </c>
      <c r="FW203">
        <v>2.5854499999999998</v>
      </c>
      <c r="FX203">
        <v>1.5490699999999999</v>
      </c>
      <c r="FY203">
        <v>2.3278799999999999</v>
      </c>
      <c r="FZ203">
        <v>1.50146</v>
      </c>
      <c r="GA203">
        <v>2.3730500000000001</v>
      </c>
      <c r="GB203">
        <v>33.512999999999998</v>
      </c>
      <c r="GC203">
        <v>23.991199999999999</v>
      </c>
      <c r="GD203">
        <v>19</v>
      </c>
      <c r="GE203">
        <v>285.928</v>
      </c>
      <c r="GF203">
        <v>582.96600000000001</v>
      </c>
      <c r="GG203">
        <v>25.625399999999999</v>
      </c>
      <c r="GH203">
        <v>25.907900000000001</v>
      </c>
      <c r="GI203">
        <v>30.0002</v>
      </c>
      <c r="GJ203">
        <v>26.016500000000001</v>
      </c>
      <c r="GK203">
        <v>25.9938</v>
      </c>
      <c r="GL203">
        <v>35.348300000000002</v>
      </c>
      <c r="GM203">
        <v>64.796499999999995</v>
      </c>
      <c r="GN203">
        <v>43.942399999999999</v>
      </c>
      <c r="GO203">
        <v>25.622699999999998</v>
      </c>
      <c r="GP203">
        <v>800</v>
      </c>
      <c r="GQ203">
        <v>4.7203799999999996</v>
      </c>
      <c r="GR203">
        <v>99.8309</v>
      </c>
      <c r="GS203">
        <v>99.710599999999999</v>
      </c>
    </row>
    <row r="204" spans="1:201" x14ac:dyDescent="0.25">
      <c r="A204">
        <v>188</v>
      </c>
      <c r="B204">
        <v>1690234445</v>
      </c>
      <c r="C204">
        <v>1938.900000095367</v>
      </c>
      <c r="D204" t="s">
        <v>707</v>
      </c>
      <c r="E204" t="s">
        <v>708</v>
      </c>
      <c r="F204" t="s">
        <v>330</v>
      </c>
      <c r="H204">
        <v>1690234445</v>
      </c>
      <c r="I204">
        <f t="shared" si="60"/>
        <v>1.8349159964858445E-3</v>
      </c>
      <c r="J204">
        <f t="shared" si="61"/>
        <v>1.8349159964858446</v>
      </c>
      <c r="K204">
        <f t="shared" si="62"/>
        <v>27.132612438697915</v>
      </c>
      <c r="L204">
        <f t="shared" si="63"/>
        <v>497.06099999999998</v>
      </c>
      <c r="M204">
        <f t="shared" si="64"/>
        <v>105.84159501858133</v>
      </c>
      <c r="N204">
        <f t="shared" si="65"/>
        <v>10.487957472442508</v>
      </c>
      <c r="O204">
        <f t="shared" si="66"/>
        <v>49.254309029399401</v>
      </c>
      <c r="P204">
        <f t="shared" si="67"/>
        <v>0.11615624184188961</v>
      </c>
      <c r="Q204">
        <f t="shared" si="68"/>
        <v>2.1326336386925941</v>
      </c>
      <c r="R204">
        <f t="shared" si="69"/>
        <v>0.11275253280609242</v>
      </c>
      <c r="S204">
        <f t="shared" si="70"/>
        <v>7.0767834862317441E-2</v>
      </c>
      <c r="T204">
        <f t="shared" si="71"/>
        <v>276.11632760399999</v>
      </c>
      <c r="U204">
        <f t="shared" si="72"/>
        <v>28.6581572181911</v>
      </c>
      <c r="V204">
        <f t="shared" si="73"/>
        <v>28.6581572181911</v>
      </c>
      <c r="W204">
        <f t="shared" si="74"/>
        <v>3.9429012650222255</v>
      </c>
      <c r="X204">
        <f t="shared" si="75"/>
        <v>66.091624995383413</v>
      </c>
      <c r="Y204">
        <f t="shared" si="76"/>
        <v>2.3817729065294801</v>
      </c>
      <c r="Z204">
        <f t="shared" si="77"/>
        <v>3.6037439035518495</v>
      </c>
      <c r="AA204">
        <f t="shared" si="78"/>
        <v>1.5611283584927453</v>
      </c>
      <c r="AB204">
        <f t="shared" si="79"/>
        <v>-80.919795445025741</v>
      </c>
      <c r="AC204">
        <f t="shared" si="80"/>
        <v>-177.23983933552645</v>
      </c>
      <c r="AD204">
        <f t="shared" si="81"/>
        <v>-18.09551977386139</v>
      </c>
      <c r="AE204">
        <f t="shared" si="82"/>
        <v>-0.13882695041357351</v>
      </c>
      <c r="AF204">
        <v>0</v>
      </c>
      <c r="AG204">
        <v>0</v>
      </c>
      <c r="AH204">
        <f t="shared" si="83"/>
        <v>1</v>
      </c>
      <c r="AI204">
        <f t="shared" si="84"/>
        <v>0</v>
      </c>
      <c r="AJ204">
        <f t="shared" si="85"/>
        <v>52442.808508064176</v>
      </c>
      <c r="AK204">
        <f t="shared" si="86"/>
        <v>1800</v>
      </c>
      <c r="AL204">
        <f t="shared" si="87"/>
        <v>1499.1118253999998</v>
      </c>
      <c r="AM204">
        <f t="shared" si="88"/>
        <v>0.83283990299999988</v>
      </c>
      <c r="AN204">
        <f t="shared" si="89"/>
        <v>0.15339795978000001</v>
      </c>
      <c r="AO204">
        <v>32.4</v>
      </c>
      <c r="AP204">
        <v>0.5</v>
      </c>
      <c r="AQ204" t="s">
        <v>331</v>
      </c>
      <c r="AR204">
        <v>2</v>
      </c>
      <c r="AS204">
        <v>1690234445</v>
      </c>
      <c r="AT204">
        <v>497.06099999999998</v>
      </c>
      <c r="AU204">
        <v>799.88800000000003</v>
      </c>
      <c r="AV204">
        <v>24.036200000000001</v>
      </c>
      <c r="AW204">
        <v>4.6989799999999997</v>
      </c>
      <c r="AX204">
        <v>497.18599999999998</v>
      </c>
      <c r="AY204">
        <v>23.8642</v>
      </c>
      <c r="AZ204">
        <v>300.05500000000001</v>
      </c>
      <c r="BA204">
        <v>98.991200000000006</v>
      </c>
      <c r="BB204">
        <v>9.9875400000000003E-2</v>
      </c>
      <c r="BC204">
        <v>27.116599999999998</v>
      </c>
      <c r="BD204">
        <v>27.006499999999999</v>
      </c>
      <c r="BE204">
        <v>28.897099999999998</v>
      </c>
      <c r="BF204">
        <v>0</v>
      </c>
      <c r="BG204">
        <v>0</v>
      </c>
      <c r="BH204">
        <v>10023.799999999999</v>
      </c>
      <c r="BI204">
        <v>1080.78</v>
      </c>
      <c r="BJ204">
        <v>1.3455900000000001</v>
      </c>
      <c r="BK204">
        <v>-302.827</v>
      </c>
      <c r="BL204">
        <v>509.303</v>
      </c>
      <c r="BM204">
        <v>803.66499999999996</v>
      </c>
      <c r="BN204">
        <v>19.337199999999999</v>
      </c>
      <c r="BO204">
        <v>799.88800000000003</v>
      </c>
      <c r="BP204">
        <v>4.6989799999999997</v>
      </c>
      <c r="BQ204">
        <v>2.3793799999999998</v>
      </c>
      <c r="BR204">
        <v>0.46515800000000002</v>
      </c>
      <c r="BS204">
        <v>20.2241</v>
      </c>
      <c r="BT204">
        <v>-3.7549899999999998</v>
      </c>
      <c r="BU204">
        <v>1800</v>
      </c>
      <c r="BV204">
        <v>0.90998800000000002</v>
      </c>
      <c r="BW204">
        <v>3.3998399999999998E-2</v>
      </c>
      <c r="BX204">
        <v>2.2006899999999999E-2</v>
      </c>
      <c r="BY204">
        <v>3.4006799999999997E-2</v>
      </c>
      <c r="BZ204">
        <v>25.708300000000001</v>
      </c>
      <c r="CA204">
        <v>33528.199999999997</v>
      </c>
      <c r="CB204">
        <v>1690232006</v>
      </c>
      <c r="CC204" t="s">
        <v>332</v>
      </c>
      <c r="CD204">
        <v>1690232006</v>
      </c>
      <c r="CE204">
        <v>1690231998.5</v>
      </c>
      <c r="CF204">
        <v>14</v>
      </c>
      <c r="CG204">
        <v>-0.13200000000000001</v>
      </c>
      <c r="CH204">
        <v>-7.0000000000000001E-3</v>
      </c>
      <c r="CI204">
        <v>-0.33800000000000002</v>
      </c>
      <c r="CJ204">
        <v>0.14299999999999999</v>
      </c>
      <c r="CK204">
        <v>799</v>
      </c>
      <c r="CL204">
        <v>19</v>
      </c>
      <c r="CM204">
        <v>7.0000000000000007E-2</v>
      </c>
      <c r="CN204">
        <v>0.14000000000000001</v>
      </c>
      <c r="CO204">
        <v>-302.55175609756088</v>
      </c>
      <c r="CP204">
        <v>-2.3325574912901978</v>
      </c>
      <c r="CQ204">
        <v>0.23635130740404431</v>
      </c>
      <c r="CR204">
        <v>-1</v>
      </c>
      <c r="CS204">
        <v>19.289670731707321</v>
      </c>
      <c r="CT204">
        <v>0.27698466898948249</v>
      </c>
      <c r="CU204">
        <v>2.7408039090413842E-2</v>
      </c>
      <c r="CV204">
        <v>-1</v>
      </c>
      <c r="CW204">
        <v>0</v>
      </c>
      <c r="CX204">
        <v>0</v>
      </c>
      <c r="CY204" t="s">
        <v>333</v>
      </c>
      <c r="CZ204">
        <v>2.3645800000000001</v>
      </c>
      <c r="DA204">
        <v>2.7136900000000002</v>
      </c>
      <c r="DB204">
        <v>0.105271</v>
      </c>
      <c r="DC204">
        <v>0.146035</v>
      </c>
      <c r="DD204">
        <v>0.11407</v>
      </c>
      <c r="DE204">
        <v>3.2228399999999997E-2</v>
      </c>
      <c r="DF204">
        <v>32699.599999999999</v>
      </c>
      <c r="DG204">
        <v>27559.1</v>
      </c>
      <c r="DH204">
        <v>31199</v>
      </c>
      <c r="DI204">
        <v>28119.599999999999</v>
      </c>
      <c r="DJ204">
        <v>37525</v>
      </c>
      <c r="DK204">
        <v>38706</v>
      </c>
      <c r="DL204">
        <v>44404.7</v>
      </c>
      <c r="DM204">
        <v>42625</v>
      </c>
      <c r="DN204">
        <v>1.48685</v>
      </c>
      <c r="DO204">
        <v>2.0407500000000001</v>
      </c>
      <c r="DP204">
        <v>7.4766600000000003E-2</v>
      </c>
      <c r="DQ204">
        <v>0.20017499999999999</v>
      </c>
      <c r="DR204">
        <v>25.782599999999999</v>
      </c>
      <c r="DS204">
        <v>25.6249</v>
      </c>
      <c r="DT204">
        <v>37.799999999999997</v>
      </c>
      <c r="DU204">
        <v>28.8</v>
      </c>
      <c r="DV204">
        <v>15.1778</v>
      </c>
      <c r="DW204">
        <v>61.547899999999998</v>
      </c>
      <c r="DX204">
        <v>37.255600000000001</v>
      </c>
      <c r="DY204">
        <v>1</v>
      </c>
      <c r="DZ204">
        <v>-0.119431</v>
      </c>
      <c r="EA204">
        <v>-0.31729000000000002</v>
      </c>
      <c r="EB204">
        <v>20.189499999999999</v>
      </c>
      <c r="EC204">
        <v>5.2415500000000002</v>
      </c>
      <c r="ED204">
        <v>12.039899999999999</v>
      </c>
      <c r="EE204">
        <v>5.0170000000000003</v>
      </c>
      <c r="EF204">
        <v>3.2879999999999998</v>
      </c>
      <c r="EG204">
        <v>9999</v>
      </c>
      <c r="EH204">
        <v>9999</v>
      </c>
      <c r="EI204">
        <v>9999</v>
      </c>
      <c r="EJ204">
        <v>999.9</v>
      </c>
      <c r="EK204">
        <v>1.8689</v>
      </c>
      <c r="EL204">
        <v>1.8646100000000001</v>
      </c>
      <c r="EM204">
        <v>1.8691599999999999</v>
      </c>
      <c r="EN204">
        <v>1.8672200000000001</v>
      </c>
      <c r="EO204">
        <v>1.86338</v>
      </c>
      <c r="EP204">
        <v>1.8644700000000001</v>
      </c>
      <c r="EQ204">
        <v>1.8701399999999999</v>
      </c>
      <c r="ER204">
        <v>1.8693599999999999</v>
      </c>
      <c r="ES204">
        <v>0</v>
      </c>
      <c r="ET204">
        <v>0</v>
      </c>
      <c r="EU204">
        <v>0</v>
      </c>
      <c r="EV204">
        <v>0</v>
      </c>
      <c r="EW204" t="s">
        <v>334</v>
      </c>
      <c r="EX204" t="s">
        <v>335</v>
      </c>
      <c r="EY204" t="s">
        <v>336</v>
      </c>
      <c r="EZ204" t="s">
        <v>336</v>
      </c>
      <c r="FA204" t="s">
        <v>336</v>
      </c>
      <c r="FB204" t="s">
        <v>336</v>
      </c>
      <c r="FC204">
        <v>0</v>
      </c>
      <c r="FD204">
        <v>100</v>
      </c>
      <c r="FE204">
        <v>100</v>
      </c>
      <c r="FF204">
        <v>-0.125</v>
      </c>
      <c r="FG204">
        <v>0.17199999999999999</v>
      </c>
      <c r="FH204">
        <v>0.2126736300064915</v>
      </c>
      <c r="FI204">
        <v>-6.1462078757559423E-4</v>
      </c>
      <c r="FJ204">
        <v>-1.8861989874597051E-7</v>
      </c>
      <c r="FK204">
        <v>1.1980462299894961E-10</v>
      </c>
      <c r="FL204">
        <v>0.1719881465068297</v>
      </c>
      <c r="FM204">
        <v>0</v>
      </c>
      <c r="FN204">
        <v>0</v>
      </c>
      <c r="FO204">
        <v>0</v>
      </c>
      <c r="FP204">
        <v>3</v>
      </c>
      <c r="FQ204">
        <v>2158</v>
      </c>
      <c r="FR204">
        <v>1</v>
      </c>
      <c r="FS204">
        <v>19</v>
      </c>
      <c r="FT204">
        <v>40.6</v>
      </c>
      <c r="FU204">
        <v>40.799999999999997</v>
      </c>
      <c r="FV204">
        <v>1.7687999999999999</v>
      </c>
      <c r="FW204">
        <v>2.5915499999999998</v>
      </c>
      <c r="FX204">
        <v>1.5490699999999999</v>
      </c>
      <c r="FY204">
        <v>2.32666</v>
      </c>
      <c r="FZ204">
        <v>1.50146</v>
      </c>
      <c r="GA204">
        <v>2.34619</v>
      </c>
      <c r="GB204">
        <v>33.512999999999998</v>
      </c>
      <c r="GC204">
        <v>23.982399999999998</v>
      </c>
      <c r="GD204">
        <v>19</v>
      </c>
      <c r="GE204">
        <v>285.93900000000002</v>
      </c>
      <c r="GF204">
        <v>582.88699999999994</v>
      </c>
      <c r="GG204">
        <v>25.615300000000001</v>
      </c>
      <c r="GH204">
        <v>25.907900000000001</v>
      </c>
      <c r="GI204">
        <v>30.0002</v>
      </c>
      <c r="GJ204">
        <v>26.016500000000001</v>
      </c>
      <c r="GK204">
        <v>25.995899999999999</v>
      </c>
      <c r="GL204">
        <v>35.351599999999998</v>
      </c>
      <c r="GM204">
        <v>64.796499999999995</v>
      </c>
      <c r="GN204">
        <v>43.193800000000003</v>
      </c>
      <c r="GO204">
        <v>25.607700000000001</v>
      </c>
      <c r="GP204">
        <v>800</v>
      </c>
      <c r="GQ204">
        <v>4.6752700000000003</v>
      </c>
      <c r="GR204">
        <v>99.830799999999996</v>
      </c>
      <c r="GS204">
        <v>99.709699999999998</v>
      </c>
    </row>
    <row r="205" spans="1:201" x14ac:dyDescent="0.25">
      <c r="A205">
        <v>189</v>
      </c>
      <c r="B205">
        <v>1690234455</v>
      </c>
      <c r="C205">
        <v>1948.900000095367</v>
      </c>
      <c r="D205" t="s">
        <v>709</v>
      </c>
      <c r="E205" t="s">
        <v>710</v>
      </c>
      <c r="F205" t="s">
        <v>330</v>
      </c>
      <c r="H205">
        <v>1690234455</v>
      </c>
      <c r="I205">
        <f t="shared" si="60"/>
        <v>1.8395033628022743E-3</v>
      </c>
      <c r="J205">
        <f t="shared" si="61"/>
        <v>1.8395033628022743</v>
      </c>
      <c r="K205">
        <f t="shared" si="62"/>
        <v>27.171126587182201</v>
      </c>
      <c r="L205">
        <f t="shared" si="63"/>
        <v>496.72800000000001</v>
      </c>
      <c r="M205">
        <f t="shared" si="64"/>
        <v>105.80793509952095</v>
      </c>
      <c r="N205">
        <f t="shared" si="65"/>
        <v>10.484868141798804</v>
      </c>
      <c r="O205">
        <f t="shared" si="66"/>
        <v>49.222466891928001</v>
      </c>
      <c r="P205">
        <f t="shared" si="67"/>
        <v>0.11642517286421956</v>
      </c>
      <c r="Q205">
        <f t="shared" si="68"/>
        <v>2.1274830392876432</v>
      </c>
      <c r="R205">
        <f t="shared" si="69"/>
        <v>0.1129979188717939</v>
      </c>
      <c r="S205">
        <f t="shared" si="70"/>
        <v>7.0923220668278927E-2</v>
      </c>
      <c r="T205">
        <f t="shared" si="71"/>
        <v>276.11624829600004</v>
      </c>
      <c r="U205">
        <f t="shared" si="72"/>
        <v>28.655250088423308</v>
      </c>
      <c r="V205">
        <f t="shared" si="73"/>
        <v>28.655250088423308</v>
      </c>
      <c r="W205">
        <f t="shared" si="74"/>
        <v>3.9422363463159877</v>
      </c>
      <c r="X205">
        <f t="shared" si="75"/>
        <v>66.07592625809049</v>
      </c>
      <c r="Y205">
        <f t="shared" si="76"/>
        <v>2.3805505002433001</v>
      </c>
      <c r="Z205">
        <f t="shared" si="77"/>
        <v>3.6027501013681515</v>
      </c>
      <c r="AA205">
        <f t="shared" si="78"/>
        <v>1.5616858460726877</v>
      </c>
      <c r="AB205">
        <f t="shared" si="79"/>
        <v>-81.122098299580301</v>
      </c>
      <c r="AC205">
        <f t="shared" si="80"/>
        <v>-177.01741768735977</v>
      </c>
      <c r="AD205">
        <f t="shared" si="81"/>
        <v>-18.115878568645819</v>
      </c>
      <c r="AE205">
        <f t="shared" si="82"/>
        <v>-0.13914625958585702</v>
      </c>
      <c r="AF205">
        <v>0</v>
      </c>
      <c r="AG205">
        <v>0</v>
      </c>
      <c r="AH205">
        <f t="shared" si="83"/>
        <v>1</v>
      </c>
      <c r="AI205">
        <f t="shared" si="84"/>
        <v>0</v>
      </c>
      <c r="AJ205">
        <f t="shared" si="85"/>
        <v>52221.876274597504</v>
      </c>
      <c r="AK205">
        <f t="shared" si="86"/>
        <v>1800</v>
      </c>
      <c r="AL205">
        <f t="shared" si="87"/>
        <v>1499.1118236</v>
      </c>
      <c r="AM205">
        <f t="shared" si="88"/>
        <v>0.83283990200000002</v>
      </c>
      <c r="AN205">
        <f t="shared" si="89"/>
        <v>0.15339791572000003</v>
      </c>
      <c r="AO205">
        <v>32.4</v>
      </c>
      <c r="AP205">
        <v>0.5</v>
      </c>
      <c r="AQ205" t="s">
        <v>331</v>
      </c>
      <c r="AR205">
        <v>2</v>
      </c>
      <c r="AS205">
        <v>1690234455</v>
      </c>
      <c r="AT205">
        <v>496.72800000000001</v>
      </c>
      <c r="AU205">
        <v>799.90300000000002</v>
      </c>
      <c r="AV205">
        <v>24.023299999999999</v>
      </c>
      <c r="AW205">
        <v>4.64297</v>
      </c>
      <c r="AX205">
        <v>496.85300000000001</v>
      </c>
      <c r="AY205">
        <v>23.851299999999998</v>
      </c>
      <c r="AZ205">
        <v>300.14</v>
      </c>
      <c r="BA205">
        <v>98.993399999999994</v>
      </c>
      <c r="BB205">
        <v>0.10000100000000001</v>
      </c>
      <c r="BC205">
        <v>27.111899999999999</v>
      </c>
      <c r="BD205">
        <v>27.007100000000001</v>
      </c>
      <c r="BE205">
        <v>28.8964</v>
      </c>
      <c r="BF205">
        <v>0</v>
      </c>
      <c r="BG205">
        <v>0</v>
      </c>
      <c r="BH205">
        <v>9979.3799999999992</v>
      </c>
      <c r="BI205">
        <v>1080.72</v>
      </c>
      <c r="BJ205">
        <v>1.3455900000000001</v>
      </c>
      <c r="BK205">
        <v>-303.17500000000001</v>
      </c>
      <c r="BL205">
        <v>508.95499999999998</v>
      </c>
      <c r="BM205">
        <v>803.63499999999999</v>
      </c>
      <c r="BN205">
        <v>19.380299999999998</v>
      </c>
      <c r="BO205">
        <v>799.90300000000002</v>
      </c>
      <c r="BP205">
        <v>4.64297</v>
      </c>
      <c r="BQ205">
        <v>2.3781500000000002</v>
      </c>
      <c r="BR205">
        <v>0.459623</v>
      </c>
      <c r="BS205">
        <v>20.215699999999998</v>
      </c>
      <c r="BT205">
        <v>-3.91459</v>
      </c>
      <c r="BU205">
        <v>1800</v>
      </c>
      <c r="BV205">
        <v>0.90998900000000005</v>
      </c>
      <c r="BW205">
        <v>3.3998E-2</v>
      </c>
      <c r="BX205">
        <v>2.2006600000000001E-2</v>
      </c>
      <c r="BY205">
        <v>3.4006399999999999E-2</v>
      </c>
      <c r="BZ205">
        <v>25.833300000000001</v>
      </c>
      <c r="CA205">
        <v>33528.199999999997</v>
      </c>
      <c r="CB205">
        <v>1690232006</v>
      </c>
      <c r="CC205" t="s">
        <v>332</v>
      </c>
      <c r="CD205">
        <v>1690232006</v>
      </c>
      <c r="CE205">
        <v>1690231998.5</v>
      </c>
      <c r="CF205">
        <v>14</v>
      </c>
      <c r="CG205">
        <v>-0.13200000000000001</v>
      </c>
      <c r="CH205">
        <v>-7.0000000000000001E-3</v>
      </c>
      <c r="CI205">
        <v>-0.33800000000000002</v>
      </c>
      <c r="CJ205">
        <v>0.14299999999999999</v>
      </c>
      <c r="CK205">
        <v>799</v>
      </c>
      <c r="CL205">
        <v>19</v>
      </c>
      <c r="CM205">
        <v>7.0000000000000007E-2</v>
      </c>
      <c r="CN205">
        <v>0.14000000000000001</v>
      </c>
      <c r="CO205">
        <v>-302.90817073170729</v>
      </c>
      <c r="CP205">
        <v>-1.950606271777805</v>
      </c>
      <c r="CQ205">
        <v>0.20656339042849961</v>
      </c>
      <c r="CR205">
        <v>-1</v>
      </c>
      <c r="CS205">
        <v>19.332390243902442</v>
      </c>
      <c r="CT205">
        <v>0.23442020905923711</v>
      </c>
      <c r="CU205">
        <v>2.3272770699641079E-2</v>
      </c>
      <c r="CV205">
        <v>-1</v>
      </c>
      <c r="CW205">
        <v>0</v>
      </c>
      <c r="CX205">
        <v>0</v>
      </c>
      <c r="CY205" t="s">
        <v>333</v>
      </c>
      <c r="CZ205">
        <v>2.3648600000000002</v>
      </c>
      <c r="DA205">
        <v>2.7137699999999998</v>
      </c>
      <c r="DB205">
        <v>0.105221</v>
      </c>
      <c r="DC205">
        <v>0.146038</v>
      </c>
      <c r="DD205">
        <v>0.114028</v>
      </c>
      <c r="DE205">
        <v>3.1906299999999999E-2</v>
      </c>
      <c r="DF205">
        <v>32701.599999999999</v>
      </c>
      <c r="DG205">
        <v>27559.1</v>
      </c>
      <c r="DH205">
        <v>31199.1</v>
      </c>
      <c r="DI205">
        <v>28119.8</v>
      </c>
      <c r="DJ205">
        <v>37526.9</v>
      </c>
      <c r="DK205">
        <v>38719.300000000003</v>
      </c>
      <c r="DL205">
        <v>44404.800000000003</v>
      </c>
      <c r="DM205">
        <v>42625.5</v>
      </c>
      <c r="DN205">
        <v>1.4869300000000001</v>
      </c>
      <c r="DO205">
        <v>2.0405000000000002</v>
      </c>
      <c r="DP205">
        <v>7.4669700000000006E-2</v>
      </c>
      <c r="DQ205">
        <v>0.199966</v>
      </c>
      <c r="DR205">
        <v>25.784800000000001</v>
      </c>
      <c r="DS205">
        <v>25.627500000000001</v>
      </c>
      <c r="DT205">
        <v>37.5</v>
      </c>
      <c r="DU205">
        <v>28.9</v>
      </c>
      <c r="DV205">
        <v>15.1462</v>
      </c>
      <c r="DW205">
        <v>61.7179</v>
      </c>
      <c r="DX205">
        <v>37.123399999999997</v>
      </c>
      <c r="DY205">
        <v>1</v>
      </c>
      <c r="DZ205">
        <v>-0.119644</v>
      </c>
      <c r="EA205">
        <v>-0.34938999999999998</v>
      </c>
      <c r="EB205">
        <v>20.189299999999999</v>
      </c>
      <c r="EC205">
        <v>5.2411000000000003</v>
      </c>
      <c r="ED205">
        <v>12.039899999999999</v>
      </c>
      <c r="EE205">
        <v>5.0168499999999998</v>
      </c>
      <c r="EF205">
        <v>3.2879999999999998</v>
      </c>
      <c r="EG205">
        <v>9999</v>
      </c>
      <c r="EH205">
        <v>9999</v>
      </c>
      <c r="EI205">
        <v>9999</v>
      </c>
      <c r="EJ205">
        <v>999.9</v>
      </c>
      <c r="EK205">
        <v>1.8689</v>
      </c>
      <c r="EL205">
        <v>1.8646</v>
      </c>
      <c r="EM205">
        <v>1.8691500000000001</v>
      </c>
      <c r="EN205">
        <v>1.8672200000000001</v>
      </c>
      <c r="EO205">
        <v>1.86338</v>
      </c>
      <c r="EP205">
        <v>1.8644700000000001</v>
      </c>
      <c r="EQ205">
        <v>1.8701300000000001</v>
      </c>
      <c r="ER205">
        <v>1.8693599999999999</v>
      </c>
      <c r="ES205">
        <v>0</v>
      </c>
      <c r="ET205">
        <v>0</v>
      </c>
      <c r="EU205">
        <v>0</v>
      </c>
      <c r="EV205">
        <v>0</v>
      </c>
      <c r="EW205" t="s">
        <v>334</v>
      </c>
      <c r="EX205" t="s">
        <v>335</v>
      </c>
      <c r="EY205" t="s">
        <v>336</v>
      </c>
      <c r="EZ205" t="s">
        <v>336</v>
      </c>
      <c r="FA205" t="s">
        <v>336</v>
      </c>
      <c r="FB205" t="s">
        <v>336</v>
      </c>
      <c r="FC205">
        <v>0</v>
      </c>
      <c r="FD205">
        <v>100</v>
      </c>
      <c r="FE205">
        <v>100</v>
      </c>
      <c r="FF205">
        <v>-0.125</v>
      </c>
      <c r="FG205">
        <v>0.17199999999999999</v>
      </c>
      <c r="FH205">
        <v>0.2126736300064915</v>
      </c>
      <c r="FI205">
        <v>-6.1462078757559423E-4</v>
      </c>
      <c r="FJ205">
        <v>-1.8861989874597051E-7</v>
      </c>
      <c r="FK205">
        <v>1.1980462299894961E-10</v>
      </c>
      <c r="FL205">
        <v>0.1719881465068297</v>
      </c>
      <c r="FM205">
        <v>0</v>
      </c>
      <c r="FN205">
        <v>0</v>
      </c>
      <c r="FO205">
        <v>0</v>
      </c>
      <c r="FP205">
        <v>3</v>
      </c>
      <c r="FQ205">
        <v>2158</v>
      </c>
      <c r="FR205">
        <v>1</v>
      </c>
      <c r="FS205">
        <v>19</v>
      </c>
      <c r="FT205">
        <v>40.799999999999997</v>
      </c>
      <c r="FU205">
        <v>40.9</v>
      </c>
      <c r="FV205">
        <v>1.7675799999999999</v>
      </c>
      <c r="FW205">
        <v>2.5878899999999998</v>
      </c>
      <c r="FX205">
        <v>1.5490699999999999</v>
      </c>
      <c r="FY205">
        <v>2.3278799999999999</v>
      </c>
      <c r="FZ205">
        <v>1.50146</v>
      </c>
      <c r="GA205">
        <v>2.2936999999999999</v>
      </c>
      <c r="GB205">
        <v>33.512999999999998</v>
      </c>
      <c r="GC205">
        <v>23.982399999999998</v>
      </c>
      <c r="GD205">
        <v>19</v>
      </c>
      <c r="GE205">
        <v>285.98099999999999</v>
      </c>
      <c r="GF205">
        <v>582.68100000000004</v>
      </c>
      <c r="GG205">
        <v>25.6</v>
      </c>
      <c r="GH205">
        <v>25.9101</v>
      </c>
      <c r="GI205">
        <v>30.0001</v>
      </c>
      <c r="GJ205">
        <v>26.018599999999999</v>
      </c>
      <c r="GK205">
        <v>25.995899999999999</v>
      </c>
      <c r="GL205">
        <v>35.347299999999997</v>
      </c>
      <c r="GM205">
        <v>64.796499999999995</v>
      </c>
      <c r="GN205">
        <v>42.793700000000001</v>
      </c>
      <c r="GO205">
        <v>25.601700000000001</v>
      </c>
      <c r="GP205">
        <v>800</v>
      </c>
      <c r="GQ205">
        <v>4.63523</v>
      </c>
      <c r="GR205">
        <v>99.831199999999995</v>
      </c>
      <c r="GS205">
        <v>99.710700000000003</v>
      </c>
    </row>
    <row r="206" spans="1:201" x14ac:dyDescent="0.25">
      <c r="A206">
        <v>190</v>
      </c>
      <c r="B206">
        <v>1690234465</v>
      </c>
      <c r="C206">
        <v>1958.900000095367</v>
      </c>
      <c r="D206" t="s">
        <v>711</v>
      </c>
      <c r="E206" t="s">
        <v>712</v>
      </c>
      <c r="F206" t="s">
        <v>330</v>
      </c>
      <c r="H206">
        <v>1690234465</v>
      </c>
      <c r="I206">
        <f t="shared" si="60"/>
        <v>1.8428138662155813E-3</v>
      </c>
      <c r="J206">
        <f t="shared" si="61"/>
        <v>1.8428138662155813</v>
      </c>
      <c r="K206">
        <f t="shared" si="62"/>
        <v>27.218720799885602</v>
      </c>
      <c r="L206">
        <f t="shared" si="63"/>
        <v>496.41399999999999</v>
      </c>
      <c r="M206">
        <f t="shared" si="64"/>
        <v>105.3972520744034</v>
      </c>
      <c r="N206">
        <f t="shared" si="65"/>
        <v>10.444464852275948</v>
      </c>
      <c r="O206">
        <f t="shared" si="66"/>
        <v>49.192730105692</v>
      </c>
      <c r="P206">
        <f t="shared" si="67"/>
        <v>0.11659931646205209</v>
      </c>
      <c r="Q206">
        <f t="shared" si="68"/>
        <v>2.1294098089001627</v>
      </c>
      <c r="R206">
        <f t="shared" si="69"/>
        <v>0.11316497669503475</v>
      </c>
      <c r="S206">
        <f t="shared" si="70"/>
        <v>7.102824625111448E-2</v>
      </c>
      <c r="T206">
        <f t="shared" si="71"/>
        <v>276.11618772600002</v>
      </c>
      <c r="U206">
        <f t="shared" si="72"/>
        <v>28.650530463882074</v>
      </c>
      <c r="V206">
        <f t="shared" si="73"/>
        <v>28.650530463882074</v>
      </c>
      <c r="W206">
        <f t="shared" si="74"/>
        <v>3.9411570820679787</v>
      </c>
      <c r="X206">
        <f t="shared" si="75"/>
        <v>66.039106007788931</v>
      </c>
      <c r="Y206">
        <f t="shared" si="76"/>
        <v>2.378902849068</v>
      </c>
      <c r="Z206">
        <f t="shared" si="77"/>
        <v>3.6022638598218188</v>
      </c>
      <c r="AA206">
        <f t="shared" si="78"/>
        <v>1.5622542329999787</v>
      </c>
      <c r="AB206">
        <f t="shared" si="79"/>
        <v>-81.268091500107133</v>
      </c>
      <c r="AC206">
        <f t="shared" si="80"/>
        <v>-176.89996003454567</v>
      </c>
      <c r="AD206">
        <f t="shared" si="81"/>
        <v>-18.086843625734151</v>
      </c>
      <c r="AE206">
        <f t="shared" si="82"/>
        <v>-0.13870743438693012</v>
      </c>
      <c r="AF206">
        <v>0</v>
      </c>
      <c r="AG206">
        <v>0</v>
      </c>
      <c r="AH206">
        <f t="shared" si="83"/>
        <v>1</v>
      </c>
      <c r="AI206">
        <f t="shared" si="84"/>
        <v>0</v>
      </c>
      <c r="AJ206">
        <f t="shared" si="85"/>
        <v>52305.236651923253</v>
      </c>
      <c r="AK206">
        <f t="shared" si="86"/>
        <v>1800</v>
      </c>
      <c r="AL206">
        <f t="shared" si="87"/>
        <v>1499.1122375999998</v>
      </c>
      <c r="AM206">
        <f t="shared" si="88"/>
        <v>0.83284013199999996</v>
      </c>
      <c r="AN206">
        <f t="shared" si="89"/>
        <v>0.15339788207000002</v>
      </c>
      <c r="AO206">
        <v>32.4</v>
      </c>
      <c r="AP206">
        <v>0.5</v>
      </c>
      <c r="AQ206" t="s">
        <v>331</v>
      </c>
      <c r="AR206">
        <v>2</v>
      </c>
      <c r="AS206">
        <v>1690234465</v>
      </c>
      <c r="AT206">
        <v>496.41399999999999</v>
      </c>
      <c r="AU206">
        <v>800.09</v>
      </c>
      <c r="AV206">
        <v>24.006</v>
      </c>
      <c r="AW206">
        <v>4.5919999999999996</v>
      </c>
      <c r="AX206">
        <v>496.53899999999999</v>
      </c>
      <c r="AY206">
        <v>23.834</v>
      </c>
      <c r="AZ206">
        <v>300.16399999999999</v>
      </c>
      <c r="BA206">
        <v>98.996099999999998</v>
      </c>
      <c r="BB206">
        <v>0.100078</v>
      </c>
      <c r="BC206">
        <v>27.1096</v>
      </c>
      <c r="BD206">
        <v>27.000499999999999</v>
      </c>
      <c r="BE206">
        <v>28.894600000000001</v>
      </c>
      <c r="BF206">
        <v>0</v>
      </c>
      <c r="BG206">
        <v>0</v>
      </c>
      <c r="BH206">
        <v>9995.6200000000008</v>
      </c>
      <c r="BI206">
        <v>1080.7</v>
      </c>
      <c r="BJ206">
        <v>1.3455900000000001</v>
      </c>
      <c r="BK206">
        <v>-303.67599999999999</v>
      </c>
      <c r="BL206">
        <v>508.625</v>
      </c>
      <c r="BM206">
        <v>803.78099999999995</v>
      </c>
      <c r="BN206">
        <v>19.414000000000001</v>
      </c>
      <c r="BO206">
        <v>800.09</v>
      </c>
      <c r="BP206">
        <v>4.5919999999999996</v>
      </c>
      <c r="BQ206">
        <v>2.3765000000000001</v>
      </c>
      <c r="BR206">
        <v>0.45458999999999999</v>
      </c>
      <c r="BS206">
        <v>20.204499999999999</v>
      </c>
      <c r="BT206">
        <v>-4.0612199999999996</v>
      </c>
      <c r="BU206">
        <v>1800</v>
      </c>
      <c r="BV206">
        <v>0.90999099999999999</v>
      </c>
      <c r="BW206">
        <v>3.3997300000000001E-2</v>
      </c>
      <c r="BX206">
        <v>2.2006100000000001E-2</v>
      </c>
      <c r="BY206">
        <v>3.40057E-2</v>
      </c>
      <c r="BZ206">
        <v>25.875</v>
      </c>
      <c r="CA206">
        <v>33528.300000000003</v>
      </c>
      <c r="CB206">
        <v>1690232006</v>
      </c>
      <c r="CC206" t="s">
        <v>332</v>
      </c>
      <c r="CD206">
        <v>1690232006</v>
      </c>
      <c r="CE206">
        <v>1690231998.5</v>
      </c>
      <c r="CF206">
        <v>14</v>
      </c>
      <c r="CG206">
        <v>-0.13200000000000001</v>
      </c>
      <c r="CH206">
        <v>-7.0000000000000001E-3</v>
      </c>
      <c r="CI206">
        <v>-0.33800000000000002</v>
      </c>
      <c r="CJ206">
        <v>0.14299999999999999</v>
      </c>
      <c r="CK206">
        <v>799</v>
      </c>
      <c r="CL206">
        <v>19</v>
      </c>
      <c r="CM206">
        <v>7.0000000000000007E-2</v>
      </c>
      <c r="CN206">
        <v>0.14000000000000001</v>
      </c>
      <c r="CO206">
        <v>-303.20646341463407</v>
      </c>
      <c r="CP206">
        <v>-1.9191637630660789</v>
      </c>
      <c r="CQ206">
        <v>0.20187633229172561</v>
      </c>
      <c r="CR206">
        <v>-1</v>
      </c>
      <c r="CS206">
        <v>19.372534146341469</v>
      </c>
      <c r="CT206">
        <v>0.23798885017428609</v>
      </c>
      <c r="CU206">
        <v>2.3628306812123811E-2</v>
      </c>
      <c r="CV206">
        <v>-1</v>
      </c>
      <c r="CW206">
        <v>0</v>
      </c>
      <c r="CX206">
        <v>0</v>
      </c>
      <c r="CY206" t="s">
        <v>333</v>
      </c>
      <c r="CZ206">
        <v>2.3649399999999998</v>
      </c>
      <c r="DA206">
        <v>2.7138599999999999</v>
      </c>
      <c r="DB206">
        <v>0.105175</v>
      </c>
      <c r="DC206">
        <v>0.146065</v>
      </c>
      <c r="DD206">
        <v>0.11397400000000001</v>
      </c>
      <c r="DE206">
        <v>3.1612700000000001E-2</v>
      </c>
      <c r="DF206">
        <v>32703.200000000001</v>
      </c>
      <c r="DG206">
        <v>27558.400000000001</v>
      </c>
      <c r="DH206">
        <v>31199.1</v>
      </c>
      <c r="DI206">
        <v>28119.9</v>
      </c>
      <c r="DJ206">
        <v>37529.1</v>
      </c>
      <c r="DK206">
        <v>38731.1</v>
      </c>
      <c r="DL206">
        <v>44404.6</v>
      </c>
      <c r="DM206">
        <v>42625.5</v>
      </c>
      <c r="DN206">
        <v>1.4871000000000001</v>
      </c>
      <c r="DO206">
        <v>2.0405500000000001</v>
      </c>
      <c r="DP206">
        <v>7.4073700000000006E-2</v>
      </c>
      <c r="DQ206">
        <v>0.19972000000000001</v>
      </c>
      <c r="DR206">
        <v>25.788</v>
      </c>
      <c r="DS206">
        <v>25.6297</v>
      </c>
      <c r="DT206">
        <v>37.200000000000003</v>
      </c>
      <c r="DU206">
        <v>28.9</v>
      </c>
      <c r="DV206">
        <v>15.0281</v>
      </c>
      <c r="DW206">
        <v>61.707900000000002</v>
      </c>
      <c r="DX206">
        <v>36.446300000000001</v>
      </c>
      <c r="DY206">
        <v>1</v>
      </c>
      <c r="DZ206">
        <v>-0.11972099999999999</v>
      </c>
      <c r="EA206">
        <v>-0.35893000000000003</v>
      </c>
      <c r="EB206">
        <v>20.1892</v>
      </c>
      <c r="EC206">
        <v>5.2411000000000003</v>
      </c>
      <c r="ED206">
        <v>12.039899999999999</v>
      </c>
      <c r="EE206">
        <v>5.0170000000000003</v>
      </c>
      <c r="EF206">
        <v>3.2879999999999998</v>
      </c>
      <c r="EG206">
        <v>9999</v>
      </c>
      <c r="EH206">
        <v>9999</v>
      </c>
      <c r="EI206">
        <v>9999</v>
      </c>
      <c r="EJ206">
        <v>999.9</v>
      </c>
      <c r="EK206">
        <v>1.8689</v>
      </c>
      <c r="EL206">
        <v>1.8646</v>
      </c>
      <c r="EM206">
        <v>1.86917</v>
      </c>
      <c r="EN206">
        <v>1.8672200000000001</v>
      </c>
      <c r="EO206">
        <v>1.86337</v>
      </c>
      <c r="EP206">
        <v>1.8644700000000001</v>
      </c>
      <c r="EQ206">
        <v>1.87012</v>
      </c>
      <c r="ER206">
        <v>1.86937</v>
      </c>
      <c r="ES206">
        <v>0</v>
      </c>
      <c r="ET206">
        <v>0</v>
      </c>
      <c r="EU206">
        <v>0</v>
      </c>
      <c r="EV206">
        <v>0</v>
      </c>
      <c r="EW206" t="s">
        <v>334</v>
      </c>
      <c r="EX206" t="s">
        <v>335</v>
      </c>
      <c r="EY206" t="s">
        <v>336</v>
      </c>
      <c r="EZ206" t="s">
        <v>336</v>
      </c>
      <c r="FA206" t="s">
        <v>336</v>
      </c>
      <c r="FB206" t="s">
        <v>336</v>
      </c>
      <c r="FC206">
        <v>0</v>
      </c>
      <c r="FD206">
        <v>100</v>
      </c>
      <c r="FE206">
        <v>100</v>
      </c>
      <c r="FF206">
        <v>-0.125</v>
      </c>
      <c r="FG206">
        <v>0.17199999999999999</v>
      </c>
      <c r="FH206">
        <v>0.2126736300064915</v>
      </c>
      <c r="FI206">
        <v>-6.1462078757559423E-4</v>
      </c>
      <c r="FJ206">
        <v>-1.8861989874597051E-7</v>
      </c>
      <c r="FK206">
        <v>1.1980462299894961E-10</v>
      </c>
      <c r="FL206">
        <v>0.1719881465068297</v>
      </c>
      <c r="FM206">
        <v>0</v>
      </c>
      <c r="FN206">
        <v>0</v>
      </c>
      <c r="FO206">
        <v>0</v>
      </c>
      <c r="FP206">
        <v>3</v>
      </c>
      <c r="FQ206">
        <v>2158</v>
      </c>
      <c r="FR206">
        <v>1</v>
      </c>
      <c r="FS206">
        <v>19</v>
      </c>
      <c r="FT206">
        <v>41</v>
      </c>
      <c r="FU206">
        <v>41.1</v>
      </c>
      <c r="FV206">
        <v>1.7675799999999999</v>
      </c>
      <c r="FW206">
        <v>2.5842299999999998</v>
      </c>
      <c r="FX206">
        <v>1.5490699999999999</v>
      </c>
      <c r="FY206">
        <v>2.3278799999999999</v>
      </c>
      <c r="FZ206">
        <v>1.50146</v>
      </c>
      <c r="GA206">
        <v>2.3925800000000002</v>
      </c>
      <c r="GB206">
        <v>33.512999999999998</v>
      </c>
      <c r="GC206">
        <v>23.991199999999999</v>
      </c>
      <c r="GD206">
        <v>19</v>
      </c>
      <c r="GE206">
        <v>286.05599999999998</v>
      </c>
      <c r="GF206">
        <v>582.72199999999998</v>
      </c>
      <c r="GG206">
        <v>25.597000000000001</v>
      </c>
      <c r="GH206">
        <v>25.910299999999999</v>
      </c>
      <c r="GI206">
        <v>30</v>
      </c>
      <c r="GJ206">
        <v>26.018599999999999</v>
      </c>
      <c r="GK206">
        <v>25.995899999999999</v>
      </c>
      <c r="GL206">
        <v>35.338799999999999</v>
      </c>
      <c r="GM206">
        <v>64.796499999999995</v>
      </c>
      <c r="GN206">
        <v>42.012</v>
      </c>
      <c r="GO206">
        <v>25.598400000000002</v>
      </c>
      <c r="GP206">
        <v>800</v>
      </c>
      <c r="GQ206">
        <v>4.5968400000000003</v>
      </c>
      <c r="GR206">
        <v>99.830799999999996</v>
      </c>
      <c r="GS206">
        <v>99.710800000000006</v>
      </c>
    </row>
    <row r="207" spans="1:201" x14ac:dyDescent="0.25">
      <c r="A207">
        <v>191</v>
      </c>
      <c r="B207">
        <v>1690234475</v>
      </c>
      <c r="C207">
        <v>1968.900000095367</v>
      </c>
      <c r="D207" t="s">
        <v>713</v>
      </c>
      <c r="E207" t="s">
        <v>714</v>
      </c>
      <c r="F207" t="s">
        <v>330</v>
      </c>
      <c r="H207">
        <v>1690234475</v>
      </c>
      <c r="I207">
        <f t="shared" si="60"/>
        <v>1.8467556887699983E-3</v>
      </c>
      <c r="J207">
        <f t="shared" si="61"/>
        <v>1.8467556887699983</v>
      </c>
      <c r="K207">
        <f t="shared" si="62"/>
        <v>27.246927548451662</v>
      </c>
      <c r="L207">
        <f t="shared" si="63"/>
        <v>496.09199999999998</v>
      </c>
      <c r="M207">
        <f t="shared" si="64"/>
        <v>104.94826602712551</v>
      </c>
      <c r="N207">
        <f t="shared" si="65"/>
        <v>10.399368283640928</v>
      </c>
      <c r="O207">
        <f t="shared" si="66"/>
        <v>49.157967119099993</v>
      </c>
      <c r="P207">
        <f t="shared" si="67"/>
        <v>0.11668344732464934</v>
      </c>
      <c r="Q207">
        <f t="shared" si="68"/>
        <v>2.1297810375309365</v>
      </c>
      <c r="R207">
        <f t="shared" si="69"/>
        <v>0.11324480889446499</v>
      </c>
      <c r="S207">
        <f t="shared" si="70"/>
        <v>7.1078512574644537E-2</v>
      </c>
      <c r="T207">
        <f t="shared" si="71"/>
        <v>276.11616787200006</v>
      </c>
      <c r="U207">
        <f t="shared" si="72"/>
        <v>28.658298603521345</v>
      </c>
      <c r="V207">
        <f t="shared" si="73"/>
        <v>28.658298603521345</v>
      </c>
      <c r="W207">
        <f t="shared" si="74"/>
        <v>3.9429336051682111</v>
      </c>
      <c r="X207">
        <f t="shared" si="75"/>
        <v>65.992807768275412</v>
      </c>
      <c r="Y207">
        <f t="shared" si="76"/>
        <v>2.3785467436149998</v>
      </c>
      <c r="Z207">
        <f t="shared" si="77"/>
        <v>3.6042514692918299</v>
      </c>
      <c r="AA207">
        <f t="shared" si="78"/>
        <v>1.5643868615532113</v>
      </c>
      <c r="AB207">
        <f t="shared" si="79"/>
        <v>-81.441925874756933</v>
      </c>
      <c r="AC207">
        <f t="shared" si="80"/>
        <v>-176.74342828142588</v>
      </c>
      <c r="AD207">
        <f t="shared" si="81"/>
        <v>-18.069235675450116</v>
      </c>
      <c r="AE207">
        <f t="shared" si="82"/>
        <v>-0.13842195963283643</v>
      </c>
      <c r="AF207">
        <v>0</v>
      </c>
      <c r="AG207">
        <v>0</v>
      </c>
      <c r="AH207">
        <f t="shared" si="83"/>
        <v>1</v>
      </c>
      <c r="AI207">
        <f t="shared" si="84"/>
        <v>0</v>
      </c>
      <c r="AJ207">
        <f t="shared" si="85"/>
        <v>52319.457428749323</v>
      </c>
      <c r="AK207">
        <f t="shared" si="86"/>
        <v>1800</v>
      </c>
      <c r="AL207">
        <f t="shared" si="87"/>
        <v>1499.1128082000002</v>
      </c>
      <c r="AM207">
        <f t="shared" si="88"/>
        <v>0.83284044900000009</v>
      </c>
      <c r="AN207">
        <f t="shared" si="89"/>
        <v>0.15339787104000002</v>
      </c>
      <c r="AO207">
        <v>32.4</v>
      </c>
      <c r="AP207">
        <v>0.5</v>
      </c>
      <c r="AQ207" t="s">
        <v>331</v>
      </c>
      <c r="AR207">
        <v>2</v>
      </c>
      <c r="AS207">
        <v>1690234475</v>
      </c>
      <c r="AT207">
        <v>496.09199999999998</v>
      </c>
      <c r="AU207">
        <v>800.15200000000004</v>
      </c>
      <c r="AV207">
        <v>24.003799999999998</v>
      </c>
      <c r="AW207">
        <v>4.5440800000000001</v>
      </c>
      <c r="AX207">
        <v>496.21600000000001</v>
      </c>
      <c r="AY207">
        <v>23.831800000000001</v>
      </c>
      <c r="AZ207">
        <v>300.10000000000002</v>
      </c>
      <c r="BA207">
        <v>98.990399999999994</v>
      </c>
      <c r="BB207">
        <v>0.100025</v>
      </c>
      <c r="BC207">
        <v>27.119</v>
      </c>
      <c r="BD207">
        <v>27.001200000000001</v>
      </c>
      <c r="BE207">
        <v>28.8535</v>
      </c>
      <c r="BF207">
        <v>0</v>
      </c>
      <c r="BG207">
        <v>0</v>
      </c>
      <c r="BH207">
        <v>9999.3799999999992</v>
      </c>
      <c r="BI207">
        <v>1080.69</v>
      </c>
      <c r="BJ207">
        <v>1.3455900000000001</v>
      </c>
      <c r="BK207">
        <v>-304.06</v>
      </c>
      <c r="BL207">
        <v>508.29300000000001</v>
      </c>
      <c r="BM207">
        <v>803.80399999999997</v>
      </c>
      <c r="BN207">
        <v>19.459700000000002</v>
      </c>
      <c r="BO207">
        <v>800.15200000000004</v>
      </c>
      <c r="BP207">
        <v>4.5440800000000001</v>
      </c>
      <c r="BQ207">
        <v>2.37615</v>
      </c>
      <c r="BR207">
        <v>0.44982100000000003</v>
      </c>
      <c r="BS207">
        <v>20.202100000000002</v>
      </c>
      <c r="BT207">
        <v>-4.2014899999999997</v>
      </c>
      <c r="BU207">
        <v>1800</v>
      </c>
      <c r="BV207">
        <v>0.90999300000000005</v>
      </c>
      <c r="BW207">
        <v>3.3996600000000002E-2</v>
      </c>
      <c r="BX207">
        <v>2.20057E-2</v>
      </c>
      <c r="BY207">
        <v>3.4005000000000001E-2</v>
      </c>
      <c r="BZ207">
        <v>26</v>
      </c>
      <c r="CA207">
        <v>33528.199999999997</v>
      </c>
      <c r="CB207">
        <v>1690232006</v>
      </c>
      <c r="CC207" t="s">
        <v>332</v>
      </c>
      <c r="CD207">
        <v>1690232006</v>
      </c>
      <c r="CE207">
        <v>1690231998.5</v>
      </c>
      <c r="CF207">
        <v>14</v>
      </c>
      <c r="CG207">
        <v>-0.13200000000000001</v>
      </c>
      <c r="CH207">
        <v>-7.0000000000000001E-3</v>
      </c>
      <c r="CI207">
        <v>-0.33800000000000002</v>
      </c>
      <c r="CJ207">
        <v>0.14299999999999999</v>
      </c>
      <c r="CK207">
        <v>799</v>
      </c>
      <c r="CL207">
        <v>19</v>
      </c>
      <c r="CM207">
        <v>7.0000000000000007E-2</v>
      </c>
      <c r="CN207">
        <v>0.14000000000000001</v>
      </c>
      <c r="CO207">
        <v>-303.56617499999999</v>
      </c>
      <c r="CP207">
        <v>-2.2781200750465089</v>
      </c>
      <c r="CQ207">
        <v>0.2302069598752392</v>
      </c>
      <c r="CR207">
        <v>-1</v>
      </c>
      <c r="CS207">
        <v>19.413625</v>
      </c>
      <c r="CT207">
        <v>0.2160472795496981</v>
      </c>
      <c r="CU207">
        <v>2.0916103246064039E-2</v>
      </c>
      <c r="CV207">
        <v>-1</v>
      </c>
      <c r="CW207">
        <v>0</v>
      </c>
      <c r="CX207">
        <v>0</v>
      </c>
      <c r="CY207" t="s">
        <v>333</v>
      </c>
      <c r="CZ207">
        <v>2.3647300000000002</v>
      </c>
      <c r="DA207">
        <v>2.7138100000000001</v>
      </c>
      <c r="DB207">
        <v>0.105119</v>
      </c>
      <c r="DC207">
        <v>0.146062</v>
      </c>
      <c r="DD207">
        <v>0.11396000000000001</v>
      </c>
      <c r="DE207">
        <v>3.1333E-2</v>
      </c>
      <c r="DF207">
        <v>32704.7</v>
      </c>
      <c r="DG207">
        <v>27558.5</v>
      </c>
      <c r="DH207">
        <v>31198.5</v>
      </c>
      <c r="DI207">
        <v>28119.9</v>
      </c>
      <c r="DJ207">
        <v>37529.199999999997</v>
      </c>
      <c r="DK207">
        <v>38742.5</v>
      </c>
      <c r="DL207">
        <v>44404</v>
      </c>
      <c r="DM207">
        <v>42625.7</v>
      </c>
      <c r="DN207">
        <v>1.4870000000000001</v>
      </c>
      <c r="DO207">
        <v>2.0402999999999998</v>
      </c>
      <c r="DP207">
        <v>7.3812900000000001E-2</v>
      </c>
      <c r="DQ207">
        <v>0.196941</v>
      </c>
      <c r="DR207">
        <v>25.792899999999999</v>
      </c>
      <c r="DS207">
        <v>25.634</v>
      </c>
      <c r="DT207">
        <v>36.9</v>
      </c>
      <c r="DU207">
        <v>28.9</v>
      </c>
      <c r="DV207">
        <v>14.905799999999999</v>
      </c>
      <c r="DW207">
        <v>61.607900000000001</v>
      </c>
      <c r="DX207">
        <v>37.415900000000001</v>
      </c>
      <c r="DY207">
        <v>1</v>
      </c>
      <c r="DZ207">
        <v>-0.119296</v>
      </c>
      <c r="EA207">
        <v>-0.37476300000000001</v>
      </c>
      <c r="EB207">
        <v>20.189299999999999</v>
      </c>
      <c r="EC207">
        <v>5.24125</v>
      </c>
      <c r="ED207">
        <v>12.039899999999999</v>
      </c>
      <c r="EE207">
        <v>5.0171000000000001</v>
      </c>
      <c r="EF207">
        <v>3.2879999999999998</v>
      </c>
      <c r="EG207">
        <v>9999</v>
      </c>
      <c r="EH207">
        <v>9999</v>
      </c>
      <c r="EI207">
        <v>9999</v>
      </c>
      <c r="EJ207">
        <v>999.9</v>
      </c>
      <c r="EK207">
        <v>1.8689</v>
      </c>
      <c r="EL207">
        <v>1.8646100000000001</v>
      </c>
      <c r="EM207">
        <v>1.8691599999999999</v>
      </c>
      <c r="EN207">
        <v>1.8672200000000001</v>
      </c>
      <c r="EO207">
        <v>1.86338</v>
      </c>
      <c r="EP207">
        <v>1.8644700000000001</v>
      </c>
      <c r="EQ207">
        <v>1.87012</v>
      </c>
      <c r="ER207">
        <v>1.8693500000000001</v>
      </c>
      <c r="ES207">
        <v>0</v>
      </c>
      <c r="ET207">
        <v>0</v>
      </c>
      <c r="EU207">
        <v>0</v>
      </c>
      <c r="EV207">
        <v>0</v>
      </c>
      <c r="EW207" t="s">
        <v>334</v>
      </c>
      <c r="EX207" t="s">
        <v>335</v>
      </c>
      <c r="EY207" t="s">
        <v>336</v>
      </c>
      <c r="EZ207" t="s">
        <v>336</v>
      </c>
      <c r="FA207" t="s">
        <v>336</v>
      </c>
      <c r="FB207" t="s">
        <v>336</v>
      </c>
      <c r="FC207">
        <v>0</v>
      </c>
      <c r="FD207">
        <v>100</v>
      </c>
      <c r="FE207">
        <v>100</v>
      </c>
      <c r="FF207">
        <v>-0.124</v>
      </c>
      <c r="FG207">
        <v>0.17199999999999999</v>
      </c>
      <c r="FH207">
        <v>0.2126736300064915</v>
      </c>
      <c r="FI207">
        <v>-6.1462078757559423E-4</v>
      </c>
      <c r="FJ207">
        <v>-1.8861989874597051E-7</v>
      </c>
      <c r="FK207">
        <v>1.1980462299894961E-10</v>
      </c>
      <c r="FL207">
        <v>0.1719881465068297</v>
      </c>
      <c r="FM207">
        <v>0</v>
      </c>
      <c r="FN207">
        <v>0</v>
      </c>
      <c r="FO207">
        <v>0</v>
      </c>
      <c r="FP207">
        <v>3</v>
      </c>
      <c r="FQ207">
        <v>2158</v>
      </c>
      <c r="FR207">
        <v>1</v>
      </c>
      <c r="FS207">
        <v>19</v>
      </c>
      <c r="FT207">
        <v>41.1</v>
      </c>
      <c r="FU207">
        <v>41.3</v>
      </c>
      <c r="FV207">
        <v>1.7675799999999999</v>
      </c>
      <c r="FW207">
        <v>2.5903299999999998</v>
      </c>
      <c r="FX207">
        <v>1.5490699999999999</v>
      </c>
      <c r="FY207">
        <v>2.32666</v>
      </c>
      <c r="FZ207">
        <v>1.50146</v>
      </c>
      <c r="GA207">
        <v>2.3327599999999999</v>
      </c>
      <c r="GB207">
        <v>33.535499999999999</v>
      </c>
      <c r="GC207">
        <v>23.982399999999998</v>
      </c>
      <c r="GD207">
        <v>19</v>
      </c>
      <c r="GE207">
        <v>286.01299999999998</v>
      </c>
      <c r="GF207">
        <v>582.51599999999996</v>
      </c>
      <c r="GG207">
        <v>25.6096</v>
      </c>
      <c r="GH207">
        <v>25.912299999999998</v>
      </c>
      <c r="GI207">
        <v>30.0002</v>
      </c>
      <c r="GJ207">
        <v>26.018599999999999</v>
      </c>
      <c r="GK207">
        <v>25.995899999999999</v>
      </c>
      <c r="GL207">
        <v>35.341299999999997</v>
      </c>
      <c r="GM207">
        <v>64.796499999999995</v>
      </c>
      <c r="GN207">
        <v>41.6265</v>
      </c>
      <c r="GO207">
        <v>25.607700000000001</v>
      </c>
      <c r="GP207">
        <v>800</v>
      </c>
      <c r="GQ207">
        <v>4.5498200000000004</v>
      </c>
      <c r="GR207">
        <v>99.829300000000003</v>
      </c>
      <c r="GS207">
        <v>99.711100000000002</v>
      </c>
    </row>
    <row r="208" spans="1:201" x14ac:dyDescent="0.25">
      <c r="A208">
        <v>192</v>
      </c>
      <c r="B208">
        <v>1690234485</v>
      </c>
      <c r="C208">
        <v>1978.900000095367</v>
      </c>
      <c r="D208" t="s">
        <v>715</v>
      </c>
      <c r="E208" t="s">
        <v>716</v>
      </c>
      <c r="F208" t="s">
        <v>330</v>
      </c>
      <c r="H208">
        <v>1690234485</v>
      </c>
      <c r="I208">
        <f t="shared" si="60"/>
        <v>1.8507506407828749E-3</v>
      </c>
      <c r="J208">
        <f t="shared" si="61"/>
        <v>1.8507506407828749</v>
      </c>
      <c r="K208">
        <f t="shared" si="62"/>
        <v>27.27386289169247</v>
      </c>
      <c r="L208">
        <f t="shared" si="63"/>
        <v>495.79899999999998</v>
      </c>
      <c r="M208">
        <f t="shared" si="64"/>
        <v>105.05359400636652</v>
      </c>
      <c r="N208">
        <f t="shared" si="65"/>
        <v>10.410331071106315</v>
      </c>
      <c r="O208">
        <f t="shared" si="66"/>
        <v>49.131415098570002</v>
      </c>
      <c r="P208">
        <f t="shared" si="67"/>
        <v>0.11692927134453542</v>
      </c>
      <c r="Q208">
        <f t="shared" si="68"/>
        <v>2.1275065824741892</v>
      </c>
      <c r="R208">
        <f t="shared" si="69"/>
        <v>0.11347278575002709</v>
      </c>
      <c r="S208">
        <f t="shared" si="70"/>
        <v>7.1222531670231792E-2</v>
      </c>
      <c r="T208">
        <f t="shared" si="71"/>
        <v>276.11608856399999</v>
      </c>
      <c r="U208">
        <f t="shared" si="72"/>
        <v>28.654303296795501</v>
      </c>
      <c r="V208">
        <f t="shared" si="73"/>
        <v>28.654303296795501</v>
      </c>
      <c r="W208">
        <f t="shared" si="74"/>
        <v>3.9420198172513783</v>
      </c>
      <c r="X208">
        <f t="shared" si="75"/>
        <v>65.974070249863502</v>
      </c>
      <c r="Y208">
        <f t="shared" si="76"/>
        <v>2.3772993657000003</v>
      </c>
      <c r="Z208">
        <f t="shared" si="77"/>
        <v>3.6033844155688102</v>
      </c>
      <c r="AA208">
        <f t="shared" si="78"/>
        <v>1.564720451551378</v>
      </c>
      <c r="AB208">
        <f t="shared" si="79"/>
        <v>-81.618103258524783</v>
      </c>
      <c r="AC208">
        <f t="shared" si="80"/>
        <v>-176.56668696186722</v>
      </c>
      <c r="AD208">
        <f t="shared" si="81"/>
        <v>-18.069735389146661</v>
      </c>
      <c r="AE208">
        <f t="shared" si="82"/>
        <v>-0.13843704553869429</v>
      </c>
      <c r="AF208">
        <v>0</v>
      </c>
      <c r="AG208">
        <v>0</v>
      </c>
      <c r="AH208">
        <f t="shared" si="83"/>
        <v>1</v>
      </c>
      <c r="AI208">
        <f t="shared" si="84"/>
        <v>0</v>
      </c>
      <c r="AJ208">
        <f t="shared" si="85"/>
        <v>52222.409302958113</v>
      </c>
      <c r="AK208">
        <f t="shared" si="86"/>
        <v>1800</v>
      </c>
      <c r="AL208">
        <f t="shared" si="87"/>
        <v>1499.1128063999997</v>
      </c>
      <c r="AM208">
        <f t="shared" si="88"/>
        <v>0.8328404479999999</v>
      </c>
      <c r="AN208">
        <f t="shared" si="89"/>
        <v>0.15339782698000001</v>
      </c>
      <c r="AO208">
        <v>32.4</v>
      </c>
      <c r="AP208">
        <v>0.5</v>
      </c>
      <c r="AQ208" t="s">
        <v>331</v>
      </c>
      <c r="AR208">
        <v>2</v>
      </c>
      <c r="AS208">
        <v>1690234485</v>
      </c>
      <c r="AT208">
        <v>495.79899999999998</v>
      </c>
      <c r="AU208">
        <v>800.06700000000001</v>
      </c>
      <c r="AV208">
        <v>23.99</v>
      </c>
      <c r="AW208">
        <v>4.4942099999999998</v>
      </c>
      <c r="AX208">
        <v>495.92200000000003</v>
      </c>
      <c r="AY208">
        <v>23.818000000000001</v>
      </c>
      <c r="AZ208">
        <v>300.197</v>
      </c>
      <c r="BA208">
        <v>98.995400000000004</v>
      </c>
      <c r="BB208">
        <v>0.10002999999999999</v>
      </c>
      <c r="BC208">
        <v>27.114899999999999</v>
      </c>
      <c r="BD208">
        <v>27.011299999999999</v>
      </c>
      <c r="BE208">
        <v>28.860399999999998</v>
      </c>
      <c r="BF208">
        <v>0</v>
      </c>
      <c r="BG208">
        <v>0</v>
      </c>
      <c r="BH208">
        <v>9979.3799999999992</v>
      </c>
      <c r="BI208">
        <v>1080.6400000000001</v>
      </c>
      <c r="BJ208">
        <v>1.3455900000000001</v>
      </c>
      <c r="BK208">
        <v>-304.26799999999997</v>
      </c>
      <c r="BL208">
        <v>507.98500000000001</v>
      </c>
      <c r="BM208">
        <v>803.678</v>
      </c>
      <c r="BN208">
        <v>19.495799999999999</v>
      </c>
      <c r="BO208">
        <v>800.06700000000001</v>
      </c>
      <c r="BP208">
        <v>4.4942099999999998</v>
      </c>
      <c r="BQ208">
        <v>2.3748999999999998</v>
      </c>
      <c r="BR208">
        <v>0.44490600000000002</v>
      </c>
      <c r="BS208">
        <v>20.1936</v>
      </c>
      <c r="BT208">
        <v>-4.3474300000000001</v>
      </c>
      <c r="BU208">
        <v>1800</v>
      </c>
      <c r="BV208">
        <v>0.90999399999999997</v>
      </c>
      <c r="BW208">
        <v>3.3996199999999997E-2</v>
      </c>
      <c r="BX208">
        <v>2.2005400000000001E-2</v>
      </c>
      <c r="BY208">
        <v>3.4004600000000003E-2</v>
      </c>
      <c r="BZ208">
        <v>26</v>
      </c>
      <c r="CA208">
        <v>33528.199999999997</v>
      </c>
      <c r="CB208">
        <v>1690232006</v>
      </c>
      <c r="CC208" t="s">
        <v>332</v>
      </c>
      <c r="CD208">
        <v>1690232006</v>
      </c>
      <c r="CE208">
        <v>1690231998.5</v>
      </c>
      <c r="CF208">
        <v>14</v>
      </c>
      <c r="CG208">
        <v>-0.13200000000000001</v>
      </c>
      <c r="CH208">
        <v>-7.0000000000000001E-3</v>
      </c>
      <c r="CI208">
        <v>-0.33800000000000002</v>
      </c>
      <c r="CJ208">
        <v>0.14299999999999999</v>
      </c>
      <c r="CK208">
        <v>799</v>
      </c>
      <c r="CL208">
        <v>19</v>
      </c>
      <c r="CM208">
        <v>7.0000000000000007E-2</v>
      </c>
      <c r="CN208">
        <v>0.14000000000000001</v>
      </c>
      <c r="CO208">
        <v>-303.87941463414643</v>
      </c>
      <c r="CP208">
        <v>-1.9122857142859271</v>
      </c>
      <c r="CQ208">
        <v>0.20585609176691749</v>
      </c>
      <c r="CR208">
        <v>-1</v>
      </c>
      <c r="CS208">
        <v>19.45035853658537</v>
      </c>
      <c r="CT208">
        <v>0.25735191637632809</v>
      </c>
      <c r="CU208">
        <v>2.550033931490894E-2</v>
      </c>
      <c r="CV208">
        <v>-1</v>
      </c>
      <c r="CW208">
        <v>0</v>
      </c>
      <c r="CX208">
        <v>0</v>
      </c>
      <c r="CY208" t="s">
        <v>333</v>
      </c>
      <c r="CZ208">
        <v>2.36504</v>
      </c>
      <c r="DA208">
        <v>2.7138</v>
      </c>
      <c r="DB208">
        <v>0.105078</v>
      </c>
      <c r="DC208">
        <v>0.14605799999999999</v>
      </c>
      <c r="DD208">
        <v>0.11391800000000001</v>
      </c>
      <c r="DE208">
        <v>3.10444E-2</v>
      </c>
      <c r="DF208">
        <v>32706.2</v>
      </c>
      <c r="DG208">
        <v>27558</v>
      </c>
      <c r="DH208">
        <v>31198.6</v>
      </c>
      <c r="DI208">
        <v>28119.3</v>
      </c>
      <c r="DJ208">
        <v>37531</v>
      </c>
      <c r="DK208">
        <v>38753.1</v>
      </c>
      <c r="DL208">
        <v>44404.1</v>
      </c>
      <c r="DM208">
        <v>42624.7</v>
      </c>
      <c r="DN208">
        <v>1.4872000000000001</v>
      </c>
      <c r="DO208">
        <v>2.0402800000000001</v>
      </c>
      <c r="DP208">
        <v>7.4200299999999997E-2</v>
      </c>
      <c r="DQ208">
        <v>0.197098</v>
      </c>
      <c r="DR208">
        <v>25.796700000000001</v>
      </c>
      <c r="DS208">
        <v>25.638300000000001</v>
      </c>
      <c r="DT208">
        <v>36.6</v>
      </c>
      <c r="DU208">
        <v>28.9</v>
      </c>
      <c r="DV208">
        <v>14.7829</v>
      </c>
      <c r="DW208">
        <v>61.957900000000002</v>
      </c>
      <c r="DX208">
        <v>36.899000000000001</v>
      </c>
      <c r="DY208">
        <v>1</v>
      </c>
      <c r="DZ208">
        <v>-0.119378</v>
      </c>
      <c r="EA208">
        <v>-0.34074599999999999</v>
      </c>
      <c r="EB208">
        <v>20.1892</v>
      </c>
      <c r="EC208">
        <v>5.2406499999999996</v>
      </c>
      <c r="ED208">
        <v>12.039899999999999</v>
      </c>
      <c r="EE208">
        <v>5.0165499999999996</v>
      </c>
      <c r="EF208">
        <v>3.2879999999999998</v>
      </c>
      <c r="EG208">
        <v>9999</v>
      </c>
      <c r="EH208">
        <v>9999</v>
      </c>
      <c r="EI208">
        <v>9999</v>
      </c>
      <c r="EJ208">
        <v>999.9</v>
      </c>
      <c r="EK208">
        <v>1.8689</v>
      </c>
      <c r="EL208">
        <v>1.8646199999999999</v>
      </c>
      <c r="EM208">
        <v>1.8691899999999999</v>
      </c>
      <c r="EN208">
        <v>1.8672200000000001</v>
      </c>
      <c r="EO208">
        <v>1.86338</v>
      </c>
      <c r="EP208">
        <v>1.8644700000000001</v>
      </c>
      <c r="EQ208">
        <v>1.87012</v>
      </c>
      <c r="ER208">
        <v>1.8693599999999999</v>
      </c>
      <c r="ES208">
        <v>0</v>
      </c>
      <c r="ET208">
        <v>0</v>
      </c>
      <c r="EU208">
        <v>0</v>
      </c>
      <c r="EV208">
        <v>0</v>
      </c>
      <c r="EW208" t="s">
        <v>334</v>
      </c>
      <c r="EX208" t="s">
        <v>335</v>
      </c>
      <c r="EY208" t="s">
        <v>336</v>
      </c>
      <c r="EZ208" t="s">
        <v>336</v>
      </c>
      <c r="FA208" t="s">
        <v>336</v>
      </c>
      <c r="FB208" t="s">
        <v>336</v>
      </c>
      <c r="FC208">
        <v>0</v>
      </c>
      <c r="FD208">
        <v>100</v>
      </c>
      <c r="FE208">
        <v>100</v>
      </c>
      <c r="FF208">
        <v>-0.123</v>
      </c>
      <c r="FG208">
        <v>0.17199999999999999</v>
      </c>
      <c r="FH208">
        <v>0.2126736300064915</v>
      </c>
      <c r="FI208">
        <v>-6.1462078757559423E-4</v>
      </c>
      <c r="FJ208">
        <v>-1.8861989874597051E-7</v>
      </c>
      <c r="FK208">
        <v>1.1980462299894961E-10</v>
      </c>
      <c r="FL208">
        <v>0.1719881465068297</v>
      </c>
      <c r="FM208">
        <v>0</v>
      </c>
      <c r="FN208">
        <v>0</v>
      </c>
      <c r="FO208">
        <v>0</v>
      </c>
      <c r="FP208">
        <v>3</v>
      </c>
      <c r="FQ208">
        <v>2158</v>
      </c>
      <c r="FR208">
        <v>1</v>
      </c>
      <c r="FS208">
        <v>19</v>
      </c>
      <c r="FT208">
        <v>41.3</v>
      </c>
      <c r="FU208">
        <v>41.4</v>
      </c>
      <c r="FV208">
        <v>1.7675799999999999</v>
      </c>
      <c r="FW208">
        <v>2.5854499999999998</v>
      </c>
      <c r="FX208">
        <v>1.5490699999999999</v>
      </c>
      <c r="FY208">
        <v>2.32666</v>
      </c>
      <c r="FZ208">
        <v>1.50146</v>
      </c>
      <c r="GA208">
        <v>2.3107899999999999</v>
      </c>
      <c r="GB208">
        <v>33.512999999999998</v>
      </c>
      <c r="GC208">
        <v>23.991199999999999</v>
      </c>
      <c r="GD208">
        <v>19</v>
      </c>
      <c r="GE208">
        <v>286.10899999999998</v>
      </c>
      <c r="GF208">
        <v>582.52099999999996</v>
      </c>
      <c r="GG208">
        <v>25.605499999999999</v>
      </c>
      <c r="GH208">
        <v>25.912299999999998</v>
      </c>
      <c r="GI208">
        <v>30.0001</v>
      </c>
      <c r="GJ208">
        <v>26.020800000000001</v>
      </c>
      <c r="GK208">
        <v>25.998100000000001</v>
      </c>
      <c r="GL208">
        <v>35.337800000000001</v>
      </c>
      <c r="GM208">
        <v>64.796499999999995</v>
      </c>
      <c r="GN208">
        <v>40.851500000000001</v>
      </c>
      <c r="GO208">
        <v>25.601199999999999</v>
      </c>
      <c r="GP208">
        <v>800</v>
      </c>
      <c r="GQ208">
        <v>4.5173399999999999</v>
      </c>
      <c r="GR208">
        <v>99.829499999999996</v>
      </c>
      <c r="GS208">
        <v>99.708799999999997</v>
      </c>
    </row>
    <row r="209" spans="1:201" x14ac:dyDescent="0.25">
      <c r="A209">
        <v>193</v>
      </c>
      <c r="B209">
        <v>1690234495</v>
      </c>
      <c r="C209">
        <v>1988.900000095367</v>
      </c>
      <c r="D209" t="s">
        <v>717</v>
      </c>
      <c r="E209" t="s">
        <v>718</v>
      </c>
      <c r="F209" t="s">
        <v>330</v>
      </c>
      <c r="H209">
        <v>1690234495</v>
      </c>
      <c r="I209">
        <f t="shared" ref="I209:I272" si="90">(J209)/1000</f>
        <v>1.8525454669049688E-3</v>
      </c>
      <c r="J209">
        <f t="shared" ref="J209:J227" si="91">1000*AZ209*AH209*(AV209-AW209)/(100*AO209*(1000-AH209*AV209))</f>
        <v>1.8525454669049688</v>
      </c>
      <c r="K209">
        <f t="shared" ref="K209:K227" si="92">AZ209*AH209*(AU209-AT209*(1000-AH209*AW209)/(1000-AH209*AV209))/(100*AO209)</f>
        <v>27.285937187197973</v>
      </c>
      <c r="L209">
        <f t="shared" ref="L209:L272" si="93">AT209 - IF(AH209&gt;1, K209*AO209*100/(AJ209*BH209), 0)</f>
        <v>495.5</v>
      </c>
      <c r="M209">
        <f t="shared" ref="M209:M272" si="94">((S209-I209/2)*L209-K209)/(S209+I209/2)</f>
        <v>104.9306574704399</v>
      </c>
      <c r="N209">
        <f t="shared" ref="N209:N272" si="95">M209*(BA209+BB209)/1000</f>
        <v>10.398171434140888</v>
      </c>
      <c r="O209">
        <f t="shared" ref="O209:O227" si="96">(AT209 - IF(AH209&gt;1, K209*AO209*100/(AJ209*BH209), 0))*(BA209+BB209)/1000</f>
        <v>49.101893286700005</v>
      </c>
      <c r="P209">
        <f t="shared" ref="P209:P272" si="97">2/((1/R209-1/Q209)+SIGN(R209)*SQRT((1/R209-1/Q209)*(1/R209-1/Q209) + 4*AP209/((AP209+1)*(AP209+1))*(2*1/R209*1/Q209-1/Q209*1/Q209)))</f>
        <v>0.1170300254833328</v>
      </c>
      <c r="Q209">
        <f t="shared" ref="Q209:Q227" si="98">IF(LEFT(AQ209,1)&lt;&gt;"0",IF(LEFT(AQ209,1)="1",3,AR209),$D$5+$E$5*(BH209*BA209/($K$5*1000))+$F$5*(BH209*BA209/($K$5*1000))*MAX(MIN(AO209,$J$5),$I$5)*MAX(MIN(AO209,$J$5),$I$5)+$G$5*MAX(MIN(AO209,$J$5),$I$5)*(BH209*BA209/($K$5*1000))+$H$5*(BH209*BA209/($K$5*1000))*(BH209*BA209/($K$5*1000)))</f>
        <v>2.1317326250165904</v>
      </c>
      <c r="R209">
        <f t="shared" ref="R209:R227" si="99">I209*(1000-(1000*0.61365*EXP(17.502*V209/(240.97+V209))/(BA209+BB209)+AV209)/2)/(1000*0.61365*EXP(17.502*V209/(240.97+V209))/(BA209+BB209)-AV209)</f>
        <v>0.11357432129951296</v>
      </c>
      <c r="S209">
        <f t="shared" ref="S209:S227" si="100">1/((AP209+1)/(P209/1.6)+1/(Q209/1.37)) + AP209/((AP209+1)/(P209/1.6) + AP209/(Q209/1.37))</f>
        <v>7.1285932360230175E-2</v>
      </c>
      <c r="T209">
        <f t="shared" ref="T209:T227" si="101">(AK209*AN209)</f>
        <v>276.11606871000004</v>
      </c>
      <c r="U209">
        <f t="shared" ref="U209:U272" si="102">(BC209+(T209+2*0.95*0.0000000567*(((BC209+$B$7)+273)^4-(BC209+273)^4)-44100*I209)/(1.84*29.3*Q209+8*0.95*0.0000000567*(BC209+273)^3))</f>
        <v>28.648709972454071</v>
      </c>
      <c r="V209">
        <f t="shared" ref="V209:V272" si="103">($C$7*BD209+$D$7*BE209+$E$7*U209)</f>
        <v>28.648709972454071</v>
      </c>
      <c r="W209">
        <f t="shared" ref="W209:W272" si="104">0.61365*EXP(17.502*V209/(240.97+V209))</f>
        <v>3.9407408484818882</v>
      </c>
      <c r="X209">
        <f t="shared" ref="X209:X272" si="105">(Y209/Z209*100)</f>
        <v>65.943126782177416</v>
      </c>
      <c r="Y209">
        <f t="shared" ref="Y209:Y227" si="106">AV209*(BA209+BB209)/1000</f>
        <v>2.3758776038034402</v>
      </c>
      <c r="Z209">
        <f t="shared" ref="Z209:Z227" si="107">0.61365*EXP(17.502*BC209/(240.97+BC209))</f>
        <v>3.6029192422910303</v>
      </c>
      <c r="AA209">
        <f t="shared" ref="AA209:AA227" si="108">(W209-AV209*(BA209+BB209)/1000)</f>
        <v>1.5648632446784481</v>
      </c>
      <c r="AB209">
        <f t="shared" ref="AB209:AB227" si="109">(-I209*44100)</f>
        <v>-81.697255090509131</v>
      </c>
      <c r="AC209">
        <f t="shared" ref="AC209:AC227" si="110">2*29.3*Q209*0.92*(BC209-V209)</f>
        <v>-176.52743490786807</v>
      </c>
      <c r="AD209">
        <f t="shared" ref="AD209:AD227" si="111">2*0.95*0.0000000567*(((BC209+$B$7)+273)^4-(V209+273)^4)</f>
        <v>-18.029203057835861</v>
      </c>
      <c r="AE209">
        <f t="shared" ref="AE209:AE272" si="112">T209+AD209+AB209+AC209</f>
        <v>-0.13782434621302286</v>
      </c>
      <c r="AF209">
        <v>0</v>
      </c>
      <c r="AG209">
        <v>0</v>
      </c>
      <c r="AH209">
        <f t="shared" ref="AH209:AH227" si="113">IF(AF209*$H$13&gt;=AJ209,1,(AJ209/(AJ209-AF209*$H$13)))</f>
        <v>1</v>
      </c>
      <c r="AI209">
        <f t="shared" ref="AI209:AI272" si="114">(AH209-1)*100</f>
        <v>0</v>
      </c>
      <c r="AJ209">
        <f t="shared" ref="AJ209:AJ227" si="115">MAX(0,($B$13+$C$13*BH209)/(1+$D$13*BH209)*BA209/(BC209+273)*$E$13)</f>
        <v>52404.743721617851</v>
      </c>
      <c r="AK209">
        <f t="shared" ref="AK209:AK227" si="116">$B$11*BI209+$C$11*BJ209+$D$11*BU209</f>
        <v>1800</v>
      </c>
      <c r="AL209">
        <f t="shared" ref="AL209:AL272" si="117">AK209*AM209</f>
        <v>1499.1133769999999</v>
      </c>
      <c r="AM209">
        <f t="shared" ref="AM209:AM227" si="118">($B$11*$D$9+$C$11*$D$9+$D$11*(BV209*$E$9+BW209*$F$9+BX209*$G$9+BY209*$H$9))/($B$11+$C$11+$D$11)</f>
        <v>0.83284076499999993</v>
      </c>
      <c r="AN209">
        <f t="shared" ref="AN209:AN227" si="119">($B$11*$K$9+$C$11*$K$9+$D$11*(BV209*$L$9+BW209*$M$9+BX209*$N$9+BY209*$O$9))/($B$11+$C$11+$D$11)</f>
        <v>0.15339781595000002</v>
      </c>
      <c r="AO209">
        <v>32.4</v>
      </c>
      <c r="AP209">
        <v>0.5</v>
      </c>
      <c r="AQ209" t="s">
        <v>331</v>
      </c>
      <c r="AR209">
        <v>2</v>
      </c>
      <c r="AS209">
        <v>1690234495</v>
      </c>
      <c r="AT209">
        <v>495.5</v>
      </c>
      <c r="AU209">
        <v>800.04600000000005</v>
      </c>
      <c r="AV209">
        <v>23.9756</v>
      </c>
      <c r="AW209">
        <v>4.4513800000000003</v>
      </c>
      <c r="AX209">
        <v>495.62400000000002</v>
      </c>
      <c r="AY209">
        <v>23.803599999999999</v>
      </c>
      <c r="AZ209">
        <v>300.05500000000001</v>
      </c>
      <c r="BA209">
        <v>98.995699999999999</v>
      </c>
      <c r="BB209">
        <v>9.9947400000000006E-2</v>
      </c>
      <c r="BC209">
        <v>27.1127</v>
      </c>
      <c r="BD209">
        <v>27.0045</v>
      </c>
      <c r="BE209">
        <v>28.878399999999999</v>
      </c>
      <c r="BF209">
        <v>0</v>
      </c>
      <c r="BG209">
        <v>0</v>
      </c>
      <c r="BH209">
        <v>10015.6</v>
      </c>
      <c r="BI209">
        <v>1080.6300000000001</v>
      </c>
      <c r="BJ209">
        <v>1.3455900000000001</v>
      </c>
      <c r="BK209">
        <v>-304.54599999999999</v>
      </c>
      <c r="BL209">
        <v>507.67200000000003</v>
      </c>
      <c r="BM209">
        <v>803.62400000000002</v>
      </c>
      <c r="BN209">
        <v>19.5242</v>
      </c>
      <c r="BO209">
        <v>800.04600000000005</v>
      </c>
      <c r="BP209">
        <v>4.4513800000000003</v>
      </c>
      <c r="BQ209">
        <v>2.3734799999999998</v>
      </c>
      <c r="BR209">
        <v>0.440668</v>
      </c>
      <c r="BS209">
        <v>20.184000000000001</v>
      </c>
      <c r="BT209">
        <v>-4.4744400000000004</v>
      </c>
      <c r="BU209">
        <v>1800</v>
      </c>
      <c r="BV209">
        <v>0.90999600000000003</v>
      </c>
      <c r="BW209">
        <v>3.3995499999999998E-2</v>
      </c>
      <c r="BX209">
        <v>2.2005E-2</v>
      </c>
      <c r="BY209">
        <v>3.4003899999999997E-2</v>
      </c>
      <c r="BZ209">
        <v>26</v>
      </c>
      <c r="CA209">
        <v>33528.300000000003</v>
      </c>
      <c r="CB209">
        <v>1690232006</v>
      </c>
      <c r="CC209" t="s">
        <v>332</v>
      </c>
      <c r="CD209">
        <v>1690232006</v>
      </c>
      <c r="CE209">
        <v>1690231998.5</v>
      </c>
      <c r="CF209">
        <v>14</v>
      </c>
      <c r="CG209">
        <v>-0.13200000000000001</v>
      </c>
      <c r="CH209">
        <v>-7.0000000000000001E-3</v>
      </c>
      <c r="CI209">
        <v>-0.33800000000000002</v>
      </c>
      <c r="CJ209">
        <v>0.14299999999999999</v>
      </c>
      <c r="CK209">
        <v>799</v>
      </c>
      <c r="CL209">
        <v>19</v>
      </c>
      <c r="CM209">
        <v>7.0000000000000007E-2</v>
      </c>
      <c r="CN209">
        <v>0.14000000000000001</v>
      </c>
      <c r="CO209">
        <v>-304.19889999999998</v>
      </c>
      <c r="CP209">
        <v>-1.586881801125068</v>
      </c>
      <c r="CQ209">
        <v>0.1684504081324755</v>
      </c>
      <c r="CR209">
        <v>-1</v>
      </c>
      <c r="CS209">
        <v>19.491972499999999</v>
      </c>
      <c r="CT209">
        <v>0.19758461538459271</v>
      </c>
      <c r="CU209">
        <v>1.9188954993693851E-2</v>
      </c>
      <c r="CV209">
        <v>-1</v>
      </c>
      <c r="CW209">
        <v>0</v>
      </c>
      <c r="CX209">
        <v>0</v>
      </c>
      <c r="CY209" t="s">
        <v>333</v>
      </c>
      <c r="CZ209">
        <v>2.3645900000000002</v>
      </c>
      <c r="DA209">
        <v>2.7137500000000001</v>
      </c>
      <c r="DB209">
        <v>0.105032</v>
      </c>
      <c r="DC209">
        <v>0.14605499999999999</v>
      </c>
      <c r="DD209">
        <v>0.11387</v>
      </c>
      <c r="DE209">
        <v>3.0794800000000001E-2</v>
      </c>
      <c r="DF209">
        <v>32708</v>
      </c>
      <c r="DG209">
        <v>27557.9</v>
      </c>
      <c r="DH209">
        <v>31198.7</v>
      </c>
      <c r="DI209">
        <v>28119.1</v>
      </c>
      <c r="DJ209">
        <v>37532.9</v>
      </c>
      <c r="DK209">
        <v>38762.800000000003</v>
      </c>
      <c r="DL209">
        <v>44403.9</v>
      </c>
      <c r="DM209">
        <v>42624.4</v>
      </c>
      <c r="DN209">
        <v>1.48682</v>
      </c>
      <c r="DO209">
        <v>2.0403199999999999</v>
      </c>
      <c r="DP209">
        <v>7.3649000000000006E-2</v>
      </c>
      <c r="DQ209">
        <v>0.198074</v>
      </c>
      <c r="DR209">
        <v>25.7989</v>
      </c>
      <c r="DS209">
        <v>25.6404</v>
      </c>
      <c r="DT209">
        <v>36.299999999999997</v>
      </c>
      <c r="DU209">
        <v>28.9</v>
      </c>
      <c r="DV209">
        <v>14.661199999999999</v>
      </c>
      <c r="DW209">
        <v>61.347900000000003</v>
      </c>
      <c r="DX209">
        <v>36.570500000000003</v>
      </c>
      <c r="DY209">
        <v>1</v>
      </c>
      <c r="DZ209">
        <v>-0.119144</v>
      </c>
      <c r="EA209">
        <v>-0.266901</v>
      </c>
      <c r="EB209">
        <v>20.189399999999999</v>
      </c>
      <c r="EC209">
        <v>5.2408000000000001</v>
      </c>
      <c r="ED209">
        <v>12.039899999999999</v>
      </c>
      <c r="EE209">
        <v>5.0168999999999997</v>
      </c>
      <c r="EF209">
        <v>3.2879999999999998</v>
      </c>
      <c r="EG209">
        <v>9999</v>
      </c>
      <c r="EH209">
        <v>9999</v>
      </c>
      <c r="EI209">
        <v>9999</v>
      </c>
      <c r="EJ209">
        <v>999.9</v>
      </c>
      <c r="EK209">
        <v>1.8689</v>
      </c>
      <c r="EL209">
        <v>1.8646199999999999</v>
      </c>
      <c r="EM209">
        <v>1.8691800000000001</v>
      </c>
      <c r="EN209">
        <v>1.8672200000000001</v>
      </c>
      <c r="EO209">
        <v>1.8633900000000001</v>
      </c>
      <c r="EP209">
        <v>1.8644700000000001</v>
      </c>
      <c r="EQ209">
        <v>1.87015</v>
      </c>
      <c r="ER209">
        <v>1.8693900000000001</v>
      </c>
      <c r="ES209">
        <v>0</v>
      </c>
      <c r="ET209">
        <v>0</v>
      </c>
      <c r="EU209">
        <v>0</v>
      </c>
      <c r="EV209">
        <v>0</v>
      </c>
      <c r="EW209" t="s">
        <v>334</v>
      </c>
      <c r="EX209" t="s">
        <v>335</v>
      </c>
      <c r="EY209" t="s">
        <v>336</v>
      </c>
      <c r="EZ209" t="s">
        <v>336</v>
      </c>
      <c r="FA209" t="s">
        <v>336</v>
      </c>
      <c r="FB209" t="s">
        <v>336</v>
      </c>
      <c r="FC209">
        <v>0</v>
      </c>
      <c r="FD209">
        <v>100</v>
      </c>
      <c r="FE209">
        <v>100</v>
      </c>
      <c r="FF209">
        <v>-0.124</v>
      </c>
      <c r="FG209">
        <v>0.17199999999999999</v>
      </c>
      <c r="FH209">
        <v>0.2126736300064915</v>
      </c>
      <c r="FI209">
        <v>-6.1462078757559423E-4</v>
      </c>
      <c r="FJ209">
        <v>-1.8861989874597051E-7</v>
      </c>
      <c r="FK209">
        <v>1.1980462299894961E-10</v>
      </c>
      <c r="FL209">
        <v>0.1719881465068297</v>
      </c>
      <c r="FM209">
        <v>0</v>
      </c>
      <c r="FN209">
        <v>0</v>
      </c>
      <c r="FO209">
        <v>0</v>
      </c>
      <c r="FP209">
        <v>3</v>
      </c>
      <c r="FQ209">
        <v>2158</v>
      </c>
      <c r="FR209">
        <v>1</v>
      </c>
      <c r="FS209">
        <v>19</v>
      </c>
      <c r="FT209">
        <v>41.5</v>
      </c>
      <c r="FU209">
        <v>41.6</v>
      </c>
      <c r="FV209">
        <v>1.7675799999999999</v>
      </c>
      <c r="FW209">
        <v>2.5854499999999998</v>
      </c>
      <c r="FX209">
        <v>1.5490699999999999</v>
      </c>
      <c r="FY209">
        <v>2.32666</v>
      </c>
      <c r="FZ209">
        <v>1.50146</v>
      </c>
      <c r="GA209">
        <v>2.3828100000000001</v>
      </c>
      <c r="GB209">
        <v>33.512999999999998</v>
      </c>
      <c r="GC209">
        <v>23.991199999999999</v>
      </c>
      <c r="GD209">
        <v>19</v>
      </c>
      <c r="GE209">
        <v>285.94799999999998</v>
      </c>
      <c r="GF209">
        <v>582.56200000000001</v>
      </c>
      <c r="GG209">
        <v>25.5808</v>
      </c>
      <c r="GH209">
        <v>25.9145</v>
      </c>
      <c r="GI209">
        <v>30.0002</v>
      </c>
      <c r="GJ209">
        <v>26.020800000000001</v>
      </c>
      <c r="GK209">
        <v>25.998100000000001</v>
      </c>
      <c r="GL209">
        <v>35.338900000000002</v>
      </c>
      <c r="GM209">
        <v>64.796499999999995</v>
      </c>
      <c r="GN209">
        <v>40.469700000000003</v>
      </c>
      <c r="GO209">
        <v>25.572299999999998</v>
      </c>
      <c r="GP209">
        <v>800</v>
      </c>
      <c r="GQ209">
        <v>4.4833299999999996</v>
      </c>
      <c r="GR209">
        <v>99.829400000000007</v>
      </c>
      <c r="GS209">
        <v>99.707999999999998</v>
      </c>
    </row>
    <row r="210" spans="1:201" x14ac:dyDescent="0.25">
      <c r="A210">
        <v>194</v>
      </c>
      <c r="B210">
        <v>1690234505</v>
      </c>
      <c r="C210">
        <v>1998.900000095367</v>
      </c>
      <c r="D210" t="s">
        <v>719</v>
      </c>
      <c r="E210" t="s">
        <v>720</v>
      </c>
      <c r="F210" t="s">
        <v>330</v>
      </c>
      <c r="H210">
        <v>1690234505</v>
      </c>
      <c r="I210">
        <f t="shared" si="90"/>
        <v>1.8557836852018366E-3</v>
      </c>
      <c r="J210">
        <f t="shared" si="91"/>
        <v>1.8557836852018366</v>
      </c>
      <c r="K210">
        <f t="shared" si="92"/>
        <v>27.304173664565408</v>
      </c>
      <c r="L210">
        <f t="shared" si="93"/>
        <v>495.32400000000001</v>
      </c>
      <c r="M210">
        <f t="shared" si="94"/>
        <v>104.7249220697565</v>
      </c>
      <c r="N210">
        <f t="shared" si="95"/>
        <v>10.377585319657378</v>
      </c>
      <c r="O210">
        <f t="shared" si="96"/>
        <v>49.08351297172679</v>
      </c>
      <c r="P210">
        <f t="shared" si="97"/>
        <v>0.11710335658019877</v>
      </c>
      <c r="Q210">
        <f t="shared" si="98"/>
        <v>2.1309185816997829</v>
      </c>
      <c r="R210">
        <f t="shared" si="99"/>
        <v>0.11364210956763857</v>
      </c>
      <c r="S210">
        <f t="shared" si="100"/>
        <v>7.1328776074302602E-2</v>
      </c>
      <c r="T210">
        <f t="shared" si="101"/>
        <v>276.11584426800005</v>
      </c>
      <c r="U210">
        <f t="shared" si="102"/>
        <v>28.649410495319337</v>
      </c>
      <c r="V210">
        <f t="shared" si="103"/>
        <v>28.649410495319337</v>
      </c>
      <c r="W210">
        <f t="shared" si="104"/>
        <v>3.9409010101163693</v>
      </c>
      <c r="X210">
        <f t="shared" si="105"/>
        <v>65.893106656394224</v>
      </c>
      <c r="Y210">
        <f t="shared" si="106"/>
        <v>2.3742565386467898</v>
      </c>
      <c r="Z210">
        <f t="shared" si="107"/>
        <v>3.6031941110738228</v>
      </c>
      <c r="AA210">
        <f t="shared" si="108"/>
        <v>1.5666444714695795</v>
      </c>
      <c r="AB210">
        <f t="shared" si="109"/>
        <v>-81.840060517401</v>
      </c>
      <c r="AC210">
        <f t="shared" si="110"/>
        <v>-176.39115531225232</v>
      </c>
      <c r="AD210">
        <f t="shared" si="111"/>
        <v>-18.022346232643255</v>
      </c>
      <c r="AE210">
        <f t="shared" si="112"/>
        <v>-0.13771779429654885</v>
      </c>
      <c r="AF210">
        <v>0</v>
      </c>
      <c r="AG210">
        <v>0</v>
      </c>
      <c r="AH210">
        <f t="shared" si="113"/>
        <v>1</v>
      </c>
      <c r="AI210">
        <f t="shared" si="114"/>
        <v>0</v>
      </c>
      <c r="AJ210">
        <f t="shared" si="115"/>
        <v>52369.396221247138</v>
      </c>
      <c r="AK210">
        <f t="shared" si="116"/>
        <v>1800</v>
      </c>
      <c r="AL210">
        <f t="shared" si="117"/>
        <v>1499.1124067999999</v>
      </c>
      <c r="AM210">
        <f t="shared" si="118"/>
        <v>0.83284022599999996</v>
      </c>
      <c r="AN210">
        <f t="shared" si="119"/>
        <v>0.15339769126000002</v>
      </c>
      <c r="AO210">
        <v>32.4</v>
      </c>
      <c r="AP210">
        <v>0.5</v>
      </c>
      <c r="AQ210" t="s">
        <v>331</v>
      </c>
      <c r="AR210">
        <v>2</v>
      </c>
      <c r="AS210">
        <v>1690234505</v>
      </c>
      <c r="AT210">
        <v>495.32400000000001</v>
      </c>
      <c r="AU210">
        <v>800.09900000000005</v>
      </c>
      <c r="AV210">
        <v>23.959700000000002</v>
      </c>
      <c r="AW210">
        <v>4.3998600000000003</v>
      </c>
      <c r="AX210">
        <v>495.44799999999998</v>
      </c>
      <c r="AY210">
        <v>23.787700000000001</v>
      </c>
      <c r="AZ210">
        <v>300.03699999999998</v>
      </c>
      <c r="BA210">
        <v>98.993799999999993</v>
      </c>
      <c r="BB210">
        <v>9.9950700000000003E-2</v>
      </c>
      <c r="BC210">
        <v>27.114000000000001</v>
      </c>
      <c r="BD210">
        <v>27.005299999999998</v>
      </c>
      <c r="BE210">
        <v>28.884599999999999</v>
      </c>
      <c r="BF210">
        <v>0</v>
      </c>
      <c r="BG210">
        <v>0</v>
      </c>
      <c r="BH210">
        <v>10008.799999999999</v>
      </c>
      <c r="BI210">
        <v>1080.56</v>
      </c>
      <c r="BJ210">
        <v>1.3455900000000001</v>
      </c>
      <c r="BK210">
        <v>-304.774</v>
      </c>
      <c r="BL210">
        <v>507.48399999999998</v>
      </c>
      <c r="BM210">
        <v>803.63400000000001</v>
      </c>
      <c r="BN210">
        <v>19.559799999999999</v>
      </c>
      <c r="BO210">
        <v>800.09900000000005</v>
      </c>
      <c r="BP210">
        <v>4.3998600000000003</v>
      </c>
      <c r="BQ210">
        <v>2.3718599999999999</v>
      </c>
      <c r="BR210">
        <v>0.43555899999999997</v>
      </c>
      <c r="BS210">
        <v>20.172899999999998</v>
      </c>
      <c r="BT210">
        <v>-4.6289800000000003</v>
      </c>
      <c r="BU210">
        <v>1800</v>
      </c>
      <c r="BV210">
        <v>0.90999600000000003</v>
      </c>
      <c r="BW210">
        <v>3.3995299999999999E-2</v>
      </c>
      <c r="BX210">
        <v>2.2004800000000001E-2</v>
      </c>
      <c r="BY210">
        <v>3.4003600000000002E-2</v>
      </c>
      <c r="BZ210">
        <v>26</v>
      </c>
      <c r="CA210">
        <v>33528.400000000001</v>
      </c>
      <c r="CB210">
        <v>1690232006</v>
      </c>
      <c r="CC210" t="s">
        <v>332</v>
      </c>
      <c r="CD210">
        <v>1690232006</v>
      </c>
      <c r="CE210">
        <v>1690231998.5</v>
      </c>
      <c r="CF210">
        <v>14</v>
      </c>
      <c r="CG210">
        <v>-0.13200000000000001</v>
      </c>
      <c r="CH210">
        <v>-7.0000000000000001E-3</v>
      </c>
      <c r="CI210">
        <v>-0.33800000000000002</v>
      </c>
      <c r="CJ210">
        <v>0.14299999999999999</v>
      </c>
      <c r="CK210">
        <v>799</v>
      </c>
      <c r="CL210">
        <v>19</v>
      </c>
      <c r="CM210">
        <v>7.0000000000000007E-2</v>
      </c>
      <c r="CN210">
        <v>0.14000000000000001</v>
      </c>
      <c r="CO210">
        <v>-304.44917073170728</v>
      </c>
      <c r="CP210">
        <v>-1.473637630662795</v>
      </c>
      <c r="CQ210">
        <v>0.1623359813802365</v>
      </c>
      <c r="CR210">
        <v>-1</v>
      </c>
      <c r="CS210">
        <v>19.521826829268289</v>
      </c>
      <c r="CT210">
        <v>0.18373170731706559</v>
      </c>
      <c r="CU210">
        <v>1.8315780539625591E-2</v>
      </c>
      <c r="CV210">
        <v>-1</v>
      </c>
      <c r="CW210">
        <v>0</v>
      </c>
      <c r="CX210">
        <v>0</v>
      </c>
      <c r="CY210" t="s">
        <v>333</v>
      </c>
      <c r="CZ210">
        <v>2.3645200000000002</v>
      </c>
      <c r="DA210">
        <v>2.7137500000000001</v>
      </c>
      <c r="DB210">
        <v>0.105002</v>
      </c>
      <c r="DC210">
        <v>0.14605699999999999</v>
      </c>
      <c r="DD210">
        <v>0.113815</v>
      </c>
      <c r="DE210">
        <v>3.0493099999999999E-2</v>
      </c>
      <c r="DF210">
        <v>32709</v>
      </c>
      <c r="DG210">
        <v>27557.5</v>
      </c>
      <c r="DH210">
        <v>31198.6</v>
      </c>
      <c r="DI210">
        <v>28118.799999999999</v>
      </c>
      <c r="DJ210">
        <v>37535.199999999997</v>
      </c>
      <c r="DK210">
        <v>38774.6</v>
      </c>
      <c r="DL210">
        <v>44403.8</v>
      </c>
      <c r="DM210">
        <v>42624</v>
      </c>
      <c r="DN210">
        <v>1.4869000000000001</v>
      </c>
      <c r="DO210">
        <v>2.0400999999999998</v>
      </c>
      <c r="DP210">
        <v>7.3566999999999994E-2</v>
      </c>
      <c r="DQ210">
        <v>0.19832</v>
      </c>
      <c r="DR210">
        <v>25.800999999999998</v>
      </c>
      <c r="DS210">
        <v>25.642600000000002</v>
      </c>
      <c r="DT210">
        <v>36</v>
      </c>
      <c r="DU210">
        <v>28.9</v>
      </c>
      <c r="DV210">
        <v>14.5412</v>
      </c>
      <c r="DW210">
        <v>61.847900000000003</v>
      </c>
      <c r="DX210">
        <v>37.632199999999997</v>
      </c>
      <c r="DY210">
        <v>1</v>
      </c>
      <c r="DZ210">
        <v>-0.119162</v>
      </c>
      <c r="EA210">
        <v>-0.31000299999999997</v>
      </c>
      <c r="EB210">
        <v>20.189499999999999</v>
      </c>
      <c r="EC210">
        <v>5.2409499999999998</v>
      </c>
      <c r="ED210">
        <v>12.039899999999999</v>
      </c>
      <c r="EE210">
        <v>5.0165499999999996</v>
      </c>
      <c r="EF210">
        <v>3.2879999999999998</v>
      </c>
      <c r="EG210">
        <v>9999</v>
      </c>
      <c r="EH210">
        <v>9999</v>
      </c>
      <c r="EI210">
        <v>9999</v>
      </c>
      <c r="EJ210">
        <v>999.9</v>
      </c>
      <c r="EK210">
        <v>1.8689</v>
      </c>
      <c r="EL210">
        <v>1.8646100000000001</v>
      </c>
      <c r="EM210">
        <v>1.8691500000000001</v>
      </c>
      <c r="EN210">
        <v>1.8672200000000001</v>
      </c>
      <c r="EO210">
        <v>1.86338</v>
      </c>
      <c r="EP210">
        <v>1.8644700000000001</v>
      </c>
      <c r="EQ210">
        <v>1.8701399999999999</v>
      </c>
      <c r="ER210">
        <v>1.8693500000000001</v>
      </c>
      <c r="ES210">
        <v>0</v>
      </c>
      <c r="ET210">
        <v>0</v>
      </c>
      <c r="EU210">
        <v>0</v>
      </c>
      <c r="EV210">
        <v>0</v>
      </c>
      <c r="EW210" t="s">
        <v>334</v>
      </c>
      <c r="EX210" t="s">
        <v>335</v>
      </c>
      <c r="EY210" t="s">
        <v>336</v>
      </c>
      <c r="EZ210" t="s">
        <v>336</v>
      </c>
      <c r="FA210" t="s">
        <v>336</v>
      </c>
      <c r="FB210" t="s">
        <v>336</v>
      </c>
      <c r="FC210">
        <v>0</v>
      </c>
      <c r="FD210">
        <v>100</v>
      </c>
      <c r="FE210">
        <v>100</v>
      </c>
      <c r="FF210">
        <v>-0.124</v>
      </c>
      <c r="FG210">
        <v>0.17199999999999999</v>
      </c>
      <c r="FH210">
        <v>0.2126736300064915</v>
      </c>
      <c r="FI210">
        <v>-6.1462078757559423E-4</v>
      </c>
      <c r="FJ210">
        <v>-1.8861989874597051E-7</v>
      </c>
      <c r="FK210">
        <v>1.1980462299894961E-10</v>
      </c>
      <c r="FL210">
        <v>0.1719881465068297</v>
      </c>
      <c r="FM210">
        <v>0</v>
      </c>
      <c r="FN210">
        <v>0</v>
      </c>
      <c r="FO210">
        <v>0</v>
      </c>
      <c r="FP210">
        <v>3</v>
      </c>
      <c r="FQ210">
        <v>2158</v>
      </c>
      <c r="FR210">
        <v>1</v>
      </c>
      <c r="FS210">
        <v>19</v>
      </c>
      <c r="FT210">
        <v>41.6</v>
      </c>
      <c r="FU210">
        <v>41.8</v>
      </c>
      <c r="FV210">
        <v>1.7675799999999999</v>
      </c>
      <c r="FW210">
        <v>2.5927699999999998</v>
      </c>
      <c r="FX210">
        <v>1.5490699999999999</v>
      </c>
      <c r="FY210">
        <v>2.32666</v>
      </c>
      <c r="FZ210">
        <v>1.50146</v>
      </c>
      <c r="GA210">
        <v>2.32544</v>
      </c>
      <c r="GB210">
        <v>33.512999999999998</v>
      </c>
      <c r="GC210">
        <v>23.982399999999998</v>
      </c>
      <c r="GD210">
        <v>19</v>
      </c>
      <c r="GE210">
        <v>285.98</v>
      </c>
      <c r="GF210">
        <v>582.37599999999998</v>
      </c>
      <c r="GG210">
        <v>25.5609</v>
      </c>
      <c r="GH210">
        <v>25.915299999999998</v>
      </c>
      <c r="GI210">
        <v>30</v>
      </c>
      <c r="GJ210">
        <v>26.020800000000001</v>
      </c>
      <c r="GK210">
        <v>25.998100000000001</v>
      </c>
      <c r="GL210">
        <v>35.333799999999997</v>
      </c>
      <c r="GM210">
        <v>64.796499999999995</v>
      </c>
      <c r="GN210">
        <v>40.0899</v>
      </c>
      <c r="GO210">
        <v>25.563099999999999</v>
      </c>
      <c r="GP210">
        <v>800</v>
      </c>
      <c r="GQ210">
        <v>4.4541500000000003</v>
      </c>
      <c r="GR210">
        <v>99.829099999999997</v>
      </c>
      <c r="GS210">
        <v>99.707099999999997</v>
      </c>
    </row>
    <row r="211" spans="1:201" x14ac:dyDescent="0.25">
      <c r="A211">
        <v>195</v>
      </c>
      <c r="B211">
        <v>1690234515</v>
      </c>
      <c r="C211">
        <v>2008.900000095367</v>
      </c>
      <c r="D211" t="s">
        <v>721</v>
      </c>
      <c r="E211" t="s">
        <v>722</v>
      </c>
      <c r="F211" t="s">
        <v>330</v>
      </c>
      <c r="H211">
        <v>1690234515</v>
      </c>
      <c r="I211">
        <f t="shared" si="90"/>
        <v>1.8587376254834617E-3</v>
      </c>
      <c r="J211">
        <f t="shared" si="91"/>
        <v>1.8587376254834618</v>
      </c>
      <c r="K211">
        <f t="shared" si="92"/>
        <v>27.335038700789973</v>
      </c>
      <c r="L211">
        <f t="shared" si="93"/>
        <v>494.99900000000002</v>
      </c>
      <c r="M211">
        <f t="shared" si="94"/>
        <v>104.78540645648744</v>
      </c>
      <c r="N211">
        <f t="shared" si="95"/>
        <v>10.384006783211898</v>
      </c>
      <c r="O211">
        <f t="shared" si="96"/>
        <v>49.0533285836663</v>
      </c>
      <c r="P211">
        <f t="shared" si="97"/>
        <v>0.11735759900290019</v>
      </c>
      <c r="Q211">
        <f t="shared" si="98"/>
        <v>2.1312463270503317</v>
      </c>
      <c r="R211">
        <f t="shared" si="99"/>
        <v>0.11388206394454752</v>
      </c>
      <c r="S211">
        <f t="shared" si="100"/>
        <v>7.1479979385723688E-2</v>
      </c>
      <c r="T211">
        <f t="shared" si="101"/>
        <v>276.11581528800002</v>
      </c>
      <c r="U211">
        <f t="shared" si="102"/>
        <v>28.641775513532767</v>
      </c>
      <c r="V211">
        <f t="shared" si="103"/>
        <v>28.641775513532767</v>
      </c>
      <c r="W211">
        <f t="shared" si="104"/>
        <v>3.9391557185402277</v>
      </c>
      <c r="X211">
        <f t="shared" si="105"/>
        <v>65.88948548338432</v>
      </c>
      <c r="Y211">
        <f t="shared" si="106"/>
        <v>2.3732345605810798</v>
      </c>
      <c r="Z211">
        <f t="shared" si="107"/>
        <v>3.6018410876490301</v>
      </c>
      <c r="AA211">
        <f t="shared" si="108"/>
        <v>1.5659211579591479</v>
      </c>
      <c r="AB211">
        <f t="shared" si="109"/>
        <v>-81.970329283820661</v>
      </c>
      <c r="AC211">
        <f t="shared" si="110"/>
        <v>-176.27638600474475</v>
      </c>
      <c r="AD211">
        <f t="shared" si="111"/>
        <v>-18.006590109712981</v>
      </c>
      <c r="AE211">
        <f t="shared" si="112"/>
        <v>-0.1374901102783781</v>
      </c>
      <c r="AF211">
        <v>0</v>
      </c>
      <c r="AG211">
        <v>0</v>
      </c>
      <c r="AH211">
        <f t="shared" si="113"/>
        <v>1</v>
      </c>
      <c r="AI211">
        <f t="shared" si="114"/>
        <v>0</v>
      </c>
      <c r="AJ211">
        <f t="shared" si="115"/>
        <v>52384.724065524912</v>
      </c>
      <c r="AK211">
        <f t="shared" si="116"/>
        <v>1800</v>
      </c>
      <c r="AL211">
        <f t="shared" si="117"/>
        <v>1499.1122808</v>
      </c>
      <c r="AM211">
        <f t="shared" si="118"/>
        <v>0.83284015599999994</v>
      </c>
      <c r="AN211">
        <f t="shared" si="119"/>
        <v>0.15339767516000002</v>
      </c>
      <c r="AO211">
        <v>32.4</v>
      </c>
      <c r="AP211">
        <v>0.5</v>
      </c>
      <c r="AQ211" t="s">
        <v>331</v>
      </c>
      <c r="AR211">
        <v>2</v>
      </c>
      <c r="AS211">
        <v>1690234515</v>
      </c>
      <c r="AT211">
        <v>494.99900000000002</v>
      </c>
      <c r="AU211">
        <v>800.02</v>
      </c>
      <c r="AV211">
        <v>23.948399999999999</v>
      </c>
      <c r="AW211">
        <v>4.3634000000000004</v>
      </c>
      <c r="AX211">
        <v>495.12200000000001</v>
      </c>
      <c r="AY211">
        <v>23.776499999999999</v>
      </c>
      <c r="AZ211">
        <v>300.13200000000001</v>
      </c>
      <c r="BA211">
        <v>98.997900000000001</v>
      </c>
      <c r="BB211">
        <v>9.99337E-2</v>
      </c>
      <c r="BC211">
        <v>27.107600000000001</v>
      </c>
      <c r="BD211">
        <v>27.004000000000001</v>
      </c>
      <c r="BE211">
        <v>28.884799999999998</v>
      </c>
      <c r="BF211">
        <v>0</v>
      </c>
      <c r="BG211">
        <v>0</v>
      </c>
      <c r="BH211">
        <v>10011.200000000001</v>
      </c>
      <c r="BI211">
        <v>1080.5</v>
      </c>
      <c r="BJ211">
        <v>1.3455900000000001</v>
      </c>
      <c r="BK211">
        <v>-305.02100000000002</v>
      </c>
      <c r="BL211">
        <v>507.14400000000001</v>
      </c>
      <c r="BM211">
        <v>803.52599999999995</v>
      </c>
      <c r="BN211">
        <v>19.585000000000001</v>
      </c>
      <c r="BO211">
        <v>800.02</v>
      </c>
      <c r="BP211">
        <v>4.3634000000000004</v>
      </c>
      <c r="BQ211">
        <v>2.3708399999999998</v>
      </c>
      <c r="BR211">
        <v>0.43196699999999999</v>
      </c>
      <c r="BS211">
        <v>20.166</v>
      </c>
      <c r="BT211">
        <v>-4.7385999999999999</v>
      </c>
      <c r="BU211">
        <v>1800</v>
      </c>
      <c r="BV211">
        <v>0.90999600000000003</v>
      </c>
      <c r="BW211">
        <v>3.3995200000000003E-2</v>
      </c>
      <c r="BX211">
        <v>2.2004800000000001E-2</v>
      </c>
      <c r="BY211">
        <v>3.4003600000000002E-2</v>
      </c>
      <c r="BZ211">
        <v>26</v>
      </c>
      <c r="CA211">
        <v>33528.300000000003</v>
      </c>
      <c r="CB211">
        <v>1690232006</v>
      </c>
      <c r="CC211" t="s">
        <v>332</v>
      </c>
      <c r="CD211">
        <v>1690232006</v>
      </c>
      <c r="CE211">
        <v>1690231998.5</v>
      </c>
      <c r="CF211">
        <v>14</v>
      </c>
      <c r="CG211">
        <v>-0.13200000000000001</v>
      </c>
      <c r="CH211">
        <v>-7.0000000000000001E-3</v>
      </c>
      <c r="CI211">
        <v>-0.33800000000000002</v>
      </c>
      <c r="CJ211">
        <v>0.14299999999999999</v>
      </c>
      <c r="CK211">
        <v>799</v>
      </c>
      <c r="CL211">
        <v>19</v>
      </c>
      <c r="CM211">
        <v>7.0000000000000007E-2</v>
      </c>
      <c r="CN211">
        <v>0.14000000000000001</v>
      </c>
      <c r="CO211">
        <v>-304.718975</v>
      </c>
      <c r="CP211">
        <v>-1.268341463413782</v>
      </c>
      <c r="CQ211">
        <v>0.13511781664532599</v>
      </c>
      <c r="CR211">
        <v>-1</v>
      </c>
      <c r="CS211">
        <v>19.555442500000002</v>
      </c>
      <c r="CT211">
        <v>0.18700075046903519</v>
      </c>
      <c r="CU211">
        <v>1.8153717078053071E-2</v>
      </c>
      <c r="CV211">
        <v>-1</v>
      </c>
      <c r="CW211">
        <v>0</v>
      </c>
      <c r="CX211">
        <v>0</v>
      </c>
      <c r="CY211" t="s">
        <v>333</v>
      </c>
      <c r="CZ211">
        <v>2.3648199999999999</v>
      </c>
      <c r="DA211">
        <v>2.71373</v>
      </c>
      <c r="DB211">
        <v>0.10495500000000001</v>
      </c>
      <c r="DC211">
        <v>0.14605199999999999</v>
      </c>
      <c r="DD211">
        <v>0.11378099999999999</v>
      </c>
      <c r="DE211">
        <v>3.0280399999999999E-2</v>
      </c>
      <c r="DF211">
        <v>32710.5</v>
      </c>
      <c r="DG211">
        <v>27557.599999999999</v>
      </c>
      <c r="DH211">
        <v>31198.400000000001</v>
      </c>
      <c r="DI211">
        <v>28118.7</v>
      </c>
      <c r="DJ211">
        <v>37536.699999999997</v>
      </c>
      <c r="DK211">
        <v>38783</v>
      </c>
      <c r="DL211">
        <v>44403.9</v>
      </c>
      <c r="DM211">
        <v>42623.9</v>
      </c>
      <c r="DN211">
        <v>1.48715</v>
      </c>
      <c r="DO211">
        <v>2.0398999999999998</v>
      </c>
      <c r="DP211">
        <v>7.3358400000000004E-2</v>
      </c>
      <c r="DQ211">
        <v>0.19833400000000001</v>
      </c>
      <c r="DR211">
        <v>25.8032</v>
      </c>
      <c r="DS211">
        <v>25.642600000000002</v>
      </c>
      <c r="DT211">
        <v>35.700000000000003</v>
      </c>
      <c r="DU211">
        <v>28.9</v>
      </c>
      <c r="DV211">
        <v>14.4213</v>
      </c>
      <c r="DW211">
        <v>61.687899999999999</v>
      </c>
      <c r="DX211">
        <v>36.923099999999998</v>
      </c>
      <c r="DY211">
        <v>1</v>
      </c>
      <c r="DZ211">
        <v>-0.11912300000000001</v>
      </c>
      <c r="EA211">
        <v>-0.32410099999999997</v>
      </c>
      <c r="EB211">
        <v>20.189499999999999</v>
      </c>
      <c r="EC211">
        <v>5.2411000000000003</v>
      </c>
      <c r="ED211">
        <v>12.039899999999999</v>
      </c>
      <c r="EE211">
        <v>5.0167000000000002</v>
      </c>
      <c r="EF211">
        <v>3.2879999999999998</v>
      </c>
      <c r="EG211">
        <v>9999</v>
      </c>
      <c r="EH211">
        <v>9999</v>
      </c>
      <c r="EI211">
        <v>9999</v>
      </c>
      <c r="EJ211">
        <v>999.9</v>
      </c>
      <c r="EK211">
        <v>1.8689</v>
      </c>
      <c r="EL211">
        <v>1.8646199999999999</v>
      </c>
      <c r="EM211">
        <v>1.8691899999999999</v>
      </c>
      <c r="EN211">
        <v>1.8672200000000001</v>
      </c>
      <c r="EO211">
        <v>1.86338</v>
      </c>
      <c r="EP211">
        <v>1.8644700000000001</v>
      </c>
      <c r="EQ211">
        <v>1.8701399999999999</v>
      </c>
      <c r="ER211">
        <v>1.8693599999999999</v>
      </c>
      <c r="ES211">
        <v>0</v>
      </c>
      <c r="ET211">
        <v>0</v>
      </c>
      <c r="EU211">
        <v>0</v>
      </c>
      <c r="EV211">
        <v>0</v>
      </c>
      <c r="EW211" t="s">
        <v>334</v>
      </c>
      <c r="EX211" t="s">
        <v>335</v>
      </c>
      <c r="EY211" t="s">
        <v>336</v>
      </c>
      <c r="EZ211" t="s">
        <v>336</v>
      </c>
      <c r="FA211" t="s">
        <v>336</v>
      </c>
      <c r="FB211" t="s">
        <v>336</v>
      </c>
      <c r="FC211">
        <v>0</v>
      </c>
      <c r="FD211">
        <v>100</v>
      </c>
      <c r="FE211">
        <v>100</v>
      </c>
      <c r="FF211">
        <v>-0.123</v>
      </c>
      <c r="FG211">
        <v>0.1719</v>
      </c>
      <c r="FH211">
        <v>0.2126736300064915</v>
      </c>
      <c r="FI211">
        <v>-6.1462078757559423E-4</v>
      </c>
      <c r="FJ211">
        <v>-1.8861989874597051E-7</v>
      </c>
      <c r="FK211">
        <v>1.1980462299894961E-10</v>
      </c>
      <c r="FL211">
        <v>0.1719881465068297</v>
      </c>
      <c r="FM211">
        <v>0</v>
      </c>
      <c r="FN211">
        <v>0</v>
      </c>
      <c r="FO211">
        <v>0</v>
      </c>
      <c r="FP211">
        <v>3</v>
      </c>
      <c r="FQ211">
        <v>2158</v>
      </c>
      <c r="FR211">
        <v>1</v>
      </c>
      <c r="FS211">
        <v>19</v>
      </c>
      <c r="FT211">
        <v>41.8</v>
      </c>
      <c r="FU211">
        <v>41.9</v>
      </c>
      <c r="FV211">
        <v>1.7675799999999999</v>
      </c>
      <c r="FW211">
        <v>2.5866699999999998</v>
      </c>
      <c r="FX211">
        <v>1.5490699999999999</v>
      </c>
      <c r="FY211">
        <v>2.32666</v>
      </c>
      <c r="FZ211">
        <v>1.50146</v>
      </c>
      <c r="GA211">
        <v>2.31934</v>
      </c>
      <c r="GB211">
        <v>33.512999999999998</v>
      </c>
      <c r="GC211">
        <v>23.982399999999998</v>
      </c>
      <c r="GD211">
        <v>19</v>
      </c>
      <c r="GE211">
        <v>286.09699999999998</v>
      </c>
      <c r="GF211">
        <v>582.23699999999997</v>
      </c>
      <c r="GG211">
        <v>25.554300000000001</v>
      </c>
      <c r="GH211">
        <v>25.916699999999999</v>
      </c>
      <c r="GI211">
        <v>30.0002</v>
      </c>
      <c r="GJ211">
        <v>26.023</v>
      </c>
      <c r="GK211">
        <v>26.000299999999999</v>
      </c>
      <c r="GL211">
        <v>35.337000000000003</v>
      </c>
      <c r="GM211">
        <v>64.796499999999995</v>
      </c>
      <c r="GN211">
        <v>39.337299999999999</v>
      </c>
      <c r="GO211">
        <v>25.5563</v>
      </c>
      <c r="GP211">
        <v>800</v>
      </c>
      <c r="GQ211">
        <v>4.4252000000000002</v>
      </c>
      <c r="GR211">
        <v>99.828999999999994</v>
      </c>
      <c r="GS211">
        <v>99.706900000000005</v>
      </c>
    </row>
    <row r="212" spans="1:201" x14ac:dyDescent="0.25">
      <c r="A212">
        <v>196</v>
      </c>
      <c r="B212">
        <v>1690234525</v>
      </c>
      <c r="C212">
        <v>2018.900000095367</v>
      </c>
      <c r="D212" t="s">
        <v>723</v>
      </c>
      <c r="E212" t="s">
        <v>724</v>
      </c>
      <c r="F212" t="s">
        <v>330</v>
      </c>
      <c r="H212">
        <v>1690234525</v>
      </c>
      <c r="I212">
        <f t="shared" si="90"/>
        <v>1.8609890420923339E-3</v>
      </c>
      <c r="J212">
        <f t="shared" si="91"/>
        <v>1.8609890420923338</v>
      </c>
      <c r="K212">
        <f t="shared" si="92"/>
        <v>27.367210239404432</v>
      </c>
      <c r="L212">
        <f t="shared" si="93"/>
        <v>494.738</v>
      </c>
      <c r="M212">
        <f t="shared" si="94"/>
        <v>104.34924760112521</v>
      </c>
      <c r="N212">
        <f t="shared" si="95"/>
        <v>10.340506419970671</v>
      </c>
      <c r="O212">
        <f t="shared" si="96"/>
        <v>49.026146165986205</v>
      </c>
      <c r="P212">
        <f t="shared" si="97"/>
        <v>0.11744150725318095</v>
      </c>
      <c r="Q212">
        <f t="shared" si="98"/>
        <v>2.1319478514953207</v>
      </c>
      <c r="R212">
        <f t="shared" si="99"/>
        <v>0.1139621886044844</v>
      </c>
      <c r="S212">
        <f t="shared" si="100"/>
        <v>7.153038469815913E-2</v>
      </c>
      <c r="T212">
        <f t="shared" si="101"/>
        <v>276.11585276399995</v>
      </c>
      <c r="U212">
        <f t="shared" si="102"/>
        <v>28.641731387672664</v>
      </c>
      <c r="V212">
        <f t="shared" si="103"/>
        <v>28.641731387672664</v>
      </c>
      <c r="W212">
        <f t="shared" si="104"/>
        <v>3.9391456337053357</v>
      </c>
      <c r="X212">
        <f t="shared" si="105"/>
        <v>65.863542149263367</v>
      </c>
      <c r="Y212">
        <f t="shared" si="106"/>
        <v>2.3724671911268698</v>
      </c>
      <c r="Z212">
        <f t="shared" si="107"/>
        <v>3.6020947457551884</v>
      </c>
      <c r="AA212">
        <f t="shared" si="108"/>
        <v>1.5666784425784659</v>
      </c>
      <c r="AB212">
        <f t="shared" si="109"/>
        <v>-82.069616756271927</v>
      </c>
      <c r="AC212">
        <f t="shared" si="110"/>
        <v>-176.1914126151753</v>
      </c>
      <c r="AD212">
        <f t="shared" si="111"/>
        <v>-17.992091317337138</v>
      </c>
      <c r="AE212">
        <f t="shared" si="112"/>
        <v>-0.13726792478442462</v>
      </c>
      <c r="AF212">
        <v>0</v>
      </c>
      <c r="AG212">
        <v>0</v>
      </c>
      <c r="AH212">
        <f t="shared" si="113"/>
        <v>1</v>
      </c>
      <c r="AI212">
        <f t="shared" si="114"/>
        <v>0</v>
      </c>
      <c r="AJ212">
        <f t="shared" si="115"/>
        <v>52414.691192804123</v>
      </c>
      <c r="AK212">
        <f t="shared" si="116"/>
        <v>1800</v>
      </c>
      <c r="AL212">
        <f t="shared" si="117"/>
        <v>1499.1131123999999</v>
      </c>
      <c r="AM212">
        <f t="shared" si="118"/>
        <v>0.83284061799999998</v>
      </c>
      <c r="AN212">
        <f t="shared" si="119"/>
        <v>0.15339769597999997</v>
      </c>
      <c r="AO212">
        <v>32.4</v>
      </c>
      <c r="AP212">
        <v>0.5</v>
      </c>
      <c r="AQ212" t="s">
        <v>331</v>
      </c>
      <c r="AR212">
        <v>2</v>
      </c>
      <c r="AS212">
        <v>1690234525</v>
      </c>
      <c r="AT212">
        <v>494.738</v>
      </c>
      <c r="AU212">
        <v>800.04899999999998</v>
      </c>
      <c r="AV212">
        <v>23.941299999999998</v>
      </c>
      <c r="AW212">
        <v>4.3365499999999999</v>
      </c>
      <c r="AX212">
        <v>494.86099999999999</v>
      </c>
      <c r="AY212">
        <v>23.769300000000001</v>
      </c>
      <c r="AZ212">
        <v>300.19499999999999</v>
      </c>
      <c r="BA212">
        <v>98.995199999999997</v>
      </c>
      <c r="BB212">
        <v>9.99699E-2</v>
      </c>
      <c r="BC212">
        <v>27.108799999999999</v>
      </c>
      <c r="BD212">
        <v>26.996500000000001</v>
      </c>
      <c r="BE212">
        <v>28.858899999999998</v>
      </c>
      <c r="BF212">
        <v>0</v>
      </c>
      <c r="BG212">
        <v>0</v>
      </c>
      <c r="BH212">
        <v>10017.5</v>
      </c>
      <c r="BI212">
        <v>1080.45</v>
      </c>
      <c r="BJ212">
        <v>1.3455900000000001</v>
      </c>
      <c r="BK212">
        <v>-305.31099999999998</v>
      </c>
      <c r="BL212">
        <v>506.87299999999999</v>
      </c>
      <c r="BM212">
        <v>803.53300000000002</v>
      </c>
      <c r="BN212">
        <v>19.604800000000001</v>
      </c>
      <c r="BO212">
        <v>800.04899999999998</v>
      </c>
      <c r="BP212">
        <v>4.3365499999999999</v>
      </c>
      <c r="BQ212">
        <v>2.3700700000000001</v>
      </c>
      <c r="BR212">
        <v>0.42929699999999998</v>
      </c>
      <c r="BS212">
        <v>20.160699999999999</v>
      </c>
      <c r="BT212">
        <v>-4.8205999999999998</v>
      </c>
      <c r="BU212">
        <v>1800</v>
      </c>
      <c r="BV212">
        <v>0.90999799999999997</v>
      </c>
      <c r="BW212">
        <v>3.39946E-2</v>
      </c>
      <c r="BX212">
        <v>2.20044E-2</v>
      </c>
      <c r="BY212">
        <v>3.4002999999999999E-2</v>
      </c>
      <c r="BZ212">
        <v>26</v>
      </c>
      <c r="CA212">
        <v>33528.300000000003</v>
      </c>
      <c r="CB212">
        <v>1690232006</v>
      </c>
      <c r="CC212" t="s">
        <v>332</v>
      </c>
      <c r="CD212">
        <v>1690232006</v>
      </c>
      <c r="CE212">
        <v>1690231998.5</v>
      </c>
      <c r="CF212">
        <v>14</v>
      </c>
      <c r="CG212">
        <v>-0.13200000000000001</v>
      </c>
      <c r="CH212">
        <v>-7.0000000000000001E-3</v>
      </c>
      <c r="CI212">
        <v>-0.33800000000000002</v>
      </c>
      <c r="CJ212">
        <v>0.14299999999999999</v>
      </c>
      <c r="CK212">
        <v>799</v>
      </c>
      <c r="CL212">
        <v>19</v>
      </c>
      <c r="CM212">
        <v>7.0000000000000007E-2</v>
      </c>
      <c r="CN212">
        <v>0.14000000000000001</v>
      </c>
      <c r="CO212">
        <v>-304.98165</v>
      </c>
      <c r="CP212">
        <v>-1.576255159474258</v>
      </c>
      <c r="CQ212">
        <v>0.15867034221932871</v>
      </c>
      <c r="CR212">
        <v>-1</v>
      </c>
      <c r="CS212">
        <v>19.581849999999999</v>
      </c>
      <c r="CT212">
        <v>0.13018761726074221</v>
      </c>
      <c r="CU212">
        <v>1.302881422079533E-2</v>
      </c>
      <c r="CV212">
        <v>-1</v>
      </c>
      <c r="CW212">
        <v>0</v>
      </c>
      <c r="CX212">
        <v>0</v>
      </c>
      <c r="CY212" t="s">
        <v>333</v>
      </c>
      <c r="CZ212">
        <v>2.36503</v>
      </c>
      <c r="DA212">
        <v>2.7137799999999999</v>
      </c>
      <c r="DB212">
        <v>0.10491200000000001</v>
      </c>
      <c r="DC212">
        <v>0.14605099999999999</v>
      </c>
      <c r="DD212">
        <v>0.11375399999999999</v>
      </c>
      <c r="DE212">
        <v>3.01219E-2</v>
      </c>
      <c r="DF212">
        <v>32711.599999999999</v>
      </c>
      <c r="DG212">
        <v>27557.8</v>
      </c>
      <c r="DH212">
        <v>31197.9</v>
      </c>
      <c r="DI212">
        <v>28118.9</v>
      </c>
      <c r="DJ212">
        <v>37537.300000000003</v>
      </c>
      <c r="DK212">
        <v>38789.5</v>
      </c>
      <c r="DL212">
        <v>44403.199999999997</v>
      </c>
      <c r="DM212">
        <v>42624</v>
      </c>
      <c r="DN212">
        <v>1.48715</v>
      </c>
      <c r="DO212">
        <v>2.0400200000000002</v>
      </c>
      <c r="DP212">
        <v>7.2896500000000003E-2</v>
      </c>
      <c r="DQ212">
        <v>0.19674700000000001</v>
      </c>
      <c r="DR212">
        <v>25.8032</v>
      </c>
      <c r="DS212">
        <v>25.642600000000002</v>
      </c>
      <c r="DT212">
        <v>35.5</v>
      </c>
      <c r="DU212">
        <v>28.9</v>
      </c>
      <c r="DV212">
        <v>14.338699999999999</v>
      </c>
      <c r="DW212">
        <v>61.527900000000002</v>
      </c>
      <c r="DX212">
        <v>36.442300000000003</v>
      </c>
      <c r="DY212">
        <v>1</v>
      </c>
      <c r="DZ212">
        <v>-0.11923300000000001</v>
      </c>
      <c r="EA212">
        <v>-0.44211099999999998</v>
      </c>
      <c r="EB212">
        <v>20.189</v>
      </c>
      <c r="EC212">
        <v>5.2411000000000003</v>
      </c>
      <c r="ED212">
        <v>12.039899999999999</v>
      </c>
      <c r="EE212">
        <v>5.0168999999999997</v>
      </c>
      <c r="EF212">
        <v>3.2879999999999998</v>
      </c>
      <c r="EG212">
        <v>9999</v>
      </c>
      <c r="EH212">
        <v>9999</v>
      </c>
      <c r="EI212">
        <v>9999</v>
      </c>
      <c r="EJ212">
        <v>999.9</v>
      </c>
      <c r="EK212">
        <v>1.8688899999999999</v>
      </c>
      <c r="EL212">
        <v>1.8646199999999999</v>
      </c>
      <c r="EM212">
        <v>1.8691800000000001</v>
      </c>
      <c r="EN212">
        <v>1.8672200000000001</v>
      </c>
      <c r="EO212">
        <v>1.86337</v>
      </c>
      <c r="EP212">
        <v>1.8644700000000001</v>
      </c>
      <c r="EQ212">
        <v>1.8701300000000001</v>
      </c>
      <c r="ER212">
        <v>1.86937</v>
      </c>
      <c r="ES212">
        <v>0</v>
      </c>
      <c r="ET212">
        <v>0</v>
      </c>
      <c r="EU212">
        <v>0</v>
      </c>
      <c r="EV212">
        <v>0</v>
      </c>
      <c r="EW212" t="s">
        <v>334</v>
      </c>
      <c r="EX212" t="s">
        <v>335</v>
      </c>
      <c r="EY212" t="s">
        <v>336</v>
      </c>
      <c r="EZ212" t="s">
        <v>336</v>
      </c>
      <c r="FA212" t="s">
        <v>336</v>
      </c>
      <c r="FB212" t="s">
        <v>336</v>
      </c>
      <c r="FC212">
        <v>0</v>
      </c>
      <c r="FD212">
        <v>100</v>
      </c>
      <c r="FE212">
        <v>100</v>
      </c>
      <c r="FF212">
        <v>-0.123</v>
      </c>
      <c r="FG212">
        <v>0.17199999999999999</v>
      </c>
      <c r="FH212">
        <v>0.2126736300064915</v>
      </c>
      <c r="FI212">
        <v>-6.1462078757559423E-4</v>
      </c>
      <c r="FJ212">
        <v>-1.8861989874597051E-7</v>
      </c>
      <c r="FK212">
        <v>1.1980462299894961E-10</v>
      </c>
      <c r="FL212">
        <v>0.1719881465068297</v>
      </c>
      <c r="FM212">
        <v>0</v>
      </c>
      <c r="FN212">
        <v>0</v>
      </c>
      <c r="FO212">
        <v>0</v>
      </c>
      <c r="FP212">
        <v>3</v>
      </c>
      <c r="FQ212">
        <v>2158</v>
      </c>
      <c r="FR212">
        <v>1</v>
      </c>
      <c r="FS212">
        <v>19</v>
      </c>
      <c r="FT212">
        <v>42</v>
      </c>
      <c r="FU212">
        <v>42.1</v>
      </c>
      <c r="FV212">
        <v>1.7675799999999999</v>
      </c>
      <c r="FW212">
        <v>2.5842299999999998</v>
      </c>
      <c r="FX212">
        <v>1.5490699999999999</v>
      </c>
      <c r="FY212">
        <v>2.32666</v>
      </c>
      <c r="FZ212">
        <v>1.50146</v>
      </c>
      <c r="GA212">
        <v>2.3828100000000001</v>
      </c>
      <c r="GB212">
        <v>33.512999999999998</v>
      </c>
      <c r="GC212">
        <v>23.991199999999999</v>
      </c>
      <c r="GD212">
        <v>19</v>
      </c>
      <c r="GE212">
        <v>286.09800000000001</v>
      </c>
      <c r="GF212">
        <v>582.34</v>
      </c>
      <c r="GG212">
        <v>25.560700000000001</v>
      </c>
      <c r="GH212">
        <v>25.918900000000001</v>
      </c>
      <c r="GI212">
        <v>30.0001</v>
      </c>
      <c r="GJ212">
        <v>26.023</v>
      </c>
      <c r="GK212">
        <v>26.000299999999999</v>
      </c>
      <c r="GL212">
        <v>35.335099999999997</v>
      </c>
      <c r="GM212">
        <v>64.512799999999999</v>
      </c>
      <c r="GN212">
        <v>38.944400000000002</v>
      </c>
      <c r="GO212">
        <v>25.5791</v>
      </c>
      <c r="GP212">
        <v>800</v>
      </c>
      <c r="GQ212">
        <v>4.3950300000000002</v>
      </c>
      <c r="GR212">
        <v>99.827399999999997</v>
      </c>
      <c r="GS212">
        <v>99.707300000000004</v>
      </c>
    </row>
    <row r="213" spans="1:201" x14ac:dyDescent="0.25">
      <c r="A213">
        <v>197</v>
      </c>
      <c r="B213">
        <v>1690234535</v>
      </c>
      <c r="C213">
        <v>2028.900000095367</v>
      </c>
      <c r="D213" t="s">
        <v>725</v>
      </c>
      <c r="E213" t="s">
        <v>726</v>
      </c>
      <c r="F213" t="s">
        <v>330</v>
      </c>
      <c r="H213">
        <v>1690234535</v>
      </c>
      <c r="I213">
        <f t="shared" si="90"/>
        <v>1.86141053068905E-3</v>
      </c>
      <c r="J213">
        <f t="shared" si="91"/>
        <v>1.86141053068905</v>
      </c>
      <c r="K213">
        <f t="shared" si="92"/>
        <v>27.37997111342851</v>
      </c>
      <c r="L213">
        <f t="shared" si="93"/>
        <v>494.51900000000001</v>
      </c>
      <c r="M213">
        <f t="shared" si="94"/>
        <v>103.89694382032752</v>
      </c>
      <c r="N213">
        <f t="shared" si="95"/>
        <v>10.29564261910159</v>
      </c>
      <c r="O213">
        <f t="shared" si="96"/>
        <v>49.004241175372904</v>
      </c>
      <c r="P213">
        <f t="shared" si="97"/>
        <v>0.11742075506080717</v>
      </c>
      <c r="Q213">
        <f t="shared" si="98"/>
        <v>2.1331062629861925</v>
      </c>
      <c r="R213">
        <f t="shared" si="99"/>
        <v>0.1139444749393181</v>
      </c>
      <c r="S213">
        <f t="shared" si="100"/>
        <v>7.1519054137481164E-2</v>
      </c>
      <c r="T213">
        <f t="shared" si="101"/>
        <v>276.11590897799994</v>
      </c>
      <c r="U213">
        <f t="shared" si="102"/>
        <v>28.641228584065402</v>
      </c>
      <c r="V213">
        <f t="shared" si="103"/>
        <v>28.641228584065402</v>
      </c>
      <c r="W213">
        <f t="shared" si="104"/>
        <v>3.9390307210172906</v>
      </c>
      <c r="X213">
        <f t="shared" si="105"/>
        <v>65.842191197578131</v>
      </c>
      <c r="Y213">
        <f t="shared" si="106"/>
        <v>2.3717537832512203</v>
      </c>
      <c r="Z213">
        <f t="shared" si="107"/>
        <v>3.6021793019222303</v>
      </c>
      <c r="AA213">
        <f t="shared" si="108"/>
        <v>1.5672769377660702</v>
      </c>
      <c r="AB213">
        <f t="shared" si="109"/>
        <v>-82.08820440338711</v>
      </c>
      <c r="AC213">
        <f t="shared" si="110"/>
        <v>-176.18332523860244</v>
      </c>
      <c r="AD213">
        <f t="shared" si="111"/>
        <v>-17.981485713572511</v>
      </c>
      <c r="AE213">
        <f t="shared" si="112"/>
        <v>-0.13710637756213373</v>
      </c>
      <c r="AF213">
        <v>0</v>
      </c>
      <c r="AG213">
        <v>0</v>
      </c>
      <c r="AH213">
        <f t="shared" si="113"/>
        <v>1</v>
      </c>
      <c r="AI213">
        <f t="shared" si="114"/>
        <v>0</v>
      </c>
      <c r="AJ213">
        <f t="shared" si="115"/>
        <v>52464.56447111124</v>
      </c>
      <c r="AK213">
        <f t="shared" si="116"/>
        <v>1800</v>
      </c>
      <c r="AL213">
        <f t="shared" si="117"/>
        <v>1499.1143597999999</v>
      </c>
      <c r="AM213">
        <f t="shared" si="118"/>
        <v>0.83284131099999992</v>
      </c>
      <c r="AN213">
        <f t="shared" si="119"/>
        <v>0.15339772720999997</v>
      </c>
      <c r="AO213">
        <v>32.4</v>
      </c>
      <c r="AP213">
        <v>0.5</v>
      </c>
      <c r="AQ213" t="s">
        <v>331</v>
      </c>
      <c r="AR213">
        <v>2</v>
      </c>
      <c r="AS213">
        <v>1690234535</v>
      </c>
      <c r="AT213">
        <v>494.51900000000001</v>
      </c>
      <c r="AU213">
        <v>800.04700000000003</v>
      </c>
      <c r="AV213">
        <v>23.934200000000001</v>
      </c>
      <c r="AW213">
        <v>4.3196399999999997</v>
      </c>
      <c r="AX213">
        <v>494.642</v>
      </c>
      <c r="AY213">
        <v>23.7623</v>
      </c>
      <c r="AZ213">
        <v>300.11500000000001</v>
      </c>
      <c r="BA213">
        <v>98.994799999999998</v>
      </c>
      <c r="BB213">
        <v>9.9959099999999995E-2</v>
      </c>
      <c r="BC213">
        <v>27.109200000000001</v>
      </c>
      <c r="BD213">
        <v>26.997699999999998</v>
      </c>
      <c r="BE213">
        <v>28.875900000000001</v>
      </c>
      <c r="BF213">
        <v>0</v>
      </c>
      <c r="BG213">
        <v>0</v>
      </c>
      <c r="BH213">
        <v>10027.5</v>
      </c>
      <c r="BI213">
        <v>1080.3800000000001</v>
      </c>
      <c r="BJ213">
        <v>1.3455900000000001</v>
      </c>
      <c r="BK213">
        <v>-305.52800000000002</v>
      </c>
      <c r="BL213">
        <v>506.64499999999998</v>
      </c>
      <c r="BM213">
        <v>803.51800000000003</v>
      </c>
      <c r="BN213">
        <v>19.614599999999999</v>
      </c>
      <c r="BO213">
        <v>800.04700000000003</v>
      </c>
      <c r="BP213">
        <v>4.3196399999999997</v>
      </c>
      <c r="BQ213">
        <v>2.3693599999999999</v>
      </c>
      <c r="BR213">
        <v>0.427622</v>
      </c>
      <c r="BS213">
        <v>20.155899999999999</v>
      </c>
      <c r="BT213">
        <v>-4.8723099999999997</v>
      </c>
      <c r="BU213">
        <v>1800</v>
      </c>
      <c r="BV213">
        <v>0.91000099999999995</v>
      </c>
      <c r="BW213">
        <v>3.3993700000000002E-2</v>
      </c>
      <c r="BX213">
        <v>2.20038E-2</v>
      </c>
      <c r="BY213">
        <v>3.40021E-2</v>
      </c>
      <c r="BZ213">
        <v>26</v>
      </c>
      <c r="CA213">
        <v>33528.300000000003</v>
      </c>
      <c r="CB213">
        <v>1690232006</v>
      </c>
      <c r="CC213" t="s">
        <v>332</v>
      </c>
      <c r="CD213">
        <v>1690232006</v>
      </c>
      <c r="CE213">
        <v>1690231998.5</v>
      </c>
      <c r="CF213">
        <v>14</v>
      </c>
      <c r="CG213">
        <v>-0.13200000000000001</v>
      </c>
      <c r="CH213">
        <v>-7.0000000000000001E-3</v>
      </c>
      <c r="CI213">
        <v>-0.33800000000000002</v>
      </c>
      <c r="CJ213">
        <v>0.14299999999999999</v>
      </c>
      <c r="CK213">
        <v>799</v>
      </c>
      <c r="CL213">
        <v>19</v>
      </c>
      <c r="CM213">
        <v>7.0000000000000007E-2</v>
      </c>
      <c r="CN213">
        <v>0.14000000000000001</v>
      </c>
      <c r="CO213">
        <v>-305.26331707317081</v>
      </c>
      <c r="CP213">
        <v>-1.598383275261205</v>
      </c>
      <c r="CQ213">
        <v>0.1611393033197068</v>
      </c>
      <c r="CR213">
        <v>-1</v>
      </c>
      <c r="CS213">
        <v>19.6043487804878</v>
      </c>
      <c r="CT213">
        <v>0.12535609756095289</v>
      </c>
      <c r="CU213">
        <v>1.2701433027489819E-2</v>
      </c>
      <c r="CV213">
        <v>-1</v>
      </c>
      <c r="CW213">
        <v>0</v>
      </c>
      <c r="CX213">
        <v>0</v>
      </c>
      <c r="CY213" t="s">
        <v>333</v>
      </c>
      <c r="CZ213">
        <v>2.36476</v>
      </c>
      <c r="DA213">
        <v>2.7137699999999998</v>
      </c>
      <c r="DB213">
        <v>0.104877</v>
      </c>
      <c r="DC213">
        <v>0.14605000000000001</v>
      </c>
      <c r="DD213">
        <v>0.11373</v>
      </c>
      <c r="DE213">
        <v>3.0022400000000001E-2</v>
      </c>
      <c r="DF213">
        <v>32713</v>
      </c>
      <c r="DG213">
        <v>27558.1</v>
      </c>
      <c r="DH213">
        <v>31198.1</v>
      </c>
      <c r="DI213">
        <v>28119.200000000001</v>
      </c>
      <c r="DJ213">
        <v>37538.400000000001</v>
      </c>
      <c r="DK213">
        <v>38794.1</v>
      </c>
      <c r="DL213">
        <v>44403.4</v>
      </c>
      <c r="DM213">
        <v>42624.7</v>
      </c>
      <c r="DN213">
        <v>1.4871000000000001</v>
      </c>
      <c r="DO213">
        <v>2.03993</v>
      </c>
      <c r="DP213">
        <v>7.2970999999999994E-2</v>
      </c>
      <c r="DQ213">
        <v>0.19792499999999999</v>
      </c>
      <c r="DR213">
        <v>25.8032</v>
      </c>
      <c r="DS213">
        <v>25.6404</v>
      </c>
      <c r="DT213">
        <v>35.200000000000003</v>
      </c>
      <c r="DU213">
        <v>28.9</v>
      </c>
      <c r="DV213">
        <v>14.218400000000001</v>
      </c>
      <c r="DW213">
        <v>61.307899999999997</v>
      </c>
      <c r="DX213">
        <v>37.491999999999997</v>
      </c>
      <c r="DY213">
        <v>1</v>
      </c>
      <c r="DZ213">
        <v>-0.118816</v>
      </c>
      <c r="EA213">
        <v>-0.37020999999999998</v>
      </c>
      <c r="EB213">
        <v>20.189</v>
      </c>
      <c r="EC213">
        <v>5.2406499999999996</v>
      </c>
      <c r="ED213">
        <v>12.039899999999999</v>
      </c>
      <c r="EE213">
        <v>5.0166500000000003</v>
      </c>
      <c r="EF213">
        <v>3.2879999999999998</v>
      </c>
      <c r="EG213">
        <v>9999</v>
      </c>
      <c r="EH213">
        <v>9999</v>
      </c>
      <c r="EI213">
        <v>9999</v>
      </c>
      <c r="EJ213">
        <v>999.9</v>
      </c>
      <c r="EK213">
        <v>1.8689</v>
      </c>
      <c r="EL213">
        <v>1.8646199999999999</v>
      </c>
      <c r="EM213">
        <v>1.8691599999999999</v>
      </c>
      <c r="EN213">
        <v>1.8672200000000001</v>
      </c>
      <c r="EO213">
        <v>1.86337</v>
      </c>
      <c r="EP213">
        <v>1.8644700000000001</v>
      </c>
      <c r="EQ213">
        <v>1.8701300000000001</v>
      </c>
      <c r="ER213">
        <v>1.86938</v>
      </c>
      <c r="ES213">
        <v>0</v>
      </c>
      <c r="ET213">
        <v>0</v>
      </c>
      <c r="EU213">
        <v>0</v>
      </c>
      <c r="EV213">
        <v>0</v>
      </c>
      <c r="EW213" t="s">
        <v>334</v>
      </c>
      <c r="EX213" t="s">
        <v>335</v>
      </c>
      <c r="EY213" t="s">
        <v>336</v>
      </c>
      <c r="EZ213" t="s">
        <v>336</v>
      </c>
      <c r="FA213" t="s">
        <v>336</v>
      </c>
      <c r="FB213" t="s">
        <v>336</v>
      </c>
      <c r="FC213">
        <v>0</v>
      </c>
      <c r="FD213">
        <v>100</v>
      </c>
      <c r="FE213">
        <v>100</v>
      </c>
      <c r="FF213">
        <v>-0.123</v>
      </c>
      <c r="FG213">
        <v>0.1719</v>
      </c>
      <c r="FH213">
        <v>0.2126736300064915</v>
      </c>
      <c r="FI213">
        <v>-6.1462078757559423E-4</v>
      </c>
      <c r="FJ213">
        <v>-1.8861989874597051E-7</v>
      </c>
      <c r="FK213">
        <v>1.1980462299894961E-10</v>
      </c>
      <c r="FL213">
        <v>0.1719881465068297</v>
      </c>
      <c r="FM213">
        <v>0</v>
      </c>
      <c r="FN213">
        <v>0</v>
      </c>
      <c r="FO213">
        <v>0</v>
      </c>
      <c r="FP213">
        <v>3</v>
      </c>
      <c r="FQ213">
        <v>2158</v>
      </c>
      <c r="FR213">
        <v>1</v>
      </c>
      <c r="FS213">
        <v>19</v>
      </c>
      <c r="FT213">
        <v>42.1</v>
      </c>
      <c r="FU213">
        <v>42.3</v>
      </c>
      <c r="FV213">
        <v>1.7675799999999999</v>
      </c>
      <c r="FW213">
        <v>2.5927699999999998</v>
      </c>
      <c r="FX213">
        <v>1.5490699999999999</v>
      </c>
      <c r="FY213">
        <v>2.32666</v>
      </c>
      <c r="FZ213">
        <v>1.50146</v>
      </c>
      <c r="GA213">
        <v>2.3168899999999999</v>
      </c>
      <c r="GB213">
        <v>33.512999999999998</v>
      </c>
      <c r="GC213">
        <v>23.982399999999998</v>
      </c>
      <c r="GD213">
        <v>19</v>
      </c>
      <c r="GE213">
        <v>286.07600000000002</v>
      </c>
      <c r="GF213">
        <v>582.25699999999995</v>
      </c>
      <c r="GG213">
        <v>25.584700000000002</v>
      </c>
      <c r="GH213">
        <v>25.918900000000001</v>
      </c>
      <c r="GI213">
        <v>30</v>
      </c>
      <c r="GJ213">
        <v>26.023</v>
      </c>
      <c r="GK213">
        <v>26.000299999999999</v>
      </c>
      <c r="GL213">
        <v>35.335900000000002</v>
      </c>
      <c r="GM213">
        <v>64.232299999999995</v>
      </c>
      <c r="GN213">
        <v>38.161900000000003</v>
      </c>
      <c r="GO213">
        <v>25.5823</v>
      </c>
      <c r="GP213">
        <v>800</v>
      </c>
      <c r="GQ213">
        <v>4.3644999999999996</v>
      </c>
      <c r="GR213">
        <v>99.8279</v>
      </c>
      <c r="GS213">
        <v>99.708699999999993</v>
      </c>
    </row>
    <row r="214" spans="1:201" x14ac:dyDescent="0.25">
      <c r="A214">
        <v>198</v>
      </c>
      <c r="B214">
        <v>1690234545</v>
      </c>
      <c r="C214">
        <v>2038.900000095367</v>
      </c>
      <c r="D214" t="s">
        <v>727</v>
      </c>
      <c r="E214" t="s">
        <v>728</v>
      </c>
      <c r="F214" t="s">
        <v>330</v>
      </c>
      <c r="H214">
        <v>1690234545</v>
      </c>
      <c r="I214">
        <f t="shared" si="90"/>
        <v>1.8626679570257969E-3</v>
      </c>
      <c r="J214">
        <f t="shared" si="91"/>
        <v>1.8626679570257969</v>
      </c>
      <c r="K214">
        <f t="shared" si="92"/>
        <v>27.398156933004497</v>
      </c>
      <c r="L214">
        <f t="shared" si="93"/>
        <v>494.28899999999999</v>
      </c>
      <c r="M214">
        <f t="shared" si="94"/>
        <v>103.05268167772041</v>
      </c>
      <c r="N214">
        <f t="shared" si="95"/>
        <v>10.212194716187801</v>
      </c>
      <c r="O214">
        <f t="shared" si="96"/>
        <v>48.9824760684618</v>
      </c>
      <c r="P214">
        <f t="shared" si="97"/>
        <v>0.11730989571731945</v>
      </c>
      <c r="Q214">
        <f t="shared" si="98"/>
        <v>2.1312345526418799</v>
      </c>
      <c r="R214">
        <f t="shared" si="99"/>
        <v>0.11383712196143078</v>
      </c>
      <c r="S214">
        <f t="shared" si="100"/>
        <v>7.1451652693719475E-2</v>
      </c>
      <c r="T214">
        <f t="shared" si="101"/>
        <v>276.11553765600001</v>
      </c>
      <c r="U214">
        <f t="shared" si="102"/>
        <v>28.650596954409838</v>
      </c>
      <c r="V214">
        <f t="shared" si="103"/>
        <v>28.650596954409838</v>
      </c>
      <c r="W214">
        <f t="shared" si="104"/>
        <v>3.9411722850574602</v>
      </c>
      <c r="X214">
        <f t="shared" si="105"/>
        <v>65.797427004843897</v>
      </c>
      <c r="Y214">
        <f t="shared" si="106"/>
        <v>2.3713377418479</v>
      </c>
      <c r="Z214">
        <f t="shared" si="107"/>
        <v>3.6039976786224877</v>
      </c>
      <c r="AA214">
        <f t="shared" si="108"/>
        <v>1.5698345432095602</v>
      </c>
      <c r="AB214">
        <f t="shared" si="109"/>
        <v>-82.143656904837641</v>
      </c>
      <c r="AC214">
        <f t="shared" si="110"/>
        <v>-176.1170169116493</v>
      </c>
      <c r="AD214">
        <f t="shared" si="111"/>
        <v>-17.992115866235377</v>
      </c>
      <c r="AE214">
        <f t="shared" si="112"/>
        <v>-0.1372520267223365</v>
      </c>
      <c r="AF214">
        <v>0</v>
      </c>
      <c r="AG214">
        <v>0</v>
      </c>
      <c r="AH214">
        <f t="shared" si="113"/>
        <v>1</v>
      </c>
      <c r="AI214">
        <f t="shared" si="114"/>
        <v>0</v>
      </c>
      <c r="AJ214">
        <f t="shared" si="115"/>
        <v>52382.414552135873</v>
      </c>
      <c r="AK214">
        <f t="shared" si="116"/>
        <v>1800</v>
      </c>
      <c r="AL214">
        <f t="shared" si="117"/>
        <v>1499.1134165999999</v>
      </c>
      <c r="AM214">
        <f t="shared" si="118"/>
        <v>0.83284078699999997</v>
      </c>
      <c r="AN214">
        <f t="shared" si="119"/>
        <v>0.15339752092</v>
      </c>
      <c r="AO214">
        <v>32.4</v>
      </c>
      <c r="AP214">
        <v>0.5</v>
      </c>
      <c r="AQ214" t="s">
        <v>331</v>
      </c>
      <c r="AR214">
        <v>2</v>
      </c>
      <c r="AS214">
        <v>1690234545</v>
      </c>
      <c r="AT214">
        <v>494.28899999999999</v>
      </c>
      <c r="AU214">
        <v>799.93700000000001</v>
      </c>
      <c r="AV214">
        <v>23.929500000000001</v>
      </c>
      <c r="AW214">
        <v>4.3066300000000002</v>
      </c>
      <c r="AX214">
        <v>494.41199999999998</v>
      </c>
      <c r="AY214">
        <v>23.7575</v>
      </c>
      <c r="AZ214">
        <v>300.19200000000001</v>
      </c>
      <c r="BA214">
        <v>98.996899999999997</v>
      </c>
      <c r="BB214">
        <v>9.9936200000000003E-2</v>
      </c>
      <c r="BC214">
        <v>27.117799999999999</v>
      </c>
      <c r="BD214">
        <v>26.998100000000001</v>
      </c>
      <c r="BE214">
        <v>28.860299999999999</v>
      </c>
      <c r="BF214">
        <v>0</v>
      </c>
      <c r="BG214">
        <v>0</v>
      </c>
      <c r="BH214">
        <v>10011.200000000001</v>
      </c>
      <c r="BI214">
        <v>1080.26</v>
      </c>
      <c r="BJ214">
        <v>1.3455900000000001</v>
      </c>
      <c r="BK214">
        <v>-305.64699999999999</v>
      </c>
      <c r="BL214">
        <v>506.40699999999998</v>
      </c>
      <c r="BM214">
        <v>803.39599999999996</v>
      </c>
      <c r="BN214">
        <v>19.622900000000001</v>
      </c>
      <c r="BO214">
        <v>799.93700000000001</v>
      </c>
      <c r="BP214">
        <v>4.3066300000000002</v>
      </c>
      <c r="BQ214">
        <v>2.3689499999999999</v>
      </c>
      <c r="BR214">
        <v>0.42634300000000003</v>
      </c>
      <c r="BS214">
        <v>20.153099999999998</v>
      </c>
      <c r="BT214">
        <v>-4.9118899999999996</v>
      </c>
      <c r="BU214">
        <v>1800</v>
      </c>
      <c r="BV214">
        <v>0.91000300000000001</v>
      </c>
      <c r="BW214">
        <v>3.3992599999999998E-2</v>
      </c>
      <c r="BX214">
        <v>2.2003100000000001E-2</v>
      </c>
      <c r="BY214">
        <v>3.4001000000000003E-2</v>
      </c>
      <c r="BZ214">
        <v>26</v>
      </c>
      <c r="CA214">
        <v>33528.300000000003</v>
      </c>
      <c r="CB214">
        <v>1690232006</v>
      </c>
      <c r="CC214" t="s">
        <v>332</v>
      </c>
      <c r="CD214">
        <v>1690232006</v>
      </c>
      <c r="CE214">
        <v>1690231998.5</v>
      </c>
      <c r="CF214">
        <v>14</v>
      </c>
      <c r="CG214">
        <v>-0.13200000000000001</v>
      </c>
      <c r="CH214">
        <v>-7.0000000000000001E-3</v>
      </c>
      <c r="CI214">
        <v>-0.33800000000000002</v>
      </c>
      <c r="CJ214">
        <v>0.14299999999999999</v>
      </c>
      <c r="CK214">
        <v>799</v>
      </c>
      <c r="CL214">
        <v>19</v>
      </c>
      <c r="CM214">
        <v>7.0000000000000007E-2</v>
      </c>
      <c r="CN214">
        <v>0.14000000000000001</v>
      </c>
      <c r="CO214">
        <v>-305.48068292682927</v>
      </c>
      <c r="CP214">
        <v>-1.073519163763387</v>
      </c>
      <c r="CQ214">
        <v>0.1203593074059446</v>
      </c>
      <c r="CR214">
        <v>-1</v>
      </c>
      <c r="CS214">
        <v>19.61254146341463</v>
      </c>
      <c r="CT214">
        <v>3.5560975609793448E-3</v>
      </c>
      <c r="CU214">
        <v>7.9819300682551879E-3</v>
      </c>
      <c r="CV214">
        <v>-1</v>
      </c>
      <c r="CW214">
        <v>0</v>
      </c>
      <c r="CX214">
        <v>0</v>
      </c>
      <c r="CY214" t="s">
        <v>333</v>
      </c>
      <c r="CZ214">
        <v>2.3650099999999998</v>
      </c>
      <c r="DA214">
        <v>2.71374</v>
      </c>
      <c r="DB214">
        <v>0.10484300000000001</v>
      </c>
      <c r="DC214">
        <v>0.146039</v>
      </c>
      <c r="DD214">
        <v>0.113716</v>
      </c>
      <c r="DE214">
        <v>2.9946299999999999E-2</v>
      </c>
      <c r="DF214">
        <v>32714.7</v>
      </c>
      <c r="DG214">
        <v>27558.5</v>
      </c>
      <c r="DH214">
        <v>31198.5</v>
      </c>
      <c r="DI214">
        <v>28119.3</v>
      </c>
      <c r="DJ214">
        <v>37539.4</v>
      </c>
      <c r="DK214">
        <v>38797.199999999997</v>
      </c>
      <c r="DL214">
        <v>44403.8</v>
      </c>
      <c r="DM214">
        <v>42624.800000000003</v>
      </c>
      <c r="DN214">
        <v>1.48705</v>
      </c>
      <c r="DO214">
        <v>2.03965</v>
      </c>
      <c r="DP214">
        <v>7.2888999999999995E-2</v>
      </c>
      <c r="DQ214">
        <v>0.196829</v>
      </c>
      <c r="DR214">
        <v>25.8049</v>
      </c>
      <c r="DS214">
        <v>25.642600000000002</v>
      </c>
      <c r="DT214">
        <v>34.9</v>
      </c>
      <c r="DU214">
        <v>28.9</v>
      </c>
      <c r="DV214">
        <v>14.0969</v>
      </c>
      <c r="DW214">
        <v>61.567900000000002</v>
      </c>
      <c r="DX214">
        <v>36.754800000000003</v>
      </c>
      <c r="DY214">
        <v>1</v>
      </c>
      <c r="DZ214">
        <v>-0.118768</v>
      </c>
      <c r="EA214">
        <v>-0.34182200000000001</v>
      </c>
      <c r="EB214">
        <v>20.189299999999999</v>
      </c>
      <c r="EC214">
        <v>5.2408000000000001</v>
      </c>
      <c r="ED214">
        <v>12.039899999999999</v>
      </c>
      <c r="EE214">
        <v>5.0171000000000001</v>
      </c>
      <c r="EF214">
        <v>3.2879999999999998</v>
      </c>
      <c r="EG214">
        <v>9999</v>
      </c>
      <c r="EH214">
        <v>9999</v>
      </c>
      <c r="EI214">
        <v>9999</v>
      </c>
      <c r="EJ214">
        <v>999.9</v>
      </c>
      <c r="EK214">
        <v>1.8689</v>
      </c>
      <c r="EL214">
        <v>1.8646199999999999</v>
      </c>
      <c r="EM214">
        <v>1.8691899999999999</v>
      </c>
      <c r="EN214">
        <v>1.8672200000000001</v>
      </c>
      <c r="EO214">
        <v>1.86338</v>
      </c>
      <c r="EP214">
        <v>1.8644700000000001</v>
      </c>
      <c r="EQ214">
        <v>1.87012</v>
      </c>
      <c r="ER214">
        <v>1.86938</v>
      </c>
      <c r="ES214">
        <v>0</v>
      </c>
      <c r="ET214">
        <v>0</v>
      </c>
      <c r="EU214">
        <v>0</v>
      </c>
      <c r="EV214">
        <v>0</v>
      </c>
      <c r="EW214" t="s">
        <v>334</v>
      </c>
      <c r="EX214" t="s">
        <v>335</v>
      </c>
      <c r="EY214" t="s">
        <v>336</v>
      </c>
      <c r="EZ214" t="s">
        <v>336</v>
      </c>
      <c r="FA214" t="s">
        <v>336</v>
      </c>
      <c r="FB214" t="s">
        <v>336</v>
      </c>
      <c r="FC214">
        <v>0</v>
      </c>
      <c r="FD214">
        <v>100</v>
      </c>
      <c r="FE214">
        <v>100</v>
      </c>
      <c r="FF214">
        <v>-0.123</v>
      </c>
      <c r="FG214">
        <v>0.17199999999999999</v>
      </c>
      <c r="FH214">
        <v>0.2126736300064915</v>
      </c>
      <c r="FI214">
        <v>-6.1462078757559423E-4</v>
      </c>
      <c r="FJ214">
        <v>-1.8861989874597051E-7</v>
      </c>
      <c r="FK214">
        <v>1.1980462299894961E-10</v>
      </c>
      <c r="FL214">
        <v>0.1719881465068297</v>
      </c>
      <c r="FM214">
        <v>0</v>
      </c>
      <c r="FN214">
        <v>0</v>
      </c>
      <c r="FO214">
        <v>0</v>
      </c>
      <c r="FP214">
        <v>3</v>
      </c>
      <c r="FQ214">
        <v>2158</v>
      </c>
      <c r="FR214">
        <v>1</v>
      </c>
      <c r="FS214">
        <v>19</v>
      </c>
      <c r="FT214">
        <v>42.3</v>
      </c>
      <c r="FU214">
        <v>42.4</v>
      </c>
      <c r="FV214">
        <v>1.7675799999999999</v>
      </c>
      <c r="FW214">
        <v>2.5830099999999998</v>
      </c>
      <c r="FX214">
        <v>1.5490699999999999</v>
      </c>
      <c r="FY214">
        <v>2.32666</v>
      </c>
      <c r="FZ214">
        <v>1.50146</v>
      </c>
      <c r="GA214">
        <v>2.33643</v>
      </c>
      <c r="GB214">
        <v>33.512999999999998</v>
      </c>
      <c r="GC214">
        <v>23.991199999999999</v>
      </c>
      <c r="GD214">
        <v>19</v>
      </c>
      <c r="GE214">
        <v>286.065</v>
      </c>
      <c r="GF214">
        <v>582.04999999999995</v>
      </c>
      <c r="GG214">
        <v>25.5871</v>
      </c>
      <c r="GH214">
        <v>25.920999999999999</v>
      </c>
      <c r="GI214">
        <v>30.0001</v>
      </c>
      <c r="GJ214">
        <v>26.025200000000002</v>
      </c>
      <c r="GK214">
        <v>26.001999999999999</v>
      </c>
      <c r="GL214">
        <v>35.339100000000002</v>
      </c>
      <c r="GM214">
        <v>64.232299999999995</v>
      </c>
      <c r="GN214">
        <v>37.772599999999997</v>
      </c>
      <c r="GO214">
        <v>25.583300000000001</v>
      </c>
      <c r="GP214">
        <v>800</v>
      </c>
      <c r="GQ214">
        <v>4.3343400000000001</v>
      </c>
      <c r="GR214">
        <v>99.828999999999994</v>
      </c>
      <c r="GS214">
        <v>99.7089</v>
      </c>
    </row>
    <row r="215" spans="1:201" x14ac:dyDescent="0.25">
      <c r="A215">
        <v>199</v>
      </c>
      <c r="B215">
        <v>1690234555</v>
      </c>
      <c r="C215">
        <v>2048.900000095367</v>
      </c>
      <c r="D215" t="s">
        <v>729</v>
      </c>
      <c r="E215" t="s">
        <v>730</v>
      </c>
      <c r="F215" t="s">
        <v>330</v>
      </c>
      <c r="H215">
        <v>1690234555</v>
      </c>
      <c r="I215">
        <f t="shared" si="90"/>
        <v>1.8666916220121228E-3</v>
      </c>
      <c r="J215">
        <f t="shared" si="91"/>
        <v>1.8666916220121228</v>
      </c>
      <c r="K215">
        <f t="shared" si="92"/>
        <v>27.418734451239779</v>
      </c>
      <c r="L215">
        <f t="shared" si="93"/>
        <v>494.01799999999997</v>
      </c>
      <c r="M215">
        <f t="shared" si="94"/>
        <v>103.357770586638</v>
      </c>
      <c r="N215">
        <f t="shared" si="95"/>
        <v>10.242342977704496</v>
      </c>
      <c r="O215">
        <f t="shared" si="96"/>
        <v>48.955214150233992</v>
      </c>
      <c r="P215">
        <f t="shared" si="97"/>
        <v>0.11758695018672614</v>
      </c>
      <c r="Q215">
        <f t="shared" si="98"/>
        <v>2.1274400761521095</v>
      </c>
      <c r="R215">
        <f t="shared" si="99"/>
        <v>0.11409199245407504</v>
      </c>
      <c r="S215">
        <f t="shared" si="100"/>
        <v>7.1612850548734258E-2</v>
      </c>
      <c r="T215">
        <f t="shared" si="101"/>
        <v>276.11543960999995</v>
      </c>
      <c r="U215">
        <f t="shared" si="102"/>
        <v>28.649876085278251</v>
      </c>
      <c r="V215">
        <f t="shared" si="103"/>
        <v>28.649876085278251</v>
      </c>
      <c r="W215">
        <f t="shared" si="104"/>
        <v>3.9410074618147659</v>
      </c>
      <c r="X215">
        <f t="shared" si="105"/>
        <v>65.80355568013286</v>
      </c>
      <c r="Y215">
        <f t="shared" si="106"/>
        <v>2.3713081334821999</v>
      </c>
      <c r="Z215">
        <f t="shared" si="107"/>
        <v>3.6036170218657895</v>
      </c>
      <c r="AA215">
        <f t="shared" si="108"/>
        <v>1.569699328332566</v>
      </c>
      <c r="AB215">
        <f t="shared" si="109"/>
        <v>-82.321100530734611</v>
      </c>
      <c r="AC215">
        <f t="shared" si="110"/>
        <v>-175.92722641420303</v>
      </c>
      <c r="AD215">
        <f t="shared" si="111"/>
        <v>-18.004556701459915</v>
      </c>
      <c r="AE215">
        <f t="shared" si="112"/>
        <v>-0.13744403639762481</v>
      </c>
      <c r="AF215">
        <v>0</v>
      </c>
      <c r="AG215">
        <v>0</v>
      </c>
      <c r="AH215">
        <f t="shared" si="113"/>
        <v>1</v>
      </c>
      <c r="AI215">
        <f t="shared" si="114"/>
        <v>0</v>
      </c>
      <c r="AJ215">
        <f t="shared" si="115"/>
        <v>52219.370672013538</v>
      </c>
      <c r="AK215">
        <f t="shared" si="116"/>
        <v>1800</v>
      </c>
      <c r="AL215">
        <f t="shared" si="117"/>
        <v>1499.1129989999997</v>
      </c>
      <c r="AM215">
        <f t="shared" si="118"/>
        <v>0.83284055499999987</v>
      </c>
      <c r="AN215">
        <f t="shared" si="119"/>
        <v>0.15339746644999996</v>
      </c>
      <c r="AO215">
        <v>32.4</v>
      </c>
      <c r="AP215">
        <v>0.5</v>
      </c>
      <c r="AQ215" t="s">
        <v>331</v>
      </c>
      <c r="AR215">
        <v>2</v>
      </c>
      <c r="AS215">
        <v>1690234555</v>
      </c>
      <c r="AT215">
        <v>494.01799999999997</v>
      </c>
      <c r="AU215">
        <v>799.952</v>
      </c>
      <c r="AV215">
        <v>23.929400000000001</v>
      </c>
      <c r="AW215">
        <v>4.2610599999999996</v>
      </c>
      <c r="AX215">
        <v>494.14100000000002</v>
      </c>
      <c r="AY215">
        <v>23.757400000000001</v>
      </c>
      <c r="AZ215">
        <v>300.14499999999998</v>
      </c>
      <c r="BA215">
        <v>98.995999999999995</v>
      </c>
      <c r="BB215">
        <v>0.100013</v>
      </c>
      <c r="BC215">
        <v>27.116</v>
      </c>
      <c r="BD215">
        <v>27.002099999999999</v>
      </c>
      <c r="BE215">
        <v>28.871400000000001</v>
      </c>
      <c r="BF215">
        <v>0</v>
      </c>
      <c r="BG215">
        <v>0</v>
      </c>
      <c r="BH215">
        <v>9978.75</v>
      </c>
      <c r="BI215">
        <v>1080.27</v>
      </c>
      <c r="BJ215">
        <v>1.3315699999999999</v>
      </c>
      <c r="BK215">
        <v>-305.93400000000003</v>
      </c>
      <c r="BL215">
        <v>506.13</v>
      </c>
      <c r="BM215">
        <v>803.375</v>
      </c>
      <c r="BN215">
        <v>19.668399999999998</v>
      </c>
      <c r="BO215">
        <v>799.952</v>
      </c>
      <c r="BP215">
        <v>4.2610599999999996</v>
      </c>
      <c r="BQ215">
        <v>2.3689200000000001</v>
      </c>
      <c r="BR215">
        <v>0.42182799999999998</v>
      </c>
      <c r="BS215">
        <v>20.152799999999999</v>
      </c>
      <c r="BT215">
        <v>-5.0524800000000001</v>
      </c>
      <c r="BU215">
        <v>1800</v>
      </c>
      <c r="BV215">
        <v>0.91000300000000001</v>
      </c>
      <c r="BW215">
        <v>3.3992500000000002E-2</v>
      </c>
      <c r="BX215">
        <v>2.2003000000000002E-2</v>
      </c>
      <c r="BY215">
        <v>3.4000900000000001E-2</v>
      </c>
      <c r="BZ215">
        <v>26</v>
      </c>
      <c r="CA215">
        <v>33528.5</v>
      </c>
      <c r="CB215">
        <v>1690232006</v>
      </c>
      <c r="CC215" t="s">
        <v>332</v>
      </c>
      <c r="CD215">
        <v>1690232006</v>
      </c>
      <c r="CE215">
        <v>1690231998.5</v>
      </c>
      <c r="CF215">
        <v>14</v>
      </c>
      <c r="CG215">
        <v>-0.13200000000000001</v>
      </c>
      <c r="CH215">
        <v>-7.0000000000000001E-3</v>
      </c>
      <c r="CI215">
        <v>-0.33800000000000002</v>
      </c>
      <c r="CJ215">
        <v>0.14299999999999999</v>
      </c>
      <c r="CK215">
        <v>799</v>
      </c>
      <c r="CL215">
        <v>19</v>
      </c>
      <c r="CM215">
        <v>7.0000000000000007E-2</v>
      </c>
      <c r="CN215">
        <v>0.14000000000000001</v>
      </c>
      <c r="CO215">
        <v>-305.69843902439021</v>
      </c>
      <c r="CP215">
        <v>-1.5541881533102511</v>
      </c>
      <c r="CQ215">
        <v>0.17540963190458131</v>
      </c>
      <c r="CR215">
        <v>-1</v>
      </c>
      <c r="CS215">
        <v>19.62827317073171</v>
      </c>
      <c r="CT215">
        <v>0.2055156794425165</v>
      </c>
      <c r="CU215">
        <v>2.1444187618779049E-2</v>
      </c>
      <c r="CV215">
        <v>-1</v>
      </c>
      <c r="CW215">
        <v>0</v>
      </c>
      <c r="CX215">
        <v>0</v>
      </c>
      <c r="CY215" t="s">
        <v>333</v>
      </c>
      <c r="CZ215">
        <v>2.3648500000000001</v>
      </c>
      <c r="DA215">
        <v>2.7137799999999999</v>
      </c>
      <c r="DB215">
        <v>0.1048</v>
      </c>
      <c r="DC215">
        <v>0.146038</v>
      </c>
      <c r="DD215">
        <v>0.113715</v>
      </c>
      <c r="DE215">
        <v>2.96774E-2</v>
      </c>
      <c r="DF215">
        <v>32715.7</v>
      </c>
      <c r="DG215">
        <v>27558.3</v>
      </c>
      <c r="DH215">
        <v>31198</v>
      </c>
      <c r="DI215">
        <v>28119</v>
      </c>
      <c r="DJ215">
        <v>37539.1</v>
      </c>
      <c r="DK215">
        <v>38807.4</v>
      </c>
      <c r="DL215">
        <v>44403.4</v>
      </c>
      <c r="DM215">
        <v>42624.1</v>
      </c>
      <c r="DN215">
        <v>1.4869300000000001</v>
      </c>
      <c r="DO215">
        <v>2.0398000000000001</v>
      </c>
      <c r="DP215">
        <v>7.2978399999999999E-2</v>
      </c>
      <c r="DQ215">
        <v>0.197411</v>
      </c>
      <c r="DR215">
        <v>25.807500000000001</v>
      </c>
      <c r="DS215">
        <v>25.644300000000001</v>
      </c>
      <c r="DT215">
        <v>34.700000000000003</v>
      </c>
      <c r="DU215">
        <v>28.9</v>
      </c>
      <c r="DV215">
        <v>14.017899999999999</v>
      </c>
      <c r="DW215">
        <v>61.527900000000002</v>
      </c>
      <c r="DX215">
        <v>36.6066</v>
      </c>
      <c r="DY215">
        <v>1</v>
      </c>
      <c r="DZ215">
        <v>-0.11870699999999999</v>
      </c>
      <c r="EA215">
        <v>-0.348663</v>
      </c>
      <c r="EB215">
        <v>20.189299999999999</v>
      </c>
      <c r="EC215">
        <v>5.2411000000000003</v>
      </c>
      <c r="ED215">
        <v>12.039899999999999</v>
      </c>
      <c r="EE215">
        <v>5.0170000000000003</v>
      </c>
      <c r="EF215">
        <v>3.2879999999999998</v>
      </c>
      <c r="EG215">
        <v>9999</v>
      </c>
      <c r="EH215">
        <v>9999</v>
      </c>
      <c r="EI215">
        <v>9999</v>
      </c>
      <c r="EJ215">
        <v>999.9</v>
      </c>
      <c r="EK215">
        <v>1.8689</v>
      </c>
      <c r="EL215">
        <v>1.8646100000000001</v>
      </c>
      <c r="EM215">
        <v>1.8691599999999999</v>
      </c>
      <c r="EN215">
        <v>1.8672200000000001</v>
      </c>
      <c r="EO215">
        <v>1.8633900000000001</v>
      </c>
      <c r="EP215">
        <v>1.8644700000000001</v>
      </c>
      <c r="EQ215">
        <v>1.8701300000000001</v>
      </c>
      <c r="ER215">
        <v>1.86938</v>
      </c>
      <c r="ES215">
        <v>0</v>
      </c>
      <c r="ET215">
        <v>0</v>
      </c>
      <c r="EU215">
        <v>0</v>
      </c>
      <c r="EV215">
        <v>0</v>
      </c>
      <c r="EW215" t="s">
        <v>334</v>
      </c>
      <c r="EX215" t="s">
        <v>335</v>
      </c>
      <c r="EY215" t="s">
        <v>336</v>
      </c>
      <c r="EZ215" t="s">
        <v>336</v>
      </c>
      <c r="FA215" t="s">
        <v>336</v>
      </c>
      <c r="FB215" t="s">
        <v>336</v>
      </c>
      <c r="FC215">
        <v>0</v>
      </c>
      <c r="FD215">
        <v>100</v>
      </c>
      <c r="FE215">
        <v>100</v>
      </c>
      <c r="FF215">
        <v>-0.123</v>
      </c>
      <c r="FG215">
        <v>0.17199999999999999</v>
      </c>
      <c r="FH215">
        <v>0.2126736300064915</v>
      </c>
      <c r="FI215">
        <v>-6.1462078757559423E-4</v>
      </c>
      <c r="FJ215">
        <v>-1.8861989874597051E-7</v>
      </c>
      <c r="FK215">
        <v>1.1980462299894961E-10</v>
      </c>
      <c r="FL215">
        <v>0.1719881465068297</v>
      </c>
      <c r="FM215">
        <v>0</v>
      </c>
      <c r="FN215">
        <v>0</v>
      </c>
      <c r="FO215">
        <v>0</v>
      </c>
      <c r="FP215">
        <v>3</v>
      </c>
      <c r="FQ215">
        <v>2158</v>
      </c>
      <c r="FR215">
        <v>1</v>
      </c>
      <c r="FS215">
        <v>19</v>
      </c>
      <c r="FT215">
        <v>42.5</v>
      </c>
      <c r="FU215">
        <v>42.6</v>
      </c>
      <c r="FV215">
        <v>1.7675799999999999</v>
      </c>
      <c r="FW215">
        <v>2.5878899999999998</v>
      </c>
      <c r="FX215">
        <v>1.5490699999999999</v>
      </c>
      <c r="FY215">
        <v>2.32666</v>
      </c>
      <c r="FZ215">
        <v>1.50146</v>
      </c>
      <c r="GA215">
        <v>2.3889200000000002</v>
      </c>
      <c r="GB215">
        <v>33.512999999999998</v>
      </c>
      <c r="GC215">
        <v>23.991199999999999</v>
      </c>
      <c r="GD215">
        <v>19</v>
      </c>
      <c r="GE215">
        <v>286.01100000000002</v>
      </c>
      <c r="GF215">
        <v>582.17899999999997</v>
      </c>
      <c r="GG215">
        <v>25.585100000000001</v>
      </c>
      <c r="GH215">
        <v>25.922899999999998</v>
      </c>
      <c r="GI215">
        <v>30.0002</v>
      </c>
      <c r="GJ215">
        <v>26.025200000000002</v>
      </c>
      <c r="GK215">
        <v>26.002400000000002</v>
      </c>
      <c r="GL215">
        <v>35.338799999999999</v>
      </c>
      <c r="GM215">
        <v>64.232299999999995</v>
      </c>
      <c r="GN215">
        <v>37.387099999999997</v>
      </c>
      <c r="GO215">
        <v>25.584900000000001</v>
      </c>
      <c r="GP215">
        <v>800</v>
      </c>
      <c r="GQ215">
        <v>4.3019299999999996</v>
      </c>
      <c r="GR215">
        <v>99.827799999999996</v>
      </c>
      <c r="GS215">
        <v>99.707599999999999</v>
      </c>
    </row>
    <row r="216" spans="1:201" x14ac:dyDescent="0.25">
      <c r="A216">
        <v>200</v>
      </c>
      <c r="B216">
        <v>1690234565</v>
      </c>
      <c r="C216">
        <v>2058.900000095367</v>
      </c>
      <c r="D216" t="s">
        <v>731</v>
      </c>
      <c r="E216" t="s">
        <v>732</v>
      </c>
      <c r="F216" t="s">
        <v>330</v>
      </c>
      <c r="H216">
        <v>1690234565</v>
      </c>
      <c r="I216">
        <f t="shared" si="90"/>
        <v>1.8703758035974625E-3</v>
      </c>
      <c r="J216">
        <f t="shared" si="91"/>
        <v>1.8703758035974625</v>
      </c>
      <c r="K216">
        <f t="shared" si="92"/>
        <v>27.445780509832431</v>
      </c>
      <c r="L216">
        <f t="shared" si="93"/>
        <v>493.82600000000002</v>
      </c>
      <c r="M216">
        <f t="shared" si="94"/>
        <v>103.60137811788682</v>
      </c>
      <c r="N216">
        <f t="shared" si="95"/>
        <v>10.266475431880536</v>
      </c>
      <c r="O216">
        <f t="shared" si="96"/>
        <v>48.936149197310009</v>
      </c>
      <c r="P216">
        <f t="shared" si="97"/>
        <v>0.11783401629106448</v>
      </c>
      <c r="Q216">
        <f t="shared" si="98"/>
        <v>2.1339211482139224</v>
      </c>
      <c r="R216">
        <f t="shared" si="99"/>
        <v>0.11433491027084386</v>
      </c>
      <c r="S216">
        <f t="shared" si="100"/>
        <v>7.1765044529947086E-2</v>
      </c>
      <c r="T216">
        <f t="shared" si="101"/>
        <v>276.11558537400003</v>
      </c>
      <c r="U216">
        <f t="shared" si="102"/>
        <v>28.646161978443011</v>
      </c>
      <c r="V216">
        <f t="shared" si="103"/>
        <v>28.646161978443011</v>
      </c>
      <c r="W216">
        <f t="shared" si="104"/>
        <v>3.9401583445149195</v>
      </c>
      <c r="X216">
        <f t="shared" si="105"/>
        <v>65.779506081649913</v>
      </c>
      <c r="Y216">
        <f t="shared" si="106"/>
        <v>2.3706918721920007</v>
      </c>
      <c r="Z216">
        <f t="shared" si="107"/>
        <v>3.6039976786224877</v>
      </c>
      <c r="AA216">
        <f t="shared" si="108"/>
        <v>1.5694664723229188</v>
      </c>
      <c r="AB216">
        <f t="shared" si="109"/>
        <v>-82.483572938648095</v>
      </c>
      <c r="AC216">
        <f t="shared" si="110"/>
        <v>-175.82880964056577</v>
      </c>
      <c r="AD216">
        <f t="shared" si="111"/>
        <v>-17.939660380675917</v>
      </c>
      <c r="AE216">
        <f t="shared" si="112"/>
        <v>-0.13645758588975809</v>
      </c>
      <c r="AF216">
        <v>0</v>
      </c>
      <c r="AG216">
        <v>0</v>
      </c>
      <c r="AH216">
        <f t="shared" si="113"/>
        <v>1</v>
      </c>
      <c r="AI216">
        <f t="shared" si="114"/>
        <v>0</v>
      </c>
      <c r="AJ216">
        <f t="shared" si="115"/>
        <v>52498.24179043078</v>
      </c>
      <c r="AK216">
        <f t="shared" si="116"/>
        <v>1800</v>
      </c>
      <c r="AL216">
        <f t="shared" si="117"/>
        <v>1499.1139583999998</v>
      </c>
      <c r="AM216">
        <f t="shared" si="118"/>
        <v>0.8328410879999999</v>
      </c>
      <c r="AN216">
        <f t="shared" si="119"/>
        <v>0.15339754743</v>
      </c>
      <c r="AO216">
        <v>32.4</v>
      </c>
      <c r="AP216">
        <v>0.5</v>
      </c>
      <c r="AQ216" t="s">
        <v>331</v>
      </c>
      <c r="AR216">
        <v>2</v>
      </c>
      <c r="AS216">
        <v>1690234565</v>
      </c>
      <c r="AT216">
        <v>493.82600000000002</v>
      </c>
      <c r="AU216">
        <v>800.03099999999995</v>
      </c>
      <c r="AV216">
        <v>23.923200000000001</v>
      </c>
      <c r="AW216">
        <v>4.21828</v>
      </c>
      <c r="AX216">
        <v>493.94900000000001</v>
      </c>
      <c r="AY216">
        <v>23.751200000000001</v>
      </c>
      <c r="AZ216">
        <v>300.18099999999998</v>
      </c>
      <c r="BA216">
        <v>98.995900000000006</v>
      </c>
      <c r="BB216">
        <v>0.100035</v>
      </c>
      <c r="BC216">
        <v>27.117799999999999</v>
      </c>
      <c r="BD216">
        <v>27.001000000000001</v>
      </c>
      <c r="BE216">
        <v>28.859400000000001</v>
      </c>
      <c r="BF216">
        <v>0</v>
      </c>
      <c r="BG216">
        <v>0</v>
      </c>
      <c r="BH216">
        <v>10034.4</v>
      </c>
      <c r="BI216">
        <v>1080.31</v>
      </c>
      <c r="BJ216">
        <v>1.32036</v>
      </c>
      <c r="BK216">
        <v>-306.20499999999998</v>
      </c>
      <c r="BL216">
        <v>505.93</v>
      </c>
      <c r="BM216">
        <v>803.42</v>
      </c>
      <c r="BN216">
        <v>19.704899999999999</v>
      </c>
      <c r="BO216">
        <v>800.03099999999995</v>
      </c>
      <c r="BP216">
        <v>4.21828</v>
      </c>
      <c r="BQ216">
        <v>2.3683000000000001</v>
      </c>
      <c r="BR216">
        <v>0.41759200000000002</v>
      </c>
      <c r="BS216">
        <v>20.148599999999998</v>
      </c>
      <c r="BT216">
        <v>-5.1855700000000002</v>
      </c>
      <c r="BU216">
        <v>1800</v>
      </c>
      <c r="BV216">
        <v>0.91000400000000004</v>
      </c>
      <c r="BW216">
        <v>3.3992399999999999E-2</v>
      </c>
      <c r="BX216">
        <v>2.2002899999999999E-2</v>
      </c>
      <c r="BY216">
        <v>3.4000700000000002E-2</v>
      </c>
      <c r="BZ216">
        <v>26</v>
      </c>
      <c r="CA216">
        <v>33528.300000000003</v>
      </c>
      <c r="CB216">
        <v>1690232006</v>
      </c>
      <c r="CC216" t="s">
        <v>332</v>
      </c>
      <c r="CD216">
        <v>1690232006</v>
      </c>
      <c r="CE216">
        <v>1690231998.5</v>
      </c>
      <c r="CF216">
        <v>14</v>
      </c>
      <c r="CG216">
        <v>-0.13200000000000001</v>
      </c>
      <c r="CH216">
        <v>-7.0000000000000001E-3</v>
      </c>
      <c r="CI216">
        <v>-0.33800000000000002</v>
      </c>
      <c r="CJ216">
        <v>0.14299999999999999</v>
      </c>
      <c r="CK216">
        <v>799</v>
      </c>
      <c r="CL216">
        <v>19</v>
      </c>
      <c r="CM216">
        <v>7.0000000000000007E-2</v>
      </c>
      <c r="CN216">
        <v>0.14000000000000001</v>
      </c>
      <c r="CO216">
        <v>-305.93920000000003</v>
      </c>
      <c r="CP216">
        <v>-1.422686679173506</v>
      </c>
      <c r="CQ216">
        <v>0.15697009269284859</v>
      </c>
      <c r="CR216">
        <v>-1</v>
      </c>
      <c r="CS216">
        <v>19.663482500000001</v>
      </c>
      <c r="CT216">
        <v>0.21743977485921159</v>
      </c>
      <c r="CU216">
        <v>2.12254904242513E-2</v>
      </c>
      <c r="CV216">
        <v>-1</v>
      </c>
      <c r="CW216">
        <v>0</v>
      </c>
      <c r="CX216">
        <v>0</v>
      </c>
      <c r="CY216" t="s">
        <v>333</v>
      </c>
      <c r="CZ216">
        <v>2.3649900000000001</v>
      </c>
      <c r="DA216">
        <v>2.7138599999999999</v>
      </c>
      <c r="DB216">
        <v>0.10477</v>
      </c>
      <c r="DC216">
        <v>0.14604700000000001</v>
      </c>
      <c r="DD216">
        <v>0.113693</v>
      </c>
      <c r="DE216">
        <v>2.9424499999999999E-2</v>
      </c>
      <c r="DF216">
        <v>32717.200000000001</v>
      </c>
      <c r="DG216">
        <v>27558.2</v>
      </c>
      <c r="DH216">
        <v>31198.400000000001</v>
      </c>
      <c r="DI216">
        <v>28119.200000000001</v>
      </c>
      <c r="DJ216">
        <v>37540.400000000001</v>
      </c>
      <c r="DK216">
        <v>38817.9</v>
      </c>
      <c r="DL216">
        <v>44403.9</v>
      </c>
      <c r="DM216">
        <v>42624.5</v>
      </c>
      <c r="DN216">
        <v>1.48722</v>
      </c>
      <c r="DO216">
        <v>2.0394199999999998</v>
      </c>
      <c r="DP216">
        <v>7.2777300000000003E-2</v>
      </c>
      <c r="DQ216">
        <v>0.19664300000000001</v>
      </c>
      <c r="DR216">
        <v>25.809699999999999</v>
      </c>
      <c r="DS216">
        <v>25.6447</v>
      </c>
      <c r="DT216">
        <v>34.4</v>
      </c>
      <c r="DU216">
        <v>28.9</v>
      </c>
      <c r="DV216">
        <v>13.892200000000001</v>
      </c>
      <c r="DW216">
        <v>61.337899999999998</v>
      </c>
      <c r="DX216">
        <v>37.512</v>
      </c>
      <c r="DY216">
        <v>1</v>
      </c>
      <c r="DZ216">
        <v>-0.11863799999999999</v>
      </c>
      <c r="EA216">
        <v>-0.33810200000000001</v>
      </c>
      <c r="EB216">
        <v>20.189399999999999</v>
      </c>
      <c r="EC216">
        <v>5.2411000000000003</v>
      </c>
      <c r="ED216">
        <v>12.039899999999999</v>
      </c>
      <c r="EE216">
        <v>5.0169499999999996</v>
      </c>
      <c r="EF216">
        <v>3.2879999999999998</v>
      </c>
      <c r="EG216">
        <v>9999</v>
      </c>
      <c r="EH216">
        <v>9999</v>
      </c>
      <c r="EI216">
        <v>9999</v>
      </c>
      <c r="EJ216">
        <v>999.9</v>
      </c>
      <c r="EK216">
        <v>1.8689</v>
      </c>
      <c r="EL216">
        <v>1.8646199999999999</v>
      </c>
      <c r="EM216">
        <v>1.86917</v>
      </c>
      <c r="EN216">
        <v>1.8672200000000001</v>
      </c>
      <c r="EO216">
        <v>1.86338</v>
      </c>
      <c r="EP216">
        <v>1.8644700000000001</v>
      </c>
      <c r="EQ216">
        <v>1.8701300000000001</v>
      </c>
      <c r="ER216">
        <v>1.86937</v>
      </c>
      <c r="ES216">
        <v>0</v>
      </c>
      <c r="ET216">
        <v>0</v>
      </c>
      <c r="EU216">
        <v>0</v>
      </c>
      <c r="EV216">
        <v>0</v>
      </c>
      <c r="EW216" t="s">
        <v>334</v>
      </c>
      <c r="EX216" t="s">
        <v>335</v>
      </c>
      <c r="EY216" t="s">
        <v>336</v>
      </c>
      <c r="EZ216" t="s">
        <v>336</v>
      </c>
      <c r="FA216" t="s">
        <v>336</v>
      </c>
      <c r="FB216" t="s">
        <v>336</v>
      </c>
      <c r="FC216">
        <v>0</v>
      </c>
      <c r="FD216">
        <v>100</v>
      </c>
      <c r="FE216">
        <v>100</v>
      </c>
      <c r="FF216">
        <v>-0.123</v>
      </c>
      <c r="FG216">
        <v>0.17199999999999999</v>
      </c>
      <c r="FH216">
        <v>0.2126736300064915</v>
      </c>
      <c r="FI216">
        <v>-6.1462078757559423E-4</v>
      </c>
      <c r="FJ216">
        <v>-1.8861989874597051E-7</v>
      </c>
      <c r="FK216">
        <v>1.1980462299894961E-10</v>
      </c>
      <c r="FL216">
        <v>0.1719881465068297</v>
      </c>
      <c r="FM216">
        <v>0</v>
      </c>
      <c r="FN216">
        <v>0</v>
      </c>
      <c r="FO216">
        <v>0</v>
      </c>
      <c r="FP216">
        <v>3</v>
      </c>
      <c r="FQ216">
        <v>2158</v>
      </c>
      <c r="FR216">
        <v>1</v>
      </c>
      <c r="FS216">
        <v>19</v>
      </c>
      <c r="FT216">
        <v>42.6</v>
      </c>
      <c r="FU216">
        <v>42.8</v>
      </c>
      <c r="FV216">
        <v>1.7675799999999999</v>
      </c>
      <c r="FW216">
        <v>2.5927699999999998</v>
      </c>
      <c r="FX216">
        <v>1.5490699999999999</v>
      </c>
      <c r="FY216">
        <v>2.3278799999999999</v>
      </c>
      <c r="FZ216">
        <v>1.50146</v>
      </c>
      <c r="GA216">
        <v>2.3132299999999999</v>
      </c>
      <c r="GB216">
        <v>33.512999999999998</v>
      </c>
      <c r="GC216">
        <v>23.982399999999998</v>
      </c>
      <c r="GD216">
        <v>19</v>
      </c>
      <c r="GE216">
        <v>286.149</v>
      </c>
      <c r="GF216">
        <v>581.87</v>
      </c>
      <c r="GG216">
        <v>25.584</v>
      </c>
      <c r="GH216">
        <v>25.923200000000001</v>
      </c>
      <c r="GI216">
        <v>30.0001</v>
      </c>
      <c r="GJ216">
        <v>26.0273</v>
      </c>
      <c r="GK216">
        <v>26.002400000000002</v>
      </c>
      <c r="GL216">
        <v>35.335500000000003</v>
      </c>
      <c r="GM216">
        <v>64.232299999999995</v>
      </c>
      <c r="GN216">
        <v>36.631100000000004</v>
      </c>
      <c r="GO216">
        <v>25.5824</v>
      </c>
      <c r="GP216">
        <v>800</v>
      </c>
      <c r="GQ216">
        <v>4.2713200000000002</v>
      </c>
      <c r="GR216">
        <v>99.828900000000004</v>
      </c>
      <c r="GS216">
        <v>99.708299999999994</v>
      </c>
    </row>
    <row r="217" spans="1:201" x14ac:dyDescent="0.25">
      <c r="A217">
        <v>201</v>
      </c>
      <c r="B217">
        <v>1690234575</v>
      </c>
      <c r="C217">
        <v>2068.900000095367</v>
      </c>
      <c r="D217" t="s">
        <v>733</v>
      </c>
      <c r="E217" t="s">
        <v>734</v>
      </c>
      <c r="F217" t="s">
        <v>330</v>
      </c>
      <c r="H217">
        <v>1690234575</v>
      </c>
      <c r="I217">
        <f t="shared" si="90"/>
        <v>1.8730510218533836E-3</v>
      </c>
      <c r="J217">
        <f t="shared" si="91"/>
        <v>1.8730510218533836</v>
      </c>
      <c r="K217">
        <f t="shared" si="92"/>
        <v>27.463733684882889</v>
      </c>
      <c r="L217">
        <f t="shared" si="93"/>
        <v>493.68400000000003</v>
      </c>
      <c r="M217">
        <f t="shared" si="94"/>
        <v>103.08053638894552</v>
      </c>
      <c r="N217">
        <f t="shared" si="95"/>
        <v>10.214679371973061</v>
      </c>
      <c r="O217">
        <f t="shared" si="96"/>
        <v>48.921202272808003</v>
      </c>
      <c r="P217">
        <f t="shared" si="97"/>
        <v>0.11780734397281489</v>
      </c>
      <c r="Q217">
        <f t="shared" si="98"/>
        <v>2.1253724296518302</v>
      </c>
      <c r="R217">
        <f t="shared" si="99"/>
        <v>0.11429618002383843</v>
      </c>
      <c r="S217">
        <f t="shared" si="100"/>
        <v>7.1741859732025196E-2</v>
      </c>
      <c r="T217">
        <f t="shared" si="101"/>
        <v>276.1141777938235</v>
      </c>
      <c r="U217">
        <f t="shared" si="102"/>
        <v>28.654491119594802</v>
      </c>
      <c r="V217">
        <f t="shared" si="103"/>
        <v>28.654491119594802</v>
      </c>
      <c r="W217">
        <f t="shared" si="104"/>
        <v>3.9420627710682377</v>
      </c>
      <c r="X217">
        <f t="shared" si="105"/>
        <v>65.742057455263847</v>
      </c>
      <c r="Y217">
        <f t="shared" si="106"/>
        <v>2.3698567030623998</v>
      </c>
      <c r="Z217">
        <f t="shared" si="107"/>
        <v>3.6047802499564905</v>
      </c>
      <c r="AA217">
        <f t="shared" si="108"/>
        <v>1.5722060680058378</v>
      </c>
      <c r="AB217">
        <f t="shared" si="109"/>
        <v>-82.601550063734223</v>
      </c>
      <c r="AC217">
        <f t="shared" si="110"/>
        <v>-175.65484168502263</v>
      </c>
      <c r="AD217">
        <f t="shared" si="111"/>
        <v>-17.99507628496206</v>
      </c>
      <c r="AE217">
        <f t="shared" si="112"/>
        <v>-0.13729023989543521</v>
      </c>
      <c r="AF217">
        <v>0</v>
      </c>
      <c r="AG217">
        <v>0</v>
      </c>
      <c r="AH217">
        <f t="shared" si="113"/>
        <v>1</v>
      </c>
      <c r="AI217">
        <f t="shared" si="114"/>
        <v>0</v>
      </c>
      <c r="AJ217">
        <f t="shared" si="115"/>
        <v>52129.509972596461</v>
      </c>
      <c r="AK217">
        <f t="shared" si="116"/>
        <v>1799.99</v>
      </c>
      <c r="AL217">
        <f t="shared" si="117"/>
        <v>1499.1061825860497</v>
      </c>
      <c r="AM217">
        <f t="shared" si="118"/>
        <v>0.83284139499999987</v>
      </c>
      <c r="AN217">
        <f t="shared" si="119"/>
        <v>0.15339761764999998</v>
      </c>
      <c r="AO217">
        <v>32.4</v>
      </c>
      <c r="AP217">
        <v>0.5</v>
      </c>
      <c r="AQ217" t="s">
        <v>331</v>
      </c>
      <c r="AR217">
        <v>2</v>
      </c>
      <c r="AS217">
        <v>1690234575</v>
      </c>
      <c r="AT217">
        <v>493.68400000000003</v>
      </c>
      <c r="AU217">
        <v>800.08600000000001</v>
      </c>
      <c r="AV217">
        <v>23.915199999999999</v>
      </c>
      <c r="AW217">
        <v>4.1824599999999998</v>
      </c>
      <c r="AX217">
        <v>493.80700000000002</v>
      </c>
      <c r="AY217">
        <v>23.743200000000002</v>
      </c>
      <c r="AZ217">
        <v>300.18900000000002</v>
      </c>
      <c r="BA217">
        <v>98.994100000000003</v>
      </c>
      <c r="BB217">
        <v>0.100062</v>
      </c>
      <c r="BC217">
        <v>27.121500000000001</v>
      </c>
      <c r="BD217">
        <v>27.001200000000001</v>
      </c>
      <c r="BE217">
        <v>28.856300000000001</v>
      </c>
      <c r="BF217">
        <v>0</v>
      </c>
      <c r="BG217">
        <v>0</v>
      </c>
      <c r="BH217">
        <v>9961.25</v>
      </c>
      <c r="BI217">
        <v>1080.28</v>
      </c>
      <c r="BJ217">
        <v>1.3063400000000001</v>
      </c>
      <c r="BK217">
        <v>-306.40100000000001</v>
      </c>
      <c r="BL217">
        <v>505.78</v>
      </c>
      <c r="BM217">
        <v>803.44600000000003</v>
      </c>
      <c r="BN217">
        <v>19.732800000000001</v>
      </c>
      <c r="BO217">
        <v>800.08600000000001</v>
      </c>
      <c r="BP217">
        <v>4.1824599999999998</v>
      </c>
      <c r="BQ217">
        <v>2.3674599999999999</v>
      </c>
      <c r="BR217">
        <v>0.41403899999999999</v>
      </c>
      <c r="BS217">
        <v>20.142900000000001</v>
      </c>
      <c r="BT217">
        <v>-5.2981800000000003</v>
      </c>
      <c r="BU217">
        <v>1799.99</v>
      </c>
      <c r="BV217">
        <v>0.91000400000000004</v>
      </c>
      <c r="BW217">
        <v>3.3992500000000002E-2</v>
      </c>
      <c r="BX217">
        <v>2.2003000000000002E-2</v>
      </c>
      <c r="BY217">
        <v>3.4000900000000001E-2</v>
      </c>
      <c r="BZ217">
        <v>26</v>
      </c>
      <c r="CA217">
        <v>33528.300000000003</v>
      </c>
      <c r="CB217">
        <v>1690232006</v>
      </c>
      <c r="CC217" t="s">
        <v>332</v>
      </c>
      <c r="CD217">
        <v>1690232006</v>
      </c>
      <c r="CE217">
        <v>1690231998.5</v>
      </c>
      <c r="CF217">
        <v>14</v>
      </c>
      <c r="CG217">
        <v>-0.13200000000000001</v>
      </c>
      <c r="CH217">
        <v>-7.0000000000000001E-3</v>
      </c>
      <c r="CI217">
        <v>-0.33800000000000002</v>
      </c>
      <c r="CJ217">
        <v>0.14299999999999999</v>
      </c>
      <c r="CK217">
        <v>799</v>
      </c>
      <c r="CL217">
        <v>19</v>
      </c>
      <c r="CM217">
        <v>7.0000000000000007E-2</v>
      </c>
      <c r="CN217">
        <v>0.14000000000000001</v>
      </c>
      <c r="CO217">
        <v>-306.13539024390252</v>
      </c>
      <c r="CP217">
        <v>-1.448905923345414</v>
      </c>
      <c r="CQ217">
        <v>0.15959917446586289</v>
      </c>
      <c r="CR217">
        <v>-1</v>
      </c>
      <c r="CS217">
        <v>19.697260975609751</v>
      </c>
      <c r="CT217">
        <v>0.22147735191642809</v>
      </c>
      <c r="CU217">
        <v>2.2060105013225279E-2</v>
      </c>
      <c r="CV217">
        <v>-1</v>
      </c>
      <c r="CW217">
        <v>0</v>
      </c>
      <c r="CX217">
        <v>0</v>
      </c>
      <c r="CY217" t="s">
        <v>333</v>
      </c>
      <c r="CZ217">
        <v>2.3649900000000001</v>
      </c>
      <c r="DA217">
        <v>2.7138200000000001</v>
      </c>
      <c r="DB217">
        <v>0.10474600000000001</v>
      </c>
      <c r="DC217">
        <v>0.14605000000000001</v>
      </c>
      <c r="DD217">
        <v>0.113664</v>
      </c>
      <c r="DE217">
        <v>2.9211600000000001E-2</v>
      </c>
      <c r="DF217">
        <v>32718</v>
      </c>
      <c r="DG217">
        <v>27558.5</v>
      </c>
      <c r="DH217">
        <v>31198.3</v>
      </c>
      <c r="DI217">
        <v>28119.599999999999</v>
      </c>
      <c r="DJ217">
        <v>37541.4</v>
      </c>
      <c r="DK217">
        <v>38826.800000000003</v>
      </c>
      <c r="DL217">
        <v>44403.5</v>
      </c>
      <c r="DM217">
        <v>42624.9</v>
      </c>
      <c r="DN217">
        <v>1.4872799999999999</v>
      </c>
      <c r="DO217">
        <v>2.0395300000000001</v>
      </c>
      <c r="DP217">
        <v>7.2680400000000006E-2</v>
      </c>
      <c r="DQ217">
        <v>0.19644900000000001</v>
      </c>
      <c r="DR217">
        <v>25.811499999999999</v>
      </c>
      <c r="DS217">
        <v>25.6449</v>
      </c>
      <c r="DT217">
        <v>34.200000000000003</v>
      </c>
      <c r="DU217">
        <v>28.9</v>
      </c>
      <c r="DV217">
        <v>13.8124</v>
      </c>
      <c r="DW217">
        <v>61.837899999999998</v>
      </c>
      <c r="DX217">
        <v>36.786900000000003</v>
      </c>
      <c r="DY217">
        <v>1</v>
      </c>
      <c r="DZ217">
        <v>-0.11854199999999999</v>
      </c>
      <c r="EA217">
        <v>-0.34799000000000002</v>
      </c>
      <c r="EB217">
        <v>20.189299999999999</v>
      </c>
      <c r="EC217">
        <v>5.2404999999999999</v>
      </c>
      <c r="ED217">
        <v>12.039899999999999</v>
      </c>
      <c r="EE217">
        <v>5.01715</v>
      </c>
      <c r="EF217">
        <v>3.2879999999999998</v>
      </c>
      <c r="EG217">
        <v>9999</v>
      </c>
      <c r="EH217">
        <v>9999</v>
      </c>
      <c r="EI217">
        <v>9999</v>
      </c>
      <c r="EJ217">
        <v>999.9</v>
      </c>
      <c r="EK217">
        <v>1.8689</v>
      </c>
      <c r="EL217">
        <v>1.8646199999999999</v>
      </c>
      <c r="EM217">
        <v>1.8691899999999999</v>
      </c>
      <c r="EN217">
        <v>1.8672200000000001</v>
      </c>
      <c r="EO217">
        <v>1.86337</v>
      </c>
      <c r="EP217">
        <v>1.8644700000000001</v>
      </c>
      <c r="EQ217">
        <v>1.8701399999999999</v>
      </c>
      <c r="ER217">
        <v>1.86937</v>
      </c>
      <c r="ES217">
        <v>0</v>
      </c>
      <c r="ET217">
        <v>0</v>
      </c>
      <c r="EU217">
        <v>0</v>
      </c>
      <c r="EV217">
        <v>0</v>
      </c>
      <c r="EW217" t="s">
        <v>334</v>
      </c>
      <c r="EX217" t="s">
        <v>335</v>
      </c>
      <c r="EY217" t="s">
        <v>336</v>
      </c>
      <c r="EZ217" t="s">
        <v>336</v>
      </c>
      <c r="FA217" t="s">
        <v>336</v>
      </c>
      <c r="FB217" t="s">
        <v>336</v>
      </c>
      <c r="FC217">
        <v>0</v>
      </c>
      <c r="FD217">
        <v>100</v>
      </c>
      <c r="FE217">
        <v>100</v>
      </c>
      <c r="FF217">
        <v>-0.123</v>
      </c>
      <c r="FG217">
        <v>0.17199999999999999</v>
      </c>
      <c r="FH217">
        <v>0.2126736300064915</v>
      </c>
      <c r="FI217">
        <v>-6.1462078757559423E-4</v>
      </c>
      <c r="FJ217">
        <v>-1.8861989874597051E-7</v>
      </c>
      <c r="FK217">
        <v>1.1980462299894961E-10</v>
      </c>
      <c r="FL217">
        <v>0.1719881465068297</v>
      </c>
      <c r="FM217">
        <v>0</v>
      </c>
      <c r="FN217">
        <v>0</v>
      </c>
      <c r="FO217">
        <v>0</v>
      </c>
      <c r="FP217">
        <v>3</v>
      </c>
      <c r="FQ217">
        <v>2158</v>
      </c>
      <c r="FR217">
        <v>1</v>
      </c>
      <c r="FS217">
        <v>19</v>
      </c>
      <c r="FT217">
        <v>42.8</v>
      </c>
      <c r="FU217">
        <v>42.9</v>
      </c>
      <c r="FV217">
        <v>1.7675799999999999</v>
      </c>
      <c r="FW217">
        <v>2.5842299999999998</v>
      </c>
      <c r="FX217">
        <v>1.5490699999999999</v>
      </c>
      <c r="FY217">
        <v>2.3278799999999999</v>
      </c>
      <c r="FZ217">
        <v>1.50146</v>
      </c>
      <c r="GA217">
        <v>2.34497</v>
      </c>
      <c r="GB217">
        <v>33.512999999999998</v>
      </c>
      <c r="GC217">
        <v>23.982399999999998</v>
      </c>
      <c r="GD217">
        <v>19</v>
      </c>
      <c r="GE217">
        <v>286.17099999999999</v>
      </c>
      <c r="GF217">
        <v>581.97799999999995</v>
      </c>
      <c r="GG217">
        <v>25.5837</v>
      </c>
      <c r="GH217">
        <v>25.9254</v>
      </c>
      <c r="GI217">
        <v>30.0002</v>
      </c>
      <c r="GJ217">
        <v>26.0273</v>
      </c>
      <c r="GK217">
        <v>26.0046</v>
      </c>
      <c r="GL217">
        <v>35.3354</v>
      </c>
      <c r="GM217">
        <v>63.956800000000001</v>
      </c>
      <c r="GN217">
        <v>36.252899999999997</v>
      </c>
      <c r="GO217">
        <v>25.5838</v>
      </c>
      <c r="GP217">
        <v>800</v>
      </c>
      <c r="GQ217">
        <v>4.2463800000000003</v>
      </c>
      <c r="GR217">
        <v>99.828400000000002</v>
      </c>
      <c r="GS217">
        <v>99.709500000000006</v>
      </c>
    </row>
    <row r="218" spans="1:201" x14ac:dyDescent="0.25">
      <c r="A218">
        <v>202</v>
      </c>
      <c r="B218">
        <v>1690234585</v>
      </c>
      <c r="C218">
        <v>2078.900000095367</v>
      </c>
      <c r="D218" t="s">
        <v>735</v>
      </c>
      <c r="E218" t="s">
        <v>736</v>
      </c>
      <c r="F218" t="s">
        <v>330</v>
      </c>
      <c r="H218">
        <v>1690234585</v>
      </c>
      <c r="I218">
        <f t="shared" si="90"/>
        <v>1.8730478603651609E-3</v>
      </c>
      <c r="J218">
        <f t="shared" si="91"/>
        <v>1.873047860365161</v>
      </c>
      <c r="K218">
        <f t="shared" si="92"/>
        <v>27.451071553987926</v>
      </c>
      <c r="L218">
        <f t="shared" si="93"/>
        <v>493.52699999999999</v>
      </c>
      <c r="M218">
        <f t="shared" si="94"/>
        <v>102.93910776202512</v>
      </c>
      <c r="N218">
        <f t="shared" si="95"/>
        <v>10.200759973201095</v>
      </c>
      <c r="O218">
        <f t="shared" si="96"/>
        <v>48.906101643434098</v>
      </c>
      <c r="P218">
        <f t="shared" si="97"/>
        <v>0.11775100727989518</v>
      </c>
      <c r="Q218">
        <f t="shared" si="98"/>
        <v>2.1290341934364632</v>
      </c>
      <c r="R218">
        <f t="shared" si="99"/>
        <v>0.11424898691159496</v>
      </c>
      <c r="S218">
        <f t="shared" si="100"/>
        <v>7.1711583728213388E-2</v>
      </c>
      <c r="T218">
        <f t="shared" si="101"/>
        <v>276.11559387</v>
      </c>
      <c r="U218">
        <f t="shared" si="102"/>
        <v>28.653407904816813</v>
      </c>
      <c r="V218">
        <f t="shared" si="103"/>
        <v>28.653407904816813</v>
      </c>
      <c r="W218">
        <f t="shared" si="104"/>
        <v>3.9418150527111644</v>
      </c>
      <c r="X218">
        <f t="shared" si="105"/>
        <v>65.711543732795732</v>
      </c>
      <c r="Y218">
        <f t="shared" si="106"/>
        <v>2.3689374523733098</v>
      </c>
      <c r="Z218">
        <f t="shared" si="107"/>
        <v>3.6050552426620373</v>
      </c>
      <c r="AA218">
        <f t="shared" si="108"/>
        <v>1.5728776003378546</v>
      </c>
      <c r="AB218">
        <f t="shared" si="109"/>
        <v>-82.601410642103602</v>
      </c>
      <c r="AC218">
        <f t="shared" si="110"/>
        <v>-175.68392751153658</v>
      </c>
      <c r="AD218">
        <f t="shared" si="111"/>
        <v>-17.967119880184402</v>
      </c>
      <c r="AE218">
        <f t="shared" si="112"/>
        <v>-0.13686416382455491</v>
      </c>
      <c r="AF218">
        <v>0</v>
      </c>
      <c r="AG218">
        <v>0</v>
      </c>
      <c r="AH218">
        <f t="shared" si="113"/>
        <v>1</v>
      </c>
      <c r="AI218">
        <f t="shared" si="114"/>
        <v>0</v>
      </c>
      <c r="AJ218">
        <f t="shared" si="115"/>
        <v>52286.747160335428</v>
      </c>
      <c r="AK218">
        <f t="shared" si="116"/>
        <v>1800</v>
      </c>
      <c r="AL218">
        <f t="shared" si="117"/>
        <v>1499.1146639999999</v>
      </c>
      <c r="AM218">
        <f t="shared" si="118"/>
        <v>0.83284148000000002</v>
      </c>
      <c r="AN218">
        <f t="shared" si="119"/>
        <v>0.15339755215</v>
      </c>
      <c r="AO218">
        <v>32.4</v>
      </c>
      <c r="AP218">
        <v>0.5</v>
      </c>
      <c r="AQ218" t="s">
        <v>331</v>
      </c>
      <c r="AR218">
        <v>2</v>
      </c>
      <c r="AS218">
        <v>1690234585</v>
      </c>
      <c r="AT218">
        <v>493.52699999999999</v>
      </c>
      <c r="AU218">
        <v>799.83199999999999</v>
      </c>
      <c r="AV218">
        <v>23.9057</v>
      </c>
      <c r="AW218">
        <v>4.1700400000000002</v>
      </c>
      <c r="AX218">
        <v>493.65</v>
      </c>
      <c r="AY218">
        <v>23.733699999999999</v>
      </c>
      <c r="AZ218">
        <v>300.14699999999999</v>
      </c>
      <c r="BA218">
        <v>98.995099999999994</v>
      </c>
      <c r="BB218">
        <v>9.9988300000000002E-2</v>
      </c>
      <c r="BC218">
        <v>27.122800000000002</v>
      </c>
      <c r="BD218">
        <v>27.003900000000002</v>
      </c>
      <c r="BE218">
        <v>28.8523</v>
      </c>
      <c r="BF218">
        <v>0</v>
      </c>
      <c r="BG218">
        <v>0</v>
      </c>
      <c r="BH218">
        <v>9992.5</v>
      </c>
      <c r="BI218">
        <v>1080.31</v>
      </c>
      <c r="BJ218">
        <v>1.3147500000000001</v>
      </c>
      <c r="BK218">
        <v>-306.30500000000001</v>
      </c>
      <c r="BL218">
        <v>505.61399999999998</v>
      </c>
      <c r="BM218">
        <v>803.18200000000002</v>
      </c>
      <c r="BN218">
        <v>19.735600000000002</v>
      </c>
      <c r="BO218">
        <v>799.83199999999999</v>
      </c>
      <c r="BP218">
        <v>4.1700400000000002</v>
      </c>
      <c r="BQ218">
        <v>2.3665400000000001</v>
      </c>
      <c r="BR218">
        <v>0.41281400000000001</v>
      </c>
      <c r="BS218">
        <v>20.136700000000001</v>
      </c>
      <c r="BT218">
        <v>-5.3371899999999997</v>
      </c>
      <c r="BU218">
        <v>1800</v>
      </c>
      <c r="BV218">
        <v>0.91000599999999998</v>
      </c>
      <c r="BW218">
        <v>3.39917E-2</v>
      </c>
      <c r="BX218">
        <v>2.2002500000000001E-2</v>
      </c>
      <c r="BY218">
        <v>3.4000099999999998E-2</v>
      </c>
      <c r="BZ218">
        <v>26</v>
      </c>
      <c r="CA218">
        <v>33528.400000000001</v>
      </c>
      <c r="CB218">
        <v>1690232006</v>
      </c>
      <c r="CC218" t="s">
        <v>332</v>
      </c>
      <c r="CD218">
        <v>1690232006</v>
      </c>
      <c r="CE218">
        <v>1690231998.5</v>
      </c>
      <c r="CF218">
        <v>14</v>
      </c>
      <c r="CG218">
        <v>-0.13200000000000001</v>
      </c>
      <c r="CH218">
        <v>-7.0000000000000001E-3</v>
      </c>
      <c r="CI218">
        <v>-0.33800000000000002</v>
      </c>
      <c r="CJ218">
        <v>0.14299999999999999</v>
      </c>
      <c r="CK218">
        <v>799</v>
      </c>
      <c r="CL218">
        <v>19</v>
      </c>
      <c r="CM218">
        <v>7.0000000000000007E-2</v>
      </c>
      <c r="CN218">
        <v>0.14000000000000001</v>
      </c>
      <c r="CO218">
        <v>-306.31180487804869</v>
      </c>
      <c r="CP218">
        <v>-0.67912891986118484</v>
      </c>
      <c r="CQ218">
        <v>0.11794236283801771</v>
      </c>
      <c r="CR218">
        <v>-1</v>
      </c>
      <c r="CS218">
        <v>19.723268292682931</v>
      </c>
      <c r="CT218">
        <v>6.1919163763074013E-2</v>
      </c>
      <c r="CU218">
        <v>9.8683143845534095E-3</v>
      </c>
      <c r="CV218">
        <v>-1</v>
      </c>
      <c r="CW218">
        <v>0</v>
      </c>
      <c r="CX218">
        <v>0</v>
      </c>
      <c r="CY218" t="s">
        <v>333</v>
      </c>
      <c r="CZ218">
        <v>2.3648600000000002</v>
      </c>
      <c r="DA218">
        <v>2.7137699999999998</v>
      </c>
      <c r="DB218">
        <v>0.10472099999999999</v>
      </c>
      <c r="DC218">
        <v>0.14601900000000001</v>
      </c>
      <c r="DD218">
        <v>0.113633</v>
      </c>
      <c r="DE218">
        <v>2.9138000000000001E-2</v>
      </c>
      <c r="DF218">
        <v>32719.200000000001</v>
      </c>
      <c r="DG218">
        <v>27559.4</v>
      </c>
      <c r="DH218">
        <v>31198.6</v>
      </c>
      <c r="DI218">
        <v>28119.5</v>
      </c>
      <c r="DJ218">
        <v>37543.1</v>
      </c>
      <c r="DK218">
        <v>38829.800000000003</v>
      </c>
      <c r="DL218">
        <v>44403.9</v>
      </c>
      <c r="DM218">
        <v>42625</v>
      </c>
      <c r="DN218">
        <v>1.48722</v>
      </c>
      <c r="DO218">
        <v>2.0397500000000002</v>
      </c>
      <c r="DP218">
        <v>7.2956099999999996E-2</v>
      </c>
      <c r="DQ218">
        <v>0.196211</v>
      </c>
      <c r="DR218">
        <v>25.809699999999999</v>
      </c>
      <c r="DS218">
        <v>25.6447</v>
      </c>
      <c r="DT218">
        <v>34</v>
      </c>
      <c r="DU218">
        <v>28.9</v>
      </c>
      <c r="DV218">
        <v>13.7331</v>
      </c>
      <c r="DW218">
        <v>61.797899999999998</v>
      </c>
      <c r="DX218">
        <v>36.582500000000003</v>
      </c>
      <c r="DY218">
        <v>1</v>
      </c>
      <c r="DZ218">
        <v>-0.118382</v>
      </c>
      <c r="EA218">
        <v>-0.33893000000000001</v>
      </c>
      <c r="EB218">
        <v>20.189399999999999</v>
      </c>
      <c r="EC218">
        <v>5.24125</v>
      </c>
      <c r="ED218">
        <v>12.039899999999999</v>
      </c>
      <c r="EE218">
        <v>5.0168999999999997</v>
      </c>
      <c r="EF218">
        <v>3.2879999999999998</v>
      </c>
      <c r="EG218">
        <v>9999</v>
      </c>
      <c r="EH218">
        <v>9999</v>
      </c>
      <c r="EI218">
        <v>9999</v>
      </c>
      <c r="EJ218">
        <v>999.9</v>
      </c>
      <c r="EK218">
        <v>1.8689</v>
      </c>
      <c r="EL218">
        <v>1.8646100000000001</v>
      </c>
      <c r="EM218">
        <v>1.8691599999999999</v>
      </c>
      <c r="EN218">
        <v>1.8672200000000001</v>
      </c>
      <c r="EO218">
        <v>1.86338</v>
      </c>
      <c r="EP218">
        <v>1.8644700000000001</v>
      </c>
      <c r="EQ218">
        <v>1.8701300000000001</v>
      </c>
      <c r="ER218">
        <v>1.8693599999999999</v>
      </c>
      <c r="ES218">
        <v>0</v>
      </c>
      <c r="ET218">
        <v>0</v>
      </c>
      <c r="EU218">
        <v>0</v>
      </c>
      <c r="EV218">
        <v>0</v>
      </c>
      <c r="EW218" t="s">
        <v>334</v>
      </c>
      <c r="EX218" t="s">
        <v>335</v>
      </c>
      <c r="EY218" t="s">
        <v>336</v>
      </c>
      <c r="EZ218" t="s">
        <v>336</v>
      </c>
      <c r="FA218" t="s">
        <v>336</v>
      </c>
      <c r="FB218" t="s">
        <v>336</v>
      </c>
      <c r="FC218">
        <v>0</v>
      </c>
      <c r="FD218">
        <v>100</v>
      </c>
      <c r="FE218">
        <v>100</v>
      </c>
      <c r="FF218">
        <v>-0.123</v>
      </c>
      <c r="FG218">
        <v>0.17199999999999999</v>
      </c>
      <c r="FH218">
        <v>0.2126736300064915</v>
      </c>
      <c r="FI218">
        <v>-6.1462078757559423E-4</v>
      </c>
      <c r="FJ218">
        <v>-1.8861989874597051E-7</v>
      </c>
      <c r="FK218">
        <v>1.1980462299894961E-10</v>
      </c>
      <c r="FL218">
        <v>0.1719881465068297</v>
      </c>
      <c r="FM218">
        <v>0</v>
      </c>
      <c r="FN218">
        <v>0</v>
      </c>
      <c r="FO218">
        <v>0</v>
      </c>
      <c r="FP218">
        <v>3</v>
      </c>
      <c r="FQ218">
        <v>2158</v>
      </c>
      <c r="FR218">
        <v>1</v>
      </c>
      <c r="FS218">
        <v>19</v>
      </c>
      <c r="FT218">
        <v>43</v>
      </c>
      <c r="FU218">
        <v>43.1</v>
      </c>
      <c r="FV218">
        <v>1.7675799999999999</v>
      </c>
      <c r="FW218">
        <v>2.5854499999999998</v>
      </c>
      <c r="FX218">
        <v>1.5490699999999999</v>
      </c>
      <c r="FY218">
        <v>2.3278799999999999</v>
      </c>
      <c r="FZ218">
        <v>1.50146</v>
      </c>
      <c r="GA218">
        <v>2.3718300000000001</v>
      </c>
      <c r="GB218">
        <v>33.512999999999998</v>
      </c>
      <c r="GC218">
        <v>23.991199999999999</v>
      </c>
      <c r="GD218">
        <v>19</v>
      </c>
      <c r="GE218">
        <v>286.15699999999998</v>
      </c>
      <c r="GF218">
        <v>582.16300000000001</v>
      </c>
      <c r="GG218">
        <v>25.583200000000001</v>
      </c>
      <c r="GH218">
        <v>25.9254</v>
      </c>
      <c r="GI218">
        <v>30.0002</v>
      </c>
      <c r="GJ218">
        <v>26.029199999999999</v>
      </c>
      <c r="GK218">
        <v>26.0046</v>
      </c>
      <c r="GL218">
        <v>35.338299999999997</v>
      </c>
      <c r="GM218">
        <v>63.956800000000001</v>
      </c>
      <c r="GN218">
        <v>35.858899999999998</v>
      </c>
      <c r="GO218">
        <v>25.582100000000001</v>
      </c>
      <c r="GP218">
        <v>800</v>
      </c>
      <c r="GQ218">
        <v>4.2200300000000004</v>
      </c>
      <c r="GR218">
        <v>99.829300000000003</v>
      </c>
      <c r="GS218">
        <v>99.709500000000006</v>
      </c>
    </row>
    <row r="219" spans="1:201" x14ac:dyDescent="0.25">
      <c r="A219">
        <v>203</v>
      </c>
      <c r="B219">
        <v>1690234595</v>
      </c>
      <c r="C219">
        <v>2088.900000095367</v>
      </c>
      <c r="D219" t="s">
        <v>737</v>
      </c>
      <c r="E219" t="s">
        <v>738</v>
      </c>
      <c r="F219" t="s">
        <v>330</v>
      </c>
      <c r="H219">
        <v>1690234595</v>
      </c>
      <c r="I219">
        <f t="shared" si="90"/>
        <v>1.8768229924539968E-3</v>
      </c>
      <c r="J219">
        <f t="shared" si="91"/>
        <v>1.8768229924539968</v>
      </c>
      <c r="K219">
        <f t="shared" si="92"/>
        <v>27.480709849681521</v>
      </c>
      <c r="L219">
        <f t="shared" si="93"/>
        <v>493.28100000000001</v>
      </c>
      <c r="M219">
        <f t="shared" si="94"/>
        <v>103.44488333919924</v>
      </c>
      <c r="N219">
        <f t="shared" si="95"/>
        <v>10.250960763268894</v>
      </c>
      <c r="O219">
        <f t="shared" si="96"/>
        <v>48.882110096110502</v>
      </c>
      <c r="P219">
        <f t="shared" si="97"/>
        <v>0.11811977923990102</v>
      </c>
      <c r="Q219">
        <f t="shared" si="98"/>
        <v>2.1278767483190584</v>
      </c>
      <c r="R219">
        <f t="shared" si="99"/>
        <v>0.11459428756282838</v>
      </c>
      <c r="S219">
        <f t="shared" si="100"/>
        <v>7.1929416183625805E-2</v>
      </c>
      <c r="T219">
        <f t="shared" si="101"/>
        <v>276.11547597000003</v>
      </c>
      <c r="U219">
        <f t="shared" si="102"/>
        <v>28.646054917135455</v>
      </c>
      <c r="V219">
        <f t="shared" si="103"/>
        <v>28.646054917135455</v>
      </c>
      <c r="W219">
        <f t="shared" si="104"/>
        <v>3.9401338705769477</v>
      </c>
      <c r="X219">
        <f t="shared" si="105"/>
        <v>65.734163570457298</v>
      </c>
      <c r="Y219">
        <f t="shared" si="106"/>
        <v>2.3688075076061001</v>
      </c>
      <c r="Z219">
        <f t="shared" si="107"/>
        <v>3.6036170218657895</v>
      </c>
      <c r="AA219">
        <f t="shared" si="108"/>
        <v>1.5713263629708476</v>
      </c>
      <c r="AB219">
        <f t="shared" si="109"/>
        <v>-82.767893967221255</v>
      </c>
      <c r="AC219">
        <f t="shared" si="110"/>
        <v>-175.52497960968358</v>
      </c>
      <c r="AD219">
        <f t="shared" si="111"/>
        <v>-17.959361325744645</v>
      </c>
      <c r="AE219">
        <f t="shared" si="112"/>
        <v>-0.13675893264942829</v>
      </c>
      <c r="AF219">
        <v>0</v>
      </c>
      <c r="AG219">
        <v>0</v>
      </c>
      <c r="AH219">
        <f t="shared" si="113"/>
        <v>1</v>
      </c>
      <c r="AI219">
        <f t="shared" si="114"/>
        <v>0</v>
      </c>
      <c r="AJ219">
        <f t="shared" si="115"/>
        <v>52238.148806862089</v>
      </c>
      <c r="AK219">
        <f t="shared" si="116"/>
        <v>1800</v>
      </c>
      <c r="AL219">
        <f t="shared" si="117"/>
        <v>1499.1148170000001</v>
      </c>
      <c r="AM219">
        <f t="shared" si="118"/>
        <v>0.83284156500000006</v>
      </c>
      <c r="AN219">
        <f t="shared" si="119"/>
        <v>0.15339748665000003</v>
      </c>
      <c r="AO219">
        <v>32.4</v>
      </c>
      <c r="AP219">
        <v>0.5</v>
      </c>
      <c r="AQ219" t="s">
        <v>331</v>
      </c>
      <c r="AR219">
        <v>2</v>
      </c>
      <c r="AS219">
        <v>1690234595</v>
      </c>
      <c r="AT219">
        <v>493.28100000000001</v>
      </c>
      <c r="AU219">
        <v>799.91800000000001</v>
      </c>
      <c r="AV219">
        <v>23.904199999999999</v>
      </c>
      <c r="AW219">
        <v>4.1289300000000004</v>
      </c>
      <c r="AX219">
        <v>493.404</v>
      </c>
      <c r="AY219">
        <v>23.732199999999999</v>
      </c>
      <c r="AZ219">
        <v>300.14999999999998</v>
      </c>
      <c r="BA219">
        <v>98.995900000000006</v>
      </c>
      <c r="BB219">
        <v>9.9970500000000004E-2</v>
      </c>
      <c r="BC219">
        <v>27.116</v>
      </c>
      <c r="BD219">
        <v>27.005400000000002</v>
      </c>
      <c r="BE219">
        <v>28.862100000000002</v>
      </c>
      <c r="BF219">
        <v>0</v>
      </c>
      <c r="BG219">
        <v>0</v>
      </c>
      <c r="BH219">
        <v>9982.5</v>
      </c>
      <c r="BI219">
        <v>1080.33</v>
      </c>
      <c r="BJ219">
        <v>1.32036</v>
      </c>
      <c r="BK219">
        <v>-306.637</v>
      </c>
      <c r="BL219">
        <v>505.36200000000002</v>
      </c>
      <c r="BM219">
        <v>803.23400000000004</v>
      </c>
      <c r="BN219">
        <v>19.775300000000001</v>
      </c>
      <c r="BO219">
        <v>799.91800000000001</v>
      </c>
      <c r="BP219">
        <v>4.1289300000000004</v>
      </c>
      <c r="BQ219">
        <v>2.3664200000000002</v>
      </c>
      <c r="BR219">
        <v>0.40874700000000003</v>
      </c>
      <c r="BS219">
        <v>20.1358</v>
      </c>
      <c r="BT219">
        <v>-5.4674500000000004</v>
      </c>
      <c r="BU219">
        <v>1800</v>
      </c>
      <c r="BV219">
        <v>0.91000800000000004</v>
      </c>
      <c r="BW219">
        <v>3.3990899999999998E-2</v>
      </c>
      <c r="BX219">
        <v>2.2002000000000001E-2</v>
      </c>
      <c r="BY219">
        <v>3.3999300000000003E-2</v>
      </c>
      <c r="BZ219">
        <v>26</v>
      </c>
      <c r="CA219">
        <v>33528.5</v>
      </c>
      <c r="CB219">
        <v>1690232006</v>
      </c>
      <c r="CC219" t="s">
        <v>332</v>
      </c>
      <c r="CD219">
        <v>1690232006</v>
      </c>
      <c r="CE219">
        <v>1690231998.5</v>
      </c>
      <c r="CF219">
        <v>14</v>
      </c>
      <c r="CG219">
        <v>-0.13200000000000001</v>
      </c>
      <c r="CH219">
        <v>-7.0000000000000001E-3</v>
      </c>
      <c r="CI219">
        <v>-0.33800000000000002</v>
      </c>
      <c r="CJ219">
        <v>0.14299999999999999</v>
      </c>
      <c r="CK219">
        <v>799</v>
      </c>
      <c r="CL219">
        <v>19</v>
      </c>
      <c r="CM219">
        <v>7.0000000000000007E-2</v>
      </c>
      <c r="CN219">
        <v>0.14000000000000001</v>
      </c>
      <c r="CO219">
        <v>-306.46209756097562</v>
      </c>
      <c r="CP219">
        <v>-1.03845993031436</v>
      </c>
      <c r="CQ219">
        <v>0.15417978180034711</v>
      </c>
      <c r="CR219">
        <v>-1</v>
      </c>
      <c r="CS219">
        <v>19.738917073170729</v>
      </c>
      <c r="CT219">
        <v>0.1114243902439106</v>
      </c>
      <c r="CU219">
        <v>1.3635890634090811E-2</v>
      </c>
      <c r="CV219">
        <v>-1</v>
      </c>
      <c r="CW219">
        <v>0</v>
      </c>
      <c r="CX219">
        <v>0</v>
      </c>
      <c r="CY219" t="s">
        <v>333</v>
      </c>
      <c r="CZ219">
        <v>2.3648600000000002</v>
      </c>
      <c r="DA219">
        <v>2.7137500000000001</v>
      </c>
      <c r="DB219">
        <v>0.104684</v>
      </c>
      <c r="DC219">
        <v>0.14602999999999999</v>
      </c>
      <c r="DD219">
        <v>0.11362899999999999</v>
      </c>
      <c r="DE219">
        <v>2.88939E-2</v>
      </c>
      <c r="DF219">
        <v>32721.1</v>
      </c>
      <c r="DG219">
        <v>27559.200000000001</v>
      </c>
      <c r="DH219">
        <v>31199.1</v>
      </c>
      <c r="DI219">
        <v>28119.7</v>
      </c>
      <c r="DJ219">
        <v>37543.800000000003</v>
      </c>
      <c r="DK219">
        <v>38839.800000000003</v>
      </c>
      <c r="DL219">
        <v>44404.6</v>
      </c>
      <c r="DM219">
        <v>42625.2</v>
      </c>
      <c r="DN219">
        <v>1.4873000000000001</v>
      </c>
      <c r="DO219">
        <v>2.0395799999999999</v>
      </c>
      <c r="DP219">
        <v>7.2911400000000001E-2</v>
      </c>
      <c r="DQ219">
        <v>0.19667999999999999</v>
      </c>
      <c r="DR219">
        <v>25.811900000000001</v>
      </c>
      <c r="DS219">
        <v>25.646899999999999</v>
      </c>
      <c r="DT219">
        <v>33.700000000000003</v>
      </c>
      <c r="DU219">
        <v>28.9</v>
      </c>
      <c r="DV219">
        <v>13.6143</v>
      </c>
      <c r="DW219">
        <v>61.727899999999998</v>
      </c>
      <c r="DX219">
        <v>37.488</v>
      </c>
      <c r="DY219">
        <v>1</v>
      </c>
      <c r="DZ219">
        <v>-0.118133</v>
      </c>
      <c r="EA219">
        <v>-0.28893000000000002</v>
      </c>
      <c r="EB219">
        <v>20.189399999999999</v>
      </c>
      <c r="EC219">
        <v>5.2409499999999998</v>
      </c>
      <c r="ED219">
        <v>12.039899999999999</v>
      </c>
      <c r="EE219">
        <v>5.0170000000000003</v>
      </c>
      <c r="EF219">
        <v>3.2879999999999998</v>
      </c>
      <c r="EG219">
        <v>9999</v>
      </c>
      <c r="EH219">
        <v>9999</v>
      </c>
      <c r="EI219">
        <v>9999</v>
      </c>
      <c r="EJ219">
        <v>999.9</v>
      </c>
      <c r="EK219">
        <v>1.8689</v>
      </c>
      <c r="EL219">
        <v>1.86459</v>
      </c>
      <c r="EM219">
        <v>1.8691599999999999</v>
      </c>
      <c r="EN219">
        <v>1.8672200000000001</v>
      </c>
      <c r="EO219">
        <v>1.8633500000000001</v>
      </c>
      <c r="EP219">
        <v>1.8644700000000001</v>
      </c>
      <c r="EQ219">
        <v>1.8701300000000001</v>
      </c>
      <c r="ER219">
        <v>1.8693599999999999</v>
      </c>
      <c r="ES219">
        <v>0</v>
      </c>
      <c r="ET219">
        <v>0</v>
      </c>
      <c r="EU219">
        <v>0</v>
      </c>
      <c r="EV219">
        <v>0</v>
      </c>
      <c r="EW219" t="s">
        <v>334</v>
      </c>
      <c r="EX219" t="s">
        <v>335</v>
      </c>
      <c r="EY219" t="s">
        <v>336</v>
      </c>
      <c r="EZ219" t="s">
        <v>336</v>
      </c>
      <c r="FA219" t="s">
        <v>336</v>
      </c>
      <c r="FB219" t="s">
        <v>336</v>
      </c>
      <c r="FC219">
        <v>0</v>
      </c>
      <c r="FD219">
        <v>100</v>
      </c>
      <c r="FE219">
        <v>100</v>
      </c>
      <c r="FF219">
        <v>-0.123</v>
      </c>
      <c r="FG219">
        <v>0.17199999999999999</v>
      </c>
      <c r="FH219">
        <v>0.2126736300064915</v>
      </c>
      <c r="FI219">
        <v>-6.1462078757559423E-4</v>
      </c>
      <c r="FJ219">
        <v>-1.8861989874597051E-7</v>
      </c>
      <c r="FK219">
        <v>1.1980462299894961E-10</v>
      </c>
      <c r="FL219">
        <v>0.1719881465068297</v>
      </c>
      <c r="FM219">
        <v>0</v>
      </c>
      <c r="FN219">
        <v>0</v>
      </c>
      <c r="FO219">
        <v>0</v>
      </c>
      <c r="FP219">
        <v>3</v>
      </c>
      <c r="FQ219">
        <v>2158</v>
      </c>
      <c r="FR219">
        <v>1</v>
      </c>
      <c r="FS219">
        <v>19</v>
      </c>
      <c r="FT219">
        <v>43.1</v>
      </c>
      <c r="FU219">
        <v>43.3</v>
      </c>
      <c r="FV219">
        <v>1.7675799999999999</v>
      </c>
      <c r="FW219">
        <v>2.5903299999999998</v>
      </c>
      <c r="FX219">
        <v>1.5490699999999999</v>
      </c>
      <c r="FY219">
        <v>2.3278799999999999</v>
      </c>
      <c r="FZ219">
        <v>1.50146</v>
      </c>
      <c r="GA219">
        <v>2.3156699999999999</v>
      </c>
      <c r="GB219">
        <v>33.512999999999998</v>
      </c>
      <c r="GC219">
        <v>23.982399999999998</v>
      </c>
      <c r="GD219">
        <v>19</v>
      </c>
      <c r="GE219">
        <v>286.19099999999997</v>
      </c>
      <c r="GF219">
        <v>582.04300000000001</v>
      </c>
      <c r="GG219">
        <v>25.574300000000001</v>
      </c>
      <c r="GH219">
        <v>25.927600000000002</v>
      </c>
      <c r="GI219">
        <v>30.0001</v>
      </c>
      <c r="GJ219">
        <v>26.029499999999999</v>
      </c>
      <c r="GK219">
        <v>26.006799999999998</v>
      </c>
      <c r="GL219">
        <v>35.336799999999997</v>
      </c>
      <c r="GM219">
        <v>63.665199999999999</v>
      </c>
      <c r="GN219">
        <v>35.467199999999998</v>
      </c>
      <c r="GO219">
        <v>25.568000000000001</v>
      </c>
      <c r="GP219">
        <v>800</v>
      </c>
      <c r="GQ219">
        <v>4.1929499999999997</v>
      </c>
      <c r="GR219">
        <v>99.8309</v>
      </c>
      <c r="GS219">
        <v>99.710099999999997</v>
      </c>
    </row>
    <row r="220" spans="1:201" x14ac:dyDescent="0.25">
      <c r="A220">
        <v>204</v>
      </c>
      <c r="B220">
        <v>1690234605</v>
      </c>
      <c r="C220">
        <v>2098.900000095367</v>
      </c>
      <c r="D220" t="s">
        <v>739</v>
      </c>
      <c r="E220" t="s">
        <v>740</v>
      </c>
      <c r="F220" t="s">
        <v>330</v>
      </c>
      <c r="H220">
        <v>1690234605</v>
      </c>
      <c r="I220">
        <f t="shared" si="90"/>
        <v>1.8763099705635003E-3</v>
      </c>
      <c r="J220">
        <f t="shared" si="91"/>
        <v>1.8763099705635002</v>
      </c>
      <c r="K220">
        <f t="shared" si="92"/>
        <v>27.506503838481144</v>
      </c>
      <c r="L220">
        <f t="shared" si="93"/>
        <v>493.10700000000003</v>
      </c>
      <c r="M220">
        <f t="shared" si="94"/>
        <v>102.82277465659116</v>
      </c>
      <c r="N220">
        <f t="shared" si="95"/>
        <v>10.189464282469794</v>
      </c>
      <c r="O220">
        <f t="shared" si="96"/>
        <v>48.865595980236002</v>
      </c>
      <c r="P220">
        <f t="shared" si="97"/>
        <v>0.11808796185652835</v>
      </c>
      <c r="Q220">
        <f t="shared" si="98"/>
        <v>2.1279656053539289</v>
      </c>
      <c r="R220">
        <f t="shared" si="99"/>
        <v>0.11456448112588599</v>
      </c>
      <c r="S220">
        <f t="shared" si="100"/>
        <v>7.1910614124253466E-2</v>
      </c>
      <c r="T220">
        <f t="shared" si="101"/>
        <v>276.11399160285794</v>
      </c>
      <c r="U220">
        <f t="shared" si="102"/>
        <v>28.642169839685291</v>
      </c>
      <c r="V220">
        <f t="shared" si="103"/>
        <v>28.642169839685291</v>
      </c>
      <c r="W220">
        <f t="shared" si="104"/>
        <v>3.9392458416165197</v>
      </c>
      <c r="X220">
        <f t="shared" si="105"/>
        <v>65.724444910540143</v>
      </c>
      <c r="Y220">
        <f t="shared" si="106"/>
        <v>2.3679014012556001</v>
      </c>
      <c r="Z220">
        <f t="shared" si="107"/>
        <v>3.6027712436044679</v>
      </c>
      <c r="AA220">
        <f t="shared" si="108"/>
        <v>1.5713444403609196</v>
      </c>
      <c r="AB220">
        <f t="shared" si="109"/>
        <v>-82.745269701850361</v>
      </c>
      <c r="AC220">
        <f t="shared" si="110"/>
        <v>-175.54549352336323</v>
      </c>
      <c r="AD220">
        <f t="shared" si="111"/>
        <v>-17.96000425007324</v>
      </c>
      <c r="AE220">
        <f t="shared" si="112"/>
        <v>-0.13677587242887057</v>
      </c>
      <c r="AF220">
        <v>0</v>
      </c>
      <c r="AG220">
        <v>0</v>
      </c>
      <c r="AH220">
        <f t="shared" si="113"/>
        <v>1</v>
      </c>
      <c r="AI220">
        <f t="shared" si="114"/>
        <v>0</v>
      </c>
      <c r="AJ220">
        <f t="shared" si="115"/>
        <v>52242.697077000725</v>
      </c>
      <c r="AK220">
        <f t="shared" si="116"/>
        <v>1799.99</v>
      </c>
      <c r="AL220">
        <f t="shared" si="117"/>
        <v>1499.1053833904898</v>
      </c>
      <c r="AM220">
        <f t="shared" si="118"/>
        <v>0.83284095099999988</v>
      </c>
      <c r="AN220">
        <f t="shared" si="119"/>
        <v>0.15339751421000003</v>
      </c>
      <c r="AO220">
        <v>32.4</v>
      </c>
      <c r="AP220">
        <v>0.5</v>
      </c>
      <c r="AQ220" t="s">
        <v>331</v>
      </c>
      <c r="AR220">
        <v>2</v>
      </c>
      <c r="AS220">
        <v>1690234605</v>
      </c>
      <c r="AT220">
        <v>493.10700000000003</v>
      </c>
      <c r="AU220">
        <v>800.00800000000004</v>
      </c>
      <c r="AV220">
        <v>23.8947</v>
      </c>
      <c r="AW220">
        <v>4.1251699999999998</v>
      </c>
      <c r="AX220">
        <v>493.22899999999998</v>
      </c>
      <c r="AY220">
        <v>23.7227</v>
      </c>
      <c r="AZ220">
        <v>300.15800000000002</v>
      </c>
      <c r="BA220">
        <v>98.997299999999996</v>
      </c>
      <c r="BB220">
        <v>0.100048</v>
      </c>
      <c r="BC220">
        <v>27.111999999999998</v>
      </c>
      <c r="BD220">
        <v>27.002600000000001</v>
      </c>
      <c r="BE220">
        <v>28.861499999999999</v>
      </c>
      <c r="BF220">
        <v>0</v>
      </c>
      <c r="BG220">
        <v>0</v>
      </c>
      <c r="BH220">
        <v>9983.1200000000008</v>
      </c>
      <c r="BI220">
        <v>1080.46</v>
      </c>
      <c r="BJ220">
        <v>1.3315699999999999</v>
      </c>
      <c r="BK220">
        <v>-306.90100000000001</v>
      </c>
      <c r="BL220">
        <v>505.178</v>
      </c>
      <c r="BM220">
        <v>803.322</v>
      </c>
      <c r="BN220">
        <v>19.769600000000001</v>
      </c>
      <c r="BO220">
        <v>800.00800000000004</v>
      </c>
      <c r="BP220">
        <v>4.1251699999999998</v>
      </c>
      <c r="BQ220">
        <v>2.36551</v>
      </c>
      <c r="BR220">
        <v>0.40838099999999999</v>
      </c>
      <c r="BS220">
        <v>20.1296</v>
      </c>
      <c r="BT220">
        <v>-5.4792500000000004</v>
      </c>
      <c r="BU220">
        <v>1799.99</v>
      </c>
      <c r="BV220">
        <v>0.91000400000000004</v>
      </c>
      <c r="BW220">
        <v>3.3995499999999998E-2</v>
      </c>
      <c r="BX220">
        <v>2.2001799999999998E-2</v>
      </c>
      <c r="BY220">
        <v>3.3998899999999999E-2</v>
      </c>
      <c r="BZ220">
        <v>26</v>
      </c>
      <c r="CA220">
        <v>33528.300000000003</v>
      </c>
      <c r="CB220">
        <v>1690232006</v>
      </c>
      <c r="CC220" t="s">
        <v>332</v>
      </c>
      <c r="CD220">
        <v>1690232006</v>
      </c>
      <c r="CE220">
        <v>1690231998.5</v>
      </c>
      <c r="CF220">
        <v>14</v>
      </c>
      <c r="CG220">
        <v>-0.13200000000000001</v>
      </c>
      <c r="CH220">
        <v>-7.0000000000000001E-3</v>
      </c>
      <c r="CI220">
        <v>-0.33800000000000002</v>
      </c>
      <c r="CJ220">
        <v>0.14299999999999999</v>
      </c>
      <c r="CK220">
        <v>799</v>
      </c>
      <c r="CL220">
        <v>19</v>
      </c>
      <c r="CM220">
        <v>7.0000000000000007E-2</v>
      </c>
      <c r="CN220">
        <v>0.14000000000000001</v>
      </c>
      <c r="CO220">
        <v>-306.66178048780489</v>
      </c>
      <c r="CP220">
        <v>-1.6295121951221381</v>
      </c>
      <c r="CQ220">
        <v>0.18335405071052571</v>
      </c>
      <c r="CR220">
        <v>-1</v>
      </c>
      <c r="CS220">
        <v>19.75529024390244</v>
      </c>
      <c r="CT220">
        <v>7.8393031358883675E-2</v>
      </c>
      <c r="CU220">
        <v>1.2247962595688579E-2</v>
      </c>
      <c r="CV220">
        <v>-1</v>
      </c>
      <c r="CW220">
        <v>0</v>
      </c>
      <c r="CX220">
        <v>0</v>
      </c>
      <c r="CY220" t="s">
        <v>333</v>
      </c>
      <c r="CZ220">
        <v>2.3648799999999999</v>
      </c>
      <c r="DA220">
        <v>2.7138200000000001</v>
      </c>
      <c r="DB220">
        <v>0.104658</v>
      </c>
      <c r="DC220">
        <v>0.14604300000000001</v>
      </c>
      <c r="DD220">
        <v>0.113598</v>
      </c>
      <c r="DE220">
        <v>2.8871899999999999E-2</v>
      </c>
      <c r="DF220">
        <v>32720.799999999999</v>
      </c>
      <c r="DG220">
        <v>27558.5</v>
      </c>
      <c r="DH220">
        <v>31197.9</v>
      </c>
      <c r="DI220">
        <v>28119.4</v>
      </c>
      <c r="DJ220">
        <v>37543.9</v>
      </c>
      <c r="DK220">
        <v>38840.300000000003</v>
      </c>
      <c r="DL220">
        <v>44403.1</v>
      </c>
      <c r="DM220">
        <v>42624.7</v>
      </c>
      <c r="DN220">
        <v>1.48705</v>
      </c>
      <c r="DO220">
        <v>2.0393699999999999</v>
      </c>
      <c r="DP220">
        <v>7.2598499999999996E-2</v>
      </c>
      <c r="DQ220">
        <v>0.19664300000000001</v>
      </c>
      <c r="DR220">
        <v>25.8142</v>
      </c>
      <c r="DS220">
        <v>25.646899999999999</v>
      </c>
      <c r="DT220">
        <v>33.5</v>
      </c>
      <c r="DU220">
        <v>28.9</v>
      </c>
      <c r="DV220">
        <v>13.53</v>
      </c>
      <c r="DW220">
        <v>61.777900000000002</v>
      </c>
      <c r="DX220">
        <v>36.686700000000002</v>
      </c>
      <c r="DY220">
        <v>1</v>
      </c>
      <c r="DZ220">
        <v>-0.11803900000000001</v>
      </c>
      <c r="EA220">
        <v>-0.308693</v>
      </c>
      <c r="EB220">
        <v>20.1892</v>
      </c>
      <c r="EC220">
        <v>5.2408000000000001</v>
      </c>
      <c r="ED220">
        <v>12.039899999999999</v>
      </c>
      <c r="EE220">
        <v>5.0167999999999999</v>
      </c>
      <c r="EF220">
        <v>3.2879999999999998</v>
      </c>
      <c r="EG220">
        <v>9999</v>
      </c>
      <c r="EH220">
        <v>9999</v>
      </c>
      <c r="EI220">
        <v>9999</v>
      </c>
      <c r="EJ220">
        <v>999.9</v>
      </c>
      <c r="EK220">
        <v>1.8689</v>
      </c>
      <c r="EL220">
        <v>1.8646100000000001</v>
      </c>
      <c r="EM220">
        <v>1.8691899999999999</v>
      </c>
      <c r="EN220">
        <v>1.8672200000000001</v>
      </c>
      <c r="EO220">
        <v>1.86337</v>
      </c>
      <c r="EP220">
        <v>1.8644700000000001</v>
      </c>
      <c r="EQ220">
        <v>1.8701300000000001</v>
      </c>
      <c r="ER220">
        <v>1.8693599999999999</v>
      </c>
      <c r="ES220">
        <v>0</v>
      </c>
      <c r="ET220">
        <v>0</v>
      </c>
      <c r="EU220">
        <v>0</v>
      </c>
      <c r="EV220">
        <v>0</v>
      </c>
      <c r="EW220" t="s">
        <v>334</v>
      </c>
      <c r="EX220" t="s">
        <v>335</v>
      </c>
      <c r="EY220" t="s">
        <v>336</v>
      </c>
      <c r="EZ220" t="s">
        <v>336</v>
      </c>
      <c r="FA220" t="s">
        <v>336</v>
      </c>
      <c r="FB220" t="s">
        <v>336</v>
      </c>
      <c r="FC220">
        <v>0</v>
      </c>
      <c r="FD220">
        <v>100</v>
      </c>
      <c r="FE220">
        <v>100</v>
      </c>
      <c r="FF220">
        <v>-0.122</v>
      </c>
      <c r="FG220">
        <v>0.17199999999999999</v>
      </c>
      <c r="FH220">
        <v>0.2126736300064915</v>
      </c>
      <c r="FI220">
        <v>-6.1462078757559423E-4</v>
      </c>
      <c r="FJ220">
        <v>-1.8861989874597051E-7</v>
      </c>
      <c r="FK220">
        <v>1.1980462299894961E-10</v>
      </c>
      <c r="FL220">
        <v>0.1719881465068297</v>
      </c>
      <c r="FM220">
        <v>0</v>
      </c>
      <c r="FN220">
        <v>0</v>
      </c>
      <c r="FO220">
        <v>0</v>
      </c>
      <c r="FP220">
        <v>3</v>
      </c>
      <c r="FQ220">
        <v>2158</v>
      </c>
      <c r="FR220">
        <v>1</v>
      </c>
      <c r="FS220">
        <v>19</v>
      </c>
      <c r="FT220">
        <v>43.3</v>
      </c>
      <c r="FU220">
        <v>43.4</v>
      </c>
      <c r="FV220">
        <v>1.7675799999999999</v>
      </c>
      <c r="FW220">
        <v>2.5842299999999998</v>
      </c>
      <c r="FX220">
        <v>1.5490699999999999</v>
      </c>
      <c r="FY220">
        <v>2.32666</v>
      </c>
      <c r="FZ220">
        <v>1.50146</v>
      </c>
      <c r="GA220">
        <v>2.35107</v>
      </c>
      <c r="GB220">
        <v>33.512999999999998</v>
      </c>
      <c r="GC220">
        <v>23.991199999999999</v>
      </c>
      <c r="GD220">
        <v>19</v>
      </c>
      <c r="GE220">
        <v>286.09399999999999</v>
      </c>
      <c r="GF220">
        <v>581.88499999999999</v>
      </c>
      <c r="GG220">
        <v>25.558299999999999</v>
      </c>
      <c r="GH220">
        <v>25.929400000000001</v>
      </c>
      <c r="GI220">
        <v>30.0002</v>
      </c>
      <c r="GJ220">
        <v>26.031700000000001</v>
      </c>
      <c r="GK220">
        <v>26.007400000000001</v>
      </c>
      <c r="GL220">
        <v>35.335799999999999</v>
      </c>
      <c r="GM220">
        <v>63.665199999999999</v>
      </c>
      <c r="GN220">
        <v>34.695300000000003</v>
      </c>
      <c r="GO220">
        <v>25.5596</v>
      </c>
      <c r="GP220">
        <v>800</v>
      </c>
      <c r="GQ220">
        <v>4.1754300000000004</v>
      </c>
      <c r="GR220">
        <v>99.827299999999994</v>
      </c>
      <c r="GS220">
        <v>99.709000000000003</v>
      </c>
    </row>
    <row r="221" spans="1:201" x14ac:dyDescent="0.25">
      <c r="A221">
        <v>205</v>
      </c>
      <c r="B221">
        <v>1690234615</v>
      </c>
      <c r="C221">
        <v>2108.900000095367</v>
      </c>
      <c r="D221" t="s">
        <v>741</v>
      </c>
      <c r="E221" t="s">
        <v>742</v>
      </c>
      <c r="F221" t="s">
        <v>330</v>
      </c>
      <c r="H221">
        <v>1690234615</v>
      </c>
      <c r="I221">
        <f t="shared" si="90"/>
        <v>1.878286396920698E-3</v>
      </c>
      <c r="J221">
        <f t="shared" si="91"/>
        <v>1.878286396920698</v>
      </c>
      <c r="K221">
        <f t="shared" si="92"/>
        <v>27.51221881403869</v>
      </c>
      <c r="L221">
        <f t="shared" si="93"/>
        <v>492.983</v>
      </c>
      <c r="M221">
        <f t="shared" si="94"/>
        <v>102.6807710286043</v>
      </c>
      <c r="N221">
        <f t="shared" si="95"/>
        <v>10.175365597622914</v>
      </c>
      <c r="O221">
        <f t="shared" si="96"/>
        <v>48.853180670171703</v>
      </c>
      <c r="P221">
        <f t="shared" si="97"/>
        <v>0.11811086040075942</v>
      </c>
      <c r="Q221">
        <f t="shared" si="98"/>
        <v>2.1263583270069315</v>
      </c>
      <c r="R221">
        <f t="shared" si="99"/>
        <v>0.11458345631816547</v>
      </c>
      <c r="S221">
        <f t="shared" si="100"/>
        <v>7.1922808299480015E-2</v>
      </c>
      <c r="T221">
        <f t="shared" si="101"/>
        <v>276.1155918</v>
      </c>
      <c r="U221">
        <f t="shared" si="102"/>
        <v>28.644040148598688</v>
      </c>
      <c r="V221">
        <f t="shared" si="103"/>
        <v>28.644040148598688</v>
      </c>
      <c r="W221">
        <f t="shared" si="104"/>
        <v>3.9396733244246018</v>
      </c>
      <c r="X221">
        <f t="shared" si="105"/>
        <v>65.691810357340628</v>
      </c>
      <c r="Y221">
        <f t="shared" si="106"/>
        <v>2.3669339922615</v>
      </c>
      <c r="Z221">
        <f t="shared" si="107"/>
        <v>3.6030883901451358</v>
      </c>
      <c r="AA221">
        <f t="shared" si="108"/>
        <v>1.5727393321631018</v>
      </c>
      <c r="AB221">
        <f t="shared" si="109"/>
        <v>-82.832430104202786</v>
      </c>
      <c r="AC221">
        <f t="shared" si="110"/>
        <v>-175.45535269122584</v>
      </c>
      <c r="AD221">
        <f t="shared" si="111"/>
        <v>-17.96465256399205</v>
      </c>
      <c r="AE221">
        <f t="shared" si="112"/>
        <v>-0.13684355942066873</v>
      </c>
      <c r="AF221">
        <v>0</v>
      </c>
      <c r="AG221">
        <v>0</v>
      </c>
      <c r="AH221">
        <f t="shared" si="113"/>
        <v>1</v>
      </c>
      <c r="AI221">
        <f t="shared" si="114"/>
        <v>0</v>
      </c>
      <c r="AJ221">
        <f t="shared" si="115"/>
        <v>52173.323833930343</v>
      </c>
      <c r="AK221">
        <f t="shared" si="116"/>
        <v>1800</v>
      </c>
      <c r="AL221">
        <f t="shared" si="117"/>
        <v>1499.112711</v>
      </c>
      <c r="AM221">
        <f t="shared" si="118"/>
        <v>0.83284039499999996</v>
      </c>
      <c r="AN221">
        <f t="shared" si="119"/>
        <v>0.15339755099999999</v>
      </c>
      <c r="AO221">
        <v>32.4</v>
      </c>
      <c r="AP221">
        <v>0.5</v>
      </c>
      <c r="AQ221" t="s">
        <v>331</v>
      </c>
      <c r="AR221">
        <v>2</v>
      </c>
      <c r="AS221">
        <v>1690234615</v>
      </c>
      <c r="AT221">
        <v>492.983</v>
      </c>
      <c r="AU221">
        <v>800.01199999999994</v>
      </c>
      <c r="AV221">
        <v>23.885000000000002</v>
      </c>
      <c r="AW221">
        <v>4.0906900000000004</v>
      </c>
      <c r="AX221">
        <v>493.10500000000002</v>
      </c>
      <c r="AY221">
        <v>23.713000000000001</v>
      </c>
      <c r="AZ221">
        <v>300.101</v>
      </c>
      <c r="BA221">
        <v>98.997100000000003</v>
      </c>
      <c r="BB221">
        <v>9.9989900000000007E-2</v>
      </c>
      <c r="BC221">
        <v>27.113499999999998</v>
      </c>
      <c r="BD221">
        <v>26.996200000000002</v>
      </c>
      <c r="BE221">
        <v>28.876300000000001</v>
      </c>
      <c r="BF221">
        <v>0</v>
      </c>
      <c r="BG221">
        <v>0</v>
      </c>
      <c r="BH221">
        <v>9969.3799999999992</v>
      </c>
      <c r="BI221">
        <v>1080.44</v>
      </c>
      <c r="BJ221">
        <v>1.28952</v>
      </c>
      <c r="BK221">
        <v>-307.029</v>
      </c>
      <c r="BL221">
        <v>505.04599999999999</v>
      </c>
      <c r="BM221">
        <v>803.298</v>
      </c>
      <c r="BN221">
        <v>19.7943</v>
      </c>
      <c r="BO221">
        <v>800.01199999999994</v>
      </c>
      <c r="BP221">
        <v>4.0906900000000004</v>
      </c>
      <c r="BQ221">
        <v>2.3645399999999999</v>
      </c>
      <c r="BR221">
        <v>0.40496700000000002</v>
      </c>
      <c r="BS221">
        <v>20.123000000000001</v>
      </c>
      <c r="BT221">
        <v>-5.5895799999999998</v>
      </c>
      <c r="BU221">
        <v>1800</v>
      </c>
      <c r="BV221">
        <v>0.91</v>
      </c>
      <c r="BW221">
        <v>3.4000200000000001E-2</v>
      </c>
      <c r="BX221">
        <v>2.20015E-2</v>
      </c>
      <c r="BY221">
        <v>3.3998599999999997E-2</v>
      </c>
      <c r="BZ221">
        <v>26</v>
      </c>
      <c r="CA221">
        <v>33528.400000000001</v>
      </c>
      <c r="CB221">
        <v>1690232006</v>
      </c>
      <c r="CC221" t="s">
        <v>332</v>
      </c>
      <c r="CD221">
        <v>1690232006</v>
      </c>
      <c r="CE221">
        <v>1690231998.5</v>
      </c>
      <c r="CF221">
        <v>14</v>
      </c>
      <c r="CG221">
        <v>-0.13200000000000001</v>
      </c>
      <c r="CH221">
        <v>-7.0000000000000001E-3</v>
      </c>
      <c r="CI221">
        <v>-0.33800000000000002</v>
      </c>
      <c r="CJ221">
        <v>0.14299999999999999</v>
      </c>
      <c r="CK221">
        <v>799</v>
      </c>
      <c r="CL221">
        <v>19</v>
      </c>
      <c r="CM221">
        <v>7.0000000000000007E-2</v>
      </c>
      <c r="CN221">
        <v>0.14000000000000001</v>
      </c>
      <c r="CO221">
        <v>-306.896075</v>
      </c>
      <c r="CP221">
        <v>-1.178555347090916</v>
      </c>
      <c r="CQ221">
        <v>0.1236865771820055</v>
      </c>
      <c r="CR221">
        <v>-1</v>
      </c>
      <c r="CS221">
        <v>19.7720725</v>
      </c>
      <c r="CT221">
        <v>0.1134315196997497</v>
      </c>
      <c r="CU221">
        <v>1.3896060367960501E-2</v>
      </c>
      <c r="CV221">
        <v>-1</v>
      </c>
      <c r="CW221">
        <v>0</v>
      </c>
      <c r="CX221">
        <v>0</v>
      </c>
      <c r="CY221" t="s">
        <v>333</v>
      </c>
      <c r="CZ221">
        <v>2.3646699999999998</v>
      </c>
      <c r="DA221">
        <v>2.7137500000000001</v>
      </c>
      <c r="DB221">
        <v>0.10463799999999999</v>
      </c>
      <c r="DC221">
        <v>0.14604200000000001</v>
      </c>
      <c r="DD221">
        <v>0.113565</v>
      </c>
      <c r="DE221">
        <v>2.8666299999999999E-2</v>
      </c>
      <c r="DF221">
        <v>32721.8</v>
      </c>
      <c r="DG221">
        <v>27558.3</v>
      </c>
      <c r="DH221">
        <v>31198.1</v>
      </c>
      <c r="DI221">
        <v>28119.200000000001</v>
      </c>
      <c r="DJ221">
        <v>37545.5</v>
      </c>
      <c r="DK221">
        <v>38848.300000000003</v>
      </c>
      <c r="DL221">
        <v>44403.3</v>
      </c>
      <c r="DM221">
        <v>42624.5</v>
      </c>
      <c r="DN221">
        <v>1.4870000000000001</v>
      </c>
      <c r="DO221">
        <v>2.0394299999999999</v>
      </c>
      <c r="DP221">
        <v>7.2084400000000007E-2</v>
      </c>
      <c r="DQ221">
        <v>0.19755200000000001</v>
      </c>
      <c r="DR221">
        <v>25.816299999999998</v>
      </c>
      <c r="DS221">
        <v>25.646899999999999</v>
      </c>
      <c r="DT221">
        <v>33.200000000000003</v>
      </c>
      <c r="DU221">
        <v>28.9</v>
      </c>
      <c r="DV221">
        <v>13.4091</v>
      </c>
      <c r="DW221">
        <v>61.587899999999998</v>
      </c>
      <c r="DX221">
        <v>36.686700000000002</v>
      </c>
      <c r="DY221">
        <v>1</v>
      </c>
      <c r="DZ221">
        <v>-0.117955</v>
      </c>
      <c r="EA221">
        <v>-0.376996</v>
      </c>
      <c r="EB221">
        <v>20.1892</v>
      </c>
      <c r="EC221">
        <v>5.24125</v>
      </c>
      <c r="ED221">
        <v>12.039899999999999</v>
      </c>
      <c r="EE221">
        <v>5.0170500000000002</v>
      </c>
      <c r="EF221">
        <v>3.2879999999999998</v>
      </c>
      <c r="EG221">
        <v>9999</v>
      </c>
      <c r="EH221">
        <v>9999</v>
      </c>
      <c r="EI221">
        <v>9999</v>
      </c>
      <c r="EJ221">
        <v>999.9</v>
      </c>
      <c r="EK221">
        <v>1.8689</v>
      </c>
      <c r="EL221">
        <v>1.8646199999999999</v>
      </c>
      <c r="EM221">
        <v>1.8691899999999999</v>
      </c>
      <c r="EN221">
        <v>1.8672200000000001</v>
      </c>
      <c r="EO221">
        <v>1.8633500000000001</v>
      </c>
      <c r="EP221">
        <v>1.8644700000000001</v>
      </c>
      <c r="EQ221">
        <v>1.8701300000000001</v>
      </c>
      <c r="ER221">
        <v>1.86937</v>
      </c>
      <c r="ES221">
        <v>0</v>
      </c>
      <c r="ET221">
        <v>0</v>
      </c>
      <c r="EU221">
        <v>0</v>
      </c>
      <c r="EV221">
        <v>0</v>
      </c>
      <c r="EW221" t="s">
        <v>334</v>
      </c>
      <c r="EX221" t="s">
        <v>335</v>
      </c>
      <c r="EY221" t="s">
        <v>336</v>
      </c>
      <c r="EZ221" t="s">
        <v>336</v>
      </c>
      <c r="FA221" t="s">
        <v>336</v>
      </c>
      <c r="FB221" t="s">
        <v>336</v>
      </c>
      <c r="FC221">
        <v>0</v>
      </c>
      <c r="FD221">
        <v>100</v>
      </c>
      <c r="FE221">
        <v>100</v>
      </c>
      <c r="FF221">
        <v>-0.122</v>
      </c>
      <c r="FG221">
        <v>0.17199999999999999</v>
      </c>
      <c r="FH221">
        <v>0.2126736300064915</v>
      </c>
      <c r="FI221">
        <v>-6.1462078757559423E-4</v>
      </c>
      <c r="FJ221">
        <v>-1.8861989874597051E-7</v>
      </c>
      <c r="FK221">
        <v>1.1980462299894961E-10</v>
      </c>
      <c r="FL221">
        <v>0.1719881465068297</v>
      </c>
      <c r="FM221">
        <v>0</v>
      </c>
      <c r="FN221">
        <v>0</v>
      </c>
      <c r="FO221">
        <v>0</v>
      </c>
      <c r="FP221">
        <v>3</v>
      </c>
      <c r="FQ221">
        <v>2158</v>
      </c>
      <c r="FR221">
        <v>1</v>
      </c>
      <c r="FS221">
        <v>19</v>
      </c>
      <c r="FT221">
        <v>43.5</v>
      </c>
      <c r="FU221">
        <v>43.6</v>
      </c>
      <c r="FV221">
        <v>1.7675799999999999</v>
      </c>
      <c r="FW221">
        <v>2.5878899999999998</v>
      </c>
      <c r="FX221">
        <v>1.5490699999999999</v>
      </c>
      <c r="FY221">
        <v>2.3278799999999999</v>
      </c>
      <c r="FZ221">
        <v>1.50146</v>
      </c>
      <c r="GA221">
        <v>2.36084</v>
      </c>
      <c r="GB221">
        <v>33.512999999999998</v>
      </c>
      <c r="GC221">
        <v>23.982399999999998</v>
      </c>
      <c r="GD221">
        <v>19</v>
      </c>
      <c r="GE221">
        <v>286.07299999999998</v>
      </c>
      <c r="GF221">
        <v>581.94500000000005</v>
      </c>
      <c r="GG221">
        <v>25.559799999999999</v>
      </c>
      <c r="GH221">
        <v>25.9298</v>
      </c>
      <c r="GI221">
        <v>30.0002</v>
      </c>
      <c r="GJ221">
        <v>26.031700000000001</v>
      </c>
      <c r="GK221">
        <v>26.009</v>
      </c>
      <c r="GL221">
        <v>35.333799999999997</v>
      </c>
      <c r="GM221">
        <v>63.665199999999999</v>
      </c>
      <c r="GN221">
        <v>34.3172</v>
      </c>
      <c r="GO221">
        <v>25.569400000000002</v>
      </c>
      <c r="GP221">
        <v>800</v>
      </c>
      <c r="GQ221">
        <v>4.1548600000000002</v>
      </c>
      <c r="GR221">
        <v>99.8279</v>
      </c>
      <c r="GS221">
        <v>99.708399999999997</v>
      </c>
    </row>
    <row r="222" spans="1:201" x14ac:dyDescent="0.25">
      <c r="A222">
        <v>206</v>
      </c>
      <c r="B222">
        <v>1690234625</v>
      </c>
      <c r="C222">
        <v>2118.900000095367</v>
      </c>
      <c r="D222" t="s">
        <v>743</v>
      </c>
      <c r="E222" t="s">
        <v>744</v>
      </c>
      <c r="F222" t="s">
        <v>330</v>
      </c>
      <c r="H222">
        <v>1690234625</v>
      </c>
      <c r="I222">
        <f t="shared" si="90"/>
        <v>1.8822649583864761E-3</v>
      </c>
      <c r="J222">
        <f t="shared" si="91"/>
        <v>1.8822649583864761</v>
      </c>
      <c r="K222">
        <f t="shared" si="92"/>
        <v>27.541024147334422</v>
      </c>
      <c r="L222">
        <f t="shared" si="93"/>
        <v>492.69600000000003</v>
      </c>
      <c r="M222">
        <f t="shared" si="94"/>
        <v>103.37525046995624</v>
      </c>
      <c r="N222">
        <f t="shared" si="95"/>
        <v>10.244288841091763</v>
      </c>
      <c r="O222">
        <f t="shared" si="96"/>
        <v>48.825227623680007</v>
      </c>
      <c r="P222">
        <f t="shared" si="97"/>
        <v>0.11854251136882304</v>
      </c>
      <c r="Q222">
        <f t="shared" si="98"/>
        <v>2.1300826377284818</v>
      </c>
      <c r="R222">
        <f t="shared" si="99"/>
        <v>0.11499570673351892</v>
      </c>
      <c r="S222">
        <f t="shared" si="100"/>
        <v>7.2182143374036639E-2</v>
      </c>
      <c r="T222">
        <f t="shared" si="101"/>
        <v>276.11553447</v>
      </c>
      <c r="U222">
        <f t="shared" si="102"/>
        <v>28.634830516786955</v>
      </c>
      <c r="V222">
        <f t="shared" si="103"/>
        <v>28.634830516786955</v>
      </c>
      <c r="W222">
        <f t="shared" si="104"/>
        <v>3.9375687371655559</v>
      </c>
      <c r="X222">
        <f t="shared" si="105"/>
        <v>65.717689475177721</v>
      </c>
      <c r="Y222">
        <f t="shared" si="106"/>
        <v>2.3671161977280004</v>
      </c>
      <c r="Z222">
        <f t="shared" si="107"/>
        <v>3.6019467766317099</v>
      </c>
      <c r="AA222">
        <f t="shared" si="108"/>
        <v>1.5704525394375555</v>
      </c>
      <c r="AB222">
        <f t="shared" si="109"/>
        <v>-83.007884664843601</v>
      </c>
      <c r="AC222">
        <f t="shared" si="110"/>
        <v>-175.32517550946457</v>
      </c>
      <c r="AD222">
        <f t="shared" si="111"/>
        <v>-17.918631431749233</v>
      </c>
      <c r="AE222">
        <f t="shared" si="112"/>
        <v>-0.1361571360574203</v>
      </c>
      <c r="AF222">
        <v>0</v>
      </c>
      <c r="AG222">
        <v>0</v>
      </c>
      <c r="AH222">
        <f t="shared" si="113"/>
        <v>1</v>
      </c>
      <c r="AI222">
        <f t="shared" si="114"/>
        <v>0</v>
      </c>
      <c r="AJ222">
        <f t="shared" si="115"/>
        <v>52334.509107153717</v>
      </c>
      <c r="AK222">
        <f t="shared" si="116"/>
        <v>1800</v>
      </c>
      <c r="AL222">
        <f t="shared" si="117"/>
        <v>1499.1124499999999</v>
      </c>
      <c r="AM222">
        <f t="shared" si="118"/>
        <v>0.83284024999999995</v>
      </c>
      <c r="AN222">
        <f t="shared" si="119"/>
        <v>0.15339751914999999</v>
      </c>
      <c r="AO222">
        <v>32.4</v>
      </c>
      <c r="AP222">
        <v>0.5</v>
      </c>
      <c r="AQ222" t="s">
        <v>331</v>
      </c>
      <c r="AR222">
        <v>2</v>
      </c>
      <c r="AS222">
        <v>1690234625</v>
      </c>
      <c r="AT222">
        <v>492.69600000000003</v>
      </c>
      <c r="AU222">
        <v>799.95100000000002</v>
      </c>
      <c r="AV222">
        <v>23.886600000000001</v>
      </c>
      <c r="AW222">
        <v>4.05687</v>
      </c>
      <c r="AX222">
        <v>492.81799999999998</v>
      </c>
      <c r="AY222">
        <v>23.714600000000001</v>
      </c>
      <c r="AZ222">
        <v>300.19900000000001</v>
      </c>
      <c r="BA222">
        <v>98.998000000000005</v>
      </c>
      <c r="BB222">
        <v>0.10008</v>
      </c>
      <c r="BC222">
        <v>27.1081</v>
      </c>
      <c r="BD222">
        <v>26.997199999999999</v>
      </c>
      <c r="BE222">
        <v>28.8658</v>
      </c>
      <c r="BF222">
        <v>0</v>
      </c>
      <c r="BG222">
        <v>0</v>
      </c>
      <c r="BH222">
        <v>10001.200000000001</v>
      </c>
      <c r="BI222">
        <v>1080.45</v>
      </c>
      <c r="BJ222">
        <v>1.28952</v>
      </c>
      <c r="BK222">
        <v>-307.255</v>
      </c>
      <c r="BL222">
        <v>504.75299999999999</v>
      </c>
      <c r="BM222">
        <v>803.20899999999995</v>
      </c>
      <c r="BN222">
        <v>19.829699999999999</v>
      </c>
      <c r="BO222">
        <v>799.95100000000002</v>
      </c>
      <c r="BP222">
        <v>4.05687</v>
      </c>
      <c r="BQ222">
        <v>2.3647200000000002</v>
      </c>
      <c r="BR222">
        <v>0.40162199999999998</v>
      </c>
      <c r="BS222">
        <v>20.124199999999998</v>
      </c>
      <c r="BT222">
        <v>-5.6984700000000004</v>
      </c>
      <c r="BU222">
        <v>1800</v>
      </c>
      <c r="BV222">
        <v>0.91</v>
      </c>
      <c r="BW222">
        <v>3.4000099999999998E-2</v>
      </c>
      <c r="BX222">
        <v>2.20015E-2</v>
      </c>
      <c r="BY222">
        <v>3.3998500000000001E-2</v>
      </c>
      <c r="BZ222">
        <v>26</v>
      </c>
      <c r="CA222">
        <v>33528.400000000001</v>
      </c>
      <c r="CB222">
        <v>1690232006</v>
      </c>
      <c r="CC222" t="s">
        <v>332</v>
      </c>
      <c r="CD222">
        <v>1690232006</v>
      </c>
      <c r="CE222">
        <v>1690231998.5</v>
      </c>
      <c r="CF222">
        <v>14</v>
      </c>
      <c r="CG222">
        <v>-0.13200000000000001</v>
      </c>
      <c r="CH222">
        <v>-7.0000000000000001E-3</v>
      </c>
      <c r="CI222">
        <v>-0.33800000000000002</v>
      </c>
      <c r="CJ222">
        <v>0.14299999999999999</v>
      </c>
      <c r="CK222">
        <v>799</v>
      </c>
      <c r="CL222">
        <v>19</v>
      </c>
      <c r="CM222">
        <v>7.0000000000000007E-2</v>
      </c>
      <c r="CN222">
        <v>0.14000000000000001</v>
      </c>
      <c r="CO222">
        <v>-307.06419512195117</v>
      </c>
      <c r="CP222">
        <v>-1.1182578397216509</v>
      </c>
      <c r="CQ222">
        <v>0.12038945329226559</v>
      </c>
      <c r="CR222">
        <v>-1</v>
      </c>
      <c r="CS222">
        <v>19.795590243902438</v>
      </c>
      <c r="CT222">
        <v>0.1802801393728343</v>
      </c>
      <c r="CU222">
        <v>1.829923102313525E-2</v>
      </c>
      <c r="CV222">
        <v>-1</v>
      </c>
      <c r="CW222">
        <v>0</v>
      </c>
      <c r="CX222">
        <v>0</v>
      </c>
      <c r="CY222" t="s">
        <v>333</v>
      </c>
      <c r="CZ222">
        <v>2.3650099999999998</v>
      </c>
      <c r="DA222">
        <v>2.71387</v>
      </c>
      <c r="DB222">
        <v>0.10459400000000001</v>
      </c>
      <c r="DC222">
        <v>0.146034</v>
      </c>
      <c r="DD222">
        <v>0.11357100000000001</v>
      </c>
      <c r="DE222">
        <v>2.84645E-2</v>
      </c>
      <c r="DF222">
        <v>32723</v>
      </c>
      <c r="DG222">
        <v>27558.6</v>
      </c>
      <c r="DH222">
        <v>31197.8</v>
      </c>
      <c r="DI222">
        <v>28119.200000000001</v>
      </c>
      <c r="DJ222">
        <v>37544.9</v>
      </c>
      <c r="DK222">
        <v>38856.5</v>
      </c>
      <c r="DL222">
        <v>44403</v>
      </c>
      <c r="DM222">
        <v>42624.7</v>
      </c>
      <c r="DN222">
        <v>1.48722</v>
      </c>
      <c r="DO222">
        <v>2.0394199999999998</v>
      </c>
      <c r="DP222">
        <v>7.2144E-2</v>
      </c>
      <c r="DQ222">
        <v>0.196904</v>
      </c>
      <c r="DR222">
        <v>25.816299999999998</v>
      </c>
      <c r="DS222">
        <v>25.646899999999999</v>
      </c>
      <c r="DT222">
        <v>33</v>
      </c>
      <c r="DU222">
        <v>28.9</v>
      </c>
      <c r="DV222">
        <v>13.328099999999999</v>
      </c>
      <c r="DW222">
        <v>61.427900000000001</v>
      </c>
      <c r="DX222">
        <v>37.383800000000001</v>
      </c>
      <c r="DY222">
        <v>1</v>
      </c>
      <c r="DZ222">
        <v>-0.117853</v>
      </c>
      <c r="EA222">
        <v>-0.379303</v>
      </c>
      <c r="EB222">
        <v>20.189399999999999</v>
      </c>
      <c r="EC222">
        <v>5.2411000000000003</v>
      </c>
      <c r="ED222">
        <v>12.039899999999999</v>
      </c>
      <c r="EE222">
        <v>5.0168999999999997</v>
      </c>
      <c r="EF222">
        <v>3.2879999999999998</v>
      </c>
      <c r="EG222">
        <v>9999</v>
      </c>
      <c r="EH222">
        <v>9999</v>
      </c>
      <c r="EI222">
        <v>9999</v>
      </c>
      <c r="EJ222">
        <v>999.9</v>
      </c>
      <c r="EK222">
        <v>1.8689</v>
      </c>
      <c r="EL222">
        <v>1.8646199999999999</v>
      </c>
      <c r="EM222">
        <v>1.8692</v>
      </c>
      <c r="EN222">
        <v>1.8672200000000001</v>
      </c>
      <c r="EO222">
        <v>1.8633599999999999</v>
      </c>
      <c r="EP222">
        <v>1.8644700000000001</v>
      </c>
      <c r="EQ222">
        <v>1.8701300000000001</v>
      </c>
      <c r="ER222">
        <v>1.8693599999999999</v>
      </c>
      <c r="ES222">
        <v>0</v>
      </c>
      <c r="ET222">
        <v>0</v>
      </c>
      <c r="EU222">
        <v>0</v>
      </c>
      <c r="EV222">
        <v>0</v>
      </c>
      <c r="EW222" t="s">
        <v>334</v>
      </c>
      <c r="EX222" t="s">
        <v>335</v>
      </c>
      <c r="EY222" t="s">
        <v>336</v>
      </c>
      <c r="EZ222" t="s">
        <v>336</v>
      </c>
      <c r="FA222" t="s">
        <v>336</v>
      </c>
      <c r="FB222" t="s">
        <v>336</v>
      </c>
      <c r="FC222">
        <v>0</v>
      </c>
      <c r="FD222">
        <v>100</v>
      </c>
      <c r="FE222">
        <v>100</v>
      </c>
      <c r="FF222">
        <v>-0.122</v>
      </c>
      <c r="FG222">
        <v>0.17199999999999999</v>
      </c>
      <c r="FH222">
        <v>0.2126736300064915</v>
      </c>
      <c r="FI222">
        <v>-6.1462078757559423E-4</v>
      </c>
      <c r="FJ222">
        <v>-1.8861989874597051E-7</v>
      </c>
      <c r="FK222">
        <v>1.1980462299894961E-10</v>
      </c>
      <c r="FL222">
        <v>0.1719881465068297</v>
      </c>
      <c r="FM222">
        <v>0</v>
      </c>
      <c r="FN222">
        <v>0</v>
      </c>
      <c r="FO222">
        <v>0</v>
      </c>
      <c r="FP222">
        <v>3</v>
      </c>
      <c r="FQ222">
        <v>2158</v>
      </c>
      <c r="FR222">
        <v>1</v>
      </c>
      <c r="FS222">
        <v>19</v>
      </c>
      <c r="FT222">
        <v>43.6</v>
      </c>
      <c r="FU222">
        <v>43.8</v>
      </c>
      <c r="FV222">
        <v>1.7675799999999999</v>
      </c>
      <c r="FW222">
        <v>2.5891099999999998</v>
      </c>
      <c r="FX222">
        <v>1.5490699999999999</v>
      </c>
      <c r="FY222">
        <v>2.3278799999999999</v>
      </c>
      <c r="FZ222">
        <v>1.50024</v>
      </c>
      <c r="GA222">
        <v>2.2936999999999999</v>
      </c>
      <c r="GB222">
        <v>33.512999999999998</v>
      </c>
      <c r="GC222">
        <v>23.973700000000001</v>
      </c>
      <c r="GD222">
        <v>19</v>
      </c>
      <c r="GE222">
        <v>286.17899999999997</v>
      </c>
      <c r="GF222">
        <v>581.95799999999997</v>
      </c>
      <c r="GG222">
        <v>25.575700000000001</v>
      </c>
      <c r="GH222">
        <v>25.931899999999999</v>
      </c>
      <c r="GI222">
        <v>30.0002</v>
      </c>
      <c r="GJ222">
        <v>26.033899999999999</v>
      </c>
      <c r="GK222">
        <v>26.010200000000001</v>
      </c>
      <c r="GL222">
        <v>35.335599999999999</v>
      </c>
      <c r="GM222">
        <v>63.0794</v>
      </c>
      <c r="GN222">
        <v>33.941200000000002</v>
      </c>
      <c r="GO222">
        <v>25.5793</v>
      </c>
      <c r="GP222">
        <v>800</v>
      </c>
      <c r="GQ222">
        <v>4.12812</v>
      </c>
      <c r="GR222">
        <v>99.826999999999998</v>
      </c>
      <c r="GS222">
        <v>99.708699999999993</v>
      </c>
    </row>
    <row r="223" spans="1:201" x14ac:dyDescent="0.25">
      <c r="A223">
        <v>207</v>
      </c>
      <c r="B223">
        <v>1690234635</v>
      </c>
      <c r="C223">
        <v>2128.900000095367</v>
      </c>
      <c r="D223" t="s">
        <v>745</v>
      </c>
      <c r="E223" t="s">
        <v>746</v>
      </c>
      <c r="F223" t="s">
        <v>330</v>
      </c>
      <c r="H223">
        <v>1690234635</v>
      </c>
      <c r="I223">
        <f t="shared" si="90"/>
        <v>1.8813603148936031E-3</v>
      </c>
      <c r="J223">
        <f t="shared" si="91"/>
        <v>1.8813603148936031</v>
      </c>
      <c r="K223">
        <f t="shared" si="92"/>
        <v>27.548365748522201</v>
      </c>
      <c r="L223">
        <f t="shared" si="93"/>
        <v>492.596</v>
      </c>
      <c r="M223">
        <f t="shared" si="94"/>
        <v>102.88647757122224</v>
      </c>
      <c r="N223">
        <f t="shared" si="95"/>
        <v>10.195574128792595</v>
      </c>
      <c r="O223">
        <f t="shared" si="96"/>
        <v>48.813985589798001</v>
      </c>
      <c r="P223">
        <f t="shared" si="97"/>
        <v>0.11844489538042216</v>
      </c>
      <c r="Q223">
        <f t="shared" si="98"/>
        <v>2.1331145063118417</v>
      </c>
      <c r="R223">
        <f t="shared" si="99"/>
        <v>0.11490870704050375</v>
      </c>
      <c r="S223">
        <f t="shared" si="100"/>
        <v>7.2126860344855312E-2</v>
      </c>
      <c r="T223">
        <f t="shared" si="101"/>
        <v>276.11550360000001</v>
      </c>
      <c r="U223">
        <f t="shared" si="102"/>
        <v>28.631676955085773</v>
      </c>
      <c r="V223">
        <f t="shared" si="103"/>
        <v>28.631676955085773</v>
      </c>
      <c r="W223">
        <f t="shared" si="104"/>
        <v>3.9368483098903173</v>
      </c>
      <c r="X223">
        <f t="shared" si="105"/>
        <v>65.692241048666617</v>
      </c>
      <c r="Y223">
        <f t="shared" si="106"/>
        <v>2.3659912759004502</v>
      </c>
      <c r="Z223">
        <f t="shared" si="107"/>
        <v>3.6016297178043577</v>
      </c>
      <c r="AA223">
        <f t="shared" si="108"/>
        <v>1.5708570339898671</v>
      </c>
      <c r="AB223">
        <f t="shared" si="109"/>
        <v>-82.967989886807899</v>
      </c>
      <c r="AC223">
        <f t="shared" si="110"/>
        <v>-175.38456549900926</v>
      </c>
      <c r="AD223">
        <f t="shared" si="111"/>
        <v>-17.898808719066967</v>
      </c>
      <c r="AE223">
        <f t="shared" si="112"/>
        <v>-0.13586050488410706</v>
      </c>
      <c r="AF223">
        <v>0</v>
      </c>
      <c r="AG223">
        <v>0</v>
      </c>
      <c r="AH223">
        <f t="shared" si="113"/>
        <v>1</v>
      </c>
      <c r="AI223">
        <f t="shared" si="114"/>
        <v>0</v>
      </c>
      <c r="AJ223">
        <f t="shared" si="115"/>
        <v>52465.389986760041</v>
      </c>
      <c r="AK223">
        <f t="shared" si="116"/>
        <v>1800</v>
      </c>
      <c r="AL223">
        <f t="shared" si="117"/>
        <v>1499.113971</v>
      </c>
      <c r="AM223">
        <f t="shared" si="118"/>
        <v>0.83284109500000003</v>
      </c>
      <c r="AN223">
        <f t="shared" si="119"/>
        <v>0.15339750199999999</v>
      </c>
      <c r="AO223">
        <v>32.4</v>
      </c>
      <c r="AP223">
        <v>0.5</v>
      </c>
      <c r="AQ223" t="s">
        <v>331</v>
      </c>
      <c r="AR223">
        <v>2</v>
      </c>
      <c r="AS223">
        <v>1690234635</v>
      </c>
      <c r="AT223">
        <v>492.596</v>
      </c>
      <c r="AU223">
        <v>800.03399999999999</v>
      </c>
      <c r="AV223">
        <v>23.875900000000001</v>
      </c>
      <c r="AW223">
        <v>4.0483500000000001</v>
      </c>
      <c r="AX223">
        <v>492.71800000000002</v>
      </c>
      <c r="AY223">
        <v>23.703900000000001</v>
      </c>
      <c r="AZ223">
        <v>300.09100000000001</v>
      </c>
      <c r="BA223">
        <v>98.995500000000007</v>
      </c>
      <c r="BB223">
        <v>9.9875500000000006E-2</v>
      </c>
      <c r="BC223">
        <v>27.1066</v>
      </c>
      <c r="BD223">
        <v>26.992000000000001</v>
      </c>
      <c r="BE223">
        <v>28.850300000000001</v>
      </c>
      <c r="BF223">
        <v>0</v>
      </c>
      <c r="BG223">
        <v>0</v>
      </c>
      <c r="BH223">
        <v>10027.5</v>
      </c>
      <c r="BI223">
        <v>1080.3</v>
      </c>
      <c r="BJ223">
        <v>1.28952</v>
      </c>
      <c r="BK223">
        <v>-307.43799999999999</v>
      </c>
      <c r="BL223">
        <v>504.64499999999998</v>
      </c>
      <c r="BM223">
        <v>803.28599999999994</v>
      </c>
      <c r="BN223">
        <v>19.827500000000001</v>
      </c>
      <c r="BO223">
        <v>800.03399999999999</v>
      </c>
      <c r="BP223">
        <v>4.0483500000000001</v>
      </c>
      <c r="BQ223">
        <v>2.3635999999999999</v>
      </c>
      <c r="BR223">
        <v>0.40076899999999999</v>
      </c>
      <c r="BS223">
        <v>20.116599999999998</v>
      </c>
      <c r="BT223">
        <v>-5.7263900000000003</v>
      </c>
      <c r="BU223">
        <v>1800</v>
      </c>
      <c r="BV223">
        <v>0.91000499999999995</v>
      </c>
      <c r="BW223">
        <v>3.3995200000000003E-2</v>
      </c>
      <c r="BX223">
        <v>2.20015E-2</v>
      </c>
      <c r="BY223">
        <v>3.3998599999999997E-2</v>
      </c>
      <c r="BZ223">
        <v>26</v>
      </c>
      <c r="CA223">
        <v>33528.400000000001</v>
      </c>
      <c r="CB223">
        <v>1690232006</v>
      </c>
      <c r="CC223" t="s">
        <v>332</v>
      </c>
      <c r="CD223">
        <v>1690232006</v>
      </c>
      <c r="CE223">
        <v>1690231998.5</v>
      </c>
      <c r="CF223">
        <v>14</v>
      </c>
      <c r="CG223">
        <v>-0.13200000000000001</v>
      </c>
      <c r="CH223">
        <v>-7.0000000000000001E-3</v>
      </c>
      <c r="CI223">
        <v>-0.33800000000000002</v>
      </c>
      <c r="CJ223">
        <v>0.14299999999999999</v>
      </c>
      <c r="CK223">
        <v>799</v>
      </c>
      <c r="CL223">
        <v>19</v>
      </c>
      <c r="CM223">
        <v>7.0000000000000007E-2</v>
      </c>
      <c r="CN223">
        <v>0.14000000000000001</v>
      </c>
      <c r="CO223">
        <v>-307.24787500000002</v>
      </c>
      <c r="CP223">
        <v>-0.96672045028028564</v>
      </c>
      <c r="CQ223">
        <v>0.1070189673609302</v>
      </c>
      <c r="CR223">
        <v>-1</v>
      </c>
      <c r="CS223">
        <v>19.817442499999999</v>
      </c>
      <c r="CT223">
        <v>4.3185365853650799E-2</v>
      </c>
      <c r="CU223">
        <v>1.053332538897374E-2</v>
      </c>
      <c r="CV223">
        <v>-1</v>
      </c>
      <c r="CW223">
        <v>0</v>
      </c>
      <c r="CX223">
        <v>0</v>
      </c>
      <c r="CY223" t="s">
        <v>333</v>
      </c>
      <c r="CZ223">
        <v>2.3646600000000002</v>
      </c>
      <c r="DA223">
        <v>2.7136900000000002</v>
      </c>
      <c r="DB223">
        <v>0.104576</v>
      </c>
      <c r="DC223">
        <v>0.14604</v>
      </c>
      <c r="DD223">
        <v>0.11353199999999999</v>
      </c>
      <c r="DE223">
        <v>2.8412799999999998E-2</v>
      </c>
      <c r="DF223">
        <v>32723.599999999999</v>
      </c>
      <c r="DG223">
        <v>27558.2</v>
      </c>
      <c r="DH223">
        <v>31197.7</v>
      </c>
      <c r="DI223">
        <v>28119</v>
      </c>
      <c r="DJ223">
        <v>37546.300000000003</v>
      </c>
      <c r="DK223">
        <v>38858.1</v>
      </c>
      <c r="DL223">
        <v>44402.6</v>
      </c>
      <c r="DM223">
        <v>42624.1</v>
      </c>
      <c r="DN223">
        <v>1.48695</v>
      </c>
      <c r="DO223">
        <v>2.03932</v>
      </c>
      <c r="DP223">
        <v>7.2129100000000002E-2</v>
      </c>
      <c r="DQ223">
        <v>0.19609199999999999</v>
      </c>
      <c r="DR223">
        <v>25.811199999999999</v>
      </c>
      <c r="DS223">
        <v>25.644600000000001</v>
      </c>
      <c r="DT223">
        <v>32.700000000000003</v>
      </c>
      <c r="DU223">
        <v>28.9</v>
      </c>
      <c r="DV223">
        <v>13.2072</v>
      </c>
      <c r="DW223">
        <v>61.477899999999998</v>
      </c>
      <c r="DX223">
        <v>36.490400000000001</v>
      </c>
      <c r="DY223">
        <v>1</v>
      </c>
      <c r="DZ223">
        <v>-0.117894</v>
      </c>
      <c r="EA223">
        <v>-0.35031000000000001</v>
      </c>
      <c r="EB223">
        <v>20.189599999999999</v>
      </c>
      <c r="EC223">
        <v>5.2406499999999996</v>
      </c>
      <c r="ED223">
        <v>12.039899999999999</v>
      </c>
      <c r="EE223">
        <v>5.0166500000000003</v>
      </c>
      <c r="EF223">
        <v>3.2879999999999998</v>
      </c>
      <c r="EG223">
        <v>9999</v>
      </c>
      <c r="EH223">
        <v>9999</v>
      </c>
      <c r="EI223">
        <v>9999</v>
      </c>
      <c r="EJ223">
        <v>999.9</v>
      </c>
      <c r="EK223">
        <v>1.8689</v>
      </c>
      <c r="EL223">
        <v>1.8646100000000001</v>
      </c>
      <c r="EM223">
        <v>1.8692</v>
      </c>
      <c r="EN223">
        <v>1.8672200000000001</v>
      </c>
      <c r="EO223">
        <v>1.8633599999999999</v>
      </c>
      <c r="EP223">
        <v>1.8644700000000001</v>
      </c>
      <c r="EQ223">
        <v>1.87012</v>
      </c>
      <c r="ER223">
        <v>1.8693500000000001</v>
      </c>
      <c r="ES223">
        <v>0</v>
      </c>
      <c r="ET223">
        <v>0</v>
      </c>
      <c r="EU223">
        <v>0</v>
      </c>
      <c r="EV223">
        <v>0</v>
      </c>
      <c r="EW223" t="s">
        <v>334</v>
      </c>
      <c r="EX223" t="s">
        <v>335</v>
      </c>
      <c r="EY223" t="s">
        <v>336</v>
      </c>
      <c r="EZ223" t="s">
        <v>336</v>
      </c>
      <c r="FA223" t="s">
        <v>336</v>
      </c>
      <c r="FB223" t="s">
        <v>336</v>
      </c>
      <c r="FC223">
        <v>0</v>
      </c>
      <c r="FD223">
        <v>100</v>
      </c>
      <c r="FE223">
        <v>100</v>
      </c>
      <c r="FF223">
        <v>-0.122</v>
      </c>
      <c r="FG223">
        <v>0.17199999999999999</v>
      </c>
      <c r="FH223">
        <v>0.2126736300064915</v>
      </c>
      <c r="FI223">
        <v>-6.1462078757559423E-4</v>
      </c>
      <c r="FJ223">
        <v>-1.8861989874597051E-7</v>
      </c>
      <c r="FK223">
        <v>1.1980462299894961E-10</v>
      </c>
      <c r="FL223">
        <v>0.1719881465068297</v>
      </c>
      <c r="FM223">
        <v>0</v>
      </c>
      <c r="FN223">
        <v>0</v>
      </c>
      <c r="FO223">
        <v>0</v>
      </c>
      <c r="FP223">
        <v>3</v>
      </c>
      <c r="FQ223">
        <v>2158</v>
      </c>
      <c r="FR223">
        <v>1</v>
      </c>
      <c r="FS223">
        <v>19</v>
      </c>
      <c r="FT223">
        <v>43.8</v>
      </c>
      <c r="FU223">
        <v>43.9</v>
      </c>
      <c r="FV223">
        <v>1.7675799999999999</v>
      </c>
      <c r="FW223">
        <v>2.5805699999999998</v>
      </c>
      <c r="FX223">
        <v>1.5490699999999999</v>
      </c>
      <c r="FY223">
        <v>2.3278799999999999</v>
      </c>
      <c r="FZ223">
        <v>1.50146</v>
      </c>
      <c r="GA223">
        <v>2.3645</v>
      </c>
      <c r="GB223">
        <v>33.512999999999998</v>
      </c>
      <c r="GC223">
        <v>23.991199999999999</v>
      </c>
      <c r="GD223">
        <v>19</v>
      </c>
      <c r="GE223">
        <v>286.06099999999998</v>
      </c>
      <c r="GF223">
        <v>581.88699999999994</v>
      </c>
      <c r="GG223">
        <v>25.586200000000002</v>
      </c>
      <c r="GH223">
        <v>25.933800000000002</v>
      </c>
      <c r="GI223">
        <v>30.0001</v>
      </c>
      <c r="GJ223">
        <v>26.033899999999999</v>
      </c>
      <c r="GK223">
        <v>26.011099999999999</v>
      </c>
      <c r="GL223">
        <v>35.330800000000004</v>
      </c>
      <c r="GM223">
        <v>63.0794</v>
      </c>
      <c r="GN223">
        <v>33.569200000000002</v>
      </c>
      <c r="GO223">
        <v>25.584099999999999</v>
      </c>
      <c r="GP223">
        <v>800</v>
      </c>
      <c r="GQ223">
        <v>4.11036</v>
      </c>
      <c r="GR223">
        <v>99.826400000000007</v>
      </c>
      <c r="GS223">
        <v>99.707499999999996</v>
      </c>
    </row>
    <row r="224" spans="1:201" x14ac:dyDescent="0.25">
      <c r="A224">
        <v>208</v>
      </c>
      <c r="B224">
        <v>1690234645</v>
      </c>
      <c r="C224">
        <v>2138.900000095367</v>
      </c>
      <c r="D224" t="s">
        <v>747</v>
      </c>
      <c r="E224" t="s">
        <v>748</v>
      </c>
      <c r="F224" t="s">
        <v>330</v>
      </c>
      <c r="H224">
        <v>1690234645</v>
      </c>
      <c r="I224">
        <f t="shared" si="90"/>
        <v>1.8835073158577126E-3</v>
      </c>
      <c r="J224">
        <f t="shared" si="91"/>
        <v>1.8835073158577125</v>
      </c>
      <c r="K224">
        <f t="shared" si="92"/>
        <v>27.554025057238427</v>
      </c>
      <c r="L224">
        <f t="shared" si="93"/>
        <v>492.45499999999998</v>
      </c>
      <c r="M224">
        <f t="shared" si="94"/>
        <v>102.47491442154443</v>
      </c>
      <c r="N224">
        <f t="shared" si="95"/>
        <v>10.154864981858294</v>
      </c>
      <c r="O224">
        <f t="shared" si="96"/>
        <v>48.800372880229993</v>
      </c>
      <c r="P224">
        <f t="shared" si="97"/>
        <v>0.11839522515870679</v>
      </c>
      <c r="Q224">
        <f t="shared" si="98"/>
        <v>2.1264914796923486</v>
      </c>
      <c r="R224">
        <f t="shared" si="99"/>
        <v>0.11485130452496663</v>
      </c>
      <c r="S224">
        <f t="shared" si="100"/>
        <v>7.2091636265617029E-2</v>
      </c>
      <c r="T224">
        <f t="shared" si="101"/>
        <v>276.11388086747309</v>
      </c>
      <c r="U224">
        <f t="shared" si="102"/>
        <v>28.642016640190437</v>
      </c>
      <c r="V224">
        <f t="shared" si="103"/>
        <v>28.642016640190437</v>
      </c>
      <c r="W224">
        <f t="shared" si="104"/>
        <v>3.9392108277228051</v>
      </c>
      <c r="X224">
        <f t="shared" si="105"/>
        <v>65.660189901848966</v>
      </c>
      <c r="Y224">
        <f t="shared" si="106"/>
        <v>2.3657807962015998</v>
      </c>
      <c r="Z224">
        <f t="shared" si="107"/>
        <v>3.6030672462843123</v>
      </c>
      <c r="AA224">
        <f t="shared" si="108"/>
        <v>1.5734300315212053</v>
      </c>
      <c r="AB224">
        <f t="shared" si="109"/>
        <v>-83.062672629325121</v>
      </c>
      <c r="AC224">
        <f t="shared" si="110"/>
        <v>-175.24582215539419</v>
      </c>
      <c r="AD224">
        <f t="shared" si="111"/>
        <v>-17.941885228094279</v>
      </c>
      <c r="AE224">
        <f t="shared" si="112"/>
        <v>-0.13649914534050822</v>
      </c>
      <c r="AF224">
        <v>0</v>
      </c>
      <c r="AG224">
        <v>0</v>
      </c>
      <c r="AH224">
        <f t="shared" si="113"/>
        <v>1</v>
      </c>
      <c r="AI224">
        <f t="shared" si="114"/>
        <v>0</v>
      </c>
      <c r="AJ224">
        <f t="shared" si="115"/>
        <v>52179.042943969129</v>
      </c>
      <c r="AK224">
        <f t="shared" si="116"/>
        <v>1799.99</v>
      </c>
      <c r="AL224">
        <f t="shared" si="117"/>
        <v>1499.1036158003101</v>
      </c>
      <c r="AM224">
        <f t="shared" si="118"/>
        <v>0.83283996900000001</v>
      </c>
      <c r="AN224">
        <f t="shared" si="119"/>
        <v>0.15339745268999999</v>
      </c>
      <c r="AO224">
        <v>32.4</v>
      </c>
      <c r="AP224">
        <v>0.5</v>
      </c>
      <c r="AQ224" t="s">
        <v>331</v>
      </c>
      <c r="AR224">
        <v>2</v>
      </c>
      <c r="AS224">
        <v>1690234645</v>
      </c>
      <c r="AT224">
        <v>492.45499999999998</v>
      </c>
      <c r="AU224">
        <v>799.97699999999998</v>
      </c>
      <c r="AV224">
        <v>23.8736</v>
      </c>
      <c r="AW224">
        <v>4.0224500000000001</v>
      </c>
      <c r="AX224">
        <v>492.57600000000002</v>
      </c>
      <c r="AY224">
        <v>23.701599999999999</v>
      </c>
      <c r="AZ224">
        <v>300.077</v>
      </c>
      <c r="BA224">
        <v>98.996099999999998</v>
      </c>
      <c r="BB224">
        <v>0.100006</v>
      </c>
      <c r="BC224">
        <v>27.113399999999999</v>
      </c>
      <c r="BD224">
        <v>26.999700000000001</v>
      </c>
      <c r="BE224">
        <v>28.8504</v>
      </c>
      <c r="BF224">
        <v>0</v>
      </c>
      <c r="BG224">
        <v>0</v>
      </c>
      <c r="BH224">
        <v>9970.6200000000008</v>
      </c>
      <c r="BI224">
        <v>1080.31</v>
      </c>
      <c r="BJ224">
        <v>1.28952</v>
      </c>
      <c r="BK224">
        <v>-307.52199999999999</v>
      </c>
      <c r="BL224">
        <v>504.49900000000002</v>
      </c>
      <c r="BM224">
        <v>803.20699999999999</v>
      </c>
      <c r="BN224">
        <v>19.851099999999999</v>
      </c>
      <c r="BO224">
        <v>799.97699999999998</v>
      </c>
      <c r="BP224">
        <v>4.0224500000000001</v>
      </c>
      <c r="BQ224">
        <v>2.3633899999999999</v>
      </c>
      <c r="BR224">
        <v>0.39820699999999998</v>
      </c>
      <c r="BS224">
        <v>20.115100000000002</v>
      </c>
      <c r="BT224">
        <v>-5.8105000000000002</v>
      </c>
      <c r="BU224">
        <v>1799.99</v>
      </c>
      <c r="BV224">
        <v>0.91</v>
      </c>
      <c r="BW224">
        <v>3.4000500000000003E-2</v>
      </c>
      <c r="BX224">
        <v>2.2001199999999999E-2</v>
      </c>
      <c r="BY224">
        <v>3.3998100000000003E-2</v>
      </c>
      <c r="BZ224">
        <v>26</v>
      </c>
      <c r="CA224">
        <v>33528.199999999997</v>
      </c>
      <c r="CB224">
        <v>1690232006</v>
      </c>
      <c r="CC224" t="s">
        <v>332</v>
      </c>
      <c r="CD224">
        <v>1690232006</v>
      </c>
      <c r="CE224">
        <v>1690231998.5</v>
      </c>
      <c r="CF224">
        <v>14</v>
      </c>
      <c r="CG224">
        <v>-0.13200000000000001</v>
      </c>
      <c r="CH224">
        <v>-7.0000000000000001E-3</v>
      </c>
      <c r="CI224">
        <v>-0.33800000000000002</v>
      </c>
      <c r="CJ224">
        <v>0.14299999999999999</v>
      </c>
      <c r="CK224">
        <v>799</v>
      </c>
      <c r="CL224">
        <v>19</v>
      </c>
      <c r="CM224">
        <v>7.0000000000000007E-2</v>
      </c>
      <c r="CN224">
        <v>0.14000000000000001</v>
      </c>
      <c r="CO224">
        <v>-307.3971219512195</v>
      </c>
      <c r="CP224">
        <v>-0.93309407665506072</v>
      </c>
      <c r="CQ224">
        <v>0.1055437015305894</v>
      </c>
      <c r="CR224">
        <v>-1</v>
      </c>
      <c r="CS224">
        <v>19.829712195121949</v>
      </c>
      <c r="CT224">
        <v>7.7015331010464316E-2</v>
      </c>
      <c r="CU224">
        <v>1.270379615094876E-2</v>
      </c>
      <c r="CV224">
        <v>-1</v>
      </c>
      <c r="CW224">
        <v>0</v>
      </c>
      <c r="CX224">
        <v>0</v>
      </c>
      <c r="CY224" t="s">
        <v>333</v>
      </c>
      <c r="CZ224">
        <v>2.3646099999999999</v>
      </c>
      <c r="DA224">
        <v>2.7137699999999998</v>
      </c>
      <c r="DB224">
        <v>0.10455399999999999</v>
      </c>
      <c r="DC224">
        <v>0.146033</v>
      </c>
      <c r="DD224">
        <v>0.113525</v>
      </c>
      <c r="DE224">
        <v>2.82578E-2</v>
      </c>
      <c r="DF224">
        <v>32724.5</v>
      </c>
      <c r="DG224">
        <v>27558.7</v>
      </c>
      <c r="DH224">
        <v>31197.8</v>
      </c>
      <c r="DI224">
        <v>28119.4</v>
      </c>
      <c r="DJ224">
        <v>37546.800000000003</v>
      </c>
      <c r="DK224">
        <v>38864.800000000003</v>
      </c>
      <c r="DL224">
        <v>44402.8</v>
      </c>
      <c r="DM224">
        <v>42624.7</v>
      </c>
      <c r="DN224">
        <v>1.4871000000000001</v>
      </c>
      <c r="DO224">
        <v>2.03918</v>
      </c>
      <c r="DP224">
        <v>7.2829400000000002E-2</v>
      </c>
      <c r="DQ224">
        <v>0.19633</v>
      </c>
      <c r="DR224">
        <v>25.807500000000001</v>
      </c>
      <c r="DS224">
        <v>25.640899999999998</v>
      </c>
      <c r="DT224">
        <v>32.5</v>
      </c>
      <c r="DU224">
        <v>28.9</v>
      </c>
      <c r="DV224">
        <v>13.1272</v>
      </c>
      <c r="DW224">
        <v>61.6479</v>
      </c>
      <c r="DX224">
        <v>36.935099999999998</v>
      </c>
      <c r="DY224">
        <v>1</v>
      </c>
      <c r="DZ224">
        <v>-0.11762400000000001</v>
      </c>
      <c r="EA224">
        <v>-0.30838500000000002</v>
      </c>
      <c r="EB224">
        <v>20.189499999999999</v>
      </c>
      <c r="EC224">
        <v>5.2411000000000003</v>
      </c>
      <c r="ED224">
        <v>12.039899999999999</v>
      </c>
      <c r="EE224">
        <v>5.0168499999999998</v>
      </c>
      <c r="EF224">
        <v>3.2879999999999998</v>
      </c>
      <c r="EG224">
        <v>9999</v>
      </c>
      <c r="EH224">
        <v>9999</v>
      </c>
      <c r="EI224">
        <v>9999</v>
      </c>
      <c r="EJ224">
        <v>999.9</v>
      </c>
      <c r="EK224">
        <v>1.8688899999999999</v>
      </c>
      <c r="EL224">
        <v>1.8646</v>
      </c>
      <c r="EM224">
        <v>1.86917</v>
      </c>
      <c r="EN224">
        <v>1.8672200000000001</v>
      </c>
      <c r="EO224">
        <v>1.8633599999999999</v>
      </c>
      <c r="EP224">
        <v>1.8644700000000001</v>
      </c>
      <c r="EQ224">
        <v>1.87012</v>
      </c>
      <c r="ER224">
        <v>1.8693599999999999</v>
      </c>
      <c r="ES224">
        <v>0</v>
      </c>
      <c r="ET224">
        <v>0</v>
      </c>
      <c r="EU224">
        <v>0</v>
      </c>
      <c r="EV224">
        <v>0</v>
      </c>
      <c r="EW224" t="s">
        <v>334</v>
      </c>
      <c r="EX224" t="s">
        <v>335</v>
      </c>
      <c r="EY224" t="s">
        <v>336</v>
      </c>
      <c r="EZ224" t="s">
        <v>336</v>
      </c>
      <c r="FA224" t="s">
        <v>336</v>
      </c>
      <c r="FB224" t="s">
        <v>336</v>
      </c>
      <c r="FC224">
        <v>0</v>
      </c>
      <c r="FD224">
        <v>100</v>
      </c>
      <c r="FE224">
        <v>100</v>
      </c>
      <c r="FF224">
        <v>-0.121</v>
      </c>
      <c r="FG224">
        <v>0.17199999999999999</v>
      </c>
      <c r="FH224">
        <v>0.2126736300064915</v>
      </c>
      <c r="FI224">
        <v>-6.1462078757559423E-4</v>
      </c>
      <c r="FJ224">
        <v>-1.8861989874597051E-7</v>
      </c>
      <c r="FK224">
        <v>1.1980462299894961E-10</v>
      </c>
      <c r="FL224">
        <v>0.1719881465068297</v>
      </c>
      <c r="FM224">
        <v>0</v>
      </c>
      <c r="FN224">
        <v>0</v>
      </c>
      <c r="FO224">
        <v>0</v>
      </c>
      <c r="FP224">
        <v>3</v>
      </c>
      <c r="FQ224">
        <v>2158</v>
      </c>
      <c r="FR224">
        <v>1</v>
      </c>
      <c r="FS224">
        <v>19</v>
      </c>
      <c r="FT224">
        <v>44</v>
      </c>
      <c r="FU224">
        <v>44.1</v>
      </c>
      <c r="FV224">
        <v>1.7675799999999999</v>
      </c>
      <c r="FW224">
        <v>2.5903299999999998</v>
      </c>
      <c r="FX224">
        <v>1.5490699999999999</v>
      </c>
      <c r="FY224">
        <v>2.3278799999999999</v>
      </c>
      <c r="FZ224">
        <v>1.50146</v>
      </c>
      <c r="GA224">
        <v>2.36328</v>
      </c>
      <c r="GB224">
        <v>33.535499999999999</v>
      </c>
      <c r="GC224">
        <v>23.982399999999998</v>
      </c>
      <c r="GD224">
        <v>19</v>
      </c>
      <c r="GE224">
        <v>286.13499999999999</v>
      </c>
      <c r="GF224">
        <v>581.78200000000004</v>
      </c>
      <c r="GG224">
        <v>25.585799999999999</v>
      </c>
      <c r="GH224">
        <v>25.934100000000001</v>
      </c>
      <c r="GI224">
        <v>30.0002</v>
      </c>
      <c r="GJ224">
        <v>26.036100000000001</v>
      </c>
      <c r="GK224">
        <v>26.012799999999999</v>
      </c>
      <c r="GL224">
        <v>35.332000000000001</v>
      </c>
      <c r="GM224">
        <v>62.7883</v>
      </c>
      <c r="GN224">
        <v>33.178800000000003</v>
      </c>
      <c r="GO224">
        <v>25.579000000000001</v>
      </c>
      <c r="GP224">
        <v>800</v>
      </c>
      <c r="GQ224">
        <v>4.0871500000000003</v>
      </c>
      <c r="GR224">
        <v>99.826800000000006</v>
      </c>
      <c r="GS224">
        <v>99.7089</v>
      </c>
    </row>
    <row r="225" spans="1:201" x14ac:dyDescent="0.25">
      <c r="A225">
        <v>209</v>
      </c>
      <c r="B225">
        <v>1690234655</v>
      </c>
      <c r="C225">
        <v>2148.900000095367</v>
      </c>
      <c r="D225" t="s">
        <v>749</v>
      </c>
      <c r="E225" t="s">
        <v>750</v>
      </c>
      <c r="F225" t="s">
        <v>330</v>
      </c>
      <c r="H225">
        <v>1690234655</v>
      </c>
      <c r="I225">
        <f t="shared" si="90"/>
        <v>1.8862380640568459E-3</v>
      </c>
      <c r="J225">
        <f t="shared" si="91"/>
        <v>1.8862380640568459</v>
      </c>
      <c r="K225">
        <f t="shared" si="92"/>
        <v>27.586948257208697</v>
      </c>
      <c r="L225">
        <f t="shared" si="93"/>
        <v>492.22</v>
      </c>
      <c r="M225">
        <f t="shared" si="94"/>
        <v>102.72265036386439</v>
      </c>
      <c r="N225">
        <f t="shared" si="95"/>
        <v>10.179466729442179</v>
      </c>
      <c r="O225">
        <f t="shared" si="96"/>
        <v>48.777334850860001</v>
      </c>
      <c r="P225">
        <f t="shared" si="97"/>
        <v>0.11868630618470492</v>
      </c>
      <c r="Q225">
        <f t="shared" si="98"/>
        <v>2.1302875615617056</v>
      </c>
      <c r="R225">
        <f t="shared" si="99"/>
        <v>0.11513136150336414</v>
      </c>
      <c r="S225">
        <f t="shared" si="100"/>
        <v>7.2267629086636684E-2</v>
      </c>
      <c r="T225">
        <f t="shared" si="101"/>
        <v>276.115568166</v>
      </c>
      <c r="U225">
        <f t="shared" si="102"/>
        <v>28.636308089995616</v>
      </c>
      <c r="V225">
        <f t="shared" si="103"/>
        <v>28.636308089995616</v>
      </c>
      <c r="W225">
        <f t="shared" si="104"/>
        <v>3.9379063264952623</v>
      </c>
      <c r="X225">
        <f t="shared" si="105"/>
        <v>65.675440304914247</v>
      </c>
      <c r="Y225">
        <f t="shared" si="106"/>
        <v>2.3660109126654003</v>
      </c>
      <c r="Z225">
        <f t="shared" si="107"/>
        <v>3.6025809673762637</v>
      </c>
      <c r="AA225">
        <f t="shared" si="108"/>
        <v>1.571895413829862</v>
      </c>
      <c r="AB225">
        <f t="shared" si="109"/>
        <v>-83.183098624906904</v>
      </c>
      <c r="AC225">
        <f t="shared" si="110"/>
        <v>-175.16719483677497</v>
      </c>
      <c r="AD225">
        <f t="shared" si="111"/>
        <v>-17.901162682098029</v>
      </c>
      <c r="AE225">
        <f t="shared" si="112"/>
        <v>-0.13588797777987338</v>
      </c>
      <c r="AF225">
        <v>0</v>
      </c>
      <c r="AG225">
        <v>0</v>
      </c>
      <c r="AH225">
        <f t="shared" si="113"/>
        <v>1</v>
      </c>
      <c r="AI225">
        <f t="shared" si="114"/>
        <v>0</v>
      </c>
      <c r="AJ225">
        <f t="shared" si="115"/>
        <v>52342.781074655628</v>
      </c>
      <c r="AK225">
        <f t="shared" si="116"/>
        <v>1800</v>
      </c>
      <c r="AL225">
        <f t="shared" si="117"/>
        <v>1499.1106355999998</v>
      </c>
      <c r="AM225">
        <f t="shared" si="118"/>
        <v>0.83283924199999992</v>
      </c>
      <c r="AN225">
        <f t="shared" si="119"/>
        <v>0.15339753787000002</v>
      </c>
      <c r="AO225">
        <v>32.4</v>
      </c>
      <c r="AP225">
        <v>0.5</v>
      </c>
      <c r="AQ225" t="s">
        <v>331</v>
      </c>
      <c r="AR225">
        <v>2</v>
      </c>
      <c r="AS225">
        <v>1690234655</v>
      </c>
      <c r="AT225">
        <v>492.22</v>
      </c>
      <c r="AU225">
        <v>800.01900000000001</v>
      </c>
      <c r="AV225">
        <v>23.875800000000002</v>
      </c>
      <c r="AW225">
        <v>4.0016100000000003</v>
      </c>
      <c r="AX225">
        <v>492.34100000000001</v>
      </c>
      <c r="AY225">
        <v>23.703800000000001</v>
      </c>
      <c r="AZ225">
        <v>300.16300000000001</v>
      </c>
      <c r="BA225">
        <v>98.996600000000001</v>
      </c>
      <c r="BB225">
        <v>0.100013</v>
      </c>
      <c r="BC225">
        <v>27.1111</v>
      </c>
      <c r="BD225">
        <v>27.0076</v>
      </c>
      <c r="BE225">
        <v>28.8459</v>
      </c>
      <c r="BF225">
        <v>0</v>
      </c>
      <c r="BG225">
        <v>0</v>
      </c>
      <c r="BH225">
        <v>10003.1</v>
      </c>
      <c r="BI225">
        <v>1080.29</v>
      </c>
      <c r="BJ225">
        <v>1.28952</v>
      </c>
      <c r="BK225">
        <v>-307.79899999999998</v>
      </c>
      <c r="BL225">
        <v>504.25900000000001</v>
      </c>
      <c r="BM225">
        <v>803.23299999999995</v>
      </c>
      <c r="BN225">
        <v>19.874199999999998</v>
      </c>
      <c r="BO225">
        <v>800.01900000000001</v>
      </c>
      <c r="BP225">
        <v>4.0016100000000003</v>
      </c>
      <c r="BQ225">
        <v>2.3636200000000001</v>
      </c>
      <c r="BR225">
        <v>0.39614500000000002</v>
      </c>
      <c r="BS225">
        <v>20.116700000000002</v>
      </c>
      <c r="BT225">
        <v>-5.8785400000000001</v>
      </c>
      <c r="BU225">
        <v>1800</v>
      </c>
      <c r="BV225">
        <v>0.90999399999999997</v>
      </c>
      <c r="BW225">
        <v>3.4007000000000003E-2</v>
      </c>
      <c r="BX225">
        <v>2.2001099999999999E-2</v>
      </c>
      <c r="BY225">
        <v>3.3997899999999998E-2</v>
      </c>
      <c r="BZ225">
        <v>26</v>
      </c>
      <c r="CA225">
        <v>33528.300000000003</v>
      </c>
      <c r="CB225">
        <v>1690232006</v>
      </c>
      <c r="CC225" t="s">
        <v>332</v>
      </c>
      <c r="CD225">
        <v>1690232006</v>
      </c>
      <c r="CE225">
        <v>1690231998.5</v>
      </c>
      <c r="CF225">
        <v>14</v>
      </c>
      <c r="CG225">
        <v>-0.13200000000000001</v>
      </c>
      <c r="CH225">
        <v>-7.0000000000000001E-3</v>
      </c>
      <c r="CI225">
        <v>-0.33800000000000002</v>
      </c>
      <c r="CJ225">
        <v>0.14299999999999999</v>
      </c>
      <c r="CK225">
        <v>799</v>
      </c>
      <c r="CL225">
        <v>19</v>
      </c>
      <c r="CM225">
        <v>7.0000000000000007E-2</v>
      </c>
      <c r="CN225">
        <v>0.14000000000000001</v>
      </c>
      <c r="CO225">
        <v>-307.58942500000001</v>
      </c>
      <c r="CP225">
        <v>-1.1915459662285599</v>
      </c>
      <c r="CQ225">
        <v>0.1231220710311533</v>
      </c>
      <c r="CR225">
        <v>-1</v>
      </c>
      <c r="CS225">
        <v>19.848927499999999</v>
      </c>
      <c r="CT225">
        <v>0.13575196998118841</v>
      </c>
      <c r="CU225">
        <v>1.399949976784905E-2</v>
      </c>
      <c r="CV225">
        <v>-1</v>
      </c>
      <c r="CW225">
        <v>0</v>
      </c>
      <c r="CX225">
        <v>0</v>
      </c>
      <c r="CY225" t="s">
        <v>333</v>
      </c>
      <c r="CZ225">
        <v>2.3648799999999999</v>
      </c>
      <c r="DA225">
        <v>2.7138100000000001</v>
      </c>
      <c r="DB225">
        <v>0.104517</v>
      </c>
      <c r="DC225">
        <v>0.146039</v>
      </c>
      <c r="DD225">
        <v>0.11353199999999999</v>
      </c>
      <c r="DE225">
        <v>2.8132899999999999E-2</v>
      </c>
      <c r="DF225">
        <v>32725.200000000001</v>
      </c>
      <c r="DG225">
        <v>27558.3</v>
      </c>
      <c r="DH225">
        <v>31197.200000000001</v>
      </c>
      <c r="DI225">
        <v>28119.1</v>
      </c>
      <c r="DJ225">
        <v>37545.800000000003</v>
      </c>
      <c r="DK225">
        <v>38869.599999999999</v>
      </c>
      <c r="DL225">
        <v>44402.1</v>
      </c>
      <c r="DM225">
        <v>42624.4</v>
      </c>
      <c r="DN225">
        <v>1.4872000000000001</v>
      </c>
      <c r="DO225">
        <v>2.0390799999999998</v>
      </c>
      <c r="DP225">
        <v>7.3313699999999996E-2</v>
      </c>
      <c r="DQ225">
        <v>0.19608400000000001</v>
      </c>
      <c r="DR225">
        <v>25.807500000000001</v>
      </c>
      <c r="DS225">
        <v>25.6404</v>
      </c>
      <c r="DT225">
        <v>32.200000000000003</v>
      </c>
      <c r="DU225">
        <v>28.9</v>
      </c>
      <c r="DV225">
        <v>13.004200000000001</v>
      </c>
      <c r="DW225">
        <v>61.727899999999998</v>
      </c>
      <c r="DX225">
        <v>37.4559</v>
      </c>
      <c r="DY225">
        <v>1</v>
      </c>
      <c r="DZ225">
        <v>-0.117533</v>
      </c>
      <c r="EA225">
        <v>-0.33231500000000003</v>
      </c>
      <c r="EB225">
        <v>20.1892</v>
      </c>
      <c r="EC225">
        <v>5.2408000000000001</v>
      </c>
      <c r="ED225">
        <v>12.039899999999999</v>
      </c>
      <c r="EE225">
        <v>5.0167000000000002</v>
      </c>
      <c r="EF225">
        <v>3.2879999999999998</v>
      </c>
      <c r="EG225">
        <v>9999</v>
      </c>
      <c r="EH225">
        <v>9999</v>
      </c>
      <c r="EI225">
        <v>9999</v>
      </c>
      <c r="EJ225">
        <v>999.9</v>
      </c>
      <c r="EK225">
        <v>1.8689</v>
      </c>
      <c r="EL225">
        <v>1.8646199999999999</v>
      </c>
      <c r="EM225">
        <v>1.86917</v>
      </c>
      <c r="EN225">
        <v>1.8672200000000001</v>
      </c>
      <c r="EO225">
        <v>1.86337</v>
      </c>
      <c r="EP225">
        <v>1.8644700000000001</v>
      </c>
      <c r="EQ225">
        <v>1.8701300000000001</v>
      </c>
      <c r="ER225">
        <v>1.86938</v>
      </c>
      <c r="ES225">
        <v>0</v>
      </c>
      <c r="ET225">
        <v>0</v>
      </c>
      <c r="EU225">
        <v>0</v>
      </c>
      <c r="EV225">
        <v>0</v>
      </c>
      <c r="EW225" t="s">
        <v>334</v>
      </c>
      <c r="EX225" t="s">
        <v>335</v>
      </c>
      <c r="EY225" t="s">
        <v>336</v>
      </c>
      <c r="EZ225" t="s">
        <v>336</v>
      </c>
      <c r="FA225" t="s">
        <v>336</v>
      </c>
      <c r="FB225" t="s">
        <v>336</v>
      </c>
      <c r="FC225">
        <v>0</v>
      </c>
      <c r="FD225">
        <v>100</v>
      </c>
      <c r="FE225">
        <v>100</v>
      </c>
      <c r="FF225">
        <v>-0.121</v>
      </c>
      <c r="FG225">
        <v>0.17199999999999999</v>
      </c>
      <c r="FH225">
        <v>0.2126736300064915</v>
      </c>
      <c r="FI225">
        <v>-6.1462078757559423E-4</v>
      </c>
      <c r="FJ225">
        <v>-1.8861989874597051E-7</v>
      </c>
      <c r="FK225">
        <v>1.1980462299894961E-10</v>
      </c>
      <c r="FL225">
        <v>0.1719881465068297</v>
      </c>
      <c r="FM225">
        <v>0</v>
      </c>
      <c r="FN225">
        <v>0</v>
      </c>
      <c r="FO225">
        <v>0</v>
      </c>
      <c r="FP225">
        <v>3</v>
      </c>
      <c r="FQ225">
        <v>2158</v>
      </c>
      <c r="FR225">
        <v>1</v>
      </c>
      <c r="FS225">
        <v>19</v>
      </c>
      <c r="FT225">
        <v>44.1</v>
      </c>
      <c r="FU225">
        <v>44.3</v>
      </c>
      <c r="FV225">
        <v>1.7675799999999999</v>
      </c>
      <c r="FW225">
        <v>2.5939899999999998</v>
      </c>
      <c r="FX225">
        <v>1.5490699999999999</v>
      </c>
      <c r="FY225">
        <v>2.32666</v>
      </c>
      <c r="FZ225">
        <v>1.50146</v>
      </c>
      <c r="GA225">
        <v>2.2863799999999999</v>
      </c>
      <c r="GB225">
        <v>33.512999999999998</v>
      </c>
      <c r="GC225">
        <v>23.982399999999998</v>
      </c>
      <c r="GD225">
        <v>19</v>
      </c>
      <c r="GE225">
        <v>286.18400000000003</v>
      </c>
      <c r="GF225">
        <v>581.70500000000004</v>
      </c>
      <c r="GG225">
        <v>25.5779</v>
      </c>
      <c r="GH225">
        <v>25.936299999999999</v>
      </c>
      <c r="GI225">
        <v>30.0001</v>
      </c>
      <c r="GJ225">
        <v>26.037400000000002</v>
      </c>
      <c r="GK225">
        <v>26.013300000000001</v>
      </c>
      <c r="GL225">
        <v>35.332999999999998</v>
      </c>
      <c r="GM225">
        <v>62.515000000000001</v>
      </c>
      <c r="GN225">
        <v>32.417900000000003</v>
      </c>
      <c r="GO225">
        <v>25.578800000000001</v>
      </c>
      <c r="GP225">
        <v>800</v>
      </c>
      <c r="GQ225">
        <v>4.0641499999999997</v>
      </c>
      <c r="GR225">
        <v>99.825000000000003</v>
      </c>
      <c r="GS225">
        <v>99.707999999999998</v>
      </c>
    </row>
    <row r="226" spans="1:201" x14ac:dyDescent="0.25">
      <c r="A226">
        <v>210</v>
      </c>
      <c r="B226">
        <v>1690234665</v>
      </c>
      <c r="C226">
        <v>2158.900000095367</v>
      </c>
      <c r="D226" t="s">
        <v>751</v>
      </c>
      <c r="E226" t="s">
        <v>752</v>
      </c>
      <c r="F226" t="s">
        <v>330</v>
      </c>
      <c r="H226">
        <v>1690234665</v>
      </c>
      <c r="I226">
        <f t="shared" si="90"/>
        <v>1.8864161362513853E-3</v>
      </c>
      <c r="J226">
        <f t="shared" si="91"/>
        <v>1.8864161362513854</v>
      </c>
      <c r="K226">
        <f t="shared" si="92"/>
        <v>27.577259330265285</v>
      </c>
      <c r="L226">
        <f t="shared" si="93"/>
        <v>492.13099999999997</v>
      </c>
      <c r="M226">
        <f t="shared" si="94"/>
        <v>102.5543966756464</v>
      </c>
      <c r="N226">
        <f t="shared" si="95"/>
        <v>10.162921756919655</v>
      </c>
      <c r="O226">
        <f t="shared" si="96"/>
        <v>48.769131400314997</v>
      </c>
      <c r="P226">
        <f t="shared" si="97"/>
        <v>0.11861289218480425</v>
      </c>
      <c r="Q226">
        <f t="shared" si="98"/>
        <v>2.134304824386497</v>
      </c>
      <c r="R226">
        <f t="shared" si="99"/>
        <v>0.11506874130194153</v>
      </c>
      <c r="S226">
        <f t="shared" si="100"/>
        <v>7.2227570019083032E-2</v>
      </c>
      <c r="T226">
        <f t="shared" si="101"/>
        <v>276.11550405000003</v>
      </c>
      <c r="U226">
        <f t="shared" si="102"/>
        <v>28.635635903497143</v>
      </c>
      <c r="V226">
        <f t="shared" si="103"/>
        <v>28.635635903497143</v>
      </c>
      <c r="W226">
        <f t="shared" si="104"/>
        <v>3.9377527451956511</v>
      </c>
      <c r="X226">
        <f t="shared" si="105"/>
        <v>65.634732090803681</v>
      </c>
      <c r="Y226">
        <f t="shared" si="106"/>
        <v>2.3648219014274998</v>
      </c>
      <c r="Z226">
        <f t="shared" si="107"/>
        <v>3.6030038153516641</v>
      </c>
      <c r="AA226">
        <f t="shared" si="108"/>
        <v>1.5729308437681513</v>
      </c>
      <c r="AB226">
        <f t="shared" si="109"/>
        <v>-83.190951608686092</v>
      </c>
      <c r="AC226">
        <f t="shared" si="110"/>
        <v>-175.19004819959886</v>
      </c>
      <c r="AD226">
        <f t="shared" si="111"/>
        <v>-17.869917479881593</v>
      </c>
      <c r="AE226">
        <f t="shared" si="112"/>
        <v>-0.13541323816647832</v>
      </c>
      <c r="AF226">
        <v>0</v>
      </c>
      <c r="AG226">
        <v>0</v>
      </c>
      <c r="AH226">
        <f t="shared" si="113"/>
        <v>1</v>
      </c>
      <c r="AI226">
        <f t="shared" si="114"/>
        <v>0</v>
      </c>
      <c r="AJ226">
        <f t="shared" si="115"/>
        <v>52515.666794902907</v>
      </c>
      <c r="AK226">
        <f t="shared" si="116"/>
        <v>1800</v>
      </c>
      <c r="AL226">
        <f t="shared" si="117"/>
        <v>1499.1103619999999</v>
      </c>
      <c r="AM226">
        <f t="shared" si="118"/>
        <v>0.83283908999999989</v>
      </c>
      <c r="AN226">
        <f t="shared" si="119"/>
        <v>0.15339750225000001</v>
      </c>
      <c r="AO226">
        <v>32.4</v>
      </c>
      <c r="AP226">
        <v>0.5</v>
      </c>
      <c r="AQ226" t="s">
        <v>331</v>
      </c>
      <c r="AR226">
        <v>2</v>
      </c>
      <c r="AS226">
        <v>1690234665</v>
      </c>
      <c r="AT226">
        <v>492.13099999999997</v>
      </c>
      <c r="AU226">
        <v>799.80200000000002</v>
      </c>
      <c r="AV226">
        <v>23.863499999999998</v>
      </c>
      <c r="AW226">
        <v>3.9886400000000002</v>
      </c>
      <c r="AX226">
        <v>492.25299999999999</v>
      </c>
      <c r="AY226">
        <v>23.691500000000001</v>
      </c>
      <c r="AZ226">
        <v>300.185</v>
      </c>
      <c r="BA226">
        <v>98.997900000000001</v>
      </c>
      <c r="BB226">
        <v>9.9964999999999998E-2</v>
      </c>
      <c r="BC226">
        <v>27.113099999999999</v>
      </c>
      <c r="BD226">
        <v>26.999199999999998</v>
      </c>
      <c r="BE226">
        <v>28.855499999999999</v>
      </c>
      <c r="BF226">
        <v>0</v>
      </c>
      <c r="BG226">
        <v>0</v>
      </c>
      <c r="BH226">
        <v>10037.5</v>
      </c>
      <c r="BI226">
        <v>1080.1600000000001</v>
      </c>
      <c r="BJ226">
        <v>1.28952</v>
      </c>
      <c r="BK226">
        <v>-307.67099999999999</v>
      </c>
      <c r="BL226">
        <v>504.16199999999998</v>
      </c>
      <c r="BM226">
        <v>803.005</v>
      </c>
      <c r="BN226">
        <v>19.8749</v>
      </c>
      <c r="BO226">
        <v>799.80200000000002</v>
      </c>
      <c r="BP226">
        <v>3.9886400000000002</v>
      </c>
      <c r="BQ226">
        <v>2.3624399999999999</v>
      </c>
      <c r="BR226">
        <v>0.39486599999999999</v>
      </c>
      <c r="BS226">
        <v>20.108599999999999</v>
      </c>
      <c r="BT226">
        <v>-5.9209100000000001</v>
      </c>
      <c r="BU226">
        <v>1800</v>
      </c>
      <c r="BV226">
        <v>0.90999399999999997</v>
      </c>
      <c r="BW226">
        <v>3.40086E-2</v>
      </c>
      <c r="BX226">
        <v>2.2000499999999999E-2</v>
      </c>
      <c r="BY226">
        <v>3.3996899999999997E-2</v>
      </c>
      <c r="BZ226">
        <v>26</v>
      </c>
      <c r="CA226">
        <v>33528.400000000001</v>
      </c>
      <c r="CB226">
        <v>1690232006</v>
      </c>
      <c r="CC226" t="s">
        <v>332</v>
      </c>
      <c r="CD226">
        <v>1690232006</v>
      </c>
      <c r="CE226">
        <v>1690231998.5</v>
      </c>
      <c r="CF226">
        <v>14</v>
      </c>
      <c r="CG226">
        <v>-0.13200000000000001</v>
      </c>
      <c r="CH226">
        <v>-7.0000000000000001E-3</v>
      </c>
      <c r="CI226">
        <v>-0.33800000000000002</v>
      </c>
      <c r="CJ226">
        <v>0.14299999999999999</v>
      </c>
      <c r="CK226">
        <v>799</v>
      </c>
      <c r="CL226">
        <v>19</v>
      </c>
      <c r="CM226">
        <v>7.0000000000000007E-2</v>
      </c>
      <c r="CN226">
        <v>0.14000000000000001</v>
      </c>
      <c r="CO226">
        <v>-307.731675</v>
      </c>
      <c r="CP226">
        <v>-0.6315084427763844</v>
      </c>
      <c r="CQ226">
        <v>0.1010975735366603</v>
      </c>
      <c r="CR226">
        <v>-1</v>
      </c>
      <c r="CS226">
        <v>19.8651825</v>
      </c>
      <c r="CT226">
        <v>8.1740712945547883E-2</v>
      </c>
      <c r="CU226">
        <v>9.8273314663748414E-3</v>
      </c>
      <c r="CV226">
        <v>-1</v>
      </c>
      <c r="CW226">
        <v>0</v>
      </c>
      <c r="CX226">
        <v>0</v>
      </c>
      <c r="CY226" t="s">
        <v>333</v>
      </c>
      <c r="CZ226">
        <v>2.36497</v>
      </c>
      <c r="DA226">
        <v>2.7137899999999999</v>
      </c>
      <c r="DB226">
        <v>0.104504</v>
      </c>
      <c r="DC226">
        <v>0.146013</v>
      </c>
      <c r="DD226">
        <v>0.113492</v>
      </c>
      <c r="DE226">
        <v>2.8055299999999998E-2</v>
      </c>
      <c r="DF226">
        <v>32725.7</v>
      </c>
      <c r="DG226">
        <v>27559</v>
      </c>
      <c r="DH226">
        <v>31197.3</v>
      </c>
      <c r="DI226">
        <v>28118.9</v>
      </c>
      <c r="DJ226">
        <v>37547.599999999999</v>
      </c>
      <c r="DK226">
        <v>38872.400000000001</v>
      </c>
      <c r="DL226">
        <v>44402.1</v>
      </c>
      <c r="DM226">
        <v>42624</v>
      </c>
      <c r="DN226">
        <v>1.48705</v>
      </c>
      <c r="DO226">
        <v>2.03912</v>
      </c>
      <c r="DP226">
        <v>7.2799600000000006E-2</v>
      </c>
      <c r="DQ226">
        <v>0.19667299999999999</v>
      </c>
      <c r="DR226">
        <v>25.807500000000001</v>
      </c>
      <c r="DS226">
        <v>25.6404</v>
      </c>
      <c r="DT226">
        <v>31.9</v>
      </c>
      <c r="DU226">
        <v>29</v>
      </c>
      <c r="DV226">
        <v>12.959199999999999</v>
      </c>
      <c r="DW226">
        <v>61.417900000000003</v>
      </c>
      <c r="DX226">
        <v>36.5184</v>
      </c>
      <c r="DY226">
        <v>1</v>
      </c>
      <c r="DZ226">
        <v>-0.117246</v>
      </c>
      <c r="EA226">
        <v>-0.32135900000000001</v>
      </c>
      <c r="EB226">
        <v>20.189299999999999</v>
      </c>
      <c r="EC226">
        <v>5.2409499999999998</v>
      </c>
      <c r="ED226">
        <v>12.039899999999999</v>
      </c>
      <c r="EE226">
        <v>5.0168499999999998</v>
      </c>
      <c r="EF226">
        <v>3.2879999999999998</v>
      </c>
      <c r="EG226">
        <v>9999</v>
      </c>
      <c r="EH226">
        <v>9999</v>
      </c>
      <c r="EI226">
        <v>9999</v>
      </c>
      <c r="EJ226">
        <v>999.9</v>
      </c>
      <c r="EK226">
        <v>1.8689</v>
      </c>
      <c r="EL226">
        <v>1.8646100000000001</v>
      </c>
      <c r="EM226">
        <v>1.8691899999999999</v>
      </c>
      <c r="EN226">
        <v>1.8672200000000001</v>
      </c>
      <c r="EO226">
        <v>1.86338</v>
      </c>
      <c r="EP226">
        <v>1.8644700000000001</v>
      </c>
      <c r="EQ226">
        <v>1.87015</v>
      </c>
      <c r="ER226">
        <v>1.86937</v>
      </c>
      <c r="ES226">
        <v>0</v>
      </c>
      <c r="ET226">
        <v>0</v>
      </c>
      <c r="EU226">
        <v>0</v>
      </c>
      <c r="EV226">
        <v>0</v>
      </c>
      <c r="EW226" t="s">
        <v>334</v>
      </c>
      <c r="EX226" t="s">
        <v>335</v>
      </c>
      <c r="EY226" t="s">
        <v>336</v>
      </c>
      <c r="EZ226" t="s">
        <v>336</v>
      </c>
      <c r="FA226" t="s">
        <v>336</v>
      </c>
      <c r="FB226" t="s">
        <v>336</v>
      </c>
      <c r="FC226">
        <v>0</v>
      </c>
      <c r="FD226">
        <v>100</v>
      </c>
      <c r="FE226">
        <v>100</v>
      </c>
      <c r="FF226">
        <v>-0.122</v>
      </c>
      <c r="FG226">
        <v>0.17199999999999999</v>
      </c>
      <c r="FH226">
        <v>0.2126736300064915</v>
      </c>
      <c r="FI226">
        <v>-6.1462078757559423E-4</v>
      </c>
      <c r="FJ226">
        <v>-1.8861989874597051E-7</v>
      </c>
      <c r="FK226">
        <v>1.1980462299894961E-10</v>
      </c>
      <c r="FL226">
        <v>0.1719881465068297</v>
      </c>
      <c r="FM226">
        <v>0</v>
      </c>
      <c r="FN226">
        <v>0</v>
      </c>
      <c r="FO226">
        <v>0</v>
      </c>
      <c r="FP226">
        <v>3</v>
      </c>
      <c r="FQ226">
        <v>2158</v>
      </c>
      <c r="FR226">
        <v>1</v>
      </c>
      <c r="FS226">
        <v>19</v>
      </c>
      <c r="FT226">
        <v>44.3</v>
      </c>
      <c r="FU226">
        <v>44.4</v>
      </c>
      <c r="FV226">
        <v>1.7675799999999999</v>
      </c>
      <c r="FW226">
        <v>2.5854499999999998</v>
      </c>
      <c r="FX226">
        <v>1.5490699999999999</v>
      </c>
      <c r="FY226">
        <v>2.32666</v>
      </c>
      <c r="FZ226">
        <v>1.50146</v>
      </c>
      <c r="GA226">
        <v>2.3547400000000001</v>
      </c>
      <c r="GB226">
        <v>33.512999999999998</v>
      </c>
      <c r="GC226">
        <v>23.991199999999999</v>
      </c>
      <c r="GD226">
        <v>19</v>
      </c>
      <c r="GE226">
        <v>286.12400000000002</v>
      </c>
      <c r="GF226">
        <v>581.76599999999996</v>
      </c>
      <c r="GG226">
        <v>25.576599999999999</v>
      </c>
      <c r="GH226">
        <v>25.938500000000001</v>
      </c>
      <c r="GI226">
        <v>30.0002</v>
      </c>
      <c r="GJ226">
        <v>26.0383</v>
      </c>
      <c r="GK226">
        <v>26.015000000000001</v>
      </c>
      <c r="GL226">
        <v>35.332500000000003</v>
      </c>
      <c r="GM226">
        <v>62.515000000000001</v>
      </c>
      <c r="GN226">
        <v>32.042400000000001</v>
      </c>
      <c r="GO226">
        <v>25.575099999999999</v>
      </c>
      <c r="GP226">
        <v>800</v>
      </c>
      <c r="GQ226">
        <v>4.0475199999999996</v>
      </c>
      <c r="GR226">
        <v>99.825199999999995</v>
      </c>
      <c r="GS226">
        <v>99.707400000000007</v>
      </c>
    </row>
    <row r="227" spans="1:201" x14ac:dyDescent="0.25">
      <c r="A227">
        <v>211</v>
      </c>
      <c r="B227">
        <v>1690234675</v>
      </c>
      <c r="C227">
        <v>2168.900000095367</v>
      </c>
      <c r="D227" t="s">
        <v>753</v>
      </c>
      <c r="E227" t="s">
        <v>754</v>
      </c>
      <c r="F227" t="s">
        <v>330</v>
      </c>
      <c r="H227">
        <v>1690234675</v>
      </c>
      <c r="I227">
        <f t="shared" si="90"/>
        <v>1.8861150309869414E-3</v>
      </c>
      <c r="J227">
        <f t="shared" si="91"/>
        <v>1.8861150309869414</v>
      </c>
      <c r="K227">
        <f t="shared" si="92"/>
        <v>27.628239666792489</v>
      </c>
      <c r="L227">
        <f t="shared" si="93"/>
        <v>491.92099999999999</v>
      </c>
      <c r="M227">
        <f t="shared" si="94"/>
        <v>101.52890285583626</v>
      </c>
      <c r="N227">
        <f t="shared" si="95"/>
        <v>10.061144159550903</v>
      </c>
      <c r="O227">
        <f t="shared" si="96"/>
        <v>48.747577851186598</v>
      </c>
      <c r="P227">
        <f t="shared" si="97"/>
        <v>0.11857425655840251</v>
      </c>
      <c r="Q227">
        <f t="shared" si="98"/>
        <v>2.1336365403579123</v>
      </c>
      <c r="R227">
        <f t="shared" si="99"/>
        <v>0.11503130337178544</v>
      </c>
      <c r="S227">
        <f t="shared" si="100"/>
        <v>7.2204066793238236E-2</v>
      </c>
      <c r="T227">
        <f t="shared" si="101"/>
        <v>276.11551366200001</v>
      </c>
      <c r="U227">
        <f t="shared" si="102"/>
        <v>28.637571873007126</v>
      </c>
      <c r="V227">
        <f t="shared" si="103"/>
        <v>28.637571873007126</v>
      </c>
      <c r="W227">
        <f t="shared" si="104"/>
        <v>3.9381950900234992</v>
      </c>
      <c r="X227">
        <f t="shared" si="105"/>
        <v>65.635215146447223</v>
      </c>
      <c r="Y227">
        <f t="shared" si="106"/>
        <v>2.3650335988836</v>
      </c>
      <c r="Z227">
        <f t="shared" si="107"/>
        <v>3.6032998347101741</v>
      </c>
      <c r="AA227">
        <f t="shared" si="108"/>
        <v>1.5731614911398992</v>
      </c>
      <c r="AB227">
        <f t="shared" si="109"/>
        <v>-83.177672866524119</v>
      </c>
      <c r="AC227">
        <f t="shared" si="110"/>
        <v>-175.19684530076412</v>
      </c>
      <c r="AD227">
        <f t="shared" si="111"/>
        <v>-17.876505510473613</v>
      </c>
      <c r="AE227">
        <f t="shared" si="112"/>
        <v>-0.1355100157618665</v>
      </c>
      <c r="AF227">
        <v>0</v>
      </c>
      <c r="AG227">
        <v>0</v>
      </c>
      <c r="AH227">
        <f t="shared" si="113"/>
        <v>1</v>
      </c>
      <c r="AI227">
        <f t="shared" si="114"/>
        <v>0</v>
      </c>
      <c r="AJ227">
        <f t="shared" si="115"/>
        <v>52486.549390660191</v>
      </c>
      <c r="AK227">
        <f t="shared" si="116"/>
        <v>1800</v>
      </c>
      <c r="AL227">
        <f t="shared" si="117"/>
        <v>1499.1100812000002</v>
      </c>
      <c r="AM227">
        <f t="shared" si="118"/>
        <v>0.83283893400000009</v>
      </c>
      <c r="AN227">
        <f t="shared" si="119"/>
        <v>0.15339750759000001</v>
      </c>
      <c r="AO227">
        <v>32.4</v>
      </c>
      <c r="AP227">
        <v>0.5</v>
      </c>
      <c r="AQ227" t="s">
        <v>331</v>
      </c>
      <c r="AR227">
        <v>2</v>
      </c>
      <c r="AS227">
        <v>1690234675</v>
      </c>
      <c r="AT227">
        <v>491.92099999999999</v>
      </c>
      <c r="AU227">
        <v>800.12199999999996</v>
      </c>
      <c r="AV227">
        <v>23.866</v>
      </c>
      <c r="AW227">
        <v>3.9952899999999998</v>
      </c>
      <c r="AX227">
        <v>492.04199999999997</v>
      </c>
      <c r="AY227">
        <v>23.693999999999999</v>
      </c>
      <c r="AZ227">
        <v>300.19900000000001</v>
      </c>
      <c r="BA227">
        <v>98.996399999999994</v>
      </c>
      <c r="BB227">
        <v>9.9954600000000005E-2</v>
      </c>
      <c r="BC227">
        <v>27.1145</v>
      </c>
      <c r="BD227">
        <v>27.002500000000001</v>
      </c>
      <c r="BE227">
        <v>28.851700000000001</v>
      </c>
      <c r="BF227">
        <v>0</v>
      </c>
      <c r="BG227">
        <v>0</v>
      </c>
      <c r="BH227">
        <v>10031.9</v>
      </c>
      <c r="BI227">
        <v>1080.21</v>
      </c>
      <c r="BJ227">
        <v>1.28952</v>
      </c>
      <c r="BK227">
        <v>-308.20100000000002</v>
      </c>
      <c r="BL227">
        <v>503.94799999999998</v>
      </c>
      <c r="BM227">
        <v>803.33100000000002</v>
      </c>
      <c r="BN227">
        <v>19.870699999999999</v>
      </c>
      <c r="BO227">
        <v>800.12199999999996</v>
      </c>
      <c r="BP227">
        <v>3.9952899999999998</v>
      </c>
      <c r="BQ227">
        <v>2.3626499999999999</v>
      </c>
      <c r="BR227">
        <v>0.39551900000000001</v>
      </c>
      <c r="BS227">
        <v>20.11</v>
      </c>
      <c r="BT227">
        <v>-5.8992800000000001</v>
      </c>
      <c r="BU227">
        <v>1800</v>
      </c>
      <c r="BV227">
        <v>0.90999300000000005</v>
      </c>
      <c r="BW227">
        <v>3.4008900000000002E-2</v>
      </c>
      <c r="BX227">
        <v>2.2000700000000002E-2</v>
      </c>
      <c r="BY227">
        <v>3.3997300000000001E-2</v>
      </c>
      <c r="BZ227">
        <v>26</v>
      </c>
      <c r="CA227">
        <v>33528.300000000003</v>
      </c>
      <c r="CB227">
        <v>1690232006</v>
      </c>
      <c r="CC227" t="s">
        <v>332</v>
      </c>
      <c r="CD227">
        <v>1690232006</v>
      </c>
      <c r="CE227">
        <v>1690231998.5</v>
      </c>
      <c r="CF227">
        <v>14</v>
      </c>
      <c r="CG227">
        <v>-0.13200000000000001</v>
      </c>
      <c r="CH227">
        <v>-7.0000000000000001E-3</v>
      </c>
      <c r="CI227">
        <v>-0.33800000000000002</v>
      </c>
      <c r="CJ227">
        <v>0.14299999999999999</v>
      </c>
      <c r="CK227">
        <v>799</v>
      </c>
      <c r="CL227">
        <v>19</v>
      </c>
      <c r="CM227">
        <v>7.0000000000000007E-2</v>
      </c>
      <c r="CN227">
        <v>0.14000000000000001</v>
      </c>
      <c r="CO227">
        <v>-307.87434999999999</v>
      </c>
      <c r="CP227">
        <v>-1.2671819887419611</v>
      </c>
      <c r="CQ227">
        <v>0.1623788086543308</v>
      </c>
      <c r="CR227">
        <v>-1</v>
      </c>
      <c r="CS227">
        <v>19.874637499999999</v>
      </c>
      <c r="CT227">
        <v>6.4198874296117828E-3</v>
      </c>
      <c r="CU227">
        <v>7.6386414858926567E-3</v>
      </c>
      <c r="CV227">
        <v>-1</v>
      </c>
      <c r="CW227">
        <v>0</v>
      </c>
      <c r="CX227">
        <v>0</v>
      </c>
      <c r="CY227" t="s">
        <v>333</v>
      </c>
      <c r="CZ227">
        <v>2.3650000000000002</v>
      </c>
      <c r="DA227">
        <v>2.7137699999999998</v>
      </c>
      <c r="DB227">
        <v>0.10446999999999999</v>
      </c>
      <c r="DC227">
        <v>0.14605000000000001</v>
      </c>
      <c r="DD227">
        <v>0.113498</v>
      </c>
      <c r="DE227">
        <v>2.80948E-2</v>
      </c>
      <c r="DF227">
        <v>32727.3</v>
      </c>
      <c r="DG227">
        <v>27558.1</v>
      </c>
      <c r="DH227">
        <v>31197.599999999999</v>
      </c>
      <c r="DI227">
        <v>28119.200000000001</v>
      </c>
      <c r="DJ227">
        <v>37547.800000000003</v>
      </c>
      <c r="DK227">
        <v>38871.1</v>
      </c>
      <c r="DL227">
        <v>44402.7</v>
      </c>
      <c r="DM227">
        <v>42624.4</v>
      </c>
      <c r="DN227">
        <v>1.48742</v>
      </c>
      <c r="DO227">
        <v>2.0390999999999999</v>
      </c>
      <c r="DP227">
        <v>7.2866700000000006E-2</v>
      </c>
      <c r="DQ227">
        <v>0.19623299999999999</v>
      </c>
      <c r="DR227">
        <v>25.809699999999999</v>
      </c>
      <c r="DS227">
        <v>25.643799999999999</v>
      </c>
      <c r="DT227">
        <v>31.8</v>
      </c>
      <c r="DU227">
        <v>29</v>
      </c>
      <c r="DV227">
        <v>12.920299999999999</v>
      </c>
      <c r="DW227">
        <v>61.347900000000003</v>
      </c>
      <c r="DX227">
        <v>36.622599999999998</v>
      </c>
      <c r="DY227">
        <v>1</v>
      </c>
      <c r="DZ227">
        <v>-0.117226</v>
      </c>
      <c r="EA227">
        <v>-0.33926699999999999</v>
      </c>
      <c r="EB227">
        <v>20.1892</v>
      </c>
      <c r="EC227">
        <v>5.2408000000000001</v>
      </c>
      <c r="ED227">
        <v>12.039899999999999</v>
      </c>
      <c r="EE227">
        <v>5.0168499999999998</v>
      </c>
      <c r="EF227">
        <v>3.2879999999999998</v>
      </c>
      <c r="EG227">
        <v>9999</v>
      </c>
      <c r="EH227">
        <v>9999</v>
      </c>
      <c r="EI227">
        <v>9999</v>
      </c>
      <c r="EJ227">
        <v>999.9</v>
      </c>
      <c r="EK227">
        <v>1.8689</v>
      </c>
      <c r="EL227">
        <v>1.8646199999999999</v>
      </c>
      <c r="EM227">
        <v>1.8691899999999999</v>
      </c>
      <c r="EN227">
        <v>1.8672200000000001</v>
      </c>
      <c r="EO227">
        <v>1.86337</v>
      </c>
      <c r="EP227">
        <v>1.8644700000000001</v>
      </c>
      <c r="EQ227">
        <v>1.8701300000000001</v>
      </c>
      <c r="ER227">
        <v>1.86937</v>
      </c>
      <c r="ES227">
        <v>0</v>
      </c>
      <c r="ET227">
        <v>0</v>
      </c>
      <c r="EU227">
        <v>0</v>
      </c>
      <c r="EV227">
        <v>0</v>
      </c>
      <c r="EW227" t="s">
        <v>334</v>
      </c>
      <c r="EX227" t="s">
        <v>335</v>
      </c>
      <c r="EY227" t="s">
        <v>336</v>
      </c>
      <c r="EZ227" t="s">
        <v>336</v>
      </c>
      <c r="FA227" t="s">
        <v>336</v>
      </c>
      <c r="FB227" t="s">
        <v>336</v>
      </c>
      <c r="FC227">
        <v>0</v>
      </c>
      <c r="FD227">
        <v>100</v>
      </c>
      <c r="FE227">
        <v>100</v>
      </c>
      <c r="FF227">
        <v>-0.121</v>
      </c>
      <c r="FG227">
        <v>0.17199999999999999</v>
      </c>
      <c r="FH227">
        <v>0.2126736300064915</v>
      </c>
      <c r="FI227">
        <v>-6.1462078757559423E-4</v>
      </c>
      <c r="FJ227">
        <v>-1.8861989874597051E-7</v>
      </c>
      <c r="FK227">
        <v>1.1980462299894961E-10</v>
      </c>
      <c r="FL227">
        <v>0.1719881465068297</v>
      </c>
      <c r="FM227">
        <v>0</v>
      </c>
      <c r="FN227">
        <v>0</v>
      </c>
      <c r="FO227">
        <v>0</v>
      </c>
      <c r="FP227">
        <v>3</v>
      </c>
      <c r="FQ227">
        <v>2158</v>
      </c>
      <c r="FR227">
        <v>1</v>
      </c>
      <c r="FS227">
        <v>19</v>
      </c>
      <c r="FT227">
        <v>44.5</v>
      </c>
      <c r="FU227">
        <v>44.6</v>
      </c>
      <c r="FV227">
        <v>1.7675799999999999</v>
      </c>
      <c r="FW227">
        <v>2.5854499999999998</v>
      </c>
      <c r="FX227">
        <v>1.5490699999999999</v>
      </c>
      <c r="FY227">
        <v>2.32666</v>
      </c>
      <c r="FZ227">
        <v>1.50146</v>
      </c>
      <c r="GA227">
        <v>2.3718300000000001</v>
      </c>
      <c r="GB227">
        <v>33.535499999999999</v>
      </c>
      <c r="GC227">
        <v>23.982399999999998</v>
      </c>
      <c r="GD227">
        <v>19</v>
      </c>
      <c r="GE227">
        <v>286.29399999999998</v>
      </c>
      <c r="GF227">
        <v>581.75099999999998</v>
      </c>
      <c r="GG227">
        <v>25.572700000000001</v>
      </c>
      <c r="GH227">
        <v>25.938700000000001</v>
      </c>
      <c r="GI227">
        <v>30.0001</v>
      </c>
      <c r="GJ227">
        <v>26.040500000000002</v>
      </c>
      <c r="GK227">
        <v>26.0154</v>
      </c>
      <c r="GL227">
        <v>35.331400000000002</v>
      </c>
      <c r="GM227">
        <v>62.224899999999998</v>
      </c>
      <c r="GN227">
        <v>31.658899999999999</v>
      </c>
      <c r="GO227">
        <v>25.575800000000001</v>
      </c>
      <c r="GP227">
        <v>800</v>
      </c>
      <c r="GQ227">
        <v>4.02623</v>
      </c>
      <c r="GR227">
        <v>99.826300000000003</v>
      </c>
      <c r="GS227">
        <v>99.708200000000005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2023-07-24T21:40:27Z</dcterms:created>
  <dcterms:modified xsi:type="dcterms:W3CDTF">2023-07-24T22:20:24Z</dcterms:modified>
</cp:coreProperties>
</file>